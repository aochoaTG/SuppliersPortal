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otalgasgroup-my.sharepoint.com/personal/veronicaolvera_totalgasgroup_onmicrosoft_com/Documents/Presupuesto 2025/SMA/"/>
    </mc:Choice>
  </mc:AlternateContent>
  <xr:revisionPtr revIDLastSave="0" documentId="8_{FFACBF71-6E39-4E00-B71F-CCA8D01E73CE}" xr6:coauthVersionLast="47" xr6:coauthVersionMax="47" xr10:uidLastSave="{00000000-0000-0000-0000-000000000000}"/>
  <bookViews>
    <workbookView xWindow="-108" yWindow="-108" windowWidth="23256" windowHeight="12456" tabRatio="915" firstSheet="5" activeTab="5" xr2:uid="{00000000-000D-0000-FFFF-FFFF00000000}"/>
  </bookViews>
  <sheets>
    <sheet name="Parametros SMA" sheetId="38" r:id="rId1"/>
    <sheet name="S" sheetId="94" r:id="rId2"/>
    <sheet name="CONTABILIDAD-FISCAL" sheetId="175" r:id="rId3"/>
    <sheet name="COM-MKT" sheetId="173" r:id="rId4"/>
    <sheet name="Z" sheetId="93" r:id="rId5"/>
    <sheet name="EDO RESULTADOS MISMAS EST" sheetId="174" r:id="rId6"/>
    <sheet name="TOTAL ESTACIONES" sheetId="124" r:id="rId7"/>
    <sheet name="A" sheetId="3" r:id="rId8"/>
    <sheet name="Picachos" sheetId="87" r:id="rId9"/>
    <sheet name="Ventanas" sheetId="68" r:id="rId10"/>
    <sheet name="B" sheetId="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____xlfn.BAHTTEXT" hidden="1">#NAME?</definedName>
    <definedName name="______xlfn.BAHTTEXT" hidden="1">#NAME?</definedName>
    <definedName name="_____xlfn.BAHTTEXT" hidden="1">#NAME?</definedName>
    <definedName name="____xlfn.BAHTTEXT" hidden="1">#NAME?</definedName>
    <definedName name="___f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___xlfn.BAHTTEXT" hidden="1">#NAME?</definedName>
    <definedName name="__xlfn.BAHTTEXT" hidden="1">#NAME?</definedName>
    <definedName name="_f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_Fill" localSheetId="0" hidden="1">#REF!</definedName>
    <definedName name="_Fill" localSheetId="8" hidden="1">#REF!</definedName>
    <definedName name="_Fill" localSheetId="6" hidden="1">#REF!</definedName>
    <definedName name="_Fill" localSheetId="9" hidden="1">#REF!</definedName>
    <definedName name="_Fill" hidden="1">#REF!</definedName>
    <definedName name="_xlnm._FilterDatabase" localSheetId="8" hidden="1">Picachos!#REF!</definedName>
    <definedName name="_xlnm._FilterDatabase" localSheetId="6" hidden="1">'TOTAL ESTACIONES'!#REF!</definedName>
    <definedName name="_xlnm._FilterDatabase" localSheetId="9" hidden="1">Ventanas!#REF!</definedName>
    <definedName name="_Key1" localSheetId="0" hidden="1">#REF!</definedName>
    <definedName name="_Key1" localSheetId="8" hidden="1">#REF!</definedName>
    <definedName name="_Key1" localSheetId="6" hidden="1">#REF!</definedName>
    <definedName name="_Key1" localSheetId="9" hidden="1">#REF!</definedName>
    <definedName name="_Key1" hidden="1">#REF!</definedName>
    <definedName name="_Key2" localSheetId="0" hidden="1">#REF!</definedName>
    <definedName name="_Key2" localSheetId="8" hidden="1">#REF!</definedName>
    <definedName name="_Key2" localSheetId="6" hidden="1">#REF!</definedName>
    <definedName name="_Key2" localSheetId="9" hidden="1">#REF!</definedName>
    <definedName name="_Key2" hidden="1">#REF!</definedName>
    <definedName name="_Order1" hidden="1">255</definedName>
    <definedName name="_Order2" hidden="1">255</definedName>
    <definedName name="_Parse_In" localSheetId="0" hidden="1">#REF!</definedName>
    <definedName name="_Parse_In" localSheetId="8" hidden="1">#REF!</definedName>
    <definedName name="_Parse_In" localSheetId="6" hidden="1">#REF!</definedName>
    <definedName name="_Parse_In" localSheetId="9" hidden="1">#REF!</definedName>
    <definedName name="_Parse_In" hidden="1">#REF!</definedName>
    <definedName name="_Parse_Out" localSheetId="0" hidden="1">#REF!</definedName>
    <definedName name="_Parse_Out" localSheetId="8" hidden="1">#REF!</definedName>
    <definedName name="_Parse_Out" localSheetId="6" hidden="1">#REF!</definedName>
    <definedName name="_Parse_Out" localSheetId="9" hidden="1">#REF!</definedName>
    <definedName name="_Parse_Out" hidden="1">#REF!</definedName>
    <definedName name="_Sort" localSheetId="0" hidden="1">#REF!</definedName>
    <definedName name="_Sort" localSheetId="8" hidden="1">#REF!</definedName>
    <definedName name="_Sort" localSheetId="6" hidden="1">#REF!</definedName>
    <definedName name="_Sort" localSheetId="9" hidden="1">#REF!</definedName>
    <definedName name="_Sort" hidden="1">#REF!</definedName>
    <definedName name="a" localSheetId="0" hidden="1">#REF!</definedName>
    <definedName name="a" localSheetId="8" hidden="1">#REF!</definedName>
    <definedName name="a" localSheetId="6" hidden="1">#REF!</definedName>
    <definedName name="a" localSheetId="9" hidden="1">#REF!</definedName>
    <definedName name="a" hidden="1">#REF!</definedName>
    <definedName name="AAI">#REF!</definedName>
    <definedName name="ALGDED">#REF!</definedName>
    <definedName name="as" localSheetId="0" hidden="1">#REF!</definedName>
    <definedName name="as" localSheetId="8" hidden="1">#REF!</definedName>
    <definedName name="as" localSheetId="6" hidden="1">#REF!</definedName>
    <definedName name="as" localSheetId="9" hidden="1">#REF!</definedName>
    <definedName name="as" hidden="1">#REF!</definedName>
    <definedName name="AS2DocOpenMode" hidden="1">"AS2DocumentEdit"</definedName>
    <definedName name="AS2ReportLS" hidden="1">1</definedName>
    <definedName name="AS2StaticLS" localSheetId="0" hidden="1">#REF!</definedName>
    <definedName name="AS2StaticLS" localSheetId="8" hidden="1">#REF!</definedName>
    <definedName name="AS2StaticLS" localSheetId="6" hidden="1">#REF!</definedName>
    <definedName name="AS2StaticLS" localSheetId="9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localSheetId="8" hidden="1">#REF!</definedName>
    <definedName name="AS2TickmarkLS" localSheetId="6" hidden="1">#REF!</definedName>
    <definedName name="AS2TickmarkLS" localSheetId="9" hidden="1">#REF!</definedName>
    <definedName name="AS2TickmarkLS" hidden="1">#REF!</definedName>
    <definedName name="AS2VersionLS" hidden="1">300</definedName>
    <definedName name="balances" hidden="1">{#N/A,#N/A,FALSE,"Edificio"}</definedName>
    <definedName name="BALANZADIC">#REF!</definedName>
    <definedName name="BALANZADIC14">#REF!</definedName>
    <definedName name="BG_Del" hidden="1">15</definedName>
    <definedName name="BG_Ins" hidden="1">4</definedName>
    <definedName name="BG_Mod" hidden="1">6</definedName>
    <definedName name="BGDECL">#REF!</definedName>
    <definedName name="C.CENTERS" hidden="1">{#N/A,#N/A,TRUE,"ISSUES";#N/A,#N/A,TRUE,"PRFTSUM";#N/A,#N/A,TRUE,"PGSUM";#N/A,#N/A,TRUE,"MAGAG";#N/A,#N/A,TRUE,"HCSUM";#N/A,#N/A,TRUE,"NOC";#N/A,#N/A,TRUE,"STDSTD";#N/A,#N/A,TRUE,"STDSTDA";#N/A,#N/A,TRUE,"CIP";#N/A,#N/A,TRUE,"STDCHG";#N/A,#N/A,TRUE,"OPRDAYS";#N/A,#N/A,TRUE,"PLANT";#N/A,#N/A,TRUE,"BU Halogen";#N/A,#N/A,TRUE,"BU Halogen"}</definedName>
    <definedName name="CCF">#REF!</definedName>
    <definedName name="CONCILFISCAL" hidden="1">{#N/A,#N/A,FALSE,"Aging Summary";#N/A,#N/A,FALSE,"Ratio Analysis";#N/A,#N/A,FALSE,"Test 120 Day Accts";#N/A,#N/A,FALSE,"Tickmarks"}</definedName>
    <definedName name="dfsdf" hidden="1">{#N/A,#N/A,FALSE,"Edificio"}</definedName>
    <definedName name="EDI" localSheetId="0" hidden="1">#REF!</definedName>
    <definedName name="EDI" localSheetId="8" hidden="1">#REF!</definedName>
    <definedName name="EDI" localSheetId="6" hidden="1">#REF!</definedName>
    <definedName name="EDI" localSheetId="9" hidden="1">#REF!</definedName>
    <definedName name="EDI" hidden="1">#REF!</definedName>
    <definedName name="EJERCICIO">#REF!</definedName>
    <definedName name="ENERO16" localSheetId="0">#REF!</definedName>
    <definedName name="ENERO16" localSheetId="8">#REF!</definedName>
    <definedName name="ENERO16" localSheetId="6">#REF!</definedName>
    <definedName name="ENERO16" localSheetId="9">#REF!</definedName>
    <definedName name="ENERO16">#REF!</definedName>
    <definedName name="ERDECL">#REF!</definedName>
    <definedName name="HTML_CodePage" hidden="1">1252</definedName>
    <definedName name="HTML_Control" hidden="1">{"'Welcome'!$A$1:$J$27"}</definedName>
    <definedName name="HTML_Description" hidden="1">""</definedName>
    <definedName name="HTML_Email" hidden="1">""</definedName>
    <definedName name="HTML_Header" hidden="1">"Welcome"</definedName>
    <definedName name="HTML_LastUpdate" hidden="1">"3/20/98"</definedName>
    <definedName name="HTML_LineAfter" hidden="1">TRUE</definedName>
    <definedName name="HTML_LineBefore" hidden="1">TRUE</definedName>
    <definedName name="HTML_Name" hidden="1">"RM Sudario Viajar"</definedName>
    <definedName name="HTML_OBDlg2" hidden="1">TRUE</definedName>
    <definedName name="HTML_OBDlg4" hidden="1">TRUE</definedName>
    <definedName name="HTML_OS" hidden="1">0</definedName>
    <definedName name="HTML_PathFile" hidden="1">"F:\tax\MyHTML.htm"</definedName>
    <definedName name="HTML_Title" hidden="1">"tAXrPT"</definedName>
    <definedName name="inpc">#REF!</definedName>
    <definedName name="JCTechnology" hidden="1">{#N/A,#N/A,FALSE,"Aging Summary";#N/A,#N/A,FALSE,"Ratio Analysis";#N/A,#N/A,FALSE,"Test 120 Day Accts";#N/A,#N/A,FALSE,"Tickmarks"}</definedName>
    <definedName name="KLJ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list2" hidden="1">{"'Welcome'!$A$1:$J$27"}</definedName>
    <definedName name="mmm" hidden="1">{#N/A,#N/A,TRUE,"12 MO FFSP BY COST CENTER";#N/A,#N/A,TRUE,"P140 - April Forecast98";#N/A,#N/A,TRUE,"P130 April Forecast Lighting";#N/A,#N/A,TRUE,"P130 April Forecast Lamps";#N/A,#N/A,TRUE,"P130 April Forecast Auto";#N/A,#N/A,TRUE,"P130 April Forecast Halogen";#N/A,#N/A,TRUE,"P130 April Forecast CFL";#N/A,#N/A,TRUE,"Relevant Local Turnover";#N/A,#N/A,TRUE,"A12CC";#N/A,#N/A,TRUE,"A141"}</definedName>
    <definedName name="No_MES">#REF!</definedName>
    <definedName name="NombreRango1" localSheetId="0">#REF!</definedName>
    <definedName name="NombreRango1" localSheetId="8">#REF!</definedName>
    <definedName name="NombreRango1" localSheetId="6">#REF!</definedName>
    <definedName name="NombreRango1" localSheetId="9">#REF!</definedName>
    <definedName name="NombreRango1">#REF!</definedName>
    <definedName name="q" hidden="1">{#N/A,#N/A,FALSE,"Sheet1"}</definedName>
    <definedName name="sencount" hidden="1">1</definedName>
    <definedName name="SPCC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TextRefCopyRangeCount" hidden="1">1</definedName>
    <definedName name="VAC">#REF!</definedName>
    <definedName name="wrn.98._.PRESENTATION._.SCEDULES." hidden="1">{#N/A,#N/A,TRUE,"ISSUES";#N/A,#N/A,TRUE,"PRFTSUM";#N/A,#N/A,TRUE,"PGSUM";#N/A,#N/A,TRUE,"MAGAG";#N/A,#N/A,TRUE,"HCSUM";#N/A,#N/A,TRUE,"NOC";#N/A,#N/A,TRUE,"STDSTD";#N/A,#N/A,TRUE,"STDSTDA";#N/A,#N/A,TRUE,"CIP";#N/A,#N/A,TRUE,"STDCHG";#N/A,#N/A,TRUE,"OPRDAYS";#N/A,#N/A,TRUE,"PLANT";#N/A,#N/A,TRUE,"BU Halogen";#N/A,#N/A,TRUE,"BU Halogen"}</definedName>
    <definedName name="wrn.Aging._.and._.Trend._.Analysis." hidden="1">{#N/A,#N/A,FALSE,"Aging Summary";#N/A,#N/A,FALSE,"Ratio Analysis";#N/A,#N/A,FALSE,"Test 120 Day Accts";#N/A,#N/A,FALSE,"Tickmarks"}</definedName>
    <definedName name="wrn.April._.Forecast._.1998." hidden="1">{#N/A,#N/A,TRUE,"12 MO FFSP BY COST CENTER";#N/A,#N/A,TRUE,"P140 - April Forecast98";#N/A,#N/A,TRUE,"P130 April Forecast Lighting";#N/A,#N/A,TRUE,"P130 April Forecast Lamps";#N/A,#N/A,TRUE,"P130 April Forecast Auto";#N/A,#N/A,TRUE,"P130 April Forecast Halogen";#N/A,#N/A,TRUE,"P130 April Forecast CFL";#N/A,#N/A,TRUE,"Relevant Local Turnover";#N/A,#N/A,TRUE,"A12CC";#N/A,#N/A,TRUE,"A141"}</definedName>
    <definedName name="wrn.April._.Forecast98._.Summary." hidden="1">{#N/A,#N/A,FALSE,"Summary";#N/A,#N/A,FALSE,"12 MO FFSP BY COST CENTER";#N/A,#N/A,FALSE,"P140 - April Forecast98";#N/A,#N/A,FALSE,"P130 April Forecast Lighting";#N/A,#N/A,FALSE,"P130 April Forecast Lamps";#N/A,#N/A,FALSE,"P130 April Forecast Auto";#N/A,#N/A,FALSE,"Relevant Local Turnover";#N/A,#N/A,FALSE,"A141"}</definedName>
    <definedName name="wrn.conservador._.fresco." hidden="1">{#N/A,#N/A,FALSE,"Sheet1"}</definedName>
    <definedName name="wrn.edificio." hidden="1">{#N/A,#N/A,FALSE,"Edificio"}</definedName>
    <definedName name="wrn.rona.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wrn.schd13." hidden="1">{#N/A,#N/A,TRUE,"PLANT";#N/A,#N/A,TRUE,"BG 9011 Lamps";#N/A,#N/A,TRUE,"BG 9013 Automotive";#N/A,#N/A,TRUE,"Components"}</definedName>
    <definedName name="wrn.STANDARD." hidden="1">{#N/A,#N/A,FALSE,"SCHEDULE 7";#N/A,#N/A,FALSE,"BL-7.1"}</definedName>
    <definedName name="wrn.summary." hidden="1">{#N/A,#N/A,FALSE,"summary";#N/A,#N/A,FALSE,"COMBINED";#N/A,#N/A,FALSE,"JUAREZ";#N/A,#N/A,FALSE,"EL PASO";#N/A,#N/A,FALSE,"97vs.98"}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4" i="124" l="1"/>
  <c r="Q155" i="68"/>
  <c r="V154" i="68"/>
  <c r="V154" i="87"/>
  <c r="AJ171" i="174"/>
  <c r="AI171" i="174"/>
  <c r="AH171" i="174"/>
  <c r="AG171" i="174"/>
  <c r="AF171" i="174"/>
  <c r="AE171" i="174"/>
  <c r="AD171" i="174"/>
  <c r="AC171" i="174"/>
  <c r="AB171" i="174"/>
  <c r="AA171" i="174"/>
  <c r="Z171" i="174"/>
  <c r="Y171" i="174"/>
  <c r="AJ163" i="174"/>
  <c r="AI163" i="174"/>
  <c r="AH163" i="174"/>
  <c r="AG163" i="174"/>
  <c r="AF163" i="174"/>
  <c r="AE163" i="174"/>
  <c r="AD163" i="174"/>
  <c r="AC163" i="174"/>
  <c r="AB163" i="174"/>
  <c r="AA163" i="174"/>
  <c r="Z163" i="174"/>
  <c r="Y163" i="174"/>
  <c r="T180" i="174"/>
  <c r="U180" i="174" s="1"/>
  <c r="U53" i="124"/>
  <c r="X90" i="174"/>
  <c r="X91" i="174"/>
  <c r="X92" i="174"/>
  <c r="X93" i="174"/>
  <c r="X94" i="174"/>
  <c r="X95" i="174"/>
  <c r="X96" i="174"/>
  <c r="X97" i="174"/>
  <c r="X98" i="174"/>
  <c r="X99" i="174"/>
  <c r="X100" i="174"/>
  <c r="X101" i="174"/>
  <c r="X102" i="174"/>
  <c r="X103" i="174"/>
  <c r="X104" i="174"/>
  <c r="X105" i="174"/>
  <c r="X106" i="174"/>
  <c r="AJ154" i="174"/>
  <c r="AI154" i="174"/>
  <c r="AH154" i="174"/>
  <c r="AG154" i="174"/>
  <c r="AF154" i="174"/>
  <c r="AE154" i="174"/>
  <c r="AD154" i="174"/>
  <c r="AC154" i="174"/>
  <c r="AB154" i="174"/>
  <c r="AA154" i="174"/>
  <c r="Z154" i="174"/>
  <c r="Y154" i="174"/>
  <c r="V154" i="174"/>
  <c r="AJ364" i="174"/>
  <c r="AI364" i="174"/>
  <c r="AH364" i="174"/>
  <c r="AG364" i="174"/>
  <c r="AF364" i="174"/>
  <c r="AE364" i="174"/>
  <c r="AD364" i="174"/>
  <c r="AC364" i="174"/>
  <c r="AB364" i="174"/>
  <c r="AA364" i="174"/>
  <c r="Z364" i="174"/>
  <c r="Y364" i="174"/>
  <c r="AJ362" i="174"/>
  <c r="AI362" i="174"/>
  <c r="AH362" i="174"/>
  <c r="AG362" i="174"/>
  <c r="AF362" i="174"/>
  <c r="AE362" i="174"/>
  <c r="AD362" i="174"/>
  <c r="AC362" i="174"/>
  <c r="AB362" i="174"/>
  <c r="AA362" i="174"/>
  <c r="Z362" i="174"/>
  <c r="Y362" i="174"/>
  <c r="AJ361" i="174"/>
  <c r="AI361" i="174"/>
  <c r="AH361" i="174"/>
  <c r="AG361" i="174"/>
  <c r="AF361" i="174"/>
  <c r="AE361" i="174"/>
  <c r="AD361" i="174"/>
  <c r="AC361" i="174"/>
  <c r="AB361" i="174"/>
  <c r="AA361" i="174"/>
  <c r="Z361" i="174"/>
  <c r="Y361" i="174"/>
  <c r="AJ360" i="174"/>
  <c r="AI360" i="174"/>
  <c r="AH360" i="174"/>
  <c r="AG360" i="174"/>
  <c r="AF360" i="174"/>
  <c r="AE360" i="174"/>
  <c r="AD360" i="174"/>
  <c r="AC360" i="174"/>
  <c r="AB360" i="174"/>
  <c r="AA360" i="174"/>
  <c r="Z360" i="174"/>
  <c r="Y360" i="174"/>
  <c r="AJ357" i="174"/>
  <c r="AI357" i="174"/>
  <c r="AH357" i="174"/>
  <c r="AG357" i="174"/>
  <c r="AF357" i="174"/>
  <c r="AE357" i="174"/>
  <c r="AD357" i="174"/>
  <c r="AC357" i="174"/>
  <c r="AB357" i="174"/>
  <c r="AA357" i="174"/>
  <c r="Z357" i="174"/>
  <c r="Y357" i="174"/>
  <c r="AJ356" i="174"/>
  <c r="AI356" i="174"/>
  <c r="AH356" i="174"/>
  <c r="AG356" i="174"/>
  <c r="AF356" i="174"/>
  <c r="AE356" i="174"/>
  <c r="AD356" i="174"/>
  <c r="AC356" i="174"/>
  <c r="AB356" i="174"/>
  <c r="AA356" i="174"/>
  <c r="Z356" i="174"/>
  <c r="Y356" i="174"/>
  <c r="AJ355" i="174"/>
  <c r="AI355" i="174"/>
  <c r="AH355" i="174"/>
  <c r="AG355" i="174"/>
  <c r="AF355" i="174"/>
  <c r="AE355" i="174"/>
  <c r="AD355" i="174"/>
  <c r="AC355" i="174"/>
  <c r="AB355" i="174"/>
  <c r="AA355" i="174"/>
  <c r="Z355" i="174"/>
  <c r="Y355" i="174"/>
  <c r="AJ354" i="174"/>
  <c r="AI354" i="174"/>
  <c r="AH354" i="174"/>
  <c r="AG354" i="174"/>
  <c r="AF354" i="174"/>
  <c r="AE354" i="174"/>
  <c r="AD354" i="174"/>
  <c r="AC354" i="174"/>
  <c r="AB354" i="174"/>
  <c r="AA354" i="174"/>
  <c r="Z354" i="174"/>
  <c r="Y354" i="174"/>
  <c r="AJ353" i="174"/>
  <c r="AI353" i="174"/>
  <c r="AH353" i="174"/>
  <c r="AG353" i="174"/>
  <c r="AF353" i="174"/>
  <c r="AE353" i="174"/>
  <c r="AD353" i="174"/>
  <c r="AC353" i="174"/>
  <c r="AB353" i="174"/>
  <c r="AA353" i="174"/>
  <c r="Z353" i="174"/>
  <c r="Y353" i="174"/>
  <c r="AJ352" i="174"/>
  <c r="AI352" i="174"/>
  <c r="AH352" i="174"/>
  <c r="AG352" i="174"/>
  <c r="AF352" i="174"/>
  <c r="AE352" i="174"/>
  <c r="AD352" i="174"/>
  <c r="AC352" i="174"/>
  <c r="AB352" i="174"/>
  <c r="AA352" i="174"/>
  <c r="Z352" i="174"/>
  <c r="Y352" i="174"/>
  <c r="AJ351" i="174"/>
  <c r="AI351" i="174"/>
  <c r="AH351" i="174"/>
  <c r="AG351" i="174"/>
  <c r="AF351" i="174"/>
  <c r="AE351" i="174"/>
  <c r="AD351" i="174"/>
  <c r="AC351" i="174"/>
  <c r="AB351" i="174"/>
  <c r="AA351" i="174"/>
  <c r="Z351" i="174"/>
  <c r="Y351" i="174"/>
  <c r="AJ350" i="174"/>
  <c r="AI350" i="174"/>
  <c r="AH350" i="174"/>
  <c r="AG350" i="174"/>
  <c r="AF350" i="174"/>
  <c r="AE350" i="174"/>
  <c r="AD350" i="174"/>
  <c r="AC350" i="174"/>
  <c r="AB350" i="174"/>
  <c r="AA350" i="174"/>
  <c r="Z350" i="174"/>
  <c r="Y350" i="174"/>
  <c r="AJ349" i="174"/>
  <c r="AI349" i="174"/>
  <c r="AH349" i="174"/>
  <c r="AG349" i="174"/>
  <c r="AF349" i="174"/>
  <c r="AE349" i="174"/>
  <c r="AD349" i="174"/>
  <c r="AC349" i="174"/>
  <c r="AB349" i="174"/>
  <c r="AA349" i="174"/>
  <c r="Z349" i="174"/>
  <c r="Y349" i="174"/>
  <c r="AJ348" i="174"/>
  <c r="AI348" i="174"/>
  <c r="AH348" i="174"/>
  <c r="AG348" i="174"/>
  <c r="AF348" i="174"/>
  <c r="AE348" i="174"/>
  <c r="AD348" i="174"/>
  <c r="AC348" i="174"/>
  <c r="AB348" i="174"/>
  <c r="AA348" i="174"/>
  <c r="Z348" i="174"/>
  <c r="Y348" i="174"/>
  <c r="AJ347" i="174"/>
  <c r="AI347" i="174"/>
  <c r="AH347" i="174"/>
  <c r="AG347" i="174"/>
  <c r="AF347" i="174"/>
  <c r="AE347" i="174"/>
  <c r="AD347" i="174"/>
  <c r="AC347" i="174"/>
  <c r="AB347" i="174"/>
  <c r="AA347" i="174"/>
  <c r="Z347" i="174"/>
  <c r="Y347" i="174"/>
  <c r="AJ346" i="174"/>
  <c r="AI346" i="174"/>
  <c r="AH346" i="174"/>
  <c r="AG346" i="174"/>
  <c r="AF346" i="174"/>
  <c r="AE346" i="174"/>
  <c r="AD346" i="174"/>
  <c r="AC346" i="174"/>
  <c r="AB346" i="174"/>
  <c r="AA346" i="174"/>
  <c r="Z346" i="174"/>
  <c r="Y346" i="174"/>
  <c r="AJ345" i="174"/>
  <c r="AI345" i="174"/>
  <c r="AH345" i="174"/>
  <c r="AG345" i="174"/>
  <c r="AF345" i="174"/>
  <c r="AE345" i="174"/>
  <c r="AD345" i="174"/>
  <c r="AC345" i="174"/>
  <c r="AB345" i="174"/>
  <c r="AA345" i="174"/>
  <c r="Z345" i="174"/>
  <c r="Y345" i="174"/>
  <c r="AJ344" i="174"/>
  <c r="AI344" i="174"/>
  <c r="AH344" i="174"/>
  <c r="AG344" i="174"/>
  <c r="AF344" i="174"/>
  <c r="AE344" i="174"/>
  <c r="AD344" i="174"/>
  <c r="AC344" i="174"/>
  <c r="AB344" i="174"/>
  <c r="AA344" i="174"/>
  <c r="Z344" i="174"/>
  <c r="Y344" i="174"/>
  <c r="V207" i="174"/>
  <c r="V206" i="174"/>
  <c r="V210" i="174"/>
  <c r="V209" i="174"/>
  <c r="V208" i="174"/>
  <c r="V211" i="174"/>
  <c r="V205" i="174"/>
  <c r="V204" i="174"/>
  <c r="V203" i="174"/>
  <c r="V202" i="174"/>
  <c r="V201" i="174"/>
  <c r="V200" i="174"/>
  <c r="V199" i="174"/>
  <c r="V198" i="174"/>
  <c r="V197" i="174"/>
  <c r="V196" i="174"/>
  <c r="V195" i="174"/>
  <c r="V194" i="174"/>
  <c r="V193" i="174"/>
  <c r="V192" i="174"/>
  <c r="V191" i="174"/>
  <c r="V190" i="174"/>
  <c r="V188" i="174"/>
  <c r="V187" i="174"/>
  <c r="V186" i="174"/>
  <c r="V185" i="174"/>
  <c r="V184" i="174"/>
  <c r="V182" i="174"/>
  <c r="V181" i="174"/>
  <c r="V180" i="174"/>
  <c r="V179" i="174"/>
  <c r="V178" i="174"/>
  <c r="V177" i="174"/>
  <c r="V176" i="174"/>
  <c r="V174" i="174"/>
  <c r="V173" i="174"/>
  <c r="V172" i="174"/>
  <c r="V171" i="174"/>
  <c r="V175" i="174"/>
  <c r="V170" i="174"/>
  <c r="V169" i="174"/>
  <c r="V168" i="174"/>
  <c r="V167" i="174"/>
  <c r="V166" i="174"/>
  <c r="V165" i="174"/>
  <c r="T112" i="124"/>
  <c r="U112" i="124"/>
  <c r="T112" i="174"/>
  <c r="U112" i="174"/>
  <c r="X120" i="174"/>
  <c r="Y51" i="68"/>
  <c r="Y51" i="87"/>
  <c r="Y110" i="87"/>
  <c r="Y109" i="87"/>
  <c r="Y108" i="87"/>
  <c r="Y107" i="87"/>
  <c r="R159" i="87"/>
  <c r="U39" i="68"/>
  <c r="T39" i="68"/>
  <c r="T39" i="87"/>
  <c r="U39" i="87"/>
  <c r="Y92" i="87"/>
  <c r="Y93" i="87"/>
  <c r="Y94" i="87"/>
  <c r="Y95" i="87"/>
  <c r="Y96" i="87"/>
  <c r="Y97" i="87"/>
  <c r="Y98" i="87"/>
  <c r="Y99" i="87"/>
  <c r="Y100" i="87"/>
  <c r="Y101" i="87"/>
  <c r="Y102" i="87"/>
  <c r="Y103" i="87"/>
  <c r="Y104" i="87"/>
  <c r="Y105" i="87"/>
  <c r="Y91" i="87"/>
  <c r="Q46" i="87"/>
  <c r="Q45" i="87"/>
  <c r="Q44" i="87"/>
  <c r="Q43" i="87"/>
  <c r="Q45" i="68"/>
  <c r="Q44" i="68"/>
  <c r="Q33" i="68"/>
  <c r="Q43" i="68" s="1"/>
  <c r="U111" i="68"/>
  <c r="T111" i="68"/>
  <c r="Q90" i="87"/>
  <c r="Q106" i="87"/>
  <c r="U111" i="87"/>
  <c r="T111" i="87"/>
  <c r="Q111" i="87"/>
  <c r="Q147" i="87"/>
  <c r="Q155" i="87"/>
  <c r="Y92" i="68"/>
  <c r="Y93" i="68"/>
  <c r="Y94" i="68"/>
  <c r="Y95" i="68"/>
  <c r="Y96" i="68"/>
  <c r="Y97" i="68"/>
  <c r="Y98" i="68"/>
  <c r="Y99" i="68"/>
  <c r="Y100" i="68"/>
  <c r="Y101" i="68"/>
  <c r="Y102" i="68"/>
  <c r="Y103" i="68"/>
  <c r="Y104" i="68"/>
  <c r="Y105" i="68"/>
  <c r="Y107" i="68"/>
  <c r="Y108" i="68"/>
  <c r="Y109" i="68"/>
  <c r="Y110" i="68"/>
  <c r="Y91" i="68"/>
  <c r="T76" i="124"/>
  <c r="AK373" i="174"/>
  <c r="AK372" i="174"/>
  <c r="AK371" i="174"/>
  <c r="AK370" i="174"/>
  <c r="AK369" i="174"/>
  <c r="AK368" i="174"/>
  <c r="AK367" i="174"/>
  <c r="AK366" i="174"/>
  <c r="AK364" i="174"/>
  <c r="AK363" i="174"/>
  <c r="AK362" i="174"/>
  <c r="AK361" i="174"/>
  <c r="AK360" i="174"/>
  <c r="AK359" i="174"/>
  <c r="AK357" i="174"/>
  <c r="AK356" i="174"/>
  <c r="AK355" i="174"/>
  <c r="AK354" i="174"/>
  <c r="AK353" i="174"/>
  <c r="AK352" i="174"/>
  <c r="AK351" i="174"/>
  <c r="AK350" i="174"/>
  <c r="AK349" i="174"/>
  <c r="AK348" i="174"/>
  <c r="AK347" i="174"/>
  <c r="AK346" i="174"/>
  <c r="AK345" i="174"/>
  <c r="AK344" i="174"/>
  <c r="AK343" i="174"/>
  <c r="AJ343" i="174"/>
  <c r="AI343" i="174"/>
  <c r="AH343" i="174"/>
  <c r="AG343" i="174"/>
  <c r="AF343" i="174"/>
  <c r="AE343" i="174"/>
  <c r="AD343" i="174"/>
  <c r="AC343" i="174"/>
  <c r="AB343" i="174"/>
  <c r="AA343" i="174"/>
  <c r="Z343" i="174"/>
  <c r="Y343" i="174"/>
  <c r="V373" i="174"/>
  <c r="V372" i="174"/>
  <c r="V371" i="174"/>
  <c r="V370" i="174"/>
  <c r="V369" i="174"/>
  <c r="V368" i="174"/>
  <c r="V367" i="174"/>
  <c r="V366" i="174" s="1"/>
  <c r="V364" i="174"/>
  <c r="V363" i="174"/>
  <c r="V362" i="174"/>
  <c r="V361" i="174"/>
  <c r="V360" i="174"/>
  <c r="V359" i="174" s="1"/>
  <c r="U343" i="174"/>
  <c r="T343" i="174"/>
  <c r="S343" i="174"/>
  <c r="R343" i="174"/>
  <c r="Q343" i="174"/>
  <c r="P343" i="174"/>
  <c r="O343" i="174"/>
  <c r="N343" i="174"/>
  <c r="M343" i="174"/>
  <c r="L343" i="174"/>
  <c r="K343" i="174"/>
  <c r="J343" i="174"/>
  <c r="V357" i="174"/>
  <c r="V356" i="174"/>
  <c r="V355" i="174"/>
  <c r="V354" i="174"/>
  <c r="V353" i="174"/>
  <c r="V352" i="174"/>
  <c r="V351" i="174"/>
  <c r="V350" i="174"/>
  <c r="V349" i="174"/>
  <c r="V348" i="174"/>
  <c r="V347" i="174"/>
  <c r="V346" i="174"/>
  <c r="V345" i="174"/>
  <c r="V344" i="174"/>
  <c r="V343" i="174" s="1"/>
  <c r="AK30" i="175"/>
  <c r="V30" i="175"/>
  <c r="AK29" i="175"/>
  <c r="V29" i="175"/>
  <c r="AJ169" i="175"/>
  <c r="AJ170" i="174" s="1"/>
  <c r="AI169" i="175"/>
  <c r="AI170" i="174" s="1"/>
  <c r="AH169" i="175"/>
  <c r="AH170" i="174" s="1"/>
  <c r="AG169" i="175"/>
  <c r="AG170" i="174" s="1"/>
  <c r="AF169" i="175"/>
  <c r="AF170" i="174" s="1"/>
  <c r="AE169" i="175"/>
  <c r="AE170" i="174" s="1"/>
  <c r="AD169" i="175"/>
  <c r="AD170" i="174" s="1"/>
  <c r="AC169" i="175"/>
  <c r="AC170" i="174" s="1"/>
  <c r="AB169" i="175"/>
  <c r="AB170" i="174" s="1"/>
  <c r="AA169" i="175"/>
  <c r="AA170" i="174" s="1"/>
  <c r="Z169" i="175"/>
  <c r="Z170" i="174" s="1"/>
  <c r="Y169" i="175"/>
  <c r="Y170" i="174" s="1"/>
  <c r="AK354" i="175"/>
  <c r="V354" i="175"/>
  <c r="AK330" i="175"/>
  <c r="V330" i="175"/>
  <c r="AK329" i="175"/>
  <c r="V329" i="175"/>
  <c r="AK328" i="175"/>
  <c r="V328" i="175"/>
  <c r="AK327" i="175"/>
  <c r="V327" i="175"/>
  <c r="AK326" i="175"/>
  <c r="V326" i="175"/>
  <c r="AK325" i="175"/>
  <c r="V325" i="175"/>
  <c r="AK324" i="175"/>
  <c r="V324" i="175"/>
  <c r="AK323" i="175"/>
  <c r="V323" i="175"/>
  <c r="AK322" i="175"/>
  <c r="V322" i="175"/>
  <c r="AK321" i="175"/>
  <c r="AJ321" i="175"/>
  <c r="AI321" i="175"/>
  <c r="AH321" i="175"/>
  <c r="AG321" i="175"/>
  <c r="AF321" i="175"/>
  <c r="AE321" i="175"/>
  <c r="AD321" i="175"/>
  <c r="AC321" i="175"/>
  <c r="AB321" i="175"/>
  <c r="AA321" i="175"/>
  <c r="Z321" i="175"/>
  <c r="Y321" i="175"/>
  <c r="V321" i="175"/>
  <c r="AK313" i="175"/>
  <c r="V313" i="175"/>
  <c r="AK312" i="175"/>
  <c r="V312" i="175"/>
  <c r="AK311" i="175"/>
  <c r="V311" i="175"/>
  <c r="AK310" i="175"/>
  <c r="V310" i="175"/>
  <c r="AK309" i="175"/>
  <c r="V309" i="175"/>
  <c r="AK308" i="175"/>
  <c r="V308" i="175"/>
  <c r="AK307" i="175"/>
  <c r="V307" i="175"/>
  <c r="AK306" i="175"/>
  <c r="V306" i="175"/>
  <c r="AK305" i="175"/>
  <c r="V305" i="175"/>
  <c r="AK304" i="175"/>
  <c r="V304" i="175"/>
  <c r="AK303" i="175"/>
  <c r="V303" i="175"/>
  <c r="AK302" i="175"/>
  <c r="V302" i="175"/>
  <c r="AK301" i="175"/>
  <c r="V301" i="175"/>
  <c r="AK300" i="175"/>
  <c r="V300" i="175"/>
  <c r="AK299" i="175"/>
  <c r="V299" i="175"/>
  <c r="AK298" i="175"/>
  <c r="V298" i="175"/>
  <c r="AK297" i="175"/>
  <c r="V297" i="175"/>
  <c r="AK296" i="175"/>
  <c r="V296" i="175"/>
  <c r="AK295" i="175"/>
  <c r="V295" i="175"/>
  <c r="AK294" i="175"/>
  <c r="AJ294" i="175"/>
  <c r="AI294" i="175"/>
  <c r="AH294" i="175"/>
  <c r="AG294" i="175"/>
  <c r="AF294" i="175"/>
  <c r="AE294" i="175"/>
  <c r="AD294" i="175"/>
  <c r="AC294" i="175"/>
  <c r="AB294" i="175"/>
  <c r="AA294" i="175"/>
  <c r="Z294" i="175"/>
  <c r="Y294" i="175"/>
  <c r="V294" i="175"/>
  <c r="AK288" i="175"/>
  <c r="V288" i="175"/>
  <c r="AK287" i="175"/>
  <c r="V287" i="175"/>
  <c r="AK286" i="175"/>
  <c r="V286" i="175"/>
  <c r="AK285" i="175"/>
  <c r="V285" i="175"/>
  <c r="AK284" i="175"/>
  <c r="V284" i="175"/>
  <c r="AK283" i="175"/>
  <c r="V283" i="175"/>
  <c r="AK282" i="175"/>
  <c r="AJ282" i="175"/>
  <c r="AI282" i="175"/>
  <c r="AH282" i="175"/>
  <c r="AG282" i="175"/>
  <c r="AF282" i="175"/>
  <c r="AE282" i="175"/>
  <c r="AD282" i="175"/>
  <c r="AC282" i="175"/>
  <c r="AB282" i="175"/>
  <c r="AA282" i="175"/>
  <c r="Z282" i="175"/>
  <c r="Y282" i="175"/>
  <c r="V282" i="175"/>
  <c r="AK280" i="175"/>
  <c r="V280" i="175"/>
  <c r="AK278" i="175"/>
  <c r="V278" i="175"/>
  <c r="AK277" i="175"/>
  <c r="V277" i="175"/>
  <c r="AK276" i="175"/>
  <c r="V276" i="175"/>
  <c r="AK275" i="175"/>
  <c r="AJ275" i="175"/>
  <c r="AI275" i="175"/>
  <c r="AH275" i="175"/>
  <c r="AG275" i="175"/>
  <c r="AF275" i="175"/>
  <c r="AE275" i="175"/>
  <c r="AD275" i="175"/>
  <c r="AC275" i="175"/>
  <c r="AB275" i="175"/>
  <c r="AA275" i="175"/>
  <c r="Z275" i="175"/>
  <c r="Y275" i="175"/>
  <c r="V275" i="175"/>
  <c r="AK267" i="175"/>
  <c r="V267" i="175"/>
  <c r="AK265" i="175"/>
  <c r="V265" i="175"/>
  <c r="AK261" i="175"/>
  <c r="V261" i="175"/>
  <c r="AK260" i="175"/>
  <c r="AJ260" i="175"/>
  <c r="AI260" i="175"/>
  <c r="AH260" i="175"/>
  <c r="AG260" i="175"/>
  <c r="AF260" i="175"/>
  <c r="AE260" i="175"/>
  <c r="AD260" i="175"/>
  <c r="AC260" i="175"/>
  <c r="AB260" i="175"/>
  <c r="AA260" i="175"/>
  <c r="Z260" i="175"/>
  <c r="Y260" i="175"/>
  <c r="V260" i="175"/>
  <c r="AJ256" i="175"/>
  <c r="AI256" i="175"/>
  <c r="AH256" i="175"/>
  <c r="AG256" i="175"/>
  <c r="AF256" i="175"/>
  <c r="AE256" i="175"/>
  <c r="AD256" i="175"/>
  <c r="AC256" i="175"/>
  <c r="AB256" i="175"/>
  <c r="AA256" i="175"/>
  <c r="Z256" i="175"/>
  <c r="Y256" i="175"/>
  <c r="AK249" i="175"/>
  <c r="V249" i="175"/>
  <c r="AK248" i="175"/>
  <c r="V248" i="175"/>
  <c r="AK247" i="175"/>
  <c r="V247" i="175"/>
  <c r="AK246" i="175"/>
  <c r="V246" i="175"/>
  <c r="AK245" i="175"/>
  <c r="V245" i="175"/>
  <c r="AK244" i="175"/>
  <c r="V244" i="175"/>
  <c r="AK243" i="175"/>
  <c r="AJ243" i="175"/>
  <c r="AI243" i="175"/>
  <c r="AH243" i="175"/>
  <c r="AG243" i="175"/>
  <c r="AF243" i="175"/>
  <c r="AE243" i="175"/>
  <c r="AD243" i="175"/>
  <c r="AC243" i="175"/>
  <c r="AB243" i="175"/>
  <c r="AA243" i="175"/>
  <c r="Z243" i="175"/>
  <c r="Y243" i="175"/>
  <c r="V243" i="175"/>
  <c r="AK242" i="175"/>
  <c r="V242" i="175"/>
  <c r="AK241" i="175"/>
  <c r="V241" i="175"/>
  <c r="AK240" i="175"/>
  <c r="V240" i="175"/>
  <c r="AK239" i="175"/>
  <c r="V239" i="175"/>
  <c r="AK238" i="175"/>
  <c r="V238" i="175"/>
  <c r="AK237" i="175"/>
  <c r="V237" i="175"/>
  <c r="AK236" i="175"/>
  <c r="V236" i="175"/>
  <c r="AK235" i="175"/>
  <c r="V235" i="175"/>
  <c r="AK234" i="175"/>
  <c r="V234" i="175"/>
  <c r="AK233" i="175"/>
  <c r="AJ233" i="175"/>
  <c r="AI233" i="175"/>
  <c r="AH233" i="175"/>
  <c r="AG233" i="175"/>
  <c r="AF233" i="175"/>
  <c r="AE233" i="175"/>
  <c r="AD233" i="175"/>
  <c r="AC233" i="175"/>
  <c r="AB233" i="175"/>
  <c r="AA233" i="175"/>
  <c r="Z233" i="175"/>
  <c r="Y233" i="175"/>
  <c r="V233" i="175"/>
  <c r="AK232" i="175"/>
  <c r="V232" i="175"/>
  <c r="AK231" i="175"/>
  <c r="V231" i="175"/>
  <c r="AK230" i="175"/>
  <c r="V230" i="175"/>
  <c r="AK229" i="175"/>
  <c r="V229" i="175"/>
  <c r="AK228" i="175"/>
  <c r="AJ228" i="175"/>
  <c r="AI228" i="175"/>
  <c r="AH228" i="175"/>
  <c r="AG228" i="175"/>
  <c r="AF228" i="175"/>
  <c r="AE228" i="175"/>
  <c r="AD228" i="175"/>
  <c r="AC228" i="175"/>
  <c r="AB228" i="175"/>
  <c r="AA228" i="175"/>
  <c r="Z228" i="175"/>
  <c r="Y228" i="175"/>
  <c r="V228" i="175"/>
  <c r="AK227" i="175"/>
  <c r="V227" i="175"/>
  <c r="AK226" i="175"/>
  <c r="V226" i="175"/>
  <c r="AK225" i="175"/>
  <c r="V225" i="175"/>
  <c r="AK224" i="175"/>
  <c r="V224" i="175"/>
  <c r="AK223" i="175"/>
  <c r="V223" i="175"/>
  <c r="AK222" i="175"/>
  <c r="V222" i="175"/>
  <c r="AK221" i="175"/>
  <c r="V221" i="175"/>
  <c r="AK220" i="175"/>
  <c r="V220" i="175"/>
  <c r="AK219" i="175"/>
  <c r="V219" i="175"/>
  <c r="AK218" i="175"/>
  <c r="V218" i="175"/>
  <c r="AK217" i="175"/>
  <c r="V217" i="175"/>
  <c r="AK216" i="175"/>
  <c r="V216" i="175"/>
  <c r="AK215" i="175"/>
  <c r="V215" i="175"/>
  <c r="AK214" i="175"/>
  <c r="V214" i="175"/>
  <c r="AK213" i="175"/>
  <c r="V213" i="175"/>
  <c r="AK212" i="175"/>
  <c r="V212" i="175"/>
  <c r="AK211" i="175"/>
  <c r="AJ211" i="175"/>
  <c r="AI211" i="175"/>
  <c r="AH211" i="175"/>
  <c r="AG211" i="175"/>
  <c r="AF211" i="175"/>
  <c r="AE211" i="175"/>
  <c r="AD211" i="175"/>
  <c r="AC211" i="175"/>
  <c r="AB211" i="175"/>
  <c r="AA211" i="175"/>
  <c r="Z211" i="175"/>
  <c r="Y211" i="175"/>
  <c r="V211" i="175"/>
  <c r="AK210" i="175"/>
  <c r="V210" i="175"/>
  <c r="AK209" i="175"/>
  <c r="V209" i="175"/>
  <c r="AK208" i="175"/>
  <c r="V208" i="175"/>
  <c r="AK207" i="175"/>
  <c r="V207" i="175"/>
  <c r="AK206" i="175"/>
  <c r="V206" i="175"/>
  <c r="AK205" i="175"/>
  <c r="V205" i="175"/>
  <c r="AK204" i="175"/>
  <c r="V204" i="175"/>
  <c r="AK203" i="175"/>
  <c r="V203" i="175"/>
  <c r="AK202" i="175"/>
  <c r="V202" i="175"/>
  <c r="AK201" i="175"/>
  <c r="V201" i="175"/>
  <c r="AK200" i="175"/>
  <c r="V200" i="175"/>
  <c r="AK199" i="175"/>
  <c r="V199" i="175"/>
  <c r="AK198" i="175"/>
  <c r="V198" i="175"/>
  <c r="AK197" i="175"/>
  <c r="V197" i="175"/>
  <c r="AK196" i="175"/>
  <c r="V196" i="175"/>
  <c r="AK195" i="175"/>
  <c r="V195" i="175"/>
  <c r="AK194" i="175"/>
  <c r="V194" i="175"/>
  <c r="AK193" i="175"/>
  <c r="V193" i="175"/>
  <c r="AK192" i="175"/>
  <c r="V192" i="175"/>
  <c r="AK191" i="175"/>
  <c r="V191" i="175"/>
  <c r="AK190" i="175"/>
  <c r="V190" i="175"/>
  <c r="AK189" i="175"/>
  <c r="V189" i="175"/>
  <c r="AK188" i="175"/>
  <c r="V188" i="175"/>
  <c r="AK187" i="175"/>
  <c r="V187" i="175"/>
  <c r="AK186" i="175"/>
  <c r="V186" i="175"/>
  <c r="AK185" i="175"/>
  <c r="V185" i="175"/>
  <c r="AK184" i="175"/>
  <c r="V184" i="175"/>
  <c r="AK183" i="175"/>
  <c r="V183" i="175"/>
  <c r="AK182" i="175"/>
  <c r="V182" i="175"/>
  <c r="AK181" i="175"/>
  <c r="V181" i="175"/>
  <c r="AK180" i="175"/>
  <c r="V180" i="175"/>
  <c r="AK179" i="175"/>
  <c r="V179" i="175"/>
  <c r="AK178" i="175"/>
  <c r="V178" i="175"/>
  <c r="AK177" i="175"/>
  <c r="V177" i="175"/>
  <c r="AK176" i="175"/>
  <c r="V176" i="175"/>
  <c r="AK175" i="175"/>
  <c r="V175" i="175"/>
  <c r="AK174" i="175"/>
  <c r="V174" i="175"/>
  <c r="AK173" i="175"/>
  <c r="V173" i="175"/>
  <c r="AK172" i="175"/>
  <c r="V172" i="175"/>
  <c r="AK171" i="175"/>
  <c r="V171" i="175"/>
  <c r="AK170" i="175"/>
  <c r="V170" i="175"/>
  <c r="AK169" i="175"/>
  <c r="V169" i="175"/>
  <c r="AK168" i="175"/>
  <c r="V168" i="175"/>
  <c r="AK167" i="175"/>
  <c r="V167" i="175"/>
  <c r="AK166" i="175"/>
  <c r="V166" i="175"/>
  <c r="AK165" i="175"/>
  <c r="V165" i="175"/>
  <c r="AK164" i="175"/>
  <c r="V164" i="175"/>
  <c r="AK163" i="175"/>
  <c r="V163" i="175"/>
  <c r="AK162" i="175"/>
  <c r="V162" i="175"/>
  <c r="AK161" i="175"/>
  <c r="AJ161" i="175"/>
  <c r="AJ250" i="175" s="1"/>
  <c r="AI161" i="175"/>
  <c r="AI250" i="175" s="1"/>
  <c r="AH161" i="175"/>
  <c r="AH250" i="175" s="1"/>
  <c r="AG161" i="175"/>
  <c r="AG250" i="175" s="1"/>
  <c r="AF161" i="175"/>
  <c r="AF250" i="175" s="1"/>
  <c r="AE161" i="175"/>
  <c r="AE250" i="175" s="1"/>
  <c r="AD161" i="175"/>
  <c r="AD250" i="175" s="1"/>
  <c r="AC161" i="175"/>
  <c r="AB161" i="175"/>
  <c r="AB250" i="175" s="1"/>
  <c r="AA161" i="175"/>
  <c r="Z161" i="175"/>
  <c r="Y161" i="175"/>
  <c r="V161" i="175"/>
  <c r="AJ155" i="175"/>
  <c r="AI155" i="175"/>
  <c r="AH155" i="175"/>
  <c r="AG155" i="175"/>
  <c r="AF155" i="175"/>
  <c r="AE155" i="175"/>
  <c r="AD155" i="175"/>
  <c r="AC155" i="175"/>
  <c r="AB155" i="175"/>
  <c r="AA155" i="175"/>
  <c r="Z155" i="175"/>
  <c r="Y155" i="175"/>
  <c r="AK153" i="175"/>
  <c r="V153" i="175"/>
  <c r="AK152" i="175"/>
  <c r="V152" i="175"/>
  <c r="AK151" i="175"/>
  <c r="V151" i="175"/>
  <c r="AK150" i="175"/>
  <c r="V150" i="175"/>
  <c r="AK149" i="175"/>
  <c r="V149" i="175"/>
  <c r="AK148" i="175"/>
  <c r="V148" i="175"/>
  <c r="AK147" i="175"/>
  <c r="AJ147" i="175"/>
  <c r="AI147" i="175"/>
  <c r="AH147" i="175"/>
  <c r="AG147" i="175"/>
  <c r="AF147" i="175"/>
  <c r="AE147" i="175"/>
  <c r="AD147" i="175"/>
  <c r="AC147" i="175"/>
  <c r="AB147" i="175"/>
  <c r="AA147" i="175"/>
  <c r="Z147" i="175"/>
  <c r="Y147" i="175"/>
  <c r="V147" i="175"/>
  <c r="AK114" i="175"/>
  <c r="V114" i="175"/>
  <c r="AK113" i="175"/>
  <c r="V113" i="175"/>
  <c r="AK112" i="175"/>
  <c r="V112" i="175"/>
  <c r="AK111" i="175"/>
  <c r="AJ111" i="175"/>
  <c r="AI111" i="175"/>
  <c r="AH111" i="175"/>
  <c r="AG111" i="175"/>
  <c r="AF111" i="175"/>
  <c r="AE111" i="175"/>
  <c r="AD111" i="175"/>
  <c r="AC111" i="175"/>
  <c r="AB111" i="175"/>
  <c r="AA111" i="175"/>
  <c r="Z111" i="175"/>
  <c r="Y111" i="175"/>
  <c r="V111" i="175"/>
  <c r="AK110" i="175"/>
  <c r="V110" i="175"/>
  <c r="AK109" i="175"/>
  <c r="V109" i="175"/>
  <c r="AK108" i="175"/>
  <c r="V108" i="175"/>
  <c r="AK107" i="175"/>
  <c r="V107" i="175"/>
  <c r="AK106" i="175"/>
  <c r="AJ106" i="175"/>
  <c r="AI106" i="175"/>
  <c r="AH106" i="175"/>
  <c r="AG106" i="175"/>
  <c r="AF106" i="175"/>
  <c r="AE106" i="175"/>
  <c r="AD106" i="175"/>
  <c r="AC106" i="175"/>
  <c r="AB106" i="175"/>
  <c r="AA106" i="175"/>
  <c r="Z106" i="175"/>
  <c r="Y106" i="175"/>
  <c r="V106" i="175"/>
  <c r="AK105" i="175"/>
  <c r="V105" i="175"/>
  <c r="AK104" i="175"/>
  <c r="V104" i="175"/>
  <c r="AK103" i="175"/>
  <c r="V103" i="175"/>
  <c r="AK102" i="175"/>
  <c r="V102" i="175"/>
  <c r="AK101" i="175"/>
  <c r="V101" i="175"/>
  <c r="AK100" i="175"/>
  <c r="V100" i="175"/>
  <c r="AK99" i="175"/>
  <c r="V99" i="175"/>
  <c r="AK98" i="175"/>
  <c r="V98" i="175"/>
  <c r="AK97" i="175"/>
  <c r="V97" i="175"/>
  <c r="AK96" i="175"/>
  <c r="V96" i="175"/>
  <c r="AK95" i="175"/>
  <c r="V95" i="175"/>
  <c r="AK94" i="175"/>
  <c r="V94" i="175"/>
  <c r="AK93" i="175"/>
  <c r="V93" i="175"/>
  <c r="AK92" i="175"/>
  <c r="V92" i="175"/>
  <c r="AK91" i="175"/>
  <c r="V91" i="175"/>
  <c r="AK90" i="175"/>
  <c r="AJ90" i="175"/>
  <c r="AI90" i="175"/>
  <c r="AH90" i="175"/>
  <c r="AG90" i="175"/>
  <c r="AF90" i="175"/>
  <c r="AE90" i="175"/>
  <c r="AD90" i="175"/>
  <c r="AC90" i="175"/>
  <c r="AB90" i="175"/>
  <c r="AA90" i="175"/>
  <c r="Z90" i="175"/>
  <c r="Y90" i="175"/>
  <c r="V90" i="175"/>
  <c r="AK73" i="175"/>
  <c r="V73" i="175"/>
  <c r="AK72" i="175"/>
  <c r="V72" i="175"/>
  <c r="AK71" i="175"/>
  <c r="V71" i="175"/>
  <c r="AK70" i="175"/>
  <c r="V70" i="175"/>
  <c r="AK69" i="175"/>
  <c r="V69" i="175"/>
  <c r="AK68" i="175"/>
  <c r="V68" i="175"/>
  <c r="AK67" i="175"/>
  <c r="V67" i="175"/>
  <c r="AK66" i="175"/>
  <c r="V66" i="175"/>
  <c r="AK65" i="175"/>
  <c r="V65" i="175"/>
  <c r="AK64" i="175"/>
  <c r="V64" i="175"/>
  <c r="AK63" i="175"/>
  <c r="V63" i="175"/>
  <c r="AK62" i="175"/>
  <c r="V62" i="175"/>
  <c r="AK61" i="175"/>
  <c r="V61" i="175"/>
  <c r="AK60" i="175"/>
  <c r="V60" i="175"/>
  <c r="AK59" i="175"/>
  <c r="V59" i="175"/>
  <c r="AK58" i="175"/>
  <c r="V58" i="175"/>
  <c r="AK57" i="175"/>
  <c r="V57" i="175"/>
  <c r="AK56" i="175"/>
  <c r="V56" i="175"/>
  <c r="AK55" i="175"/>
  <c r="V55" i="175"/>
  <c r="AK54" i="175"/>
  <c r="V54" i="175"/>
  <c r="AK53" i="175"/>
  <c r="V53" i="175"/>
  <c r="AK52" i="175"/>
  <c r="V52" i="175"/>
  <c r="AK51" i="175"/>
  <c r="V51" i="175"/>
  <c r="AK50" i="175"/>
  <c r="AJ50" i="175"/>
  <c r="AJ154" i="175" s="1"/>
  <c r="AI50" i="175"/>
  <c r="AI154" i="175" s="1"/>
  <c r="AH50" i="175"/>
  <c r="AH154" i="175" s="1"/>
  <c r="AG50" i="175"/>
  <c r="AG154" i="175" s="1"/>
  <c r="AF50" i="175"/>
  <c r="AF154" i="175" s="1"/>
  <c r="AE50" i="175"/>
  <c r="AE154" i="175" s="1"/>
  <c r="AD50" i="175"/>
  <c r="AD154" i="175" s="1"/>
  <c r="AC50" i="175"/>
  <c r="AC154" i="175" s="1"/>
  <c r="AB50" i="175"/>
  <c r="AB154" i="175" s="1"/>
  <c r="AA50" i="175"/>
  <c r="AA154" i="175" s="1"/>
  <c r="Z50" i="175"/>
  <c r="Z154" i="175" s="1"/>
  <c r="Y50" i="175"/>
  <c r="Y154" i="175" s="1"/>
  <c r="V50" i="175"/>
  <c r="AJ46" i="175"/>
  <c r="AI46" i="175"/>
  <c r="AH46" i="175"/>
  <c r="AG46" i="175"/>
  <c r="AF46" i="175"/>
  <c r="AE46" i="175"/>
  <c r="AD46" i="175"/>
  <c r="AC46" i="175"/>
  <c r="AB46" i="175"/>
  <c r="AA46" i="175"/>
  <c r="Z46" i="175"/>
  <c r="Y46" i="175"/>
  <c r="AJ45" i="175"/>
  <c r="AI45" i="175"/>
  <c r="AH45" i="175"/>
  <c r="AG45" i="175"/>
  <c r="AF45" i="175"/>
  <c r="AE45" i="175"/>
  <c r="AD45" i="175"/>
  <c r="AC45" i="175"/>
  <c r="AB45" i="175"/>
  <c r="AA45" i="175"/>
  <c r="Z45" i="175"/>
  <c r="Y45" i="175"/>
  <c r="AJ44" i="175"/>
  <c r="AI44" i="175"/>
  <c r="AH44" i="175"/>
  <c r="AG44" i="175"/>
  <c r="AF44" i="175"/>
  <c r="AE44" i="175"/>
  <c r="AD44" i="175"/>
  <c r="AC44" i="175"/>
  <c r="AB44" i="175"/>
  <c r="AA44" i="175"/>
  <c r="Z44" i="175"/>
  <c r="Y44" i="175"/>
  <c r="V43" i="175"/>
  <c r="AK42" i="175"/>
  <c r="V42" i="175"/>
  <c r="AK41" i="175"/>
  <c r="V41" i="175"/>
  <c r="AK40" i="175"/>
  <c r="V40" i="175"/>
  <c r="AJ39" i="175"/>
  <c r="AI39" i="175"/>
  <c r="AH39" i="175"/>
  <c r="AG39" i="175"/>
  <c r="AF39" i="175"/>
  <c r="AE39" i="175"/>
  <c r="AD39" i="175"/>
  <c r="AC39" i="175"/>
  <c r="AB39" i="175"/>
  <c r="AA39" i="175"/>
  <c r="Z39" i="175"/>
  <c r="Y39" i="175"/>
  <c r="AK39" i="175" s="1"/>
  <c r="V39" i="175"/>
  <c r="W39" i="175" s="1"/>
  <c r="AJ36" i="175"/>
  <c r="AI36" i="175"/>
  <c r="AH36" i="175"/>
  <c r="AG36" i="175"/>
  <c r="AF36" i="175"/>
  <c r="AE36" i="175"/>
  <c r="AD36" i="175"/>
  <c r="AC36" i="175"/>
  <c r="AB36" i="175"/>
  <c r="AA36" i="175"/>
  <c r="Z36" i="175"/>
  <c r="Y36" i="175"/>
  <c r="AK36" i="175" s="1"/>
  <c r="V36" i="175"/>
  <c r="AJ35" i="175"/>
  <c r="AI35" i="175"/>
  <c r="AH35" i="175"/>
  <c r="AG35" i="175"/>
  <c r="AF35" i="175"/>
  <c r="AE35" i="175"/>
  <c r="AD35" i="175"/>
  <c r="AC35" i="175"/>
  <c r="AB35" i="175"/>
  <c r="AA35" i="175"/>
  <c r="Z35" i="175"/>
  <c r="Y35" i="175"/>
  <c r="AK35" i="175" s="1"/>
  <c r="V35" i="175"/>
  <c r="AJ34" i="175"/>
  <c r="AI34" i="175"/>
  <c r="AH34" i="175"/>
  <c r="AG34" i="175"/>
  <c r="AF34" i="175"/>
  <c r="AE34" i="175"/>
  <c r="AD34" i="175"/>
  <c r="AC34" i="175"/>
  <c r="AB34" i="175"/>
  <c r="AA34" i="175"/>
  <c r="Z34" i="175"/>
  <c r="Y34" i="175"/>
  <c r="AK34" i="175" s="1"/>
  <c r="V34" i="175"/>
  <c r="AK32" i="175"/>
  <c r="V32" i="175"/>
  <c r="AK25" i="175"/>
  <c r="V25" i="175"/>
  <c r="AK24" i="175"/>
  <c r="V24" i="175"/>
  <c r="AK23" i="175"/>
  <c r="V23" i="175"/>
  <c r="AK22" i="175"/>
  <c r="V22" i="175"/>
  <c r="AK21" i="175"/>
  <c r="V21" i="175"/>
  <c r="AK20" i="175"/>
  <c r="V20" i="175"/>
  <c r="AK19" i="175"/>
  <c r="V19" i="175"/>
  <c r="AK18" i="175"/>
  <c r="V18" i="175"/>
  <c r="AK17" i="175"/>
  <c r="V17" i="175"/>
  <c r="AK16" i="175"/>
  <c r="V16" i="175"/>
  <c r="AK15" i="175"/>
  <c r="V15" i="175"/>
  <c r="AK14" i="175"/>
  <c r="V14" i="175"/>
  <c r="AK13" i="175"/>
  <c r="V13" i="175"/>
  <c r="AJ12" i="175"/>
  <c r="AI12" i="175"/>
  <c r="AH12" i="175"/>
  <c r="AG12" i="175"/>
  <c r="AF12" i="175"/>
  <c r="AE12" i="175"/>
  <c r="AD12" i="175"/>
  <c r="AC12" i="175"/>
  <c r="AB12" i="175"/>
  <c r="AA12" i="175"/>
  <c r="Z12" i="175"/>
  <c r="Y12" i="175"/>
  <c r="AK12" i="175" s="1"/>
  <c r="V12" i="175"/>
  <c r="AK10" i="175"/>
  <c r="V10" i="175"/>
  <c r="AK9" i="175"/>
  <c r="V9" i="175"/>
  <c r="AK8" i="175"/>
  <c r="V8" i="175"/>
  <c r="AK7" i="175"/>
  <c r="V7" i="175"/>
  <c r="AJ6" i="175"/>
  <c r="AJ33" i="175" s="1"/>
  <c r="AI6" i="175"/>
  <c r="AI33" i="175" s="1"/>
  <c r="AH6" i="175"/>
  <c r="AH33" i="175" s="1"/>
  <c r="AG6" i="175"/>
  <c r="AG33" i="175" s="1"/>
  <c r="AF6" i="175"/>
  <c r="AF33" i="175" s="1"/>
  <c r="AE6" i="175"/>
  <c r="AE33" i="175" s="1"/>
  <c r="AD6" i="175"/>
  <c r="AD33" i="175" s="1"/>
  <c r="AC6" i="175"/>
  <c r="AC33" i="175" s="1"/>
  <c r="AB6" i="175"/>
  <c r="AB33" i="175" s="1"/>
  <c r="AA6" i="175"/>
  <c r="AA33" i="175" s="1"/>
  <c r="Z6" i="175"/>
  <c r="Z33" i="175" s="1"/>
  <c r="Y6" i="175"/>
  <c r="V6" i="175"/>
  <c r="Y64" i="68"/>
  <c r="R159" i="68"/>
  <c r="Q159" i="68"/>
  <c r="P159" i="68"/>
  <c r="O159" i="68"/>
  <c r="N159" i="68"/>
  <c r="M159" i="68"/>
  <c r="L159" i="68"/>
  <c r="K159" i="68"/>
  <c r="J159" i="68"/>
  <c r="U159" i="87"/>
  <c r="T159" i="87"/>
  <c r="S159" i="87"/>
  <c r="Q159" i="87"/>
  <c r="P159" i="87"/>
  <c r="O159" i="87"/>
  <c r="N159" i="87"/>
  <c r="M159" i="87"/>
  <c r="L159" i="87"/>
  <c r="K159" i="87"/>
  <c r="J159" i="87"/>
  <c r="V122" i="68"/>
  <c r="V123" i="68"/>
  <c r="V124" i="68"/>
  <c r="V125" i="68"/>
  <c r="V126" i="68"/>
  <c r="V127" i="68"/>
  <c r="V128" i="68"/>
  <c r="V129" i="68"/>
  <c r="V130" i="68"/>
  <c r="V131" i="68"/>
  <c r="V132" i="68"/>
  <c r="V133" i="68"/>
  <c r="V122" i="87"/>
  <c r="V123" i="87"/>
  <c r="V124" i="87"/>
  <c r="V125" i="87"/>
  <c r="V126" i="87"/>
  <c r="V127" i="87"/>
  <c r="V128" i="87"/>
  <c r="V129" i="87"/>
  <c r="V130" i="87"/>
  <c r="V131" i="87"/>
  <c r="V132" i="87"/>
  <c r="V133" i="87"/>
  <c r="V134" i="87"/>
  <c r="V135" i="87"/>
  <c r="V136" i="87"/>
  <c r="V137" i="87"/>
  <c r="V138" i="87"/>
  <c r="V139" i="87"/>
  <c r="V140" i="87"/>
  <c r="V141" i="87"/>
  <c r="V142" i="87"/>
  <c r="V143" i="87"/>
  <c r="V144" i="87"/>
  <c r="V145" i="87"/>
  <c r="V146" i="87"/>
  <c r="Y120" i="68"/>
  <c r="Y120" i="87"/>
  <c r="Y112" i="68"/>
  <c r="Y112" i="87"/>
  <c r="Y75" i="68"/>
  <c r="Y75" i="87"/>
  <c r="Y68" i="68"/>
  <c r="Y68" i="87"/>
  <c r="Y56" i="68"/>
  <c r="Y56" i="87"/>
  <c r="Y70" i="68"/>
  <c r="Y70" i="87"/>
  <c r="Y151" i="68"/>
  <c r="Y151" i="87"/>
  <c r="Y150" i="68"/>
  <c r="Y150" i="87"/>
  <c r="Y133" i="87"/>
  <c r="Y133" i="68"/>
  <c r="Y119" i="68"/>
  <c r="Y119" i="87"/>
  <c r="Y116" i="68"/>
  <c r="Y116" i="87"/>
  <c r="Y80" i="87"/>
  <c r="Y80" i="68"/>
  <c r="Y54" i="68"/>
  <c r="Y54" i="87"/>
  <c r="Y62" i="68"/>
  <c r="Y62" i="87"/>
  <c r="Y55" i="68"/>
  <c r="Y55" i="87"/>
  <c r="Z44" i="68"/>
  <c r="AA44" i="68"/>
  <c r="AB44" i="68"/>
  <c r="AC44" i="68"/>
  <c r="AD44" i="68"/>
  <c r="AE44" i="68"/>
  <c r="AF44" i="68"/>
  <c r="AG44" i="68"/>
  <c r="AH44" i="68"/>
  <c r="AI44" i="68"/>
  <c r="AJ44" i="68"/>
  <c r="Y44" i="68"/>
  <c r="Y43" i="68" s="1"/>
  <c r="Z44" i="87"/>
  <c r="AA44" i="87"/>
  <c r="AB44" i="87"/>
  <c r="AC44" i="87"/>
  <c r="AD44" i="87"/>
  <c r="AE44" i="87"/>
  <c r="AF44" i="87"/>
  <c r="AG44" i="87"/>
  <c r="AH44" i="87"/>
  <c r="AI44" i="87"/>
  <c r="AJ44" i="87"/>
  <c r="Y44" i="87"/>
  <c r="AK263" i="174"/>
  <c r="AK264" i="174"/>
  <c r="AK265" i="174"/>
  <c r="AK266" i="174"/>
  <c r="AK267" i="174"/>
  <c r="AK268" i="174"/>
  <c r="AK269" i="174"/>
  <c r="AK270" i="174"/>
  <c r="AK271" i="174"/>
  <c r="AK272" i="174"/>
  <c r="AK273" i="174"/>
  <c r="AK274" i="174"/>
  <c r="AK275" i="174"/>
  <c r="AK276" i="174"/>
  <c r="AK277" i="174"/>
  <c r="AK278" i="174"/>
  <c r="AK279" i="174"/>
  <c r="AK280" i="174"/>
  <c r="AK281" i="174"/>
  <c r="AK282" i="174"/>
  <c r="AK283" i="174"/>
  <c r="AK284" i="174"/>
  <c r="AK285" i="174"/>
  <c r="AK286" i="174"/>
  <c r="AK287" i="174"/>
  <c r="AK288" i="174"/>
  <c r="AK289" i="174"/>
  <c r="AK290" i="174"/>
  <c r="AK291" i="174"/>
  <c r="AK292" i="174"/>
  <c r="AK293" i="174"/>
  <c r="AK294" i="174"/>
  <c r="AK295" i="174"/>
  <c r="AK296" i="174"/>
  <c r="AK297" i="174"/>
  <c r="AK298" i="174"/>
  <c r="AK299" i="174"/>
  <c r="AK300" i="174"/>
  <c r="AK301" i="174"/>
  <c r="AK302" i="174"/>
  <c r="AK303" i="174"/>
  <c r="AK304" i="174"/>
  <c r="AK305" i="174"/>
  <c r="AK306" i="174"/>
  <c r="AK307" i="174"/>
  <c r="AK308" i="174"/>
  <c r="AK309" i="174"/>
  <c r="AK310" i="174"/>
  <c r="AK311" i="174"/>
  <c r="AK312" i="174"/>
  <c r="AK313" i="174"/>
  <c r="AK314" i="174"/>
  <c r="AK315" i="174"/>
  <c r="AK316" i="174"/>
  <c r="AK317" i="174"/>
  <c r="AK318" i="174"/>
  <c r="AK319" i="174"/>
  <c r="AK320" i="174"/>
  <c r="AK321" i="174"/>
  <c r="AK322" i="174"/>
  <c r="AK323" i="174"/>
  <c r="AK324" i="174"/>
  <c r="AK325" i="174"/>
  <c r="AK326" i="174"/>
  <c r="AK327" i="174"/>
  <c r="AK328" i="174"/>
  <c r="AK329" i="174"/>
  <c r="AK330" i="174"/>
  <c r="AK331" i="174"/>
  <c r="AK332" i="174"/>
  <c r="AK333" i="174"/>
  <c r="AK334" i="174"/>
  <c r="AK335" i="174"/>
  <c r="AK336" i="174"/>
  <c r="AK262" i="174"/>
  <c r="AM336" i="174"/>
  <c r="AM335" i="174"/>
  <c r="AM334" i="174"/>
  <c r="AM333" i="174"/>
  <c r="AM332" i="174"/>
  <c r="AM331" i="174"/>
  <c r="AM330" i="174"/>
  <c r="AM329" i="174"/>
  <c r="AM328" i="174"/>
  <c r="AM327" i="174"/>
  <c r="AM326" i="174"/>
  <c r="AM325" i="174"/>
  <c r="AM324" i="174"/>
  <c r="AM323" i="174"/>
  <c r="AM322" i="174"/>
  <c r="AM321" i="174"/>
  <c r="AM320" i="174"/>
  <c r="AM319" i="174"/>
  <c r="AM318" i="174"/>
  <c r="AM317" i="174"/>
  <c r="AM316" i="174"/>
  <c r="AM313" i="174"/>
  <c r="AM291" i="174"/>
  <c r="AM289" i="174"/>
  <c r="AM281" i="174"/>
  <c r="AM275" i="174"/>
  <c r="AK246" i="174"/>
  <c r="AK247" i="174"/>
  <c r="AK248" i="174"/>
  <c r="AK249" i="174"/>
  <c r="AK250" i="174"/>
  <c r="AK245" i="174"/>
  <c r="AK244" i="174" s="1"/>
  <c r="AK236" i="174"/>
  <c r="AK237" i="174"/>
  <c r="AK238" i="174"/>
  <c r="AK239" i="174"/>
  <c r="AK240" i="174"/>
  <c r="AK241" i="174"/>
  <c r="AK242" i="174"/>
  <c r="AK243" i="174"/>
  <c r="AK235" i="174"/>
  <c r="AK234" i="174" s="1"/>
  <c r="K234" i="174"/>
  <c r="L234" i="174"/>
  <c r="M234" i="174"/>
  <c r="N234" i="174"/>
  <c r="O234" i="174"/>
  <c r="P234" i="174"/>
  <c r="Q234" i="174"/>
  <c r="R234" i="174"/>
  <c r="S234" i="174"/>
  <c r="T234" i="174"/>
  <c r="U234" i="174"/>
  <c r="Y234" i="174"/>
  <c r="Z234" i="174"/>
  <c r="AA234" i="174"/>
  <c r="AB234" i="174"/>
  <c r="AC234" i="174"/>
  <c r="AD234" i="174"/>
  <c r="AE234" i="174"/>
  <c r="AF234" i="174"/>
  <c r="AG234" i="174"/>
  <c r="AH234" i="174"/>
  <c r="AI234" i="174"/>
  <c r="AJ234" i="174"/>
  <c r="AK231" i="174"/>
  <c r="AK232" i="174"/>
  <c r="AK233" i="174"/>
  <c r="AK230" i="174"/>
  <c r="AK229" i="174" s="1"/>
  <c r="AK214" i="174"/>
  <c r="AK215" i="174"/>
  <c r="AK216" i="174"/>
  <c r="AK217" i="174"/>
  <c r="AK218" i="174"/>
  <c r="AK219" i="174"/>
  <c r="AK220" i="174"/>
  <c r="AK221" i="174"/>
  <c r="AK222" i="174"/>
  <c r="AK223" i="174"/>
  <c r="AK224" i="174"/>
  <c r="AK225" i="174"/>
  <c r="AK226" i="174"/>
  <c r="AK227" i="174"/>
  <c r="AK228" i="174"/>
  <c r="AK213" i="174"/>
  <c r="AK212" i="174" s="1"/>
  <c r="AK164" i="174"/>
  <c r="AK165" i="174"/>
  <c r="AK166" i="174"/>
  <c r="AK167" i="174"/>
  <c r="AK168" i="174"/>
  <c r="AK169" i="174"/>
  <c r="AK170" i="174"/>
  <c r="AK171" i="174"/>
  <c r="AK172" i="174"/>
  <c r="AK173" i="174"/>
  <c r="AK174" i="174"/>
  <c r="AK175" i="174"/>
  <c r="AK176" i="174"/>
  <c r="AK177" i="174"/>
  <c r="AK178" i="174"/>
  <c r="AK179" i="174"/>
  <c r="AK180" i="174"/>
  <c r="AK181" i="174"/>
  <c r="AK182" i="174"/>
  <c r="AK183" i="174"/>
  <c r="AK184" i="174"/>
  <c r="AK185" i="174"/>
  <c r="AK186" i="174"/>
  <c r="AK187" i="174"/>
  <c r="AK188" i="174"/>
  <c r="AK189" i="174"/>
  <c r="AK190" i="174"/>
  <c r="AK191" i="174"/>
  <c r="AK192" i="174"/>
  <c r="AK193" i="174"/>
  <c r="AK194" i="174"/>
  <c r="AK195" i="174"/>
  <c r="AK196" i="174"/>
  <c r="AK197" i="174"/>
  <c r="AK198" i="174"/>
  <c r="AK199" i="174"/>
  <c r="AK200" i="174"/>
  <c r="AK201" i="174"/>
  <c r="AK202" i="174"/>
  <c r="AK203" i="174"/>
  <c r="AK204" i="174"/>
  <c r="AK205" i="174"/>
  <c r="AK206" i="174"/>
  <c r="AK207" i="174"/>
  <c r="AK208" i="174"/>
  <c r="AK209" i="174"/>
  <c r="AK210" i="174"/>
  <c r="AK211" i="174"/>
  <c r="X158" i="174"/>
  <c r="X157" i="174"/>
  <c r="X156" i="174"/>
  <c r="X155" i="174"/>
  <c r="X153" i="174"/>
  <c r="X152" i="174"/>
  <c r="X151" i="174"/>
  <c r="X150" i="174"/>
  <c r="X149" i="174"/>
  <c r="X148" i="174"/>
  <c r="X147" i="174"/>
  <c r="X146" i="174"/>
  <c r="X145" i="174"/>
  <c r="X144" i="174"/>
  <c r="X143" i="174"/>
  <c r="X142" i="174"/>
  <c r="X141" i="174"/>
  <c r="X140" i="174"/>
  <c r="X139" i="174"/>
  <c r="X138" i="174"/>
  <c r="X137" i="174"/>
  <c r="X136" i="174"/>
  <c r="X135" i="174"/>
  <c r="X134" i="174"/>
  <c r="X133" i="174"/>
  <c r="X132" i="174"/>
  <c r="X131" i="174"/>
  <c r="X130" i="174"/>
  <c r="X129" i="174"/>
  <c r="X128" i="174"/>
  <c r="X127" i="174"/>
  <c r="X126" i="174"/>
  <c r="X125" i="174"/>
  <c r="X124" i="174"/>
  <c r="X123" i="174"/>
  <c r="X122" i="174"/>
  <c r="X121" i="174"/>
  <c r="X119" i="174"/>
  <c r="X118" i="174"/>
  <c r="X117" i="174"/>
  <c r="X116" i="174"/>
  <c r="X115" i="174"/>
  <c r="X114" i="174"/>
  <c r="X113" i="174"/>
  <c r="X112" i="174"/>
  <c r="X111" i="174"/>
  <c r="X110" i="174"/>
  <c r="X109" i="174"/>
  <c r="X108" i="174"/>
  <c r="X107" i="174"/>
  <c r="X89" i="174"/>
  <c r="X88" i="174"/>
  <c r="X87" i="174"/>
  <c r="X86" i="174"/>
  <c r="X85" i="174"/>
  <c r="X84" i="174"/>
  <c r="X83" i="174"/>
  <c r="X82" i="174"/>
  <c r="X81" i="174"/>
  <c r="X80" i="174"/>
  <c r="X79" i="174"/>
  <c r="X78" i="174"/>
  <c r="X77" i="174"/>
  <c r="X76" i="174"/>
  <c r="T76" i="174"/>
  <c r="X75" i="174"/>
  <c r="X74" i="174"/>
  <c r="X73" i="174"/>
  <c r="X72" i="174"/>
  <c r="X71" i="174"/>
  <c r="X70" i="174"/>
  <c r="X69" i="174"/>
  <c r="X68" i="174"/>
  <c r="X67" i="174"/>
  <c r="X66" i="174"/>
  <c r="X65" i="174"/>
  <c r="X64" i="174"/>
  <c r="X63" i="174"/>
  <c r="X62" i="174"/>
  <c r="X61" i="174"/>
  <c r="X60" i="174"/>
  <c r="X59" i="174"/>
  <c r="X58" i="174"/>
  <c r="X57" i="174"/>
  <c r="X56" i="174"/>
  <c r="X55" i="174"/>
  <c r="X54" i="174"/>
  <c r="X53" i="174"/>
  <c r="X52" i="174"/>
  <c r="X51" i="174"/>
  <c r="X50" i="174"/>
  <c r="X46" i="174"/>
  <c r="X45" i="174"/>
  <c r="X44" i="174"/>
  <c r="X43" i="174"/>
  <c r="X42" i="174"/>
  <c r="X41" i="174"/>
  <c r="X40" i="174"/>
  <c r="X39" i="174"/>
  <c r="X38" i="174"/>
  <c r="X37" i="174"/>
  <c r="X36" i="174"/>
  <c r="X35" i="174"/>
  <c r="X34" i="174"/>
  <c r="X33" i="174"/>
  <c r="X32" i="174"/>
  <c r="X31" i="174"/>
  <c r="X30" i="174"/>
  <c r="X29" i="174"/>
  <c r="X28" i="174"/>
  <c r="X27" i="174"/>
  <c r="X26" i="174"/>
  <c r="X25" i="174"/>
  <c r="X24" i="174"/>
  <c r="X23" i="174"/>
  <c r="X22" i="174"/>
  <c r="X21" i="174"/>
  <c r="X20" i="174"/>
  <c r="X19" i="174"/>
  <c r="X18" i="174"/>
  <c r="X17" i="174"/>
  <c r="X16" i="174"/>
  <c r="X15" i="174"/>
  <c r="X14" i="174"/>
  <c r="X13" i="174"/>
  <c r="X12" i="174"/>
  <c r="X11" i="174"/>
  <c r="X10" i="174"/>
  <c r="X9" i="174"/>
  <c r="X8" i="174"/>
  <c r="X7" i="174"/>
  <c r="X6" i="174"/>
  <c r="AE64" i="68"/>
  <c r="AE64" i="87"/>
  <c r="Y153" i="87"/>
  <c r="Y149" i="87"/>
  <c r="Y148" i="87"/>
  <c r="Y134" i="87"/>
  <c r="Y132" i="87"/>
  <c r="Y130" i="87"/>
  <c r="Y129" i="87"/>
  <c r="Y127" i="87"/>
  <c r="Y126" i="87"/>
  <c r="Y125" i="87"/>
  <c r="Y124" i="87"/>
  <c r="Y123" i="87"/>
  <c r="Y122" i="87"/>
  <c r="Y121" i="87"/>
  <c r="Y118" i="87"/>
  <c r="Y117" i="87"/>
  <c r="Y115" i="87"/>
  <c r="Y114" i="87"/>
  <c r="Y113" i="87"/>
  <c r="Y88" i="87"/>
  <c r="Y81" i="87"/>
  <c r="Y78" i="87"/>
  <c r="Y77" i="87"/>
  <c r="Y76" i="87"/>
  <c r="Y74" i="87"/>
  <c r="Y65" i="87"/>
  <c r="Y64" i="87"/>
  <c r="Y57" i="87"/>
  <c r="Y53" i="87"/>
  <c r="Y52" i="87"/>
  <c r="Z152" i="124"/>
  <c r="Z152" i="174" s="1"/>
  <c r="AA152" i="124"/>
  <c r="AA152" i="174" s="1"/>
  <c r="AB152" i="124"/>
  <c r="AB152" i="174" s="1"/>
  <c r="AC152" i="124"/>
  <c r="AC152" i="174" s="1"/>
  <c r="AD152" i="124"/>
  <c r="AD152" i="174" s="1"/>
  <c r="AE152" i="124"/>
  <c r="AE152" i="174" s="1"/>
  <c r="AF152" i="124"/>
  <c r="AF152" i="174" s="1"/>
  <c r="AG152" i="124"/>
  <c r="AG152" i="174" s="1"/>
  <c r="AH152" i="124"/>
  <c r="AH152" i="174" s="1"/>
  <c r="AI152" i="124"/>
  <c r="AI152" i="174" s="1"/>
  <c r="AJ152" i="124"/>
  <c r="AJ152" i="174" s="1"/>
  <c r="Y152" i="124"/>
  <c r="K148" i="124"/>
  <c r="K148" i="174" s="1"/>
  <c r="L148" i="124"/>
  <c r="L148" i="174" s="1"/>
  <c r="M148" i="124"/>
  <c r="M148" i="174" s="1"/>
  <c r="N148" i="124"/>
  <c r="N148" i="174" s="1"/>
  <c r="K149" i="124"/>
  <c r="K149" i="174" s="1"/>
  <c r="L149" i="124"/>
  <c r="L149" i="174" s="1"/>
  <c r="M149" i="124"/>
  <c r="M149" i="174" s="1"/>
  <c r="N149" i="124"/>
  <c r="N149" i="174" s="1"/>
  <c r="K150" i="124"/>
  <c r="K150" i="174" s="1"/>
  <c r="L150" i="124"/>
  <c r="L150" i="174" s="1"/>
  <c r="M150" i="124"/>
  <c r="M150" i="174" s="1"/>
  <c r="N150" i="124"/>
  <c r="N150" i="174" s="1"/>
  <c r="K151" i="124"/>
  <c r="K151" i="174" s="1"/>
  <c r="L151" i="124"/>
  <c r="L151" i="174" s="1"/>
  <c r="M151" i="124"/>
  <c r="M151" i="174" s="1"/>
  <c r="N151" i="124"/>
  <c r="N151" i="174" s="1"/>
  <c r="K152" i="124"/>
  <c r="K152" i="174" s="1"/>
  <c r="L152" i="124"/>
  <c r="L152" i="174" s="1"/>
  <c r="M152" i="124"/>
  <c r="M152" i="174" s="1"/>
  <c r="N152" i="124"/>
  <c r="N152" i="174" s="1"/>
  <c r="K153" i="124"/>
  <c r="K153" i="174" s="1"/>
  <c r="L153" i="124"/>
  <c r="L153" i="174" s="1"/>
  <c r="M153" i="124"/>
  <c r="M153" i="174" s="1"/>
  <c r="N153" i="124"/>
  <c r="N153" i="174" s="1"/>
  <c r="J153" i="124"/>
  <c r="J153" i="174" s="1"/>
  <c r="J152" i="124"/>
  <c r="J152" i="174" s="1"/>
  <c r="J151" i="124"/>
  <c r="J151" i="174" s="1"/>
  <c r="J150" i="124"/>
  <c r="J150" i="174" s="1"/>
  <c r="J149" i="124"/>
  <c r="J149" i="174" s="1"/>
  <c r="J148" i="124"/>
  <c r="J148" i="174" s="1"/>
  <c r="O148" i="124"/>
  <c r="O148" i="174" s="1"/>
  <c r="P148" i="124"/>
  <c r="P148" i="174" s="1"/>
  <c r="Q148" i="124"/>
  <c r="Q148" i="174" s="1"/>
  <c r="R148" i="124"/>
  <c r="R148" i="174" s="1"/>
  <c r="S148" i="124"/>
  <c r="S148" i="174" s="1"/>
  <c r="T148" i="124"/>
  <c r="T148" i="174" s="1"/>
  <c r="U148" i="124"/>
  <c r="U148" i="174" s="1"/>
  <c r="O149" i="124"/>
  <c r="O149" i="174" s="1"/>
  <c r="P149" i="124"/>
  <c r="P149" i="174" s="1"/>
  <c r="Q149" i="124"/>
  <c r="Q149" i="174" s="1"/>
  <c r="R149" i="124"/>
  <c r="R149" i="174" s="1"/>
  <c r="S149" i="124"/>
  <c r="S149" i="174" s="1"/>
  <c r="T149" i="124"/>
  <c r="T149" i="174" s="1"/>
  <c r="U149" i="124"/>
  <c r="U149" i="174" s="1"/>
  <c r="O150" i="124"/>
  <c r="O150" i="174" s="1"/>
  <c r="P150" i="124"/>
  <c r="P150" i="174" s="1"/>
  <c r="Q150" i="124"/>
  <c r="Q150" i="174" s="1"/>
  <c r="R150" i="124"/>
  <c r="R150" i="174" s="1"/>
  <c r="O151" i="124"/>
  <c r="O151" i="174" s="1"/>
  <c r="P151" i="124"/>
  <c r="P151" i="174" s="1"/>
  <c r="Q151" i="124"/>
  <c r="Q151" i="174" s="1"/>
  <c r="R151" i="124"/>
  <c r="R151" i="174" s="1"/>
  <c r="O152" i="124"/>
  <c r="O152" i="174" s="1"/>
  <c r="P152" i="124"/>
  <c r="P152" i="174" s="1"/>
  <c r="Q152" i="124"/>
  <c r="Q152" i="174" s="1"/>
  <c r="R152" i="124"/>
  <c r="R152" i="174" s="1"/>
  <c r="S152" i="124"/>
  <c r="S152" i="174" s="1"/>
  <c r="T152" i="124"/>
  <c r="T152" i="174" s="1"/>
  <c r="U152" i="124"/>
  <c r="U152" i="174" s="1"/>
  <c r="O153" i="124"/>
  <c r="O153" i="174" s="1"/>
  <c r="P153" i="124"/>
  <c r="P153" i="174" s="1"/>
  <c r="Q153" i="124"/>
  <c r="Q153" i="174" s="1"/>
  <c r="R153" i="124"/>
  <c r="R153" i="174" s="1"/>
  <c r="Z128" i="124"/>
  <c r="Z128" i="174" s="1"/>
  <c r="AA128" i="124"/>
  <c r="AA128" i="174" s="1"/>
  <c r="AB128" i="124"/>
  <c r="AB128" i="174" s="1"/>
  <c r="AC128" i="124"/>
  <c r="AC128" i="174" s="1"/>
  <c r="AD128" i="124"/>
  <c r="AD128" i="174" s="1"/>
  <c r="AE128" i="124"/>
  <c r="AE128" i="174" s="1"/>
  <c r="AF128" i="124"/>
  <c r="AF128" i="174" s="1"/>
  <c r="AG128" i="124"/>
  <c r="AG128" i="174" s="1"/>
  <c r="AH128" i="124"/>
  <c r="AH128" i="174" s="1"/>
  <c r="AI128" i="124"/>
  <c r="AI128" i="174" s="1"/>
  <c r="AJ128" i="124"/>
  <c r="AJ128" i="174" s="1"/>
  <c r="Z131" i="124"/>
  <c r="Z131" i="174" s="1"/>
  <c r="AA131" i="124"/>
  <c r="AA131" i="174" s="1"/>
  <c r="AB131" i="124"/>
  <c r="AB131" i="174" s="1"/>
  <c r="AC131" i="124"/>
  <c r="AC131" i="174" s="1"/>
  <c r="AD131" i="124"/>
  <c r="AD131" i="174" s="1"/>
  <c r="AE131" i="124"/>
  <c r="AE131" i="174" s="1"/>
  <c r="AF131" i="124"/>
  <c r="AF131" i="174" s="1"/>
  <c r="AG131" i="124"/>
  <c r="AG131" i="174" s="1"/>
  <c r="AH131" i="124"/>
  <c r="AH131" i="174" s="1"/>
  <c r="AI131" i="124"/>
  <c r="AI131" i="174" s="1"/>
  <c r="AJ131" i="124"/>
  <c r="AJ131" i="174" s="1"/>
  <c r="Z135" i="124"/>
  <c r="Z135" i="174" s="1"/>
  <c r="AA135" i="124"/>
  <c r="AA135" i="174" s="1"/>
  <c r="AB135" i="124"/>
  <c r="AB135" i="174" s="1"/>
  <c r="AC135" i="124"/>
  <c r="AC135" i="174" s="1"/>
  <c r="AD135" i="124"/>
  <c r="AD135" i="174" s="1"/>
  <c r="AE135" i="124"/>
  <c r="AE135" i="174" s="1"/>
  <c r="AF135" i="124"/>
  <c r="AF135" i="174" s="1"/>
  <c r="AG135" i="124"/>
  <c r="AG135" i="174" s="1"/>
  <c r="AH135" i="124"/>
  <c r="AH135" i="174" s="1"/>
  <c r="AI135" i="124"/>
  <c r="AI135" i="174" s="1"/>
  <c r="AJ135" i="124"/>
  <c r="AJ135" i="174" s="1"/>
  <c r="Z136" i="124"/>
  <c r="Z136" i="174" s="1"/>
  <c r="AA136" i="124"/>
  <c r="AA136" i="174" s="1"/>
  <c r="AB136" i="124"/>
  <c r="AB136" i="174" s="1"/>
  <c r="AC136" i="124"/>
  <c r="AC136" i="174" s="1"/>
  <c r="AD136" i="124"/>
  <c r="AD136" i="174" s="1"/>
  <c r="AE136" i="124"/>
  <c r="AE136" i="174" s="1"/>
  <c r="AF136" i="124"/>
  <c r="AF136" i="174" s="1"/>
  <c r="AG136" i="124"/>
  <c r="AG136" i="174" s="1"/>
  <c r="AH136" i="124"/>
  <c r="AH136" i="174" s="1"/>
  <c r="AI136" i="124"/>
  <c r="AI136" i="174" s="1"/>
  <c r="AJ136" i="124"/>
  <c r="AJ136" i="174" s="1"/>
  <c r="Z137" i="124"/>
  <c r="Z137" i="174" s="1"/>
  <c r="AA137" i="124"/>
  <c r="AA137" i="174" s="1"/>
  <c r="AB137" i="124"/>
  <c r="AB137" i="174" s="1"/>
  <c r="AC137" i="124"/>
  <c r="AC137" i="174" s="1"/>
  <c r="AD137" i="124"/>
  <c r="AD137" i="174" s="1"/>
  <c r="AE137" i="124"/>
  <c r="AE137" i="174" s="1"/>
  <c r="AF137" i="124"/>
  <c r="AF137" i="174" s="1"/>
  <c r="AG137" i="124"/>
  <c r="AG137" i="174" s="1"/>
  <c r="AH137" i="124"/>
  <c r="AH137" i="174" s="1"/>
  <c r="AI137" i="124"/>
  <c r="AI137" i="174" s="1"/>
  <c r="AJ137" i="124"/>
  <c r="AJ137" i="174" s="1"/>
  <c r="Z138" i="124"/>
  <c r="Z138" i="174" s="1"/>
  <c r="AA138" i="124"/>
  <c r="AA138" i="174" s="1"/>
  <c r="AB138" i="124"/>
  <c r="AB138" i="174" s="1"/>
  <c r="AC138" i="124"/>
  <c r="AC138" i="174" s="1"/>
  <c r="AD138" i="124"/>
  <c r="AD138" i="174" s="1"/>
  <c r="AE138" i="124"/>
  <c r="AE138" i="174" s="1"/>
  <c r="AF138" i="124"/>
  <c r="AF138" i="174" s="1"/>
  <c r="AG138" i="124"/>
  <c r="AG138" i="174" s="1"/>
  <c r="AH138" i="124"/>
  <c r="AH138" i="174" s="1"/>
  <c r="AI138" i="124"/>
  <c r="AI138" i="174" s="1"/>
  <c r="AJ138" i="124"/>
  <c r="AJ138" i="174" s="1"/>
  <c r="Z139" i="124"/>
  <c r="Z139" i="174" s="1"/>
  <c r="AA139" i="124"/>
  <c r="AA139" i="174" s="1"/>
  <c r="AB139" i="124"/>
  <c r="AB139" i="174" s="1"/>
  <c r="AC139" i="124"/>
  <c r="AC139" i="174" s="1"/>
  <c r="AD139" i="124"/>
  <c r="AD139" i="174" s="1"/>
  <c r="AE139" i="124"/>
  <c r="AE139" i="174" s="1"/>
  <c r="AF139" i="124"/>
  <c r="AF139" i="174" s="1"/>
  <c r="AG139" i="124"/>
  <c r="AG139" i="174" s="1"/>
  <c r="AH139" i="124"/>
  <c r="AH139" i="174" s="1"/>
  <c r="AI139" i="124"/>
  <c r="AI139" i="174" s="1"/>
  <c r="AJ139" i="124"/>
  <c r="AJ139" i="174" s="1"/>
  <c r="Z140" i="124"/>
  <c r="Z140" i="174" s="1"/>
  <c r="AA140" i="124"/>
  <c r="AA140" i="174" s="1"/>
  <c r="AB140" i="124"/>
  <c r="AB140" i="174" s="1"/>
  <c r="AC140" i="124"/>
  <c r="AC140" i="174" s="1"/>
  <c r="AD140" i="124"/>
  <c r="AD140" i="174" s="1"/>
  <c r="AE140" i="124"/>
  <c r="AE140" i="174" s="1"/>
  <c r="AF140" i="124"/>
  <c r="AF140" i="174" s="1"/>
  <c r="AG140" i="124"/>
  <c r="AG140" i="174" s="1"/>
  <c r="AH140" i="124"/>
  <c r="AH140" i="174" s="1"/>
  <c r="AI140" i="124"/>
  <c r="AI140" i="174" s="1"/>
  <c r="AJ140" i="124"/>
  <c r="AJ140" i="174" s="1"/>
  <c r="Z141" i="124"/>
  <c r="Z141" i="174" s="1"/>
  <c r="AA141" i="124"/>
  <c r="AA141" i="174" s="1"/>
  <c r="AB141" i="124"/>
  <c r="AB141" i="174" s="1"/>
  <c r="AC141" i="124"/>
  <c r="AC141" i="174" s="1"/>
  <c r="AD141" i="124"/>
  <c r="AD141" i="174" s="1"/>
  <c r="AE141" i="124"/>
  <c r="AE141" i="174" s="1"/>
  <c r="AF141" i="124"/>
  <c r="AF141" i="174" s="1"/>
  <c r="AG141" i="124"/>
  <c r="AG141" i="174" s="1"/>
  <c r="AH141" i="124"/>
  <c r="AH141" i="174" s="1"/>
  <c r="AI141" i="124"/>
  <c r="AI141" i="174" s="1"/>
  <c r="AJ141" i="124"/>
  <c r="AJ141" i="174" s="1"/>
  <c r="Z142" i="124"/>
  <c r="Z142" i="174" s="1"/>
  <c r="AA142" i="124"/>
  <c r="AA142" i="174" s="1"/>
  <c r="AB142" i="124"/>
  <c r="AB142" i="174" s="1"/>
  <c r="AC142" i="124"/>
  <c r="AC142" i="174" s="1"/>
  <c r="AD142" i="124"/>
  <c r="AD142" i="174" s="1"/>
  <c r="AE142" i="124"/>
  <c r="AE142" i="174" s="1"/>
  <c r="AF142" i="124"/>
  <c r="AF142" i="174" s="1"/>
  <c r="AG142" i="124"/>
  <c r="AG142" i="174" s="1"/>
  <c r="AH142" i="124"/>
  <c r="AH142" i="174" s="1"/>
  <c r="AI142" i="124"/>
  <c r="AI142" i="174" s="1"/>
  <c r="AJ142" i="124"/>
  <c r="AJ142" i="174" s="1"/>
  <c r="Z143" i="124"/>
  <c r="Z143" i="174" s="1"/>
  <c r="AA143" i="124"/>
  <c r="AA143" i="174" s="1"/>
  <c r="AB143" i="124"/>
  <c r="AB143" i="174" s="1"/>
  <c r="AC143" i="124"/>
  <c r="AC143" i="174" s="1"/>
  <c r="AD143" i="124"/>
  <c r="AD143" i="174" s="1"/>
  <c r="AE143" i="124"/>
  <c r="AE143" i="174" s="1"/>
  <c r="AF143" i="124"/>
  <c r="AF143" i="174" s="1"/>
  <c r="AG143" i="124"/>
  <c r="AG143" i="174" s="1"/>
  <c r="AH143" i="124"/>
  <c r="AH143" i="174" s="1"/>
  <c r="AI143" i="124"/>
  <c r="AI143" i="174" s="1"/>
  <c r="AJ143" i="124"/>
  <c r="AJ143" i="174" s="1"/>
  <c r="Z144" i="124"/>
  <c r="Z144" i="174" s="1"/>
  <c r="AA144" i="124"/>
  <c r="AA144" i="174" s="1"/>
  <c r="AB144" i="124"/>
  <c r="AB144" i="174" s="1"/>
  <c r="AC144" i="124"/>
  <c r="AC144" i="174" s="1"/>
  <c r="AD144" i="124"/>
  <c r="AD144" i="174" s="1"/>
  <c r="AE144" i="124"/>
  <c r="AE144" i="174" s="1"/>
  <c r="AF144" i="124"/>
  <c r="AF144" i="174" s="1"/>
  <c r="AG144" i="124"/>
  <c r="AG144" i="174" s="1"/>
  <c r="AH144" i="124"/>
  <c r="AH144" i="174" s="1"/>
  <c r="AI144" i="124"/>
  <c r="AI144" i="174" s="1"/>
  <c r="AJ144" i="124"/>
  <c r="AJ144" i="174" s="1"/>
  <c r="Y146" i="124"/>
  <c r="Y146" i="174" s="1"/>
  <c r="Y144" i="124"/>
  <c r="Y144" i="174" s="1"/>
  <c r="Y143" i="124"/>
  <c r="Y143" i="174" s="1"/>
  <c r="Y142" i="124"/>
  <c r="Y142" i="174" s="1"/>
  <c r="Y141" i="124"/>
  <c r="Y141" i="174" s="1"/>
  <c r="Y140" i="124"/>
  <c r="Y140" i="174" s="1"/>
  <c r="Y139" i="124"/>
  <c r="Y139" i="174" s="1"/>
  <c r="Y138" i="124"/>
  <c r="Y138" i="174" s="1"/>
  <c r="Y137" i="124"/>
  <c r="Y137" i="174" s="1"/>
  <c r="Y136" i="124"/>
  <c r="Y136" i="174" s="1"/>
  <c r="Y135" i="124"/>
  <c r="Y135" i="174" s="1"/>
  <c r="Y131" i="124"/>
  <c r="Y131" i="174" s="1"/>
  <c r="Y128" i="124"/>
  <c r="Y128" i="174" s="1"/>
  <c r="Y112" i="124"/>
  <c r="Y112" i="174" s="1"/>
  <c r="K112" i="124"/>
  <c r="K112" i="174" s="1"/>
  <c r="L112" i="124"/>
  <c r="L112" i="174" s="1"/>
  <c r="M112" i="124"/>
  <c r="M112" i="174" s="1"/>
  <c r="N112" i="124"/>
  <c r="N112" i="174" s="1"/>
  <c r="O112" i="124"/>
  <c r="O112" i="174" s="1"/>
  <c r="P112" i="124"/>
  <c r="P112" i="174" s="1"/>
  <c r="Q112" i="124"/>
  <c r="Q112" i="174" s="1"/>
  <c r="R112" i="124"/>
  <c r="R112" i="174" s="1"/>
  <c r="S112" i="124"/>
  <c r="S112" i="174" s="1"/>
  <c r="K113" i="124"/>
  <c r="K113" i="174" s="1"/>
  <c r="L113" i="124"/>
  <c r="L113" i="174" s="1"/>
  <c r="M113" i="124"/>
  <c r="M113" i="174" s="1"/>
  <c r="N113" i="124"/>
  <c r="N113" i="174" s="1"/>
  <c r="O113" i="124"/>
  <c r="O113" i="174" s="1"/>
  <c r="P113" i="124"/>
  <c r="P113" i="174" s="1"/>
  <c r="Q113" i="124"/>
  <c r="Q113" i="174" s="1"/>
  <c r="R113" i="124"/>
  <c r="S113" i="124"/>
  <c r="S113" i="174" s="1"/>
  <c r="T113" i="124"/>
  <c r="T113" i="174" s="1"/>
  <c r="U113" i="124"/>
  <c r="U113" i="174" s="1"/>
  <c r="K114" i="124"/>
  <c r="K114" i="174" s="1"/>
  <c r="L114" i="124"/>
  <c r="L114" i="174" s="1"/>
  <c r="M114" i="124"/>
  <c r="M114" i="174" s="1"/>
  <c r="N114" i="124"/>
  <c r="N114" i="174" s="1"/>
  <c r="O114" i="124"/>
  <c r="O114" i="174" s="1"/>
  <c r="P114" i="124"/>
  <c r="P114" i="174" s="1"/>
  <c r="Q114" i="124"/>
  <c r="Q114" i="174" s="1"/>
  <c r="R114" i="124"/>
  <c r="S114" i="124"/>
  <c r="S114" i="174" s="1"/>
  <c r="T114" i="124"/>
  <c r="T114" i="174" s="1"/>
  <c r="U114" i="124"/>
  <c r="U114" i="174" s="1"/>
  <c r="K115" i="124"/>
  <c r="K115" i="174" s="1"/>
  <c r="L115" i="124"/>
  <c r="L115" i="174" s="1"/>
  <c r="M115" i="124"/>
  <c r="M115" i="174" s="1"/>
  <c r="N115" i="124"/>
  <c r="N115" i="174" s="1"/>
  <c r="O115" i="124"/>
  <c r="O115" i="174" s="1"/>
  <c r="P115" i="124"/>
  <c r="P115" i="174" s="1"/>
  <c r="Q115" i="124"/>
  <c r="Q115" i="174" s="1"/>
  <c r="R115" i="124"/>
  <c r="S115" i="124"/>
  <c r="S115" i="174" s="1"/>
  <c r="T115" i="124"/>
  <c r="T115" i="174" s="1"/>
  <c r="U115" i="124"/>
  <c r="U115" i="174" s="1"/>
  <c r="K116" i="124"/>
  <c r="K116" i="174" s="1"/>
  <c r="L116" i="124"/>
  <c r="L116" i="174" s="1"/>
  <c r="M116" i="124"/>
  <c r="M116" i="174" s="1"/>
  <c r="N116" i="124"/>
  <c r="N116" i="174" s="1"/>
  <c r="O116" i="124"/>
  <c r="O116" i="174" s="1"/>
  <c r="P116" i="124"/>
  <c r="P116" i="174" s="1"/>
  <c r="Q116" i="124"/>
  <c r="Q116" i="174" s="1"/>
  <c r="R116" i="124"/>
  <c r="S116" i="124"/>
  <c r="S116" i="174" s="1"/>
  <c r="T116" i="124"/>
  <c r="T116" i="174" s="1"/>
  <c r="U116" i="124"/>
  <c r="U116" i="174" s="1"/>
  <c r="K117" i="124"/>
  <c r="K117" i="174" s="1"/>
  <c r="L117" i="124"/>
  <c r="L117" i="174" s="1"/>
  <c r="M117" i="124"/>
  <c r="M117" i="174" s="1"/>
  <c r="N117" i="124"/>
  <c r="N117" i="174" s="1"/>
  <c r="O117" i="124"/>
  <c r="O117" i="174" s="1"/>
  <c r="P117" i="124"/>
  <c r="P117" i="174" s="1"/>
  <c r="Q117" i="124"/>
  <c r="Q117" i="174" s="1"/>
  <c r="R117" i="124"/>
  <c r="S117" i="124"/>
  <c r="S117" i="174" s="1"/>
  <c r="T117" i="124"/>
  <c r="T117" i="174" s="1"/>
  <c r="U117" i="124"/>
  <c r="U117" i="174" s="1"/>
  <c r="K118" i="124"/>
  <c r="K118" i="174" s="1"/>
  <c r="L118" i="124"/>
  <c r="L118" i="174" s="1"/>
  <c r="M118" i="124"/>
  <c r="M118" i="174" s="1"/>
  <c r="N118" i="124"/>
  <c r="N118" i="174" s="1"/>
  <c r="O118" i="124"/>
  <c r="O118" i="174" s="1"/>
  <c r="P118" i="124"/>
  <c r="P118" i="174" s="1"/>
  <c r="Q118" i="124"/>
  <c r="Q118" i="174" s="1"/>
  <c r="R118" i="124"/>
  <c r="S118" i="124"/>
  <c r="S118" i="174" s="1"/>
  <c r="T118" i="124"/>
  <c r="T118" i="174" s="1"/>
  <c r="U118" i="124"/>
  <c r="U118" i="174" s="1"/>
  <c r="K119" i="124"/>
  <c r="K119" i="174" s="1"/>
  <c r="L119" i="124"/>
  <c r="L119" i="174" s="1"/>
  <c r="M119" i="124"/>
  <c r="M119" i="174" s="1"/>
  <c r="N119" i="124"/>
  <c r="N119" i="174" s="1"/>
  <c r="O119" i="124"/>
  <c r="O119" i="174" s="1"/>
  <c r="P119" i="124"/>
  <c r="P119" i="174" s="1"/>
  <c r="Q119" i="124"/>
  <c r="Q119" i="174" s="1"/>
  <c r="R119" i="124"/>
  <c r="S119" i="124"/>
  <c r="S119" i="174" s="1"/>
  <c r="T119" i="124"/>
  <c r="T119" i="174" s="1"/>
  <c r="U119" i="124"/>
  <c r="U119" i="174" s="1"/>
  <c r="K120" i="124"/>
  <c r="K120" i="174" s="1"/>
  <c r="L120" i="124"/>
  <c r="L120" i="174" s="1"/>
  <c r="M120" i="124"/>
  <c r="M120" i="174" s="1"/>
  <c r="N120" i="124"/>
  <c r="N120" i="174" s="1"/>
  <c r="O120" i="124"/>
  <c r="O120" i="174" s="1"/>
  <c r="P120" i="124"/>
  <c r="P120" i="174" s="1"/>
  <c r="Q120" i="124"/>
  <c r="Q120" i="174" s="1"/>
  <c r="R120" i="124"/>
  <c r="S120" i="124"/>
  <c r="S120" i="174" s="1"/>
  <c r="T120" i="124"/>
  <c r="U120" i="124"/>
  <c r="K121" i="124"/>
  <c r="K121" i="174" s="1"/>
  <c r="L121" i="124"/>
  <c r="L121" i="174" s="1"/>
  <c r="M121" i="124"/>
  <c r="M121" i="174" s="1"/>
  <c r="N121" i="124"/>
  <c r="N121" i="174" s="1"/>
  <c r="O121" i="124"/>
  <c r="O121" i="174" s="1"/>
  <c r="P121" i="124"/>
  <c r="P121" i="174" s="1"/>
  <c r="Q121" i="124"/>
  <c r="Q121" i="174" s="1"/>
  <c r="R121" i="124"/>
  <c r="S121" i="124"/>
  <c r="S121" i="174" s="1"/>
  <c r="T121" i="124"/>
  <c r="T121" i="174" s="1"/>
  <c r="U121" i="124"/>
  <c r="U121" i="174" s="1"/>
  <c r="K122" i="124"/>
  <c r="K122" i="174" s="1"/>
  <c r="L122" i="124"/>
  <c r="L122" i="174" s="1"/>
  <c r="M122" i="124"/>
  <c r="M122" i="174" s="1"/>
  <c r="N122" i="124"/>
  <c r="N122" i="174" s="1"/>
  <c r="O122" i="124"/>
  <c r="O122" i="174" s="1"/>
  <c r="P122" i="124"/>
  <c r="P122" i="174" s="1"/>
  <c r="Q122" i="124"/>
  <c r="Q122" i="174" s="1"/>
  <c r="R122" i="124"/>
  <c r="S122" i="124"/>
  <c r="S122" i="174" s="1"/>
  <c r="T122" i="124"/>
  <c r="T122" i="174" s="1"/>
  <c r="U122" i="124"/>
  <c r="U122" i="174" s="1"/>
  <c r="K123" i="124"/>
  <c r="K123" i="174" s="1"/>
  <c r="L123" i="124"/>
  <c r="L123" i="174" s="1"/>
  <c r="M123" i="124"/>
  <c r="M123" i="174" s="1"/>
  <c r="N123" i="124"/>
  <c r="N123" i="174" s="1"/>
  <c r="O123" i="124"/>
  <c r="O123" i="174" s="1"/>
  <c r="P123" i="124"/>
  <c r="P123" i="174" s="1"/>
  <c r="Q123" i="124"/>
  <c r="Q123" i="174" s="1"/>
  <c r="R123" i="124"/>
  <c r="S123" i="124"/>
  <c r="S123" i="174" s="1"/>
  <c r="T123" i="124"/>
  <c r="T123" i="174" s="1"/>
  <c r="U123" i="124"/>
  <c r="U123" i="174" s="1"/>
  <c r="K124" i="124"/>
  <c r="K124" i="174" s="1"/>
  <c r="L124" i="124"/>
  <c r="L124" i="174" s="1"/>
  <c r="M124" i="124"/>
  <c r="M124" i="174" s="1"/>
  <c r="N124" i="124"/>
  <c r="N124" i="174" s="1"/>
  <c r="O124" i="124"/>
  <c r="O124" i="174" s="1"/>
  <c r="P124" i="124"/>
  <c r="P124" i="174" s="1"/>
  <c r="Q124" i="124"/>
  <c r="Q124" i="174" s="1"/>
  <c r="R124" i="124"/>
  <c r="S124" i="124"/>
  <c r="S124" i="174" s="1"/>
  <c r="T124" i="124"/>
  <c r="T124" i="174" s="1"/>
  <c r="U124" i="124"/>
  <c r="U124" i="174" s="1"/>
  <c r="K125" i="124"/>
  <c r="K125" i="174" s="1"/>
  <c r="L125" i="124"/>
  <c r="L125" i="174" s="1"/>
  <c r="M125" i="124"/>
  <c r="M125" i="174" s="1"/>
  <c r="N125" i="124"/>
  <c r="N125" i="174" s="1"/>
  <c r="O125" i="124"/>
  <c r="O125" i="174" s="1"/>
  <c r="P125" i="124"/>
  <c r="P125" i="174" s="1"/>
  <c r="Q125" i="124"/>
  <c r="Q125" i="174" s="1"/>
  <c r="R125" i="124"/>
  <c r="S125" i="124"/>
  <c r="S125" i="174" s="1"/>
  <c r="T125" i="124"/>
  <c r="T125" i="174" s="1"/>
  <c r="U125" i="124"/>
  <c r="U125" i="174" s="1"/>
  <c r="K126" i="124"/>
  <c r="K126" i="174" s="1"/>
  <c r="L126" i="124"/>
  <c r="L126" i="174" s="1"/>
  <c r="M126" i="124"/>
  <c r="M126" i="174" s="1"/>
  <c r="N126" i="124"/>
  <c r="N126" i="174" s="1"/>
  <c r="O126" i="124"/>
  <c r="O126" i="174" s="1"/>
  <c r="P126" i="124"/>
  <c r="P126" i="174" s="1"/>
  <c r="Q126" i="124"/>
  <c r="Q126" i="174" s="1"/>
  <c r="R126" i="124"/>
  <c r="S126" i="124"/>
  <c r="S126" i="174" s="1"/>
  <c r="T126" i="124"/>
  <c r="T126" i="174" s="1"/>
  <c r="U126" i="124"/>
  <c r="U126" i="174" s="1"/>
  <c r="K127" i="124"/>
  <c r="K127" i="174" s="1"/>
  <c r="L127" i="124"/>
  <c r="L127" i="174" s="1"/>
  <c r="M127" i="124"/>
  <c r="M127" i="174" s="1"/>
  <c r="N127" i="124"/>
  <c r="N127" i="174" s="1"/>
  <c r="O127" i="124"/>
  <c r="O127" i="174" s="1"/>
  <c r="P127" i="124"/>
  <c r="P127" i="174" s="1"/>
  <c r="Q127" i="124"/>
  <c r="Q127" i="174" s="1"/>
  <c r="R127" i="124"/>
  <c r="S127" i="124"/>
  <c r="S127" i="174" s="1"/>
  <c r="T127" i="124"/>
  <c r="T127" i="174" s="1"/>
  <c r="U127" i="124"/>
  <c r="U127" i="174" s="1"/>
  <c r="K128" i="124"/>
  <c r="K128" i="174" s="1"/>
  <c r="L128" i="124"/>
  <c r="L128" i="174" s="1"/>
  <c r="M128" i="124"/>
  <c r="M128" i="174" s="1"/>
  <c r="N128" i="124"/>
  <c r="N128" i="174" s="1"/>
  <c r="O128" i="124"/>
  <c r="O128" i="174" s="1"/>
  <c r="P128" i="124"/>
  <c r="P128" i="174" s="1"/>
  <c r="Q128" i="124"/>
  <c r="Q128" i="174" s="1"/>
  <c r="R128" i="124"/>
  <c r="S128" i="124"/>
  <c r="S128" i="174" s="1"/>
  <c r="T128" i="124"/>
  <c r="T128" i="174" s="1"/>
  <c r="U128" i="124"/>
  <c r="U128" i="174" s="1"/>
  <c r="K129" i="124"/>
  <c r="K129" i="174" s="1"/>
  <c r="L129" i="124"/>
  <c r="L129" i="174" s="1"/>
  <c r="M129" i="124"/>
  <c r="M129" i="174" s="1"/>
  <c r="N129" i="124"/>
  <c r="N129" i="174" s="1"/>
  <c r="O129" i="124"/>
  <c r="O129" i="174" s="1"/>
  <c r="P129" i="124"/>
  <c r="P129" i="174" s="1"/>
  <c r="Q129" i="124"/>
  <c r="Q129" i="174" s="1"/>
  <c r="R129" i="124"/>
  <c r="S129" i="124"/>
  <c r="S129" i="174" s="1"/>
  <c r="T129" i="124"/>
  <c r="T129" i="174" s="1"/>
  <c r="U129" i="124"/>
  <c r="U129" i="174" s="1"/>
  <c r="K130" i="124"/>
  <c r="K130" i="174" s="1"/>
  <c r="L130" i="124"/>
  <c r="L130" i="174" s="1"/>
  <c r="M130" i="124"/>
  <c r="M130" i="174" s="1"/>
  <c r="N130" i="124"/>
  <c r="N130" i="174" s="1"/>
  <c r="O130" i="124"/>
  <c r="O130" i="174" s="1"/>
  <c r="P130" i="124"/>
  <c r="P130" i="174" s="1"/>
  <c r="Q130" i="124"/>
  <c r="Q130" i="174" s="1"/>
  <c r="R130" i="124"/>
  <c r="S130" i="124"/>
  <c r="S130" i="174" s="1"/>
  <c r="T130" i="124"/>
  <c r="T130" i="174" s="1"/>
  <c r="U130" i="124"/>
  <c r="U130" i="174" s="1"/>
  <c r="K131" i="124"/>
  <c r="K131" i="174" s="1"/>
  <c r="L131" i="124"/>
  <c r="L131" i="174" s="1"/>
  <c r="M131" i="124"/>
  <c r="M131" i="174" s="1"/>
  <c r="N131" i="124"/>
  <c r="N131" i="174" s="1"/>
  <c r="O131" i="124"/>
  <c r="O131" i="174" s="1"/>
  <c r="P131" i="124"/>
  <c r="P131" i="174" s="1"/>
  <c r="Q131" i="124"/>
  <c r="Q131" i="174" s="1"/>
  <c r="R131" i="124"/>
  <c r="S131" i="124"/>
  <c r="S131" i="174" s="1"/>
  <c r="T131" i="124"/>
  <c r="T131" i="174" s="1"/>
  <c r="U131" i="124"/>
  <c r="U131" i="174" s="1"/>
  <c r="K132" i="124"/>
  <c r="K132" i="174" s="1"/>
  <c r="L132" i="124"/>
  <c r="L132" i="174" s="1"/>
  <c r="M132" i="124"/>
  <c r="M132" i="174" s="1"/>
  <c r="N132" i="124"/>
  <c r="N132" i="174" s="1"/>
  <c r="O132" i="124"/>
  <c r="O132" i="174" s="1"/>
  <c r="P132" i="124"/>
  <c r="P132" i="174" s="1"/>
  <c r="Q132" i="124"/>
  <c r="Q132" i="174" s="1"/>
  <c r="R132" i="124"/>
  <c r="S132" i="124"/>
  <c r="S132" i="174" s="1"/>
  <c r="T132" i="124"/>
  <c r="T132" i="174" s="1"/>
  <c r="U132" i="124"/>
  <c r="U132" i="174" s="1"/>
  <c r="K133" i="124"/>
  <c r="K133" i="174" s="1"/>
  <c r="L133" i="124"/>
  <c r="L133" i="174" s="1"/>
  <c r="M133" i="124"/>
  <c r="M133" i="174" s="1"/>
  <c r="N133" i="124"/>
  <c r="N133" i="174" s="1"/>
  <c r="O133" i="124"/>
  <c r="O133" i="174" s="1"/>
  <c r="P133" i="124"/>
  <c r="P133" i="174" s="1"/>
  <c r="Q133" i="124"/>
  <c r="Q133" i="174" s="1"/>
  <c r="R133" i="124"/>
  <c r="S133" i="124"/>
  <c r="S133" i="174" s="1"/>
  <c r="T133" i="124"/>
  <c r="T133" i="174" s="1"/>
  <c r="U133" i="124"/>
  <c r="U133" i="174" s="1"/>
  <c r="K134" i="124"/>
  <c r="K134" i="174" s="1"/>
  <c r="L134" i="124"/>
  <c r="L134" i="174" s="1"/>
  <c r="M134" i="124"/>
  <c r="M134" i="174" s="1"/>
  <c r="N134" i="124"/>
  <c r="N134" i="174" s="1"/>
  <c r="O134" i="124"/>
  <c r="O134" i="174" s="1"/>
  <c r="P134" i="124"/>
  <c r="P134" i="174" s="1"/>
  <c r="Q134" i="124"/>
  <c r="Q134" i="174" s="1"/>
  <c r="R134" i="124"/>
  <c r="S134" i="124"/>
  <c r="S134" i="174" s="1"/>
  <c r="T134" i="124"/>
  <c r="T134" i="174" s="1"/>
  <c r="U134" i="124"/>
  <c r="U134" i="174" s="1"/>
  <c r="K135" i="124"/>
  <c r="K135" i="174" s="1"/>
  <c r="L135" i="124"/>
  <c r="L135" i="174" s="1"/>
  <c r="M135" i="124"/>
  <c r="M135" i="174" s="1"/>
  <c r="N135" i="124"/>
  <c r="N135" i="174" s="1"/>
  <c r="O135" i="124"/>
  <c r="O135" i="174" s="1"/>
  <c r="P135" i="124"/>
  <c r="P135" i="174" s="1"/>
  <c r="Q135" i="124"/>
  <c r="Q135" i="174" s="1"/>
  <c r="R135" i="124"/>
  <c r="S135" i="124"/>
  <c r="S135" i="174" s="1"/>
  <c r="T135" i="124"/>
  <c r="T135" i="174" s="1"/>
  <c r="U135" i="124"/>
  <c r="U135" i="174" s="1"/>
  <c r="K136" i="124"/>
  <c r="K136" i="174" s="1"/>
  <c r="L136" i="124"/>
  <c r="L136" i="174" s="1"/>
  <c r="M136" i="124"/>
  <c r="M136" i="174" s="1"/>
  <c r="N136" i="124"/>
  <c r="N136" i="174" s="1"/>
  <c r="O136" i="124"/>
  <c r="O136" i="174" s="1"/>
  <c r="P136" i="124"/>
  <c r="P136" i="174" s="1"/>
  <c r="Q136" i="124"/>
  <c r="Q136" i="174" s="1"/>
  <c r="R136" i="124"/>
  <c r="S136" i="124"/>
  <c r="S136" i="174" s="1"/>
  <c r="T136" i="124"/>
  <c r="T136" i="174" s="1"/>
  <c r="U136" i="124"/>
  <c r="U136" i="174" s="1"/>
  <c r="K137" i="124"/>
  <c r="K137" i="174" s="1"/>
  <c r="L137" i="124"/>
  <c r="L137" i="174" s="1"/>
  <c r="M137" i="124"/>
  <c r="M137" i="174" s="1"/>
  <c r="N137" i="124"/>
  <c r="N137" i="174" s="1"/>
  <c r="O137" i="124"/>
  <c r="O137" i="174" s="1"/>
  <c r="P137" i="124"/>
  <c r="P137" i="174" s="1"/>
  <c r="Q137" i="124"/>
  <c r="Q137" i="174" s="1"/>
  <c r="R137" i="124"/>
  <c r="S137" i="124"/>
  <c r="S137" i="174" s="1"/>
  <c r="T137" i="124"/>
  <c r="T137" i="174" s="1"/>
  <c r="U137" i="124"/>
  <c r="U137" i="174" s="1"/>
  <c r="K138" i="124"/>
  <c r="K138" i="174" s="1"/>
  <c r="L138" i="124"/>
  <c r="L138" i="174" s="1"/>
  <c r="M138" i="124"/>
  <c r="M138" i="174" s="1"/>
  <c r="N138" i="124"/>
  <c r="N138" i="174" s="1"/>
  <c r="O138" i="124"/>
  <c r="O138" i="174" s="1"/>
  <c r="P138" i="124"/>
  <c r="P138" i="174" s="1"/>
  <c r="Q138" i="124"/>
  <c r="Q138" i="174" s="1"/>
  <c r="R138" i="124"/>
  <c r="S138" i="124"/>
  <c r="S138" i="174" s="1"/>
  <c r="T138" i="124"/>
  <c r="T138" i="174" s="1"/>
  <c r="U138" i="124"/>
  <c r="U138" i="174" s="1"/>
  <c r="K139" i="124"/>
  <c r="K139" i="174" s="1"/>
  <c r="L139" i="124"/>
  <c r="L139" i="174" s="1"/>
  <c r="M139" i="124"/>
  <c r="M139" i="174" s="1"/>
  <c r="N139" i="124"/>
  <c r="N139" i="174" s="1"/>
  <c r="O139" i="124"/>
  <c r="O139" i="174" s="1"/>
  <c r="P139" i="124"/>
  <c r="P139" i="174" s="1"/>
  <c r="Q139" i="124"/>
  <c r="Q139" i="174" s="1"/>
  <c r="R139" i="124"/>
  <c r="S139" i="124"/>
  <c r="S139" i="174" s="1"/>
  <c r="T139" i="124"/>
  <c r="T139" i="174" s="1"/>
  <c r="U139" i="124"/>
  <c r="U139" i="174" s="1"/>
  <c r="K140" i="124"/>
  <c r="K140" i="174" s="1"/>
  <c r="L140" i="124"/>
  <c r="L140" i="174" s="1"/>
  <c r="M140" i="124"/>
  <c r="M140" i="174" s="1"/>
  <c r="N140" i="124"/>
  <c r="N140" i="174" s="1"/>
  <c r="O140" i="124"/>
  <c r="O140" i="174" s="1"/>
  <c r="P140" i="124"/>
  <c r="P140" i="174" s="1"/>
  <c r="Q140" i="124"/>
  <c r="Q140" i="174" s="1"/>
  <c r="R140" i="124"/>
  <c r="S140" i="124"/>
  <c r="S140" i="174" s="1"/>
  <c r="T140" i="124"/>
  <c r="T140" i="174" s="1"/>
  <c r="U140" i="124"/>
  <c r="U140" i="174" s="1"/>
  <c r="K141" i="124"/>
  <c r="K141" i="174" s="1"/>
  <c r="L141" i="124"/>
  <c r="L141" i="174" s="1"/>
  <c r="M141" i="124"/>
  <c r="M141" i="174" s="1"/>
  <c r="N141" i="124"/>
  <c r="N141" i="174" s="1"/>
  <c r="O141" i="124"/>
  <c r="O141" i="174" s="1"/>
  <c r="P141" i="124"/>
  <c r="P141" i="174" s="1"/>
  <c r="Q141" i="124"/>
  <c r="Q141" i="174" s="1"/>
  <c r="R141" i="124"/>
  <c r="S141" i="124"/>
  <c r="S141" i="174" s="1"/>
  <c r="T141" i="124"/>
  <c r="T141" i="174" s="1"/>
  <c r="U141" i="124"/>
  <c r="U141" i="174" s="1"/>
  <c r="K142" i="124"/>
  <c r="K142" i="174" s="1"/>
  <c r="L142" i="124"/>
  <c r="L142" i="174" s="1"/>
  <c r="M142" i="124"/>
  <c r="M142" i="174" s="1"/>
  <c r="N142" i="124"/>
  <c r="N142" i="174" s="1"/>
  <c r="O142" i="124"/>
  <c r="O142" i="174" s="1"/>
  <c r="P142" i="124"/>
  <c r="P142" i="174" s="1"/>
  <c r="Q142" i="124"/>
  <c r="Q142" i="174" s="1"/>
  <c r="R142" i="124"/>
  <c r="S142" i="124"/>
  <c r="S142" i="174" s="1"/>
  <c r="T142" i="124"/>
  <c r="T142" i="174" s="1"/>
  <c r="U142" i="124"/>
  <c r="U142" i="174" s="1"/>
  <c r="K143" i="124"/>
  <c r="K143" i="174" s="1"/>
  <c r="L143" i="124"/>
  <c r="L143" i="174" s="1"/>
  <c r="M143" i="124"/>
  <c r="M143" i="174" s="1"/>
  <c r="N143" i="124"/>
  <c r="N143" i="174" s="1"/>
  <c r="O143" i="124"/>
  <c r="O143" i="174" s="1"/>
  <c r="P143" i="124"/>
  <c r="P143" i="174" s="1"/>
  <c r="Q143" i="124"/>
  <c r="Q143" i="174" s="1"/>
  <c r="R143" i="124"/>
  <c r="S143" i="124"/>
  <c r="S143" i="174" s="1"/>
  <c r="T143" i="124"/>
  <c r="T143" i="174" s="1"/>
  <c r="U143" i="124"/>
  <c r="U143" i="174" s="1"/>
  <c r="K144" i="124"/>
  <c r="K144" i="174" s="1"/>
  <c r="L144" i="124"/>
  <c r="L144" i="174" s="1"/>
  <c r="M144" i="124"/>
  <c r="M144" i="174" s="1"/>
  <c r="N144" i="124"/>
  <c r="N144" i="174" s="1"/>
  <c r="O144" i="124"/>
  <c r="O144" i="174" s="1"/>
  <c r="P144" i="124"/>
  <c r="P144" i="174" s="1"/>
  <c r="Q144" i="124"/>
  <c r="Q144" i="174" s="1"/>
  <c r="R144" i="124"/>
  <c r="S144" i="124"/>
  <c r="S144" i="174" s="1"/>
  <c r="T144" i="124"/>
  <c r="T144" i="174" s="1"/>
  <c r="U144" i="124"/>
  <c r="U144" i="174" s="1"/>
  <c r="K145" i="124"/>
  <c r="K145" i="174" s="1"/>
  <c r="L145" i="124"/>
  <c r="L145" i="174" s="1"/>
  <c r="M145" i="124"/>
  <c r="M145" i="174" s="1"/>
  <c r="N145" i="124"/>
  <c r="N145" i="174" s="1"/>
  <c r="O145" i="124"/>
  <c r="O145" i="174" s="1"/>
  <c r="P145" i="124"/>
  <c r="P145" i="174" s="1"/>
  <c r="Q145" i="124"/>
  <c r="Q145" i="174" s="1"/>
  <c r="R145" i="124"/>
  <c r="S145" i="124"/>
  <c r="S145" i="174" s="1"/>
  <c r="T145" i="124"/>
  <c r="T145" i="174" s="1"/>
  <c r="U145" i="124"/>
  <c r="U145" i="174" s="1"/>
  <c r="K146" i="124"/>
  <c r="K146" i="174" s="1"/>
  <c r="L146" i="124"/>
  <c r="L146" i="174" s="1"/>
  <c r="M146" i="124"/>
  <c r="M146" i="174" s="1"/>
  <c r="N146" i="124"/>
  <c r="N146" i="174" s="1"/>
  <c r="O146" i="124"/>
  <c r="O146" i="174" s="1"/>
  <c r="P146" i="124"/>
  <c r="P146" i="174" s="1"/>
  <c r="Q146" i="124"/>
  <c r="Q146" i="174" s="1"/>
  <c r="R146" i="124"/>
  <c r="S146" i="124"/>
  <c r="S146" i="174" s="1"/>
  <c r="T146" i="124"/>
  <c r="T146" i="174" s="1"/>
  <c r="U146" i="124"/>
  <c r="U146" i="174" s="1"/>
  <c r="J113" i="124"/>
  <c r="J113" i="174" s="1"/>
  <c r="J114" i="124"/>
  <c r="J114" i="174" s="1"/>
  <c r="J115" i="124"/>
  <c r="J115" i="174" s="1"/>
  <c r="J116" i="124"/>
  <c r="J116" i="174" s="1"/>
  <c r="J117" i="124"/>
  <c r="J117" i="174" s="1"/>
  <c r="J118" i="124"/>
  <c r="J118" i="174" s="1"/>
  <c r="J119" i="124"/>
  <c r="J119" i="174" s="1"/>
  <c r="J120" i="124"/>
  <c r="J120" i="174" s="1"/>
  <c r="J121" i="124"/>
  <c r="J121" i="174" s="1"/>
  <c r="J122" i="124"/>
  <c r="J122" i="174" s="1"/>
  <c r="J123" i="124"/>
  <c r="J123" i="174" s="1"/>
  <c r="J124" i="124"/>
  <c r="J124" i="174" s="1"/>
  <c r="J125" i="124"/>
  <c r="J125" i="174" s="1"/>
  <c r="J126" i="124"/>
  <c r="J126" i="174" s="1"/>
  <c r="J127" i="124"/>
  <c r="J127" i="174" s="1"/>
  <c r="J128" i="124"/>
  <c r="J128" i="174" s="1"/>
  <c r="J129" i="124"/>
  <c r="J129" i="174" s="1"/>
  <c r="J130" i="124"/>
  <c r="J130" i="174" s="1"/>
  <c r="J131" i="124"/>
  <c r="J131" i="174" s="1"/>
  <c r="J132" i="124"/>
  <c r="J132" i="174" s="1"/>
  <c r="J133" i="124"/>
  <c r="J133" i="174" s="1"/>
  <c r="J134" i="124"/>
  <c r="J134" i="174" s="1"/>
  <c r="J135" i="124"/>
  <c r="J135" i="174" s="1"/>
  <c r="J136" i="124"/>
  <c r="J136" i="174" s="1"/>
  <c r="J137" i="124"/>
  <c r="J137" i="174" s="1"/>
  <c r="J138" i="124"/>
  <c r="J138" i="174" s="1"/>
  <c r="J139" i="124"/>
  <c r="J139" i="174" s="1"/>
  <c r="J140" i="124"/>
  <c r="J140" i="174" s="1"/>
  <c r="J141" i="124"/>
  <c r="J141" i="174" s="1"/>
  <c r="J142" i="124"/>
  <c r="J142" i="174" s="1"/>
  <c r="J143" i="124"/>
  <c r="J143" i="174" s="1"/>
  <c r="J144" i="124"/>
  <c r="J144" i="174" s="1"/>
  <c r="J145" i="124"/>
  <c r="J145" i="174" s="1"/>
  <c r="J146" i="124"/>
  <c r="J146" i="174" s="1"/>
  <c r="J112" i="124"/>
  <c r="J112" i="174" s="1"/>
  <c r="K107" i="124"/>
  <c r="K107" i="174" s="1"/>
  <c r="L107" i="124"/>
  <c r="L107" i="174" s="1"/>
  <c r="M107" i="124"/>
  <c r="M107" i="174" s="1"/>
  <c r="N107" i="124"/>
  <c r="N107" i="174" s="1"/>
  <c r="O107" i="124"/>
  <c r="O107" i="174" s="1"/>
  <c r="P107" i="124"/>
  <c r="P107" i="174" s="1"/>
  <c r="Q107" i="124"/>
  <c r="Q107" i="174" s="1"/>
  <c r="R107" i="124"/>
  <c r="R107" i="174" s="1"/>
  <c r="K108" i="124"/>
  <c r="K108" i="174" s="1"/>
  <c r="L108" i="124"/>
  <c r="L108" i="174" s="1"/>
  <c r="M108" i="124"/>
  <c r="M108" i="174" s="1"/>
  <c r="N108" i="124"/>
  <c r="N108" i="174" s="1"/>
  <c r="O108" i="124"/>
  <c r="O108" i="174" s="1"/>
  <c r="P108" i="124"/>
  <c r="P108" i="174" s="1"/>
  <c r="Q108" i="124"/>
  <c r="Q108" i="174" s="1"/>
  <c r="R108" i="124"/>
  <c r="R108" i="174" s="1"/>
  <c r="K109" i="124"/>
  <c r="K109" i="174" s="1"/>
  <c r="L109" i="124"/>
  <c r="L109" i="174" s="1"/>
  <c r="M109" i="124"/>
  <c r="M109" i="174" s="1"/>
  <c r="N109" i="124"/>
  <c r="N109" i="174" s="1"/>
  <c r="O109" i="124"/>
  <c r="O109" i="174" s="1"/>
  <c r="P109" i="124"/>
  <c r="P109" i="174" s="1"/>
  <c r="Q109" i="124"/>
  <c r="Q109" i="174" s="1"/>
  <c r="R109" i="124"/>
  <c r="R109" i="174" s="1"/>
  <c r="K110" i="124"/>
  <c r="K110" i="174" s="1"/>
  <c r="L110" i="124"/>
  <c r="L110" i="174" s="1"/>
  <c r="M110" i="124"/>
  <c r="M110" i="174" s="1"/>
  <c r="N110" i="124"/>
  <c r="N110" i="174" s="1"/>
  <c r="O110" i="124"/>
  <c r="O110" i="174" s="1"/>
  <c r="P110" i="124"/>
  <c r="P110" i="174" s="1"/>
  <c r="Q110" i="124"/>
  <c r="Q110" i="174" s="1"/>
  <c r="R110" i="124"/>
  <c r="R110" i="174" s="1"/>
  <c r="J108" i="124"/>
  <c r="J108" i="174" s="1"/>
  <c r="J109" i="124"/>
  <c r="J109" i="174" s="1"/>
  <c r="J110" i="124"/>
  <c r="J110" i="174" s="1"/>
  <c r="J107" i="124"/>
  <c r="J107" i="174" s="1"/>
  <c r="Z58" i="124"/>
  <c r="Z58" i="174" s="1"/>
  <c r="AA58" i="124"/>
  <c r="AA58" i="174" s="1"/>
  <c r="AB58" i="124"/>
  <c r="AB58" i="174" s="1"/>
  <c r="AC58" i="124"/>
  <c r="AC58" i="174" s="1"/>
  <c r="AD58" i="124"/>
  <c r="AD58" i="174" s="1"/>
  <c r="AE58" i="124"/>
  <c r="AE58" i="174" s="1"/>
  <c r="AF58" i="124"/>
  <c r="AF58" i="174" s="1"/>
  <c r="AG58" i="124"/>
  <c r="AG58" i="174" s="1"/>
  <c r="AH58" i="124"/>
  <c r="AH58" i="174" s="1"/>
  <c r="AI58" i="124"/>
  <c r="AI58" i="174" s="1"/>
  <c r="AJ58" i="124"/>
  <c r="AJ58" i="174" s="1"/>
  <c r="Z59" i="124"/>
  <c r="Z59" i="174" s="1"/>
  <c r="AA59" i="124"/>
  <c r="AA59" i="174" s="1"/>
  <c r="AB59" i="124"/>
  <c r="AB59" i="174" s="1"/>
  <c r="AC59" i="124"/>
  <c r="AC59" i="174" s="1"/>
  <c r="AD59" i="124"/>
  <c r="AD59" i="174" s="1"/>
  <c r="AE59" i="124"/>
  <c r="AE59" i="174" s="1"/>
  <c r="AF59" i="124"/>
  <c r="AF59" i="174" s="1"/>
  <c r="AG59" i="124"/>
  <c r="AG59" i="174" s="1"/>
  <c r="AH59" i="124"/>
  <c r="AH59" i="174" s="1"/>
  <c r="AI59" i="124"/>
  <c r="AI59" i="174" s="1"/>
  <c r="AJ59" i="124"/>
  <c r="AJ59" i="174" s="1"/>
  <c r="Z60" i="124"/>
  <c r="Z60" i="174" s="1"/>
  <c r="AA60" i="124"/>
  <c r="AA60" i="174" s="1"/>
  <c r="AB60" i="124"/>
  <c r="AB60" i="174" s="1"/>
  <c r="AC60" i="124"/>
  <c r="AC60" i="174" s="1"/>
  <c r="AD60" i="124"/>
  <c r="AD60" i="174" s="1"/>
  <c r="AE60" i="124"/>
  <c r="AE60" i="174" s="1"/>
  <c r="AF60" i="124"/>
  <c r="AF60" i="174" s="1"/>
  <c r="AG60" i="124"/>
  <c r="AG60" i="174" s="1"/>
  <c r="AH60" i="124"/>
  <c r="AH60" i="174" s="1"/>
  <c r="AI60" i="124"/>
  <c r="AI60" i="174" s="1"/>
  <c r="AJ60" i="124"/>
  <c r="AJ60" i="174" s="1"/>
  <c r="Z61" i="124"/>
  <c r="Z61" i="174" s="1"/>
  <c r="AA61" i="124"/>
  <c r="AA61" i="174" s="1"/>
  <c r="AB61" i="124"/>
  <c r="AB61" i="174" s="1"/>
  <c r="AC61" i="124"/>
  <c r="AC61" i="174" s="1"/>
  <c r="AD61" i="124"/>
  <c r="AD61" i="174" s="1"/>
  <c r="AE61" i="124"/>
  <c r="AE61" i="174" s="1"/>
  <c r="AF61" i="124"/>
  <c r="AF61" i="174" s="1"/>
  <c r="AG61" i="124"/>
  <c r="AG61" i="174" s="1"/>
  <c r="AH61" i="124"/>
  <c r="AH61" i="174" s="1"/>
  <c r="AI61" i="124"/>
  <c r="AI61" i="174" s="1"/>
  <c r="AJ61" i="124"/>
  <c r="AJ61" i="174" s="1"/>
  <c r="Z63" i="124"/>
  <c r="Z63" i="174" s="1"/>
  <c r="AA63" i="124"/>
  <c r="AA63" i="174" s="1"/>
  <c r="AB63" i="124"/>
  <c r="AB63" i="174" s="1"/>
  <c r="AC63" i="124"/>
  <c r="AC63" i="174" s="1"/>
  <c r="AD63" i="124"/>
  <c r="AD63" i="174" s="1"/>
  <c r="AE63" i="124"/>
  <c r="AE63" i="174" s="1"/>
  <c r="AF63" i="124"/>
  <c r="AF63" i="174" s="1"/>
  <c r="AG63" i="124"/>
  <c r="AG63" i="174" s="1"/>
  <c r="AH63" i="124"/>
  <c r="AH63" i="174" s="1"/>
  <c r="AI63" i="124"/>
  <c r="AI63" i="174" s="1"/>
  <c r="AJ63" i="124"/>
  <c r="AJ63" i="174" s="1"/>
  <c r="Z66" i="124"/>
  <c r="Z66" i="174" s="1"/>
  <c r="AA66" i="124"/>
  <c r="AA66" i="174" s="1"/>
  <c r="AB66" i="124"/>
  <c r="AB66" i="174" s="1"/>
  <c r="AC66" i="124"/>
  <c r="AC66" i="174" s="1"/>
  <c r="AD66" i="124"/>
  <c r="AD66" i="174" s="1"/>
  <c r="AE66" i="124"/>
  <c r="AE66" i="174" s="1"/>
  <c r="AF66" i="124"/>
  <c r="AF66" i="174" s="1"/>
  <c r="AG66" i="124"/>
  <c r="AG66" i="174" s="1"/>
  <c r="AH66" i="124"/>
  <c r="AH66" i="174" s="1"/>
  <c r="AI66" i="124"/>
  <c r="AI66" i="174" s="1"/>
  <c r="AJ66" i="124"/>
  <c r="AJ66" i="174" s="1"/>
  <c r="Z67" i="124"/>
  <c r="Z67" i="174" s="1"/>
  <c r="AA67" i="124"/>
  <c r="AA67" i="174" s="1"/>
  <c r="AB67" i="124"/>
  <c r="AB67" i="174" s="1"/>
  <c r="AC67" i="124"/>
  <c r="AC67" i="174" s="1"/>
  <c r="AD67" i="124"/>
  <c r="AD67" i="174" s="1"/>
  <c r="AE67" i="124"/>
  <c r="AE67" i="174" s="1"/>
  <c r="AF67" i="124"/>
  <c r="AF67" i="174" s="1"/>
  <c r="AG67" i="124"/>
  <c r="AG67" i="174" s="1"/>
  <c r="AH67" i="124"/>
  <c r="AH67" i="174" s="1"/>
  <c r="AI67" i="124"/>
  <c r="AI67" i="174" s="1"/>
  <c r="AJ67" i="124"/>
  <c r="AJ67" i="174" s="1"/>
  <c r="Z69" i="124"/>
  <c r="Z69" i="174" s="1"/>
  <c r="AA69" i="124"/>
  <c r="AA69" i="174" s="1"/>
  <c r="AB69" i="124"/>
  <c r="AB69" i="174" s="1"/>
  <c r="AC69" i="124"/>
  <c r="AC69" i="174" s="1"/>
  <c r="AD69" i="124"/>
  <c r="AD69" i="174" s="1"/>
  <c r="AE69" i="124"/>
  <c r="AE69" i="174" s="1"/>
  <c r="AF69" i="124"/>
  <c r="AF69" i="174" s="1"/>
  <c r="AG69" i="124"/>
  <c r="AG69" i="174" s="1"/>
  <c r="AH69" i="124"/>
  <c r="AH69" i="174" s="1"/>
  <c r="AI69" i="124"/>
  <c r="AI69" i="174" s="1"/>
  <c r="AJ69" i="124"/>
  <c r="AJ69" i="174" s="1"/>
  <c r="Z71" i="124"/>
  <c r="Z71" i="174" s="1"/>
  <c r="AA71" i="124"/>
  <c r="AA71" i="174" s="1"/>
  <c r="AB71" i="124"/>
  <c r="AB71" i="174" s="1"/>
  <c r="AC71" i="124"/>
  <c r="AC71" i="174" s="1"/>
  <c r="AD71" i="124"/>
  <c r="AD71" i="174" s="1"/>
  <c r="AE71" i="124"/>
  <c r="AE71" i="174" s="1"/>
  <c r="AF71" i="124"/>
  <c r="AF71" i="174" s="1"/>
  <c r="AG71" i="124"/>
  <c r="AG71" i="174" s="1"/>
  <c r="AH71" i="124"/>
  <c r="AH71" i="174" s="1"/>
  <c r="AI71" i="124"/>
  <c r="AI71" i="174" s="1"/>
  <c r="AJ71" i="124"/>
  <c r="AJ71" i="174" s="1"/>
  <c r="Z72" i="124"/>
  <c r="Z72" i="174" s="1"/>
  <c r="AA72" i="124"/>
  <c r="AA72" i="174" s="1"/>
  <c r="AB72" i="124"/>
  <c r="AB72" i="174" s="1"/>
  <c r="AC72" i="124"/>
  <c r="AC72" i="174" s="1"/>
  <c r="AD72" i="124"/>
  <c r="AD72" i="174" s="1"/>
  <c r="AE72" i="124"/>
  <c r="AE72" i="174" s="1"/>
  <c r="AF72" i="124"/>
  <c r="AF72" i="174" s="1"/>
  <c r="AG72" i="124"/>
  <c r="AG72" i="174" s="1"/>
  <c r="AH72" i="124"/>
  <c r="AH72" i="174" s="1"/>
  <c r="AI72" i="124"/>
  <c r="AI72" i="174" s="1"/>
  <c r="AJ72" i="124"/>
  <c r="AJ72" i="174" s="1"/>
  <c r="Z73" i="124"/>
  <c r="Z73" i="174" s="1"/>
  <c r="AA73" i="124"/>
  <c r="AA73" i="174" s="1"/>
  <c r="AB73" i="124"/>
  <c r="AB73" i="174" s="1"/>
  <c r="AC73" i="124"/>
  <c r="AC73" i="174" s="1"/>
  <c r="AD73" i="124"/>
  <c r="AD73" i="174" s="1"/>
  <c r="AE73" i="124"/>
  <c r="AE73" i="174" s="1"/>
  <c r="AF73" i="124"/>
  <c r="AF73" i="174" s="1"/>
  <c r="AG73" i="124"/>
  <c r="AG73" i="174" s="1"/>
  <c r="AH73" i="124"/>
  <c r="AH73" i="174" s="1"/>
  <c r="AI73" i="124"/>
  <c r="AI73" i="174" s="1"/>
  <c r="AJ73" i="124"/>
  <c r="AJ73" i="174" s="1"/>
  <c r="Z79" i="124"/>
  <c r="Z79" i="174" s="1"/>
  <c r="AA79" i="124"/>
  <c r="AA79" i="174" s="1"/>
  <c r="AB79" i="124"/>
  <c r="AB79" i="174" s="1"/>
  <c r="AC79" i="124"/>
  <c r="AC79" i="174" s="1"/>
  <c r="AD79" i="124"/>
  <c r="AD79" i="174" s="1"/>
  <c r="AE79" i="124"/>
  <c r="AE79" i="174" s="1"/>
  <c r="AF79" i="124"/>
  <c r="AF79" i="174" s="1"/>
  <c r="AG79" i="124"/>
  <c r="AG79" i="174" s="1"/>
  <c r="AH79" i="124"/>
  <c r="AH79" i="174" s="1"/>
  <c r="AI79" i="124"/>
  <c r="AI79" i="174" s="1"/>
  <c r="AJ79" i="124"/>
  <c r="AJ79" i="174" s="1"/>
  <c r="Z82" i="124"/>
  <c r="Z82" i="174" s="1"/>
  <c r="AA82" i="124"/>
  <c r="AA82" i="174" s="1"/>
  <c r="AB82" i="124"/>
  <c r="AB82" i="174" s="1"/>
  <c r="AC82" i="124"/>
  <c r="AC82" i="174" s="1"/>
  <c r="AD82" i="124"/>
  <c r="AD82" i="174" s="1"/>
  <c r="AE82" i="124"/>
  <c r="AE82" i="174" s="1"/>
  <c r="AF82" i="124"/>
  <c r="AF82" i="174" s="1"/>
  <c r="AG82" i="124"/>
  <c r="AG82" i="174" s="1"/>
  <c r="AH82" i="124"/>
  <c r="AH82" i="174" s="1"/>
  <c r="AI82" i="124"/>
  <c r="AI82" i="174" s="1"/>
  <c r="AJ82" i="124"/>
  <c r="AJ82" i="174" s="1"/>
  <c r="Z83" i="124"/>
  <c r="Z83" i="174" s="1"/>
  <c r="AA83" i="124"/>
  <c r="AA83" i="174" s="1"/>
  <c r="AB83" i="124"/>
  <c r="AB83" i="174" s="1"/>
  <c r="AC83" i="124"/>
  <c r="AC83" i="174" s="1"/>
  <c r="AD83" i="124"/>
  <c r="AD83" i="174" s="1"/>
  <c r="AE83" i="124"/>
  <c r="AE83" i="174" s="1"/>
  <c r="AF83" i="124"/>
  <c r="AF83" i="174" s="1"/>
  <c r="AG83" i="124"/>
  <c r="AG83" i="174" s="1"/>
  <c r="AH83" i="124"/>
  <c r="AH83" i="174" s="1"/>
  <c r="AI83" i="124"/>
  <c r="AI83" i="174" s="1"/>
  <c r="AJ83" i="124"/>
  <c r="AJ83" i="174" s="1"/>
  <c r="Z84" i="124"/>
  <c r="Z84" i="174" s="1"/>
  <c r="AA84" i="124"/>
  <c r="AA84" i="174" s="1"/>
  <c r="AB84" i="124"/>
  <c r="AB84" i="174" s="1"/>
  <c r="AC84" i="124"/>
  <c r="AC84" i="174" s="1"/>
  <c r="AD84" i="124"/>
  <c r="AD84" i="174" s="1"/>
  <c r="AE84" i="124"/>
  <c r="AE84" i="174" s="1"/>
  <c r="AF84" i="124"/>
  <c r="AF84" i="174" s="1"/>
  <c r="AG84" i="124"/>
  <c r="AG84" i="174" s="1"/>
  <c r="AH84" i="124"/>
  <c r="AH84" i="174" s="1"/>
  <c r="AI84" i="124"/>
  <c r="AI84" i="174" s="1"/>
  <c r="AJ84" i="124"/>
  <c r="AJ84" i="174" s="1"/>
  <c r="Z85" i="124"/>
  <c r="Z85" i="174" s="1"/>
  <c r="AA85" i="124"/>
  <c r="AA85" i="174" s="1"/>
  <c r="AB85" i="124"/>
  <c r="AB85" i="174" s="1"/>
  <c r="AC85" i="124"/>
  <c r="AC85" i="174" s="1"/>
  <c r="AD85" i="124"/>
  <c r="AD85" i="174" s="1"/>
  <c r="AE85" i="124"/>
  <c r="AE85" i="174" s="1"/>
  <c r="AF85" i="124"/>
  <c r="AF85" i="174" s="1"/>
  <c r="AG85" i="124"/>
  <c r="AG85" i="174" s="1"/>
  <c r="AH85" i="124"/>
  <c r="AH85" i="174" s="1"/>
  <c r="AI85" i="124"/>
  <c r="AI85" i="174" s="1"/>
  <c r="AJ85" i="124"/>
  <c r="AJ85" i="174" s="1"/>
  <c r="Z87" i="124"/>
  <c r="Z87" i="174" s="1"/>
  <c r="AA87" i="124"/>
  <c r="AA87" i="174" s="1"/>
  <c r="AB87" i="124"/>
  <c r="AB87" i="174" s="1"/>
  <c r="AC87" i="124"/>
  <c r="AC87" i="174" s="1"/>
  <c r="AD87" i="124"/>
  <c r="AD87" i="174" s="1"/>
  <c r="AE87" i="124"/>
  <c r="AE87" i="174" s="1"/>
  <c r="AF87" i="124"/>
  <c r="AF87" i="174" s="1"/>
  <c r="AG87" i="124"/>
  <c r="AG87" i="174" s="1"/>
  <c r="AH87" i="124"/>
  <c r="AH87" i="174" s="1"/>
  <c r="AI87" i="124"/>
  <c r="AI87" i="174" s="1"/>
  <c r="AJ87" i="124"/>
  <c r="AJ87" i="174" s="1"/>
  <c r="Z89" i="124"/>
  <c r="Z89" i="174" s="1"/>
  <c r="AA89" i="124"/>
  <c r="AA89" i="174" s="1"/>
  <c r="AB89" i="124"/>
  <c r="AB89" i="174" s="1"/>
  <c r="AC89" i="124"/>
  <c r="AC89" i="174" s="1"/>
  <c r="AD89" i="124"/>
  <c r="AD89" i="174" s="1"/>
  <c r="AE89" i="124"/>
  <c r="AE89" i="174" s="1"/>
  <c r="AF89" i="124"/>
  <c r="AF89" i="174" s="1"/>
  <c r="AG89" i="124"/>
  <c r="AG89" i="174" s="1"/>
  <c r="AH89" i="124"/>
  <c r="AH89" i="174" s="1"/>
  <c r="AI89" i="124"/>
  <c r="AI89" i="174" s="1"/>
  <c r="AJ89" i="124"/>
  <c r="AJ89" i="174" s="1"/>
  <c r="Y54" i="124"/>
  <c r="Y54" i="174" s="1"/>
  <c r="Y58" i="124"/>
  <c r="Y58" i="174" s="1"/>
  <c r="Y59" i="124"/>
  <c r="Y59" i="174" s="1"/>
  <c r="Y60" i="124"/>
  <c r="Y60" i="174" s="1"/>
  <c r="Y61" i="124"/>
  <c r="Y61" i="174" s="1"/>
  <c r="Y62" i="124"/>
  <c r="Y62" i="174" s="1"/>
  <c r="Y63" i="124"/>
  <c r="Y63" i="174" s="1"/>
  <c r="Y64" i="124"/>
  <c r="Y64" i="174" s="1"/>
  <c r="Y66" i="124"/>
  <c r="Y66" i="174" s="1"/>
  <c r="Y67" i="124"/>
  <c r="Y67" i="174" s="1"/>
  <c r="Y68" i="124"/>
  <c r="Y68" i="174" s="1"/>
  <c r="Y69" i="124"/>
  <c r="Y69" i="174" s="1"/>
  <c r="Y71" i="124"/>
  <c r="Y71" i="174" s="1"/>
  <c r="Y72" i="124"/>
  <c r="Y72" i="174" s="1"/>
  <c r="Y73" i="124"/>
  <c r="Y73" i="174" s="1"/>
  <c r="Y79" i="124"/>
  <c r="Y79" i="174" s="1"/>
  <c r="Y80" i="124"/>
  <c r="Y80" i="174" s="1"/>
  <c r="Y82" i="124"/>
  <c r="Y82" i="174" s="1"/>
  <c r="Y83" i="124"/>
  <c r="Y83" i="174" s="1"/>
  <c r="Y84" i="124"/>
  <c r="Y84" i="174" s="1"/>
  <c r="Y85" i="124"/>
  <c r="Y85" i="174" s="1"/>
  <c r="Y86" i="124"/>
  <c r="Y86" i="174" s="1"/>
  <c r="Y87" i="124"/>
  <c r="Y87" i="174" s="1"/>
  <c r="Y89" i="124"/>
  <c r="Y89" i="174" s="1"/>
  <c r="Z37" i="124"/>
  <c r="Z37" i="174" s="1"/>
  <c r="AA37" i="124"/>
  <c r="AA37" i="174" s="1"/>
  <c r="AB37" i="124"/>
  <c r="AB37" i="174" s="1"/>
  <c r="AC37" i="124"/>
  <c r="AC37" i="174" s="1"/>
  <c r="AD37" i="124"/>
  <c r="AD37" i="174" s="1"/>
  <c r="AE37" i="124"/>
  <c r="AE37" i="174" s="1"/>
  <c r="AF37" i="124"/>
  <c r="AF37" i="174" s="1"/>
  <c r="AG37" i="124"/>
  <c r="AG37" i="174" s="1"/>
  <c r="AH37" i="124"/>
  <c r="AH37" i="174" s="1"/>
  <c r="AI37" i="124"/>
  <c r="AI37" i="174" s="1"/>
  <c r="AJ37" i="124"/>
  <c r="AJ37" i="174" s="1"/>
  <c r="Y37" i="124"/>
  <c r="Y37" i="174" s="1"/>
  <c r="Z16" i="124"/>
  <c r="Z16" i="174" s="1"/>
  <c r="AA16" i="124"/>
  <c r="AA16" i="174" s="1"/>
  <c r="AB16" i="124"/>
  <c r="AB16" i="174" s="1"/>
  <c r="AC16" i="124"/>
  <c r="AC16" i="174" s="1"/>
  <c r="AD16" i="124"/>
  <c r="AD16" i="174" s="1"/>
  <c r="AE16" i="124"/>
  <c r="AE16" i="174" s="1"/>
  <c r="AF16" i="124"/>
  <c r="AF16" i="174" s="1"/>
  <c r="AG16" i="124"/>
  <c r="AG16" i="174" s="1"/>
  <c r="AH16" i="124"/>
  <c r="AH16" i="174" s="1"/>
  <c r="AI16" i="124"/>
  <c r="AI16" i="174" s="1"/>
  <c r="AJ16" i="124"/>
  <c r="AJ16" i="174" s="1"/>
  <c r="Z17" i="124"/>
  <c r="Z17" i="174" s="1"/>
  <c r="AA17" i="124"/>
  <c r="AA17" i="174" s="1"/>
  <c r="AB17" i="124"/>
  <c r="AB17" i="174" s="1"/>
  <c r="AC17" i="124"/>
  <c r="AC17" i="174" s="1"/>
  <c r="AD17" i="124"/>
  <c r="AD17" i="174" s="1"/>
  <c r="AE17" i="124"/>
  <c r="AE17" i="174" s="1"/>
  <c r="AF17" i="124"/>
  <c r="AF17" i="174" s="1"/>
  <c r="AG17" i="124"/>
  <c r="AG17" i="174" s="1"/>
  <c r="AH17" i="124"/>
  <c r="AH17" i="174" s="1"/>
  <c r="AI17" i="124"/>
  <c r="AI17" i="174" s="1"/>
  <c r="AJ17" i="124"/>
  <c r="AJ17" i="174" s="1"/>
  <c r="Z18" i="124"/>
  <c r="Z18" i="174" s="1"/>
  <c r="AA18" i="124"/>
  <c r="AA18" i="174" s="1"/>
  <c r="AB18" i="124"/>
  <c r="AB18" i="174" s="1"/>
  <c r="AC18" i="124"/>
  <c r="AC18" i="174" s="1"/>
  <c r="AD18" i="124"/>
  <c r="AD18" i="174" s="1"/>
  <c r="AE18" i="124"/>
  <c r="AE18" i="174" s="1"/>
  <c r="AF18" i="124"/>
  <c r="AF18" i="174" s="1"/>
  <c r="AG18" i="124"/>
  <c r="AG18" i="174" s="1"/>
  <c r="AH18" i="124"/>
  <c r="AH18" i="174" s="1"/>
  <c r="AI18" i="124"/>
  <c r="AI18" i="174" s="1"/>
  <c r="AJ18" i="124"/>
  <c r="AJ18" i="174" s="1"/>
  <c r="Z21" i="124"/>
  <c r="Z21" i="174" s="1"/>
  <c r="AA21" i="124"/>
  <c r="AA21" i="174" s="1"/>
  <c r="AB21" i="124"/>
  <c r="AB21" i="174" s="1"/>
  <c r="AC21" i="124"/>
  <c r="AC21" i="174" s="1"/>
  <c r="AD21" i="124"/>
  <c r="AD21" i="174" s="1"/>
  <c r="AE21" i="124"/>
  <c r="AE21" i="174" s="1"/>
  <c r="AF21" i="124"/>
  <c r="AF21" i="174" s="1"/>
  <c r="AG21" i="124"/>
  <c r="AG21" i="174" s="1"/>
  <c r="AH21" i="124"/>
  <c r="AH21" i="174" s="1"/>
  <c r="AI21" i="124"/>
  <c r="AI21" i="174" s="1"/>
  <c r="AJ21" i="124"/>
  <c r="AJ21" i="174" s="1"/>
  <c r="Z22" i="124"/>
  <c r="Z22" i="174" s="1"/>
  <c r="AA22" i="124"/>
  <c r="AA22" i="174" s="1"/>
  <c r="AB22" i="124"/>
  <c r="AB22" i="174" s="1"/>
  <c r="AC22" i="124"/>
  <c r="AC22" i="174" s="1"/>
  <c r="AD22" i="124"/>
  <c r="AD22" i="174" s="1"/>
  <c r="AE22" i="124"/>
  <c r="AE22" i="174" s="1"/>
  <c r="AF22" i="124"/>
  <c r="AF22" i="174" s="1"/>
  <c r="AG22" i="124"/>
  <c r="AG22" i="174" s="1"/>
  <c r="AH22" i="124"/>
  <c r="AH22" i="174" s="1"/>
  <c r="AI22" i="124"/>
  <c r="AI22" i="174" s="1"/>
  <c r="AJ22" i="124"/>
  <c r="AJ22" i="174" s="1"/>
  <c r="Z23" i="124"/>
  <c r="Z23" i="174" s="1"/>
  <c r="AA23" i="124"/>
  <c r="AA23" i="174" s="1"/>
  <c r="AB23" i="124"/>
  <c r="AB23" i="174" s="1"/>
  <c r="AC23" i="124"/>
  <c r="AC23" i="174" s="1"/>
  <c r="AD23" i="124"/>
  <c r="AD23" i="174" s="1"/>
  <c r="AE23" i="124"/>
  <c r="AE23" i="174" s="1"/>
  <c r="AF23" i="124"/>
  <c r="AF23" i="174" s="1"/>
  <c r="AG23" i="124"/>
  <c r="AG23" i="174" s="1"/>
  <c r="AH23" i="124"/>
  <c r="AH23" i="174" s="1"/>
  <c r="AI23" i="124"/>
  <c r="AI23" i="174" s="1"/>
  <c r="AJ23" i="124"/>
  <c r="AJ23" i="174" s="1"/>
  <c r="Z24" i="124"/>
  <c r="Z24" i="174" s="1"/>
  <c r="AA24" i="124"/>
  <c r="AA24" i="174" s="1"/>
  <c r="AB24" i="124"/>
  <c r="AB24" i="174" s="1"/>
  <c r="AC24" i="124"/>
  <c r="AC24" i="174" s="1"/>
  <c r="AD24" i="124"/>
  <c r="AD24" i="174" s="1"/>
  <c r="AE24" i="124"/>
  <c r="AE24" i="174" s="1"/>
  <c r="AF24" i="124"/>
  <c r="AF24" i="174" s="1"/>
  <c r="AG24" i="124"/>
  <c r="AG24" i="174" s="1"/>
  <c r="AH24" i="124"/>
  <c r="AH24" i="174" s="1"/>
  <c r="AI24" i="124"/>
  <c r="AI24" i="174" s="1"/>
  <c r="AJ24" i="124"/>
  <c r="AJ24" i="174" s="1"/>
  <c r="Z25" i="124"/>
  <c r="Z25" i="174" s="1"/>
  <c r="AA25" i="124"/>
  <c r="AA25" i="174" s="1"/>
  <c r="AB25" i="124"/>
  <c r="AB25" i="174" s="1"/>
  <c r="AC25" i="124"/>
  <c r="AC25" i="174" s="1"/>
  <c r="AD25" i="124"/>
  <c r="AD25" i="174" s="1"/>
  <c r="AE25" i="124"/>
  <c r="AE25" i="174" s="1"/>
  <c r="AF25" i="124"/>
  <c r="AF25" i="174" s="1"/>
  <c r="AG25" i="124"/>
  <c r="AG25" i="174" s="1"/>
  <c r="AH25" i="124"/>
  <c r="AH25" i="174" s="1"/>
  <c r="AI25" i="124"/>
  <c r="AI25" i="174" s="1"/>
  <c r="AJ25" i="124"/>
  <c r="AJ25" i="174" s="1"/>
  <c r="Z26" i="124"/>
  <c r="Z26" i="174" s="1"/>
  <c r="AA26" i="124"/>
  <c r="AA26" i="174" s="1"/>
  <c r="AB26" i="124"/>
  <c r="AB26" i="174" s="1"/>
  <c r="AC26" i="124"/>
  <c r="AC26" i="174" s="1"/>
  <c r="AD26" i="124"/>
  <c r="AD26" i="174" s="1"/>
  <c r="AE26" i="124"/>
  <c r="AE26" i="174" s="1"/>
  <c r="AF26" i="124"/>
  <c r="AF26" i="174" s="1"/>
  <c r="AG26" i="124"/>
  <c r="AG26" i="174" s="1"/>
  <c r="AH26" i="124"/>
  <c r="AH26" i="174" s="1"/>
  <c r="AI26" i="124"/>
  <c r="AI26" i="174" s="1"/>
  <c r="AJ26" i="124"/>
  <c r="AJ26" i="174" s="1"/>
  <c r="Z27" i="124"/>
  <c r="Z27" i="174" s="1"/>
  <c r="AA27" i="124"/>
  <c r="AA27" i="174" s="1"/>
  <c r="AB27" i="124"/>
  <c r="AB27" i="174" s="1"/>
  <c r="AC27" i="124"/>
  <c r="AC27" i="174" s="1"/>
  <c r="AD27" i="124"/>
  <c r="AD27" i="174" s="1"/>
  <c r="AE27" i="124"/>
  <c r="AE27" i="174" s="1"/>
  <c r="AF27" i="124"/>
  <c r="AF27" i="174" s="1"/>
  <c r="AG27" i="124"/>
  <c r="AG27" i="174" s="1"/>
  <c r="AH27" i="124"/>
  <c r="AH27" i="174" s="1"/>
  <c r="AI27" i="124"/>
  <c r="AI27" i="174" s="1"/>
  <c r="AJ27" i="124"/>
  <c r="AJ27" i="174" s="1"/>
  <c r="Z28" i="124"/>
  <c r="Z28" i="174" s="1"/>
  <c r="AA28" i="124"/>
  <c r="AA28" i="174" s="1"/>
  <c r="AB28" i="124"/>
  <c r="AB28" i="174" s="1"/>
  <c r="AC28" i="124"/>
  <c r="AC28" i="174" s="1"/>
  <c r="AD28" i="124"/>
  <c r="AD28" i="174" s="1"/>
  <c r="AE28" i="124"/>
  <c r="AE28" i="174" s="1"/>
  <c r="AF28" i="124"/>
  <c r="AF28" i="174" s="1"/>
  <c r="AG28" i="124"/>
  <c r="AG28" i="174" s="1"/>
  <c r="AH28" i="124"/>
  <c r="AH28" i="174" s="1"/>
  <c r="AI28" i="124"/>
  <c r="AI28" i="174" s="1"/>
  <c r="AJ28" i="124"/>
  <c r="AJ28" i="174" s="1"/>
  <c r="Z30" i="124"/>
  <c r="Z30" i="174" s="1"/>
  <c r="AA30" i="124"/>
  <c r="AA30" i="174" s="1"/>
  <c r="AB30" i="124"/>
  <c r="AB30" i="174" s="1"/>
  <c r="AC30" i="124"/>
  <c r="AC30" i="174" s="1"/>
  <c r="AD30" i="124"/>
  <c r="AD30" i="174" s="1"/>
  <c r="AE30" i="124"/>
  <c r="AE30" i="174" s="1"/>
  <c r="AF30" i="124"/>
  <c r="AF30" i="174" s="1"/>
  <c r="AG30" i="124"/>
  <c r="AG30" i="174" s="1"/>
  <c r="AH30" i="124"/>
  <c r="AH30" i="174" s="1"/>
  <c r="AI30" i="124"/>
  <c r="AI30" i="174" s="1"/>
  <c r="AJ30" i="124"/>
  <c r="AJ30" i="174" s="1"/>
  <c r="Z31" i="124"/>
  <c r="Z31" i="174" s="1"/>
  <c r="AA31" i="124"/>
  <c r="AA31" i="174" s="1"/>
  <c r="AB31" i="124"/>
  <c r="AB31" i="174" s="1"/>
  <c r="AC31" i="124"/>
  <c r="AC31" i="174" s="1"/>
  <c r="AD31" i="124"/>
  <c r="AD31" i="174" s="1"/>
  <c r="AE31" i="124"/>
  <c r="AE31" i="174" s="1"/>
  <c r="AF31" i="124"/>
  <c r="AF31" i="174" s="1"/>
  <c r="AG31" i="124"/>
  <c r="AG31" i="174" s="1"/>
  <c r="AH31" i="124"/>
  <c r="AH31" i="174" s="1"/>
  <c r="AI31" i="124"/>
  <c r="AI31" i="174" s="1"/>
  <c r="AJ31" i="124"/>
  <c r="AJ31" i="174" s="1"/>
  <c r="Z32" i="124"/>
  <c r="Z32" i="174" s="1"/>
  <c r="AA32" i="124"/>
  <c r="AA32" i="174" s="1"/>
  <c r="AB32" i="124"/>
  <c r="AB32" i="174" s="1"/>
  <c r="AC32" i="124"/>
  <c r="AC32" i="174" s="1"/>
  <c r="AD32" i="124"/>
  <c r="AD32" i="174" s="1"/>
  <c r="AE32" i="124"/>
  <c r="AE32" i="174" s="1"/>
  <c r="AF32" i="124"/>
  <c r="AF32" i="174" s="1"/>
  <c r="AG32" i="124"/>
  <c r="AG32" i="174" s="1"/>
  <c r="AH32" i="124"/>
  <c r="AH32" i="174" s="1"/>
  <c r="AI32" i="124"/>
  <c r="AI32" i="174" s="1"/>
  <c r="AJ32" i="124"/>
  <c r="AJ32" i="174" s="1"/>
  <c r="Y16" i="124"/>
  <c r="Y16" i="174" s="1"/>
  <c r="Y17" i="124"/>
  <c r="Y17" i="174" s="1"/>
  <c r="Y18" i="124"/>
  <c r="Y18" i="174" s="1"/>
  <c r="Y21" i="124"/>
  <c r="Y21" i="174" s="1"/>
  <c r="Y22" i="124"/>
  <c r="Y22" i="174" s="1"/>
  <c r="Y23" i="124"/>
  <c r="Y23" i="174" s="1"/>
  <c r="Y24" i="124"/>
  <c r="Y24" i="174" s="1"/>
  <c r="Y25" i="124"/>
  <c r="Y25" i="174" s="1"/>
  <c r="Y26" i="124"/>
  <c r="Y26" i="174" s="1"/>
  <c r="Y27" i="124"/>
  <c r="Y27" i="174" s="1"/>
  <c r="Y28" i="124"/>
  <c r="Y28" i="174" s="1"/>
  <c r="Y30" i="124"/>
  <c r="Y30" i="174" s="1"/>
  <c r="Y31" i="124"/>
  <c r="Y31" i="174" s="1"/>
  <c r="Y32" i="124"/>
  <c r="Y32" i="174" s="1"/>
  <c r="Z11" i="124"/>
  <c r="Z11" i="174" s="1"/>
  <c r="AA11" i="124"/>
  <c r="AA11" i="174" s="1"/>
  <c r="AB11" i="124"/>
  <c r="AB11" i="174" s="1"/>
  <c r="AC11" i="124"/>
  <c r="AC11" i="174" s="1"/>
  <c r="AD11" i="124"/>
  <c r="AD11" i="174" s="1"/>
  <c r="AE11" i="124"/>
  <c r="AE11" i="174" s="1"/>
  <c r="AF11" i="124"/>
  <c r="AF11" i="174" s="1"/>
  <c r="AG11" i="124"/>
  <c r="AG11" i="174" s="1"/>
  <c r="AH11" i="124"/>
  <c r="AH11" i="174" s="1"/>
  <c r="AI11" i="124"/>
  <c r="AI11" i="174" s="1"/>
  <c r="AJ11" i="124"/>
  <c r="AJ11" i="174" s="1"/>
  <c r="Y11" i="124"/>
  <c r="Y11" i="174" s="1"/>
  <c r="K91" i="124"/>
  <c r="K91" i="174" s="1"/>
  <c r="L91" i="124"/>
  <c r="L91" i="174" s="1"/>
  <c r="M91" i="124"/>
  <c r="M91" i="174" s="1"/>
  <c r="N91" i="124"/>
  <c r="N91" i="174" s="1"/>
  <c r="O91" i="124"/>
  <c r="O91" i="174" s="1"/>
  <c r="P91" i="124"/>
  <c r="P91" i="174" s="1"/>
  <c r="Q91" i="124"/>
  <c r="Q91" i="174" s="1"/>
  <c r="R91" i="124"/>
  <c r="R91" i="174" s="1"/>
  <c r="K92" i="124"/>
  <c r="K92" i="174" s="1"/>
  <c r="L92" i="124"/>
  <c r="L92" i="174" s="1"/>
  <c r="M92" i="124"/>
  <c r="M92" i="174" s="1"/>
  <c r="N92" i="124"/>
  <c r="N92" i="174" s="1"/>
  <c r="O92" i="124"/>
  <c r="O92" i="174" s="1"/>
  <c r="P92" i="124"/>
  <c r="P92" i="174" s="1"/>
  <c r="Q92" i="124"/>
  <c r="Q92" i="174" s="1"/>
  <c r="R92" i="124"/>
  <c r="R92" i="174" s="1"/>
  <c r="K93" i="124"/>
  <c r="K93" i="174" s="1"/>
  <c r="L93" i="124"/>
  <c r="L93" i="174" s="1"/>
  <c r="M93" i="124"/>
  <c r="M93" i="174" s="1"/>
  <c r="N93" i="124"/>
  <c r="N93" i="174" s="1"/>
  <c r="O93" i="124"/>
  <c r="O93" i="174" s="1"/>
  <c r="P93" i="124"/>
  <c r="P93" i="174" s="1"/>
  <c r="Q93" i="124"/>
  <c r="Q93" i="174" s="1"/>
  <c r="R93" i="124"/>
  <c r="R93" i="174" s="1"/>
  <c r="K94" i="124"/>
  <c r="K94" i="174" s="1"/>
  <c r="L94" i="124"/>
  <c r="L94" i="174" s="1"/>
  <c r="M94" i="124"/>
  <c r="M94" i="174" s="1"/>
  <c r="N94" i="124"/>
  <c r="N94" i="174" s="1"/>
  <c r="O94" i="124"/>
  <c r="O94" i="174" s="1"/>
  <c r="P94" i="124"/>
  <c r="P94" i="174" s="1"/>
  <c r="Q94" i="124"/>
  <c r="Q94" i="174" s="1"/>
  <c r="R94" i="124"/>
  <c r="R94" i="174" s="1"/>
  <c r="K95" i="124"/>
  <c r="K95" i="174" s="1"/>
  <c r="L95" i="124"/>
  <c r="L95" i="174" s="1"/>
  <c r="M95" i="124"/>
  <c r="M95" i="174" s="1"/>
  <c r="N95" i="124"/>
  <c r="N95" i="174" s="1"/>
  <c r="O95" i="124"/>
  <c r="O95" i="174" s="1"/>
  <c r="P95" i="124"/>
  <c r="P95" i="174" s="1"/>
  <c r="Q95" i="124"/>
  <c r="Q95" i="174" s="1"/>
  <c r="R95" i="124"/>
  <c r="R95" i="174" s="1"/>
  <c r="K96" i="124"/>
  <c r="K96" i="174" s="1"/>
  <c r="L96" i="124"/>
  <c r="L96" i="174" s="1"/>
  <c r="M96" i="124"/>
  <c r="M96" i="174" s="1"/>
  <c r="N96" i="124"/>
  <c r="N96" i="174" s="1"/>
  <c r="O96" i="124"/>
  <c r="O96" i="174" s="1"/>
  <c r="P96" i="124"/>
  <c r="P96" i="174" s="1"/>
  <c r="Q96" i="124"/>
  <c r="Q96" i="174" s="1"/>
  <c r="R96" i="124"/>
  <c r="R96" i="174" s="1"/>
  <c r="K97" i="124"/>
  <c r="K97" i="174" s="1"/>
  <c r="L97" i="124"/>
  <c r="L97" i="174" s="1"/>
  <c r="M97" i="124"/>
  <c r="M97" i="174" s="1"/>
  <c r="N97" i="124"/>
  <c r="N97" i="174" s="1"/>
  <c r="O97" i="124"/>
  <c r="O97" i="174" s="1"/>
  <c r="P97" i="124"/>
  <c r="P97" i="174" s="1"/>
  <c r="Q97" i="124"/>
  <c r="Q97" i="174" s="1"/>
  <c r="R97" i="124"/>
  <c r="R97" i="174" s="1"/>
  <c r="K98" i="124"/>
  <c r="K98" i="174" s="1"/>
  <c r="L98" i="124"/>
  <c r="L98" i="174" s="1"/>
  <c r="M98" i="124"/>
  <c r="M98" i="174" s="1"/>
  <c r="N98" i="124"/>
  <c r="N98" i="174" s="1"/>
  <c r="O98" i="124"/>
  <c r="O98" i="174" s="1"/>
  <c r="P98" i="124"/>
  <c r="P98" i="174" s="1"/>
  <c r="Q98" i="124"/>
  <c r="Q98" i="174" s="1"/>
  <c r="R98" i="124"/>
  <c r="R98" i="174" s="1"/>
  <c r="K99" i="124"/>
  <c r="K99" i="174" s="1"/>
  <c r="L99" i="124"/>
  <c r="L99" i="174" s="1"/>
  <c r="M99" i="124"/>
  <c r="M99" i="174" s="1"/>
  <c r="N99" i="124"/>
  <c r="N99" i="174" s="1"/>
  <c r="O99" i="124"/>
  <c r="O99" i="174" s="1"/>
  <c r="P99" i="124"/>
  <c r="P99" i="174" s="1"/>
  <c r="Q99" i="124"/>
  <c r="Q99" i="174" s="1"/>
  <c r="R99" i="124"/>
  <c r="R99" i="174" s="1"/>
  <c r="K100" i="124"/>
  <c r="K100" i="174" s="1"/>
  <c r="L100" i="124"/>
  <c r="L100" i="174" s="1"/>
  <c r="M100" i="124"/>
  <c r="M100" i="174" s="1"/>
  <c r="N100" i="124"/>
  <c r="N100" i="174" s="1"/>
  <c r="O100" i="124"/>
  <c r="O100" i="174" s="1"/>
  <c r="P100" i="124"/>
  <c r="P100" i="174" s="1"/>
  <c r="Q100" i="124"/>
  <c r="Q100" i="174" s="1"/>
  <c r="R100" i="124"/>
  <c r="R100" i="174" s="1"/>
  <c r="K101" i="124"/>
  <c r="K101" i="174" s="1"/>
  <c r="L101" i="124"/>
  <c r="L101" i="174" s="1"/>
  <c r="M101" i="124"/>
  <c r="M101" i="174" s="1"/>
  <c r="N101" i="124"/>
  <c r="N101" i="174" s="1"/>
  <c r="O101" i="124"/>
  <c r="O101" i="174" s="1"/>
  <c r="P101" i="124"/>
  <c r="P101" i="174" s="1"/>
  <c r="Q101" i="124"/>
  <c r="Q101" i="174" s="1"/>
  <c r="R101" i="124"/>
  <c r="R101" i="174" s="1"/>
  <c r="K102" i="124"/>
  <c r="K102" i="174" s="1"/>
  <c r="L102" i="124"/>
  <c r="L102" i="174" s="1"/>
  <c r="M102" i="124"/>
  <c r="M102" i="174" s="1"/>
  <c r="N102" i="124"/>
  <c r="N102" i="174" s="1"/>
  <c r="O102" i="124"/>
  <c r="O102" i="174" s="1"/>
  <c r="P102" i="124"/>
  <c r="P102" i="174" s="1"/>
  <c r="Q102" i="124"/>
  <c r="Q102" i="174" s="1"/>
  <c r="R102" i="124"/>
  <c r="R102" i="174" s="1"/>
  <c r="K103" i="124"/>
  <c r="K103" i="174" s="1"/>
  <c r="L103" i="124"/>
  <c r="L103" i="174" s="1"/>
  <c r="M103" i="124"/>
  <c r="M103" i="174" s="1"/>
  <c r="N103" i="124"/>
  <c r="N103" i="174" s="1"/>
  <c r="O103" i="124"/>
  <c r="O103" i="174" s="1"/>
  <c r="P103" i="124"/>
  <c r="P103" i="174" s="1"/>
  <c r="Q103" i="124"/>
  <c r="Q103" i="174" s="1"/>
  <c r="R103" i="124"/>
  <c r="R103" i="174" s="1"/>
  <c r="K104" i="124"/>
  <c r="K104" i="174" s="1"/>
  <c r="L104" i="124"/>
  <c r="L104" i="174" s="1"/>
  <c r="M104" i="124"/>
  <c r="M104" i="174" s="1"/>
  <c r="N104" i="124"/>
  <c r="N104" i="174" s="1"/>
  <c r="O104" i="124"/>
  <c r="O104" i="174" s="1"/>
  <c r="P104" i="124"/>
  <c r="P104" i="174" s="1"/>
  <c r="Q104" i="124"/>
  <c r="Q104" i="174" s="1"/>
  <c r="R104" i="124"/>
  <c r="R104" i="174" s="1"/>
  <c r="K105" i="124"/>
  <c r="K105" i="174" s="1"/>
  <c r="L105" i="124"/>
  <c r="L105" i="174" s="1"/>
  <c r="M105" i="124"/>
  <c r="M105" i="174" s="1"/>
  <c r="N105" i="124"/>
  <c r="N105" i="174" s="1"/>
  <c r="O105" i="124"/>
  <c r="O105" i="174" s="1"/>
  <c r="P105" i="124"/>
  <c r="P105" i="174" s="1"/>
  <c r="Q105" i="124"/>
  <c r="Q105" i="174" s="1"/>
  <c r="R105" i="124"/>
  <c r="R105" i="174" s="1"/>
  <c r="J92" i="124"/>
  <c r="J93" i="124"/>
  <c r="J94" i="124"/>
  <c r="J95" i="124"/>
  <c r="J96" i="124"/>
  <c r="J97" i="124"/>
  <c r="J98" i="124"/>
  <c r="J99" i="124"/>
  <c r="J100" i="124"/>
  <c r="J101" i="124"/>
  <c r="J102" i="124"/>
  <c r="J103" i="124"/>
  <c r="J104" i="124"/>
  <c r="J105" i="124"/>
  <c r="J91" i="124"/>
  <c r="K39" i="124"/>
  <c r="K39" i="174" s="1"/>
  <c r="L39" i="124"/>
  <c r="L39" i="174" s="1"/>
  <c r="M39" i="124"/>
  <c r="M39" i="174" s="1"/>
  <c r="N39" i="124"/>
  <c r="N39" i="174" s="1"/>
  <c r="O39" i="124"/>
  <c r="O39" i="174" s="1"/>
  <c r="P39" i="124"/>
  <c r="P39" i="174" s="1"/>
  <c r="Q39" i="124"/>
  <c r="Q39" i="174" s="1"/>
  <c r="R39" i="124"/>
  <c r="R39" i="174" s="1"/>
  <c r="T39" i="124"/>
  <c r="T39" i="174" s="1"/>
  <c r="U39" i="124"/>
  <c r="U39" i="174" s="1"/>
  <c r="J39" i="124"/>
  <c r="J39" i="174" s="1"/>
  <c r="K37" i="124"/>
  <c r="K37" i="174" s="1"/>
  <c r="L37" i="124"/>
  <c r="L37" i="174" s="1"/>
  <c r="M37" i="124"/>
  <c r="M37" i="174" s="1"/>
  <c r="N37" i="124"/>
  <c r="N37" i="174" s="1"/>
  <c r="O37" i="124"/>
  <c r="P37" i="124"/>
  <c r="Q37" i="124"/>
  <c r="K38" i="124"/>
  <c r="K38" i="174" s="1"/>
  <c r="L38" i="124"/>
  <c r="L38" i="174" s="1"/>
  <c r="M38" i="124"/>
  <c r="M38" i="174" s="1"/>
  <c r="N38" i="124"/>
  <c r="N38" i="174" s="1"/>
  <c r="O38" i="124"/>
  <c r="P38" i="124"/>
  <c r="Q38" i="124"/>
  <c r="J38" i="124"/>
  <c r="J38" i="174" s="1"/>
  <c r="V7" i="87"/>
  <c r="V8" i="87"/>
  <c r="V9" i="87"/>
  <c r="V10" i="87"/>
  <c r="Y10" i="87"/>
  <c r="V11" i="87"/>
  <c r="AK11" i="87"/>
  <c r="V13" i="87"/>
  <c r="V14" i="87"/>
  <c r="V15" i="87"/>
  <c r="V16" i="87"/>
  <c r="AK16" i="87"/>
  <c r="AM16" i="87"/>
  <c r="V17" i="87"/>
  <c r="AK17" i="87"/>
  <c r="V18" i="87"/>
  <c r="AK18" i="87"/>
  <c r="V19" i="87"/>
  <c r="V20" i="87"/>
  <c r="V21" i="87"/>
  <c r="AK21" i="87"/>
  <c r="V22" i="87"/>
  <c r="AK22" i="87"/>
  <c r="V23" i="87"/>
  <c r="AK23" i="87"/>
  <c r="AM23" i="87"/>
  <c r="V24" i="87"/>
  <c r="AK24" i="87"/>
  <c r="V25" i="87"/>
  <c r="AK25" i="87"/>
  <c r="V26" i="87"/>
  <c r="AK26" i="87"/>
  <c r="AM26" i="87"/>
  <c r="V27" i="87"/>
  <c r="AK27" i="87"/>
  <c r="V28" i="87"/>
  <c r="AK28" i="87"/>
  <c r="AM28" i="87"/>
  <c r="V29" i="87"/>
  <c r="Y29" i="87"/>
  <c r="V30" i="87"/>
  <c r="AK30" i="87"/>
  <c r="AM30" i="87"/>
  <c r="V31" i="87"/>
  <c r="AK31" i="87"/>
  <c r="V32" i="87"/>
  <c r="AK32" i="87"/>
  <c r="V39" i="87"/>
  <c r="V40" i="87"/>
  <c r="V41" i="87"/>
  <c r="W41" i="87" s="1"/>
  <c r="V42" i="87"/>
  <c r="Y43" i="87"/>
  <c r="Z43" i="87"/>
  <c r="AA43" i="87"/>
  <c r="AB43" i="87"/>
  <c r="AC43" i="87"/>
  <c r="AD43" i="87"/>
  <c r="AE43" i="87"/>
  <c r="AF43" i="87"/>
  <c r="AG43" i="87"/>
  <c r="AH43" i="87"/>
  <c r="AI43" i="87"/>
  <c r="AJ43" i="87"/>
  <c r="Y50" i="87"/>
  <c r="V54" i="87"/>
  <c r="V56" i="87"/>
  <c r="V57" i="87"/>
  <c r="V58" i="87"/>
  <c r="AK58" i="87"/>
  <c r="V59" i="87"/>
  <c r="AK59" i="87"/>
  <c r="AM59" i="87"/>
  <c r="V60" i="87"/>
  <c r="AK60" i="87"/>
  <c r="V61" i="87"/>
  <c r="AK61" i="87"/>
  <c r="AM61" i="87" s="1"/>
  <c r="V63" i="87"/>
  <c r="AK63" i="87"/>
  <c r="V64" i="87"/>
  <c r="V66" i="87"/>
  <c r="AK66" i="87"/>
  <c r="V67" i="87"/>
  <c r="AK67" i="87"/>
  <c r="V69" i="87"/>
  <c r="AK69" i="87"/>
  <c r="V71" i="87"/>
  <c r="AK71" i="87"/>
  <c r="V72" i="87"/>
  <c r="AK72" i="87"/>
  <c r="V73" i="87"/>
  <c r="AK73" i="87"/>
  <c r="AM73" i="87" s="1"/>
  <c r="V76" i="87"/>
  <c r="V77" i="87"/>
  <c r="V78" i="87"/>
  <c r="V79" i="87"/>
  <c r="AK79" i="87"/>
  <c r="V80" i="87"/>
  <c r="V81" i="87"/>
  <c r="V82" i="87"/>
  <c r="AK82" i="87"/>
  <c r="AM82" i="87"/>
  <c r="V83" i="87"/>
  <c r="AK83" i="87"/>
  <c r="AM83" i="87"/>
  <c r="V84" i="87"/>
  <c r="AK84" i="87"/>
  <c r="V85" i="87"/>
  <c r="AK85" i="87"/>
  <c r="V86" i="87"/>
  <c r="V87" i="87"/>
  <c r="AK87" i="87"/>
  <c r="AM87" i="87"/>
  <c r="V88" i="87"/>
  <c r="V89" i="87"/>
  <c r="AK89" i="87"/>
  <c r="Y111" i="87"/>
  <c r="V112" i="87"/>
  <c r="V113" i="87"/>
  <c r="V114" i="87"/>
  <c r="V115" i="87"/>
  <c r="V116" i="87"/>
  <c r="V117" i="87"/>
  <c r="V118" i="87"/>
  <c r="V119" i="87"/>
  <c r="V120" i="87"/>
  <c r="V121" i="87"/>
  <c r="AK128" i="87"/>
  <c r="AM128" i="87"/>
  <c r="AK131" i="87"/>
  <c r="AM131" i="87"/>
  <c r="AK135" i="87"/>
  <c r="AM135" i="87"/>
  <c r="AK136" i="87"/>
  <c r="AM136" i="87" s="1"/>
  <c r="AK137" i="87"/>
  <c r="AK138" i="87"/>
  <c r="AK139" i="87"/>
  <c r="AM139" i="87" s="1"/>
  <c r="AK140" i="87"/>
  <c r="AK141" i="87"/>
  <c r="AK142" i="87"/>
  <c r="AM142" i="87"/>
  <c r="AK143" i="87"/>
  <c r="AK144" i="87"/>
  <c r="AM144" i="87"/>
  <c r="Y147" i="87"/>
  <c r="V148" i="87"/>
  <c r="V149" i="87"/>
  <c r="V152" i="87"/>
  <c r="AK152" i="87"/>
  <c r="AM152" i="87" s="1"/>
  <c r="Y154" i="68" l="1"/>
  <c r="Y154" i="87"/>
  <c r="Y154" i="124" s="1"/>
  <c r="Z154" i="68"/>
  <c r="Z154" i="87"/>
  <c r="AA154" i="68"/>
  <c r="AA154" i="87"/>
  <c r="AB154" i="68"/>
  <c r="AB154" i="87"/>
  <c r="AC154" i="68"/>
  <c r="AC154" i="87"/>
  <c r="AD154" i="68"/>
  <c r="AD154" i="87"/>
  <c r="AE154" i="68"/>
  <c r="AE154" i="87"/>
  <c r="AF154" i="68"/>
  <c r="AF154" i="87"/>
  <c r="AG154" i="68"/>
  <c r="AG154" i="87"/>
  <c r="AH154" i="68"/>
  <c r="AH154" i="87"/>
  <c r="AI154" i="68"/>
  <c r="AI154" i="87"/>
  <c r="AJ154" i="68"/>
  <c r="AJ154" i="87"/>
  <c r="AK154" i="68"/>
  <c r="J91" i="174"/>
  <c r="J105" i="174"/>
  <c r="J104" i="174"/>
  <c r="J103" i="174"/>
  <c r="J102" i="174"/>
  <c r="J101" i="174"/>
  <c r="J100" i="174"/>
  <c r="J99" i="174"/>
  <c r="J98" i="174"/>
  <c r="J97" i="174"/>
  <c r="J96" i="174"/>
  <c r="J95" i="174"/>
  <c r="J94" i="174"/>
  <c r="J93" i="174"/>
  <c r="J92" i="174"/>
  <c r="Y91" i="124"/>
  <c r="Y105" i="124"/>
  <c r="Y104" i="124"/>
  <c r="Y103" i="124"/>
  <c r="Y102" i="124"/>
  <c r="Y101" i="124"/>
  <c r="Y100" i="124"/>
  <c r="Y99" i="124"/>
  <c r="Y98" i="124"/>
  <c r="Y97" i="124"/>
  <c r="Y96" i="124"/>
  <c r="Y95" i="124"/>
  <c r="Y94" i="124"/>
  <c r="Y93" i="124"/>
  <c r="Y92" i="124"/>
  <c r="Y90" i="124"/>
  <c r="AK154" i="174"/>
  <c r="AM154" i="174" s="1"/>
  <c r="S39" i="124"/>
  <c r="S39" i="174" s="1"/>
  <c r="Q38" i="174"/>
  <c r="P38" i="174"/>
  <c r="O38" i="174"/>
  <c r="R38" i="124"/>
  <c r="Q37" i="174"/>
  <c r="P37" i="174"/>
  <c r="O37" i="174"/>
  <c r="R37" i="124"/>
  <c r="AM343" i="174"/>
  <c r="AM344" i="174"/>
  <c r="AM345" i="174"/>
  <c r="AM346" i="174"/>
  <c r="AM347" i="174"/>
  <c r="AM348" i="174"/>
  <c r="AM349" i="174"/>
  <c r="AM350" i="174"/>
  <c r="AM351" i="174"/>
  <c r="AM352" i="174"/>
  <c r="AM353" i="174"/>
  <c r="AM354" i="174"/>
  <c r="AM355" i="174"/>
  <c r="AM356" i="174"/>
  <c r="AM357" i="174"/>
  <c r="AM359" i="174"/>
  <c r="AM360" i="174"/>
  <c r="AM361" i="174"/>
  <c r="AM362" i="174"/>
  <c r="AM363" i="174"/>
  <c r="AM364" i="174"/>
  <c r="AM366" i="174"/>
  <c r="AM367" i="174"/>
  <c r="AM368" i="174"/>
  <c r="AM369" i="174"/>
  <c r="AM370" i="174"/>
  <c r="AM371" i="174"/>
  <c r="AM372" i="174"/>
  <c r="AM373" i="174"/>
  <c r="T36" i="87"/>
  <c r="T46" i="87" s="1"/>
  <c r="T51" i="68"/>
  <c r="T34" i="68"/>
  <c r="T44" i="68" s="1"/>
  <c r="Y250" i="175"/>
  <c r="Z250" i="175"/>
  <c r="AA250" i="175"/>
  <c r="AC250" i="175"/>
  <c r="W29" i="175"/>
  <c r="W30" i="175"/>
  <c r="AM30" i="175"/>
  <c r="AM29" i="175"/>
  <c r="V33" i="175"/>
  <c r="W6" i="175"/>
  <c r="Y33" i="175"/>
  <c r="AK6" i="175"/>
  <c r="Z157" i="175"/>
  <c r="Z253" i="175" s="1"/>
  <c r="Z290" i="175" s="1"/>
  <c r="Z352" i="175" s="1"/>
  <c r="Z355" i="175" s="1"/>
  <c r="Z43" i="175"/>
  <c r="AA157" i="175"/>
  <c r="AA253" i="175" s="1"/>
  <c r="AA290" i="175" s="1"/>
  <c r="AA352" i="175" s="1"/>
  <c r="AA355" i="175" s="1"/>
  <c r="AA43" i="175"/>
  <c r="AB157" i="175"/>
  <c r="AB253" i="175" s="1"/>
  <c r="AB290" i="175" s="1"/>
  <c r="AB352" i="175" s="1"/>
  <c r="AB355" i="175" s="1"/>
  <c r="AB43" i="175"/>
  <c r="AC157" i="175"/>
  <c r="AC253" i="175" s="1"/>
  <c r="AC290" i="175" s="1"/>
  <c r="AC352" i="175" s="1"/>
  <c r="AC355" i="175" s="1"/>
  <c r="AC43" i="175"/>
  <c r="AD157" i="175"/>
  <c r="AD253" i="175" s="1"/>
  <c r="AD290" i="175" s="1"/>
  <c r="AD352" i="175" s="1"/>
  <c r="AD355" i="175" s="1"/>
  <c r="AD43" i="175"/>
  <c r="AE157" i="175"/>
  <c r="AE253" i="175" s="1"/>
  <c r="AE290" i="175" s="1"/>
  <c r="AE352" i="175" s="1"/>
  <c r="AE355" i="175" s="1"/>
  <c r="AE43" i="175"/>
  <c r="AF157" i="175"/>
  <c r="AF253" i="175" s="1"/>
  <c r="AF290" i="175" s="1"/>
  <c r="AF352" i="175" s="1"/>
  <c r="AF355" i="175" s="1"/>
  <c r="AF43" i="175"/>
  <c r="AG157" i="175"/>
  <c r="AG253" i="175" s="1"/>
  <c r="AG290" i="175" s="1"/>
  <c r="AG352" i="175" s="1"/>
  <c r="AG355" i="175" s="1"/>
  <c r="AG43" i="175"/>
  <c r="AH157" i="175"/>
  <c r="AH253" i="175" s="1"/>
  <c r="AH290" i="175" s="1"/>
  <c r="AH352" i="175" s="1"/>
  <c r="AH355" i="175" s="1"/>
  <c r="AH43" i="175"/>
  <c r="AI157" i="175"/>
  <c r="AI253" i="175" s="1"/>
  <c r="AI290" i="175" s="1"/>
  <c r="AI352" i="175" s="1"/>
  <c r="AI355" i="175" s="1"/>
  <c r="AI43" i="175"/>
  <c r="AJ157" i="175"/>
  <c r="AJ253" i="175" s="1"/>
  <c r="AJ290" i="175" s="1"/>
  <c r="AJ352" i="175" s="1"/>
  <c r="AJ355" i="175" s="1"/>
  <c r="AJ43" i="175"/>
  <c r="V44" i="175"/>
  <c r="W7" i="175"/>
  <c r="AK44" i="175"/>
  <c r="AM44" i="175" s="1"/>
  <c r="AM7" i="175"/>
  <c r="AL7" i="175"/>
  <c r="V45" i="175"/>
  <c r="W8" i="175"/>
  <c r="AK45" i="175"/>
  <c r="AM45" i="175" s="1"/>
  <c r="AM8" i="175"/>
  <c r="AL8" i="175"/>
  <c r="V46" i="175"/>
  <c r="W9" i="175"/>
  <c r="AK46" i="175"/>
  <c r="AM46" i="175" s="1"/>
  <c r="AM9" i="175"/>
  <c r="AL9" i="175"/>
  <c r="W10" i="175"/>
  <c r="AM10" i="175"/>
  <c r="AL10" i="175"/>
  <c r="W12" i="175"/>
  <c r="AM12" i="175"/>
  <c r="AL12" i="175"/>
  <c r="W13" i="175"/>
  <c r="AM13" i="175"/>
  <c r="AL13" i="175"/>
  <c r="W14" i="175"/>
  <c r="AM14" i="175"/>
  <c r="AL14" i="175"/>
  <c r="W15" i="175"/>
  <c r="AM15" i="175"/>
  <c r="AL15" i="175"/>
  <c r="W16" i="175"/>
  <c r="AM16" i="175"/>
  <c r="AL16" i="175"/>
  <c r="W17" i="175"/>
  <c r="AM17" i="175"/>
  <c r="AL17" i="175"/>
  <c r="W18" i="175"/>
  <c r="AM18" i="175"/>
  <c r="AL18" i="175"/>
  <c r="W19" i="175"/>
  <c r="AM19" i="175"/>
  <c r="AL19" i="175"/>
  <c r="W20" i="175"/>
  <c r="AM20" i="175"/>
  <c r="AL20" i="175"/>
  <c r="W21" i="175"/>
  <c r="AM21" i="175"/>
  <c r="AL21" i="175"/>
  <c r="W22" i="175"/>
  <c r="AM22" i="175"/>
  <c r="AL22" i="175"/>
  <c r="W23" i="175"/>
  <c r="AM23" i="175"/>
  <c r="AL23" i="175"/>
  <c r="W24" i="175"/>
  <c r="AM24" i="175"/>
  <c r="AL24" i="175"/>
  <c r="W25" i="175"/>
  <c r="AM25" i="175"/>
  <c r="AL25" i="175"/>
  <c r="W32" i="175"/>
  <c r="AM32" i="175"/>
  <c r="AL32" i="175"/>
  <c r="AM34" i="175"/>
  <c r="AM35" i="175"/>
  <c r="AM36" i="175"/>
  <c r="AM39" i="175"/>
  <c r="AL39" i="175"/>
  <c r="W40" i="175"/>
  <c r="AM40" i="175"/>
  <c r="AL40" i="175"/>
  <c r="W41" i="175"/>
  <c r="AM41" i="175"/>
  <c r="AL41" i="175"/>
  <c r="W42" i="175"/>
  <c r="AM42" i="175"/>
  <c r="AL42" i="175"/>
  <c r="V154" i="175"/>
  <c r="W50" i="175"/>
  <c r="Y156" i="175"/>
  <c r="Z156" i="175"/>
  <c r="AA156" i="175"/>
  <c r="AB156" i="175"/>
  <c r="AC156" i="175"/>
  <c r="AD156" i="175"/>
  <c r="AE156" i="175"/>
  <c r="AF156" i="175"/>
  <c r="AG156" i="175"/>
  <c r="AH156" i="175"/>
  <c r="AI156" i="175"/>
  <c r="AJ156" i="175"/>
  <c r="AK154" i="175"/>
  <c r="AM50" i="175"/>
  <c r="AL50" i="175"/>
  <c r="W51" i="175"/>
  <c r="AM51" i="175"/>
  <c r="AL51" i="175"/>
  <c r="W52" i="175"/>
  <c r="AM52" i="175"/>
  <c r="AL52" i="175"/>
  <c r="W53" i="175"/>
  <c r="AM53" i="175"/>
  <c r="AL53" i="175"/>
  <c r="W54" i="175"/>
  <c r="AM54" i="175"/>
  <c r="AL54" i="175"/>
  <c r="W55" i="175"/>
  <c r="AM55" i="175"/>
  <c r="AL55" i="175"/>
  <c r="W56" i="175"/>
  <c r="AM56" i="175"/>
  <c r="AL56" i="175"/>
  <c r="W57" i="175"/>
  <c r="AM57" i="175"/>
  <c r="AL57" i="175"/>
  <c r="W58" i="175"/>
  <c r="AM58" i="175"/>
  <c r="AL58" i="175"/>
  <c r="W59" i="175"/>
  <c r="AM59" i="175"/>
  <c r="AL59" i="175"/>
  <c r="W60" i="175"/>
  <c r="AM60" i="175"/>
  <c r="AL60" i="175"/>
  <c r="W61" i="175"/>
  <c r="AM61" i="175"/>
  <c r="AL61" i="175"/>
  <c r="W62" i="175"/>
  <c r="AM62" i="175"/>
  <c r="AL62" i="175"/>
  <c r="W63" i="175"/>
  <c r="AM63" i="175"/>
  <c r="AL63" i="175"/>
  <c r="W64" i="175"/>
  <c r="AM64" i="175"/>
  <c r="AL64" i="175"/>
  <c r="W65" i="175"/>
  <c r="AM65" i="175"/>
  <c r="AL65" i="175"/>
  <c r="W66" i="175"/>
  <c r="AM66" i="175"/>
  <c r="AL66" i="175"/>
  <c r="W67" i="175"/>
  <c r="AM67" i="175"/>
  <c r="AL67" i="175"/>
  <c r="W68" i="175"/>
  <c r="AM68" i="175"/>
  <c r="AL68" i="175"/>
  <c r="W69" i="175"/>
  <c r="AM69" i="175"/>
  <c r="AL69" i="175"/>
  <c r="W70" i="175"/>
  <c r="AM70" i="175"/>
  <c r="AL70" i="175"/>
  <c r="W71" i="175"/>
  <c r="AM71" i="175"/>
  <c r="AL71" i="175"/>
  <c r="W72" i="175"/>
  <c r="AM72" i="175"/>
  <c r="AL72" i="175"/>
  <c r="W73" i="175"/>
  <c r="AM73" i="175"/>
  <c r="AL73" i="175"/>
  <c r="W90" i="175"/>
  <c r="AM90" i="175"/>
  <c r="AL90" i="175"/>
  <c r="W91" i="175"/>
  <c r="AM91" i="175"/>
  <c r="AL91" i="175"/>
  <c r="W92" i="175"/>
  <c r="AM92" i="175"/>
  <c r="AL92" i="175"/>
  <c r="W93" i="175"/>
  <c r="AM93" i="175"/>
  <c r="AL93" i="175"/>
  <c r="W94" i="175"/>
  <c r="AM94" i="175"/>
  <c r="AL94" i="175"/>
  <c r="W95" i="175"/>
  <c r="AM95" i="175"/>
  <c r="AL95" i="175"/>
  <c r="W96" i="175"/>
  <c r="AM96" i="175"/>
  <c r="AL96" i="175"/>
  <c r="W97" i="175"/>
  <c r="AM97" i="175"/>
  <c r="AL97" i="175"/>
  <c r="W98" i="175"/>
  <c r="AM98" i="175"/>
  <c r="AL98" i="175"/>
  <c r="W99" i="175"/>
  <c r="AM99" i="175"/>
  <c r="AL99" i="175"/>
  <c r="W100" i="175"/>
  <c r="AM100" i="175"/>
  <c r="AL100" i="175"/>
  <c r="W101" i="175"/>
  <c r="AM101" i="175"/>
  <c r="AL101" i="175"/>
  <c r="W102" i="175"/>
  <c r="AM102" i="175"/>
  <c r="AL102" i="175"/>
  <c r="W103" i="175"/>
  <c r="AM103" i="175"/>
  <c r="AL103" i="175"/>
  <c r="W104" i="175"/>
  <c r="AM104" i="175"/>
  <c r="AL104" i="175"/>
  <c r="W105" i="175"/>
  <c r="AM105" i="175"/>
  <c r="AL105" i="175"/>
  <c r="W106" i="175"/>
  <c r="AM106" i="175"/>
  <c r="AL106" i="175"/>
  <c r="W107" i="175"/>
  <c r="AM107" i="175"/>
  <c r="AL107" i="175"/>
  <c r="W108" i="175"/>
  <c r="AM108" i="175"/>
  <c r="AL108" i="175"/>
  <c r="W109" i="175"/>
  <c r="AM109" i="175"/>
  <c r="AL109" i="175"/>
  <c r="W110" i="175"/>
  <c r="AM110" i="175"/>
  <c r="AL110" i="175"/>
  <c r="W111" i="175"/>
  <c r="AM111" i="175"/>
  <c r="AL111" i="175"/>
  <c r="W112" i="175"/>
  <c r="AM112" i="175"/>
  <c r="AL112" i="175"/>
  <c r="W113" i="175"/>
  <c r="AM113" i="175"/>
  <c r="AL113" i="175"/>
  <c r="W114" i="175"/>
  <c r="AM114" i="175"/>
  <c r="AL114" i="175"/>
  <c r="W147" i="175"/>
  <c r="AM147" i="175"/>
  <c r="AL147" i="175"/>
  <c r="W148" i="175"/>
  <c r="AM148" i="175"/>
  <c r="AL148" i="175"/>
  <c r="W149" i="175"/>
  <c r="AM149" i="175"/>
  <c r="AL149" i="175"/>
  <c r="W150" i="175"/>
  <c r="AM150" i="175"/>
  <c r="AL150" i="175"/>
  <c r="W151" i="175"/>
  <c r="AM151" i="175"/>
  <c r="AL151" i="175"/>
  <c r="W152" i="175"/>
  <c r="AM152" i="175"/>
  <c r="AL152" i="175"/>
  <c r="V155" i="175"/>
  <c r="W155" i="175" s="1"/>
  <c r="W153" i="175"/>
  <c r="AK155" i="175"/>
  <c r="AM153" i="175"/>
  <c r="AL153" i="175"/>
  <c r="V250" i="175"/>
  <c r="W161" i="175"/>
  <c r="AK250" i="175"/>
  <c r="AM161" i="175"/>
  <c r="AL161" i="175"/>
  <c r="W162" i="175"/>
  <c r="AM162" i="175"/>
  <c r="AL162" i="175"/>
  <c r="W163" i="175"/>
  <c r="AM163" i="175"/>
  <c r="AL163" i="175"/>
  <c r="W164" i="175"/>
  <c r="AM164" i="175"/>
  <c r="AL164" i="175"/>
  <c r="W165" i="175"/>
  <c r="AM165" i="175"/>
  <c r="AL165" i="175"/>
  <c r="W166" i="175"/>
  <c r="AM166" i="175"/>
  <c r="AL166" i="175"/>
  <c r="W167" i="175"/>
  <c r="AM167" i="175"/>
  <c r="AL167" i="175"/>
  <c r="W168" i="175"/>
  <c r="AM168" i="175"/>
  <c r="AL168" i="175"/>
  <c r="W169" i="175"/>
  <c r="AM169" i="175"/>
  <c r="AL169" i="175"/>
  <c r="W170" i="175"/>
  <c r="AM170" i="175"/>
  <c r="AL170" i="175"/>
  <c r="W171" i="175"/>
  <c r="AM171" i="175"/>
  <c r="AL171" i="175"/>
  <c r="W172" i="175"/>
  <c r="AM172" i="175"/>
  <c r="AL172" i="175"/>
  <c r="W173" i="175"/>
  <c r="AM173" i="175"/>
  <c r="AL173" i="175"/>
  <c r="W174" i="175"/>
  <c r="AM174" i="175"/>
  <c r="AL174" i="175"/>
  <c r="W175" i="175"/>
  <c r="AM175" i="175"/>
  <c r="AL175" i="175"/>
  <c r="W176" i="175"/>
  <c r="AM176" i="175"/>
  <c r="AL176" i="175"/>
  <c r="W177" i="175"/>
  <c r="AM177" i="175"/>
  <c r="AL177" i="175"/>
  <c r="W178" i="175"/>
  <c r="AM178" i="175"/>
  <c r="AL178" i="175"/>
  <c r="W179" i="175"/>
  <c r="AM179" i="175"/>
  <c r="AL179" i="175"/>
  <c r="W180" i="175"/>
  <c r="AM180" i="175"/>
  <c r="AL180" i="175"/>
  <c r="W181" i="175"/>
  <c r="AM181" i="175"/>
  <c r="AL181" i="175"/>
  <c r="W182" i="175"/>
  <c r="AM182" i="175"/>
  <c r="AL182" i="175"/>
  <c r="W183" i="175"/>
  <c r="AM183" i="175"/>
  <c r="AL183" i="175"/>
  <c r="W184" i="175"/>
  <c r="AM184" i="175"/>
  <c r="AL184" i="175"/>
  <c r="W185" i="175"/>
  <c r="AM185" i="175"/>
  <c r="AL185" i="175"/>
  <c r="W186" i="175"/>
  <c r="AM186" i="175"/>
  <c r="AL186" i="175"/>
  <c r="W187" i="175"/>
  <c r="AM187" i="175"/>
  <c r="AL187" i="175"/>
  <c r="W188" i="175"/>
  <c r="AM188" i="175"/>
  <c r="AL188" i="175"/>
  <c r="W189" i="175"/>
  <c r="AM189" i="175"/>
  <c r="AL189" i="175"/>
  <c r="W190" i="175"/>
  <c r="AM190" i="175"/>
  <c r="AL190" i="175"/>
  <c r="W191" i="175"/>
  <c r="AM191" i="175"/>
  <c r="AL191" i="175"/>
  <c r="W192" i="175"/>
  <c r="AM192" i="175"/>
  <c r="AL192" i="175"/>
  <c r="W193" i="175"/>
  <c r="AM193" i="175"/>
  <c r="AL193" i="175"/>
  <c r="W194" i="175"/>
  <c r="AM194" i="175"/>
  <c r="AL194" i="175"/>
  <c r="W195" i="175"/>
  <c r="AM195" i="175"/>
  <c r="AL195" i="175"/>
  <c r="W196" i="175"/>
  <c r="AM196" i="175"/>
  <c r="AL196" i="175"/>
  <c r="W197" i="175"/>
  <c r="AM197" i="175"/>
  <c r="AL197" i="175"/>
  <c r="W198" i="175"/>
  <c r="AM198" i="175"/>
  <c r="AL198" i="175"/>
  <c r="W199" i="175"/>
  <c r="AM199" i="175"/>
  <c r="AL199" i="175"/>
  <c r="W200" i="175"/>
  <c r="AM200" i="175"/>
  <c r="AL200" i="175"/>
  <c r="W201" i="175"/>
  <c r="AM201" i="175"/>
  <c r="AL201" i="175"/>
  <c r="W202" i="175"/>
  <c r="AM202" i="175"/>
  <c r="AL202" i="175"/>
  <c r="W203" i="175"/>
  <c r="AM203" i="175"/>
  <c r="AL203" i="175"/>
  <c r="W204" i="175"/>
  <c r="AM204" i="175"/>
  <c r="AL204" i="175"/>
  <c r="W205" i="175"/>
  <c r="AM205" i="175"/>
  <c r="AL205" i="175"/>
  <c r="W206" i="175"/>
  <c r="AM206" i="175"/>
  <c r="AL206" i="175"/>
  <c r="W207" i="175"/>
  <c r="AM207" i="175"/>
  <c r="AL207" i="175"/>
  <c r="W208" i="175"/>
  <c r="AM208" i="175"/>
  <c r="AL208" i="175"/>
  <c r="W209" i="175"/>
  <c r="AM209" i="175"/>
  <c r="AL209" i="175"/>
  <c r="W210" i="175"/>
  <c r="AM210" i="175"/>
  <c r="AL210" i="175"/>
  <c r="W211" i="175"/>
  <c r="AM211" i="175"/>
  <c r="AL211" i="175"/>
  <c r="W212" i="175"/>
  <c r="AM212" i="175"/>
  <c r="AL212" i="175"/>
  <c r="W213" i="175"/>
  <c r="AM213" i="175"/>
  <c r="AL213" i="175"/>
  <c r="W214" i="175"/>
  <c r="AM214" i="175"/>
  <c r="AL214" i="175"/>
  <c r="W215" i="175"/>
  <c r="AM215" i="175"/>
  <c r="AL215" i="175"/>
  <c r="W216" i="175"/>
  <c r="AM216" i="175"/>
  <c r="AL216" i="175"/>
  <c r="W217" i="175"/>
  <c r="AM217" i="175"/>
  <c r="AL217" i="175"/>
  <c r="W218" i="175"/>
  <c r="AM218" i="175"/>
  <c r="AL218" i="175"/>
  <c r="W219" i="175"/>
  <c r="AM219" i="175"/>
  <c r="AL219" i="175"/>
  <c r="W220" i="175"/>
  <c r="AM220" i="175"/>
  <c r="AL220" i="175"/>
  <c r="W221" i="175"/>
  <c r="AM221" i="175"/>
  <c r="AL221" i="175"/>
  <c r="W222" i="175"/>
  <c r="AM222" i="175"/>
  <c r="AL222" i="175"/>
  <c r="W223" i="175"/>
  <c r="AM223" i="175"/>
  <c r="AL223" i="175"/>
  <c r="W224" i="175"/>
  <c r="AM224" i="175"/>
  <c r="AL224" i="175"/>
  <c r="W225" i="175"/>
  <c r="AM225" i="175"/>
  <c r="AL225" i="175"/>
  <c r="W226" i="175"/>
  <c r="AM226" i="175"/>
  <c r="AL226" i="175"/>
  <c r="W227" i="175"/>
  <c r="AM227" i="175"/>
  <c r="AL227" i="175"/>
  <c r="W228" i="175"/>
  <c r="AM228" i="175"/>
  <c r="AL228" i="175"/>
  <c r="W229" i="175"/>
  <c r="AM229" i="175"/>
  <c r="AL229" i="175"/>
  <c r="W230" i="175"/>
  <c r="AM230" i="175"/>
  <c r="AL230" i="175"/>
  <c r="W231" i="175"/>
  <c r="AM231" i="175"/>
  <c r="AL231" i="175"/>
  <c r="W232" i="175"/>
  <c r="AM232" i="175"/>
  <c r="AL232" i="175"/>
  <c r="W233" i="175"/>
  <c r="AM233" i="175"/>
  <c r="AL233" i="175"/>
  <c r="W234" i="175"/>
  <c r="AM234" i="175"/>
  <c r="AL234" i="175"/>
  <c r="W235" i="175"/>
  <c r="AM235" i="175"/>
  <c r="AL235" i="175"/>
  <c r="W236" i="175"/>
  <c r="AM236" i="175"/>
  <c r="AL236" i="175"/>
  <c r="W237" i="175"/>
  <c r="AM237" i="175"/>
  <c r="AL237" i="175"/>
  <c r="W238" i="175"/>
  <c r="AM238" i="175"/>
  <c r="AL238" i="175"/>
  <c r="W239" i="175"/>
  <c r="AM239" i="175"/>
  <c r="AL239" i="175"/>
  <c r="W240" i="175"/>
  <c r="AM240" i="175"/>
  <c r="AL240" i="175"/>
  <c r="W241" i="175"/>
  <c r="AM241" i="175"/>
  <c r="AL241" i="175"/>
  <c r="W242" i="175"/>
  <c r="AM242" i="175"/>
  <c r="AL242" i="175"/>
  <c r="W243" i="175"/>
  <c r="AM243" i="175"/>
  <c r="AL243" i="175"/>
  <c r="W244" i="175"/>
  <c r="AM244" i="175"/>
  <c r="AL244" i="175"/>
  <c r="W245" i="175"/>
  <c r="AM245" i="175"/>
  <c r="AL245" i="175"/>
  <c r="W246" i="175"/>
  <c r="AM246" i="175"/>
  <c r="AL246" i="175"/>
  <c r="W247" i="175"/>
  <c r="AM247" i="175"/>
  <c r="AL247" i="175"/>
  <c r="W248" i="175"/>
  <c r="AM248" i="175"/>
  <c r="AL248" i="175"/>
  <c r="W249" i="175"/>
  <c r="AM249" i="175"/>
  <c r="AL249" i="175"/>
  <c r="W260" i="175"/>
  <c r="AM260" i="175"/>
  <c r="AL260" i="175"/>
  <c r="W261" i="175"/>
  <c r="AM261" i="175"/>
  <c r="AL261" i="175"/>
  <c r="W265" i="175"/>
  <c r="AM265" i="175"/>
  <c r="AL265" i="175"/>
  <c r="W267" i="175"/>
  <c r="AM267" i="175"/>
  <c r="AL267" i="175"/>
  <c r="W275" i="175"/>
  <c r="AM275" i="175"/>
  <c r="AL275" i="175"/>
  <c r="W276" i="175"/>
  <c r="AM276" i="175"/>
  <c r="AL276" i="175"/>
  <c r="W277" i="175"/>
  <c r="AM277" i="175"/>
  <c r="AL277" i="175"/>
  <c r="W278" i="175"/>
  <c r="AM278" i="175"/>
  <c r="AL278" i="175"/>
  <c r="W280" i="175"/>
  <c r="AM280" i="175"/>
  <c r="AL280" i="175"/>
  <c r="W282" i="175"/>
  <c r="AM282" i="175"/>
  <c r="AL282" i="175"/>
  <c r="W283" i="175"/>
  <c r="AM283" i="175"/>
  <c r="AL283" i="175"/>
  <c r="W284" i="175"/>
  <c r="AM284" i="175"/>
  <c r="AL284" i="175"/>
  <c r="W285" i="175"/>
  <c r="AM285" i="175"/>
  <c r="AL285" i="175"/>
  <c r="W286" i="175"/>
  <c r="AM286" i="175"/>
  <c r="AL286" i="175"/>
  <c r="W287" i="175"/>
  <c r="AM287" i="175"/>
  <c r="AL287" i="175"/>
  <c r="W288" i="175"/>
  <c r="AM288" i="175"/>
  <c r="AL288" i="175"/>
  <c r="W294" i="175"/>
  <c r="AM294" i="175"/>
  <c r="AL294" i="175"/>
  <c r="W295" i="175"/>
  <c r="AM295" i="175"/>
  <c r="AL295" i="175"/>
  <c r="W296" i="175"/>
  <c r="AM296" i="175"/>
  <c r="AL296" i="175"/>
  <c r="W297" i="175"/>
  <c r="AM297" i="175"/>
  <c r="AL297" i="175"/>
  <c r="W298" i="175"/>
  <c r="AM298" i="175"/>
  <c r="AL298" i="175"/>
  <c r="W299" i="175"/>
  <c r="AM299" i="175"/>
  <c r="AL299" i="175"/>
  <c r="W300" i="175"/>
  <c r="AM300" i="175"/>
  <c r="AL300" i="175"/>
  <c r="W301" i="175"/>
  <c r="AM301" i="175"/>
  <c r="AL301" i="175"/>
  <c r="W302" i="175"/>
  <c r="AM302" i="175"/>
  <c r="AL302" i="175"/>
  <c r="W303" i="175"/>
  <c r="AM303" i="175"/>
  <c r="AL303" i="175"/>
  <c r="W304" i="175"/>
  <c r="AM304" i="175"/>
  <c r="AL304" i="175"/>
  <c r="W305" i="175"/>
  <c r="AM305" i="175"/>
  <c r="AL305" i="175"/>
  <c r="W306" i="175"/>
  <c r="AM306" i="175"/>
  <c r="AL306" i="175"/>
  <c r="W307" i="175"/>
  <c r="AM307" i="175"/>
  <c r="AL307" i="175"/>
  <c r="W308" i="175"/>
  <c r="AM308" i="175"/>
  <c r="AL308" i="175"/>
  <c r="W309" i="175"/>
  <c r="AM309" i="175"/>
  <c r="AL309" i="175"/>
  <c r="W310" i="175"/>
  <c r="AM310" i="175"/>
  <c r="AL310" i="175"/>
  <c r="W311" i="175"/>
  <c r="AM311" i="175"/>
  <c r="AL311" i="175"/>
  <c r="W312" i="175"/>
  <c r="AM312" i="175"/>
  <c r="AL312" i="175"/>
  <c r="W313" i="175"/>
  <c r="AM313" i="175"/>
  <c r="AL313" i="175"/>
  <c r="W321" i="175"/>
  <c r="AM321" i="175"/>
  <c r="AL321" i="175"/>
  <c r="W322" i="175"/>
  <c r="AM322" i="175"/>
  <c r="AL322" i="175"/>
  <c r="W323" i="175"/>
  <c r="AM323" i="175"/>
  <c r="AL323" i="175"/>
  <c r="W324" i="175"/>
  <c r="AM324" i="175"/>
  <c r="AL324" i="175"/>
  <c r="W325" i="175"/>
  <c r="AM325" i="175"/>
  <c r="AL325" i="175"/>
  <c r="W326" i="175"/>
  <c r="AM326" i="175"/>
  <c r="AL326" i="175"/>
  <c r="W327" i="175"/>
  <c r="AM327" i="175"/>
  <c r="AL327" i="175"/>
  <c r="W328" i="175"/>
  <c r="AM328" i="175"/>
  <c r="AL328" i="175"/>
  <c r="W329" i="175"/>
  <c r="AM329" i="175"/>
  <c r="AL329" i="175"/>
  <c r="W330" i="175"/>
  <c r="AM330" i="175"/>
  <c r="AL330" i="175"/>
  <c r="W354" i="175"/>
  <c r="AM354" i="175"/>
  <c r="AL354" i="175"/>
  <c r="AK152" i="124"/>
  <c r="AK152" i="174" s="1"/>
  <c r="Y152" i="174"/>
  <c r="R146" i="174"/>
  <c r="V146" i="124"/>
  <c r="V146" i="174" s="1"/>
  <c r="R145" i="174"/>
  <c r="V145" i="124"/>
  <c r="V145" i="174" s="1"/>
  <c r="R144" i="174"/>
  <c r="V144" i="124"/>
  <c r="V144" i="174" s="1"/>
  <c r="R143" i="174"/>
  <c r="V143" i="124"/>
  <c r="V143" i="174" s="1"/>
  <c r="R142" i="174"/>
  <c r="V142" i="124"/>
  <c r="V142" i="174" s="1"/>
  <c r="R141" i="174"/>
  <c r="V141" i="124"/>
  <c r="V141" i="174" s="1"/>
  <c r="R140" i="174"/>
  <c r="V140" i="124"/>
  <c r="V140" i="174" s="1"/>
  <c r="R139" i="174"/>
  <c r="V139" i="124"/>
  <c r="V139" i="174" s="1"/>
  <c r="R138" i="174"/>
  <c r="V138" i="124"/>
  <c r="V138" i="174" s="1"/>
  <c r="R137" i="174"/>
  <c r="V137" i="124"/>
  <c r="V137" i="174" s="1"/>
  <c r="R136" i="174"/>
  <c r="V136" i="124"/>
  <c r="V136" i="174" s="1"/>
  <c r="R135" i="174"/>
  <c r="V135" i="124"/>
  <c r="V135" i="174" s="1"/>
  <c r="R134" i="174"/>
  <c r="V134" i="124"/>
  <c r="V134" i="174" s="1"/>
  <c r="R133" i="174"/>
  <c r="V133" i="124"/>
  <c r="V133" i="174" s="1"/>
  <c r="R132" i="174"/>
  <c r="V132" i="124"/>
  <c r="V132" i="174" s="1"/>
  <c r="R131" i="174"/>
  <c r="V131" i="124"/>
  <c r="V131" i="174" s="1"/>
  <c r="R130" i="174"/>
  <c r="V130" i="124"/>
  <c r="V130" i="174" s="1"/>
  <c r="R129" i="174"/>
  <c r="V129" i="124"/>
  <c r="V129" i="174" s="1"/>
  <c r="R128" i="174"/>
  <c r="V128" i="124"/>
  <c r="V128" i="174" s="1"/>
  <c r="R127" i="174"/>
  <c r="V127" i="124"/>
  <c r="V127" i="174" s="1"/>
  <c r="R126" i="174"/>
  <c r="V126" i="124"/>
  <c r="V126" i="174" s="1"/>
  <c r="R125" i="174"/>
  <c r="V125" i="124"/>
  <c r="V125" i="174" s="1"/>
  <c r="R124" i="174"/>
  <c r="V124" i="124"/>
  <c r="V124" i="174" s="1"/>
  <c r="R123" i="174"/>
  <c r="V123" i="124"/>
  <c r="V123" i="174" s="1"/>
  <c r="R122" i="174"/>
  <c r="V122" i="124"/>
  <c r="V122" i="174" s="1"/>
  <c r="R121" i="174"/>
  <c r="V121" i="124"/>
  <c r="V121" i="174" s="1"/>
  <c r="R120" i="174"/>
  <c r="V120" i="124"/>
  <c r="V120" i="174" s="1"/>
  <c r="R119" i="174"/>
  <c r="V119" i="124"/>
  <c r="V119" i="174" s="1"/>
  <c r="R118" i="174"/>
  <c r="V118" i="124"/>
  <c r="V118" i="174" s="1"/>
  <c r="AV118" i="174" s="1"/>
  <c r="R117" i="174"/>
  <c r="V117" i="124"/>
  <c r="V117" i="174" s="1"/>
  <c r="AV117" i="174" s="1"/>
  <c r="R116" i="174"/>
  <c r="V116" i="124"/>
  <c r="V116" i="174" s="1"/>
  <c r="R115" i="174"/>
  <c r="V115" i="124"/>
  <c r="V115" i="174" s="1"/>
  <c r="R114" i="174"/>
  <c r="V114" i="124"/>
  <c r="V114" i="174" s="1"/>
  <c r="R113" i="174"/>
  <c r="V113" i="124"/>
  <c r="V113" i="174" s="1"/>
  <c r="AM224" i="174"/>
  <c r="AM32" i="87"/>
  <c r="AM18" i="87"/>
  <c r="V12" i="87"/>
  <c r="AM11" i="87"/>
  <c r="AM137" i="87"/>
  <c r="AM89" i="87"/>
  <c r="AM79" i="87"/>
  <c r="AM71" i="87"/>
  <c r="AM67" i="87"/>
  <c r="AM66" i="87"/>
  <c r="AM63" i="87"/>
  <c r="AM58" i="87"/>
  <c r="W39" i="87"/>
  <c r="W40" i="87"/>
  <c r="W42" i="87"/>
  <c r="AM84" i="87"/>
  <c r="AM17" i="87"/>
  <c r="AM72" i="87"/>
  <c r="AM22" i="87"/>
  <c r="AM85" i="87"/>
  <c r="AM69" i="87"/>
  <c r="AM138" i="87"/>
  <c r="AM25" i="87"/>
  <c r="Y90" i="87"/>
  <c r="V111" i="87"/>
  <c r="AM141" i="87"/>
  <c r="AM140" i="87"/>
  <c r="AM60" i="87"/>
  <c r="AM143" i="87"/>
  <c r="V6" i="87"/>
  <c r="W154" i="87" s="1"/>
  <c r="W25" i="87"/>
  <c r="Y38" i="87"/>
  <c r="Y106" i="87"/>
  <c r="AM31" i="87"/>
  <c r="AM24" i="87"/>
  <c r="AM21" i="87"/>
  <c r="AM27" i="87"/>
  <c r="W77" i="87"/>
  <c r="AJ154" i="124" l="1"/>
  <c r="AI154" i="124"/>
  <c r="AH154" i="124"/>
  <c r="AG154" i="124"/>
  <c r="AF154" i="124"/>
  <c r="AE154" i="124"/>
  <c r="AD154" i="124"/>
  <c r="AC154" i="124"/>
  <c r="AB154" i="124"/>
  <c r="AA154" i="124"/>
  <c r="Z154" i="124"/>
  <c r="AK154" i="124"/>
  <c r="AM154" i="124"/>
  <c r="Y155" i="87"/>
  <c r="AK154" i="87"/>
  <c r="AM154" i="68"/>
  <c r="Y92" i="174"/>
  <c r="Y93" i="174"/>
  <c r="Y94" i="174"/>
  <c r="Y95" i="174"/>
  <c r="Y96" i="174"/>
  <c r="Y97" i="174"/>
  <c r="Y98" i="174"/>
  <c r="Y99" i="174"/>
  <c r="Y100" i="174"/>
  <c r="Y101" i="174"/>
  <c r="Y102" i="174"/>
  <c r="Y103" i="174"/>
  <c r="Y104" i="174"/>
  <c r="Y105" i="174"/>
  <c r="Y91" i="174"/>
  <c r="R37" i="174"/>
  <c r="S37" i="124"/>
  <c r="R38" i="174"/>
  <c r="S38" i="124"/>
  <c r="T153" i="87"/>
  <c r="T151" i="87"/>
  <c r="T150" i="87"/>
  <c r="T110" i="87"/>
  <c r="T109" i="87"/>
  <c r="T108" i="87"/>
  <c r="T107" i="87"/>
  <c r="T105" i="87"/>
  <c r="T104" i="87"/>
  <c r="T103" i="87"/>
  <c r="T102" i="87"/>
  <c r="T101" i="87"/>
  <c r="T100" i="87"/>
  <c r="T99" i="87"/>
  <c r="T98" i="87"/>
  <c r="T97" i="87"/>
  <c r="T96" i="87"/>
  <c r="T95" i="87"/>
  <c r="T94" i="87"/>
  <c r="T93" i="87"/>
  <c r="T92" i="87"/>
  <c r="T91" i="87"/>
  <c r="T75" i="87"/>
  <c r="T74" i="87"/>
  <c r="T70" i="87"/>
  <c r="T65" i="87"/>
  <c r="T62" i="87"/>
  <c r="T55" i="87"/>
  <c r="T53" i="87"/>
  <c r="T52" i="87"/>
  <c r="T51" i="87"/>
  <c r="T50" i="87" s="1"/>
  <c r="T38" i="87"/>
  <c r="T37" i="87"/>
  <c r="U36" i="87"/>
  <c r="T35" i="87"/>
  <c r="T45" i="87" s="1"/>
  <c r="T34" i="87"/>
  <c r="T44" i="87" s="1"/>
  <c r="T153" i="68"/>
  <c r="U153" i="68" s="1"/>
  <c r="S153" i="124"/>
  <c r="S153" i="174" s="1"/>
  <c r="S151" i="124"/>
  <c r="S151" i="174" s="1"/>
  <c r="T151" i="68"/>
  <c r="S150" i="124"/>
  <c r="S150" i="174" s="1"/>
  <c r="T150" i="68"/>
  <c r="S110" i="124"/>
  <c r="S110" i="174" s="1"/>
  <c r="T110" i="68"/>
  <c r="S109" i="124"/>
  <c r="S109" i="174" s="1"/>
  <c r="T109" i="68"/>
  <c r="S108" i="124"/>
  <c r="S108" i="174" s="1"/>
  <c r="T108" i="68"/>
  <c r="S107" i="124"/>
  <c r="S107" i="174" s="1"/>
  <c r="T107" i="68"/>
  <c r="S105" i="124"/>
  <c r="T105" i="68"/>
  <c r="S104" i="124"/>
  <c r="T104" i="68"/>
  <c r="S103" i="124"/>
  <c r="T103" i="68"/>
  <c r="S102" i="124"/>
  <c r="T102" i="68"/>
  <c r="S101" i="124"/>
  <c r="T101" i="68"/>
  <c r="S100" i="124"/>
  <c r="T100" i="68"/>
  <c r="S99" i="124"/>
  <c r="T99" i="68"/>
  <c r="S98" i="124"/>
  <c r="T98" i="68"/>
  <c r="S97" i="124"/>
  <c r="T97" i="68"/>
  <c r="S96" i="124"/>
  <c r="T96" i="68"/>
  <c r="S95" i="124"/>
  <c r="T95" i="68"/>
  <c r="S94" i="124"/>
  <c r="T94" i="68"/>
  <c r="S93" i="124"/>
  <c r="T93" i="68"/>
  <c r="S92" i="124"/>
  <c r="T92" i="68"/>
  <c r="S91" i="124"/>
  <c r="T91" i="68"/>
  <c r="T75" i="68"/>
  <c r="U75" i="68" s="1"/>
  <c r="T74" i="68"/>
  <c r="U74" i="68" s="1"/>
  <c r="T70" i="68"/>
  <c r="U70" i="68" s="1"/>
  <c r="U68" i="68"/>
  <c r="T65" i="68"/>
  <c r="U65" i="68" s="1"/>
  <c r="T62" i="68"/>
  <c r="U62" i="68" s="1"/>
  <c r="S55" i="124"/>
  <c r="S55" i="174" s="1"/>
  <c r="T55" i="68"/>
  <c r="T53" i="68"/>
  <c r="U53" i="68" s="1"/>
  <c r="T52" i="68"/>
  <c r="U52" i="68" s="1"/>
  <c r="T50" i="68"/>
  <c r="U51" i="68"/>
  <c r="T36" i="68"/>
  <c r="U36" i="68" s="1"/>
  <c r="T38" i="68"/>
  <c r="S37" i="174"/>
  <c r="T37" i="68"/>
  <c r="T35" i="68"/>
  <c r="T33" i="68"/>
  <c r="T43" i="68" s="1"/>
  <c r="U34" i="68"/>
  <c r="U44" i="68" s="1"/>
  <c r="AL30" i="175"/>
  <c r="AL29" i="175"/>
  <c r="AK252" i="175"/>
  <c r="AM250" i="175"/>
  <c r="AL250" i="175"/>
  <c r="V252" i="175"/>
  <c r="W252" i="175" s="1"/>
  <c r="W250" i="175"/>
  <c r="AM155" i="175"/>
  <c r="AL155" i="175"/>
  <c r="AK156" i="175"/>
  <c r="AM154" i="175"/>
  <c r="AL154" i="175"/>
  <c r="V156" i="175"/>
  <c r="W154" i="175"/>
  <c r="AK33" i="175"/>
  <c r="AM6" i="175"/>
  <c r="AL6" i="175"/>
  <c r="Y157" i="175"/>
  <c r="Y253" i="175" s="1"/>
  <c r="Y290" i="175" s="1"/>
  <c r="Y352" i="175" s="1"/>
  <c r="Y355" i="175" s="1"/>
  <c r="Y43" i="175"/>
  <c r="AK43" i="175" s="1"/>
  <c r="AM43" i="175" s="1"/>
  <c r="V157" i="175"/>
  <c r="W33" i="175"/>
  <c r="W122" i="87"/>
  <c r="W123" i="87"/>
  <c r="W124" i="87"/>
  <c r="W125" i="87"/>
  <c r="W126" i="87"/>
  <c r="W127" i="87"/>
  <c r="W128" i="87"/>
  <c r="W129" i="87"/>
  <c r="W130" i="87"/>
  <c r="W131" i="87"/>
  <c r="W132" i="87"/>
  <c r="W133" i="87"/>
  <c r="W134" i="87"/>
  <c r="W135" i="87"/>
  <c r="W136" i="87"/>
  <c r="W137" i="87"/>
  <c r="W138" i="87"/>
  <c r="W139" i="87"/>
  <c r="W140" i="87"/>
  <c r="W141" i="87"/>
  <c r="W142" i="87"/>
  <c r="W143" i="87"/>
  <c r="W144" i="87"/>
  <c r="W145" i="87"/>
  <c r="W146" i="87"/>
  <c r="W12" i="87"/>
  <c r="W120" i="87"/>
  <c r="W111" i="87"/>
  <c r="W63" i="87"/>
  <c r="W6" i="87"/>
  <c r="W18" i="87"/>
  <c r="W30" i="87"/>
  <c r="W11" i="87"/>
  <c r="W23" i="87"/>
  <c r="W58" i="87"/>
  <c r="W82" i="87"/>
  <c r="W9" i="87"/>
  <c r="W21" i="87"/>
  <c r="W118" i="87"/>
  <c r="W121" i="87"/>
  <c r="W59" i="87"/>
  <c r="W86" i="87"/>
  <c r="W148" i="87"/>
  <c r="W24" i="87"/>
  <c r="W27" i="87"/>
  <c r="W31" i="87"/>
  <c r="W56" i="87"/>
  <c r="W80" i="87"/>
  <c r="W83" i="87"/>
  <c r="W71" i="87"/>
  <c r="W116" i="87"/>
  <c r="W10" i="87"/>
  <c r="W19" i="87"/>
  <c r="W20" i="87"/>
  <c r="W54" i="87"/>
  <c r="W66" i="87"/>
  <c r="W78" i="87"/>
  <c r="W119" i="87"/>
  <c r="W15" i="87"/>
  <c r="W32" i="87"/>
  <c r="W69" i="87"/>
  <c r="W26" i="87"/>
  <c r="W88" i="87"/>
  <c r="W112" i="87"/>
  <c r="W61" i="87"/>
  <c r="W76" i="87"/>
  <c r="W29" i="87"/>
  <c r="W17" i="87"/>
  <c r="W114" i="87"/>
  <c r="W57" i="87"/>
  <c r="W79" i="87"/>
  <c r="W149" i="87"/>
  <c r="W8" i="87"/>
  <c r="W73" i="87"/>
  <c r="W22" i="87"/>
  <c r="W81" i="87"/>
  <c r="W117" i="87"/>
  <c r="W85" i="87"/>
  <c r="W14" i="87"/>
  <c r="W16" i="87"/>
  <c r="W87" i="87"/>
  <c r="W115" i="87"/>
  <c r="W89" i="87"/>
  <c r="W152" i="87"/>
  <c r="W113" i="87"/>
  <c r="W67" i="87"/>
  <c r="W28" i="87"/>
  <c r="W60" i="87"/>
  <c r="W72" i="87"/>
  <c r="W7" i="87"/>
  <c r="W13" i="87"/>
  <c r="W64" i="87"/>
  <c r="W84" i="87"/>
  <c r="AM154" i="87" l="1"/>
  <c r="S91" i="174"/>
  <c r="S92" i="174"/>
  <c r="S93" i="174"/>
  <c r="S94" i="174"/>
  <c r="S95" i="174"/>
  <c r="S96" i="174"/>
  <c r="S97" i="174"/>
  <c r="S98" i="174"/>
  <c r="S99" i="174"/>
  <c r="S100" i="174"/>
  <c r="S101" i="174"/>
  <c r="S102" i="174"/>
  <c r="S103" i="174"/>
  <c r="S104" i="174"/>
  <c r="S105" i="174"/>
  <c r="T38" i="124"/>
  <c r="U38" i="124" s="1"/>
  <c r="T37" i="124"/>
  <c r="U37" i="124" s="1"/>
  <c r="U35" i="68"/>
  <c r="U45" i="68" s="1"/>
  <c r="T45" i="68"/>
  <c r="S159" i="68"/>
  <c r="V36" i="87"/>
  <c r="U46" i="87"/>
  <c r="U153" i="87"/>
  <c r="V153" i="87" s="1"/>
  <c r="W153" i="87" s="1"/>
  <c r="U151" i="87"/>
  <c r="V151" i="87" s="1"/>
  <c r="W151" i="87" s="1"/>
  <c r="T147" i="87"/>
  <c r="U150" i="87"/>
  <c r="T106" i="87"/>
  <c r="U107" i="87"/>
  <c r="U108" i="87"/>
  <c r="V108" i="87" s="1"/>
  <c r="W108" i="87" s="1"/>
  <c r="U109" i="87"/>
  <c r="V109" i="87" s="1"/>
  <c r="W109" i="87" s="1"/>
  <c r="U110" i="87"/>
  <c r="V110" i="87" s="1"/>
  <c r="W110" i="87" s="1"/>
  <c r="T90" i="87"/>
  <c r="U91" i="87"/>
  <c r="U92" i="87"/>
  <c r="V92" i="87" s="1"/>
  <c r="W92" i="87" s="1"/>
  <c r="U93" i="87"/>
  <c r="V93" i="87" s="1"/>
  <c r="W93" i="87" s="1"/>
  <c r="U94" i="87"/>
  <c r="V94" i="87" s="1"/>
  <c r="W94" i="87" s="1"/>
  <c r="U95" i="87"/>
  <c r="V95" i="87" s="1"/>
  <c r="W95" i="87" s="1"/>
  <c r="U96" i="87"/>
  <c r="V96" i="87" s="1"/>
  <c r="W96" i="87" s="1"/>
  <c r="U97" i="87"/>
  <c r="V97" i="87" s="1"/>
  <c r="W97" i="87" s="1"/>
  <c r="U98" i="87"/>
  <c r="V98" i="87" s="1"/>
  <c r="W98" i="87" s="1"/>
  <c r="U99" i="87"/>
  <c r="V99" i="87" s="1"/>
  <c r="W99" i="87" s="1"/>
  <c r="U100" i="87"/>
  <c r="V100" i="87" s="1"/>
  <c r="W100" i="87" s="1"/>
  <c r="U101" i="87"/>
  <c r="V101" i="87" s="1"/>
  <c r="W101" i="87" s="1"/>
  <c r="U102" i="87"/>
  <c r="V102" i="87" s="1"/>
  <c r="W102" i="87" s="1"/>
  <c r="U103" i="87"/>
  <c r="V103" i="87" s="1"/>
  <c r="W103" i="87" s="1"/>
  <c r="U104" i="87"/>
  <c r="V104" i="87" s="1"/>
  <c r="W104" i="87" s="1"/>
  <c r="U105" i="87"/>
  <c r="V105" i="87" s="1"/>
  <c r="W105" i="87" s="1"/>
  <c r="U75" i="87"/>
  <c r="V75" i="87" s="1"/>
  <c r="W75" i="87" s="1"/>
  <c r="U74" i="87"/>
  <c r="V74" i="87" s="1"/>
  <c r="W74" i="87" s="1"/>
  <c r="U70" i="87"/>
  <c r="V70" i="87" s="1"/>
  <c r="W70" i="87" s="1"/>
  <c r="U68" i="87"/>
  <c r="V68" i="87" s="1"/>
  <c r="W68" i="87" s="1"/>
  <c r="U65" i="87"/>
  <c r="V65" i="87" s="1"/>
  <c r="W65" i="87" s="1"/>
  <c r="U62" i="87"/>
  <c r="V62" i="87" s="1"/>
  <c r="W62" i="87" s="1"/>
  <c r="U55" i="87"/>
  <c r="V55" i="87" s="1"/>
  <c r="W55" i="87" s="1"/>
  <c r="U52" i="87"/>
  <c r="V52" i="87" s="1"/>
  <c r="W52" i="87" s="1"/>
  <c r="U53" i="87"/>
  <c r="V53" i="87" s="1"/>
  <c r="W53" i="87" s="1"/>
  <c r="T155" i="87"/>
  <c r="U51" i="87"/>
  <c r="U50" i="87" s="1"/>
  <c r="U38" i="87"/>
  <c r="V38" i="87" s="1"/>
  <c r="W38" i="87" s="1"/>
  <c r="T33" i="87"/>
  <c r="T43" i="87" s="1"/>
  <c r="U34" i="87"/>
  <c r="U44" i="87" s="1"/>
  <c r="U35" i="87"/>
  <c r="V46" i="87"/>
  <c r="W46" i="87" s="1"/>
  <c r="W36" i="87"/>
  <c r="U37" i="87"/>
  <c r="V37" i="87" s="1"/>
  <c r="T153" i="124"/>
  <c r="T153" i="174" s="1"/>
  <c r="U153" i="124"/>
  <c r="U153" i="174" s="1"/>
  <c r="T151" i="124"/>
  <c r="T151" i="174" s="1"/>
  <c r="U151" i="68"/>
  <c r="U151" i="124" s="1"/>
  <c r="U151" i="174" s="1"/>
  <c r="T147" i="68"/>
  <c r="T150" i="124"/>
  <c r="T150" i="174" s="1"/>
  <c r="U150" i="68"/>
  <c r="T106" i="68"/>
  <c r="T107" i="124"/>
  <c r="T107" i="174" s="1"/>
  <c r="U107" i="68"/>
  <c r="T108" i="124"/>
  <c r="T108" i="174" s="1"/>
  <c r="U108" i="68"/>
  <c r="U108" i="124" s="1"/>
  <c r="U108" i="174" s="1"/>
  <c r="T109" i="124"/>
  <c r="T109" i="174" s="1"/>
  <c r="U109" i="68"/>
  <c r="U109" i="124" s="1"/>
  <c r="U109" i="174" s="1"/>
  <c r="T110" i="124"/>
  <c r="T110" i="174" s="1"/>
  <c r="U110" i="68"/>
  <c r="U110" i="124" s="1"/>
  <c r="U110" i="174" s="1"/>
  <c r="T90" i="68"/>
  <c r="T91" i="124"/>
  <c r="U91" i="68"/>
  <c r="T92" i="124"/>
  <c r="U92" i="68"/>
  <c r="U92" i="124" s="1"/>
  <c r="U92" i="174" s="1"/>
  <c r="T93" i="124"/>
  <c r="U93" i="68"/>
  <c r="U93" i="124" s="1"/>
  <c r="U93" i="174" s="1"/>
  <c r="T94" i="124"/>
  <c r="U94" i="68"/>
  <c r="U94" i="124" s="1"/>
  <c r="U94" i="174" s="1"/>
  <c r="T95" i="124"/>
  <c r="U95" i="68"/>
  <c r="U95" i="124" s="1"/>
  <c r="U95" i="174" s="1"/>
  <c r="T96" i="124"/>
  <c r="U96" i="68"/>
  <c r="U96" i="124" s="1"/>
  <c r="U96" i="174" s="1"/>
  <c r="T97" i="124"/>
  <c r="U97" i="68"/>
  <c r="U97" i="124" s="1"/>
  <c r="U97" i="174" s="1"/>
  <c r="T98" i="124"/>
  <c r="U98" i="68"/>
  <c r="U98" i="124" s="1"/>
  <c r="U98" i="174" s="1"/>
  <c r="T99" i="124"/>
  <c r="U99" i="68"/>
  <c r="U99" i="124" s="1"/>
  <c r="U99" i="174" s="1"/>
  <c r="T100" i="124"/>
  <c r="U100" i="68"/>
  <c r="U100" i="124" s="1"/>
  <c r="U100" i="174" s="1"/>
  <c r="T101" i="124"/>
  <c r="U101" i="68"/>
  <c r="U101" i="124" s="1"/>
  <c r="U101" i="174" s="1"/>
  <c r="T102" i="124"/>
  <c r="U102" i="68"/>
  <c r="U102" i="124" s="1"/>
  <c r="U102" i="174" s="1"/>
  <c r="T103" i="124"/>
  <c r="U103" i="68"/>
  <c r="U103" i="124" s="1"/>
  <c r="U103" i="174" s="1"/>
  <c r="T104" i="124"/>
  <c r="U104" i="68"/>
  <c r="U104" i="124" s="1"/>
  <c r="U104" i="174" s="1"/>
  <c r="T105" i="124"/>
  <c r="U105" i="68"/>
  <c r="U105" i="124" s="1"/>
  <c r="U105" i="174" s="1"/>
  <c r="T55" i="124"/>
  <c r="T55" i="174" s="1"/>
  <c r="U55" i="68"/>
  <c r="T37" i="174"/>
  <c r="U37" i="68"/>
  <c r="U37" i="174" s="1"/>
  <c r="T38" i="174"/>
  <c r="U38" i="68"/>
  <c r="S38" i="174"/>
  <c r="V253" i="175"/>
  <c r="W157" i="175"/>
  <c r="AK157" i="175"/>
  <c r="AM33" i="175"/>
  <c r="AL33" i="175"/>
  <c r="V254" i="175"/>
  <c r="W156" i="175"/>
  <c r="AK254" i="175"/>
  <c r="AM156" i="175"/>
  <c r="AL156" i="175"/>
  <c r="AM252" i="175"/>
  <c r="AL252" i="175"/>
  <c r="T155" i="68" l="1"/>
  <c r="T158" i="68" s="1"/>
  <c r="T159" i="68" s="1"/>
  <c r="T105" i="174"/>
  <c r="V105" i="124"/>
  <c r="T104" i="174"/>
  <c r="V104" i="124"/>
  <c r="T103" i="174"/>
  <c r="V103" i="124"/>
  <c r="T102" i="174"/>
  <c r="V102" i="124"/>
  <c r="T101" i="174"/>
  <c r="V101" i="124"/>
  <c r="T100" i="174"/>
  <c r="V100" i="124"/>
  <c r="T99" i="174"/>
  <c r="V99" i="124"/>
  <c r="T98" i="174"/>
  <c r="V98" i="124"/>
  <c r="T97" i="174"/>
  <c r="V97" i="124"/>
  <c r="T96" i="174"/>
  <c r="V96" i="124"/>
  <c r="T95" i="174"/>
  <c r="V95" i="124"/>
  <c r="T94" i="174"/>
  <c r="V94" i="124"/>
  <c r="T93" i="174"/>
  <c r="V93" i="124"/>
  <c r="T92" i="174"/>
  <c r="V92" i="124"/>
  <c r="T91" i="174"/>
  <c r="V35" i="87"/>
  <c r="U45" i="87"/>
  <c r="U147" i="87"/>
  <c r="V150" i="87"/>
  <c r="U106" i="87"/>
  <c r="V107" i="87"/>
  <c r="U90" i="87"/>
  <c r="V91" i="87"/>
  <c r="U155" i="87"/>
  <c r="V51" i="87"/>
  <c r="V45" i="87"/>
  <c r="W45" i="87" s="1"/>
  <c r="W35" i="87"/>
  <c r="U33" i="87"/>
  <c r="U43" i="87" s="1"/>
  <c r="V34" i="87"/>
  <c r="U147" i="68"/>
  <c r="U150" i="124"/>
  <c r="U150" i="174" s="1"/>
  <c r="U106" i="68"/>
  <c r="U107" i="124"/>
  <c r="U107" i="174" s="1"/>
  <c r="U90" i="68"/>
  <c r="U91" i="124"/>
  <c r="U55" i="124"/>
  <c r="U55" i="174" s="1"/>
  <c r="U50" i="68"/>
  <c r="U155" i="68" s="1"/>
  <c r="U33" i="68"/>
  <c r="AK256" i="175"/>
  <c r="AM254" i="175"/>
  <c r="AL254" i="175"/>
  <c r="V256" i="175"/>
  <c r="W254" i="175"/>
  <c r="AK253" i="175"/>
  <c r="AM157" i="175"/>
  <c r="AL157" i="175"/>
  <c r="V290" i="175"/>
  <c r="V255" i="175"/>
  <c r="W253" i="175"/>
  <c r="J42" i="124"/>
  <c r="J42" i="174" s="1"/>
  <c r="J41" i="124"/>
  <c r="J41" i="174" s="1"/>
  <c r="J40" i="124"/>
  <c r="J40" i="174" s="1"/>
  <c r="K34" i="124"/>
  <c r="K34" i="174" s="1"/>
  <c r="L34" i="124"/>
  <c r="L34" i="174" s="1"/>
  <c r="M34" i="124"/>
  <c r="M34" i="174" s="1"/>
  <c r="N34" i="124"/>
  <c r="N34" i="174" s="1"/>
  <c r="O34" i="124"/>
  <c r="P34" i="124"/>
  <c r="Q34" i="124"/>
  <c r="K35" i="124"/>
  <c r="K35" i="174" s="1"/>
  <c r="L35" i="124"/>
  <c r="L35" i="174" s="1"/>
  <c r="M35" i="124"/>
  <c r="M35" i="174" s="1"/>
  <c r="N35" i="124"/>
  <c r="N35" i="174" s="1"/>
  <c r="O35" i="124"/>
  <c r="P35" i="124"/>
  <c r="Q35" i="124"/>
  <c r="K36" i="124"/>
  <c r="K36" i="174" s="1"/>
  <c r="L36" i="124"/>
  <c r="L36" i="174" s="1"/>
  <c r="M36" i="124"/>
  <c r="M36" i="174" s="1"/>
  <c r="N36" i="124"/>
  <c r="N36" i="174" s="1"/>
  <c r="O36" i="124"/>
  <c r="P36" i="124"/>
  <c r="Q36" i="124"/>
  <c r="J35" i="124"/>
  <c r="J35" i="174" s="1"/>
  <c r="J36" i="124"/>
  <c r="J36" i="174" s="1"/>
  <c r="J37" i="124"/>
  <c r="J37" i="174" s="1"/>
  <c r="J34" i="124"/>
  <c r="J34" i="174" s="1"/>
  <c r="K13" i="124"/>
  <c r="K13" i="174" s="1"/>
  <c r="L13" i="124"/>
  <c r="L13" i="174" s="1"/>
  <c r="M13" i="124"/>
  <c r="M13" i="174" s="1"/>
  <c r="N13" i="124"/>
  <c r="N13" i="174" s="1"/>
  <c r="O13" i="124"/>
  <c r="O13" i="174" s="1"/>
  <c r="P13" i="124"/>
  <c r="P13" i="174" s="1"/>
  <c r="Q13" i="124"/>
  <c r="Q13" i="174" s="1"/>
  <c r="R13" i="124"/>
  <c r="R13" i="174" s="1"/>
  <c r="S13" i="124"/>
  <c r="S13" i="174" s="1"/>
  <c r="T13" i="124"/>
  <c r="T13" i="174" s="1"/>
  <c r="U13" i="124"/>
  <c r="U13" i="174" s="1"/>
  <c r="K14" i="124"/>
  <c r="K14" i="174" s="1"/>
  <c r="L14" i="124"/>
  <c r="L14" i="174" s="1"/>
  <c r="M14" i="124"/>
  <c r="M14" i="174" s="1"/>
  <c r="N14" i="124"/>
  <c r="N14" i="174" s="1"/>
  <c r="O14" i="124"/>
  <c r="O14" i="174" s="1"/>
  <c r="P14" i="124"/>
  <c r="P14" i="174" s="1"/>
  <c r="Q14" i="124"/>
  <c r="Q14" i="174" s="1"/>
  <c r="R14" i="124"/>
  <c r="R14" i="174" s="1"/>
  <c r="S14" i="124"/>
  <c r="S14" i="174" s="1"/>
  <c r="T14" i="124"/>
  <c r="T14" i="174" s="1"/>
  <c r="U14" i="124"/>
  <c r="U14" i="174" s="1"/>
  <c r="K15" i="124"/>
  <c r="K15" i="174" s="1"/>
  <c r="L15" i="124"/>
  <c r="L15" i="174" s="1"/>
  <c r="M15" i="124"/>
  <c r="M15" i="174" s="1"/>
  <c r="N15" i="124"/>
  <c r="N15" i="174" s="1"/>
  <c r="O15" i="124"/>
  <c r="O15" i="174" s="1"/>
  <c r="P15" i="124"/>
  <c r="P15" i="174" s="1"/>
  <c r="Q15" i="124"/>
  <c r="Q15" i="174" s="1"/>
  <c r="R15" i="124"/>
  <c r="R15" i="174" s="1"/>
  <c r="S15" i="124"/>
  <c r="S15" i="174" s="1"/>
  <c r="T15" i="124"/>
  <c r="T15" i="174" s="1"/>
  <c r="U15" i="124"/>
  <c r="U15" i="174" s="1"/>
  <c r="K16" i="124"/>
  <c r="K16" i="174" s="1"/>
  <c r="L16" i="124"/>
  <c r="L16" i="174" s="1"/>
  <c r="M16" i="124"/>
  <c r="M16" i="174" s="1"/>
  <c r="N16" i="124"/>
  <c r="N16" i="174" s="1"/>
  <c r="O16" i="124"/>
  <c r="O16" i="174" s="1"/>
  <c r="P16" i="124"/>
  <c r="P16" i="174" s="1"/>
  <c r="Q16" i="124"/>
  <c r="Q16" i="174" s="1"/>
  <c r="R16" i="124"/>
  <c r="R16" i="174" s="1"/>
  <c r="S16" i="124"/>
  <c r="S16" i="174" s="1"/>
  <c r="T16" i="124"/>
  <c r="T16" i="174" s="1"/>
  <c r="U16" i="124"/>
  <c r="U16" i="174" s="1"/>
  <c r="K17" i="124"/>
  <c r="K17" i="174" s="1"/>
  <c r="L17" i="124"/>
  <c r="L17" i="174" s="1"/>
  <c r="M17" i="124"/>
  <c r="M17" i="174" s="1"/>
  <c r="N17" i="124"/>
  <c r="N17" i="174" s="1"/>
  <c r="O17" i="124"/>
  <c r="O17" i="174" s="1"/>
  <c r="P17" i="124"/>
  <c r="P17" i="174" s="1"/>
  <c r="Q17" i="124"/>
  <c r="Q17" i="174" s="1"/>
  <c r="R17" i="124"/>
  <c r="R17" i="174" s="1"/>
  <c r="S17" i="124"/>
  <c r="S17" i="174" s="1"/>
  <c r="T17" i="124"/>
  <c r="T17" i="174" s="1"/>
  <c r="U17" i="124"/>
  <c r="U17" i="174" s="1"/>
  <c r="K18" i="124"/>
  <c r="K18" i="174" s="1"/>
  <c r="L18" i="124"/>
  <c r="L18" i="174" s="1"/>
  <c r="M18" i="124"/>
  <c r="M18" i="174" s="1"/>
  <c r="N18" i="124"/>
  <c r="N18" i="174" s="1"/>
  <c r="O18" i="124"/>
  <c r="O18" i="174" s="1"/>
  <c r="P18" i="124"/>
  <c r="P18" i="174" s="1"/>
  <c r="Q18" i="124"/>
  <c r="Q18" i="174" s="1"/>
  <c r="R18" i="124"/>
  <c r="R18" i="174" s="1"/>
  <c r="S18" i="124"/>
  <c r="S18" i="174" s="1"/>
  <c r="T18" i="124"/>
  <c r="T18" i="174" s="1"/>
  <c r="U18" i="124"/>
  <c r="U18" i="174" s="1"/>
  <c r="K19" i="124"/>
  <c r="K19" i="174" s="1"/>
  <c r="L19" i="124"/>
  <c r="L19" i="174" s="1"/>
  <c r="M19" i="124"/>
  <c r="M19" i="174" s="1"/>
  <c r="N19" i="124"/>
  <c r="N19" i="174" s="1"/>
  <c r="O19" i="124"/>
  <c r="O19" i="174" s="1"/>
  <c r="P19" i="124"/>
  <c r="P19" i="174" s="1"/>
  <c r="Q19" i="124"/>
  <c r="Q19" i="174" s="1"/>
  <c r="R19" i="124"/>
  <c r="R19" i="174" s="1"/>
  <c r="S19" i="124"/>
  <c r="S19" i="174" s="1"/>
  <c r="T19" i="124"/>
  <c r="T19" i="174" s="1"/>
  <c r="U19" i="124"/>
  <c r="U19" i="174" s="1"/>
  <c r="K20" i="124"/>
  <c r="K20" i="174" s="1"/>
  <c r="L20" i="124"/>
  <c r="L20" i="174" s="1"/>
  <c r="M20" i="124"/>
  <c r="M20" i="174" s="1"/>
  <c r="N20" i="124"/>
  <c r="N20" i="174" s="1"/>
  <c r="O20" i="124"/>
  <c r="O20" i="174" s="1"/>
  <c r="P20" i="124"/>
  <c r="P20" i="174" s="1"/>
  <c r="Q20" i="124"/>
  <c r="Q20" i="174" s="1"/>
  <c r="R20" i="124"/>
  <c r="R20" i="174" s="1"/>
  <c r="S20" i="124"/>
  <c r="S20" i="174" s="1"/>
  <c r="T20" i="124"/>
  <c r="T20" i="174" s="1"/>
  <c r="U20" i="124"/>
  <c r="U20" i="174" s="1"/>
  <c r="K21" i="124"/>
  <c r="K21" i="174" s="1"/>
  <c r="L21" i="124"/>
  <c r="L21" i="174" s="1"/>
  <c r="M21" i="124"/>
  <c r="M21" i="174" s="1"/>
  <c r="N21" i="124"/>
  <c r="N21" i="174" s="1"/>
  <c r="O21" i="124"/>
  <c r="O21" i="174" s="1"/>
  <c r="P21" i="124"/>
  <c r="P21" i="174" s="1"/>
  <c r="Q21" i="124"/>
  <c r="Q21" i="174" s="1"/>
  <c r="R21" i="124"/>
  <c r="R21" i="174" s="1"/>
  <c r="S21" i="124"/>
  <c r="S21" i="174" s="1"/>
  <c r="T21" i="124"/>
  <c r="T21" i="174" s="1"/>
  <c r="U21" i="124"/>
  <c r="U21" i="174" s="1"/>
  <c r="K22" i="124"/>
  <c r="K22" i="174" s="1"/>
  <c r="L22" i="124"/>
  <c r="L22" i="174" s="1"/>
  <c r="M22" i="124"/>
  <c r="M22" i="174" s="1"/>
  <c r="N22" i="124"/>
  <c r="N22" i="174" s="1"/>
  <c r="O22" i="124"/>
  <c r="O22" i="174" s="1"/>
  <c r="P22" i="124"/>
  <c r="P22" i="174" s="1"/>
  <c r="Q22" i="124"/>
  <c r="Q22" i="174" s="1"/>
  <c r="R22" i="124"/>
  <c r="R22" i="174" s="1"/>
  <c r="S22" i="124"/>
  <c r="S22" i="174" s="1"/>
  <c r="T22" i="124"/>
  <c r="T22" i="174" s="1"/>
  <c r="U22" i="124"/>
  <c r="U22" i="174" s="1"/>
  <c r="K23" i="124"/>
  <c r="K23" i="174" s="1"/>
  <c r="L23" i="124"/>
  <c r="L23" i="174" s="1"/>
  <c r="M23" i="124"/>
  <c r="M23" i="174" s="1"/>
  <c r="N23" i="124"/>
  <c r="N23" i="174" s="1"/>
  <c r="O23" i="124"/>
  <c r="O23" i="174" s="1"/>
  <c r="P23" i="124"/>
  <c r="P23" i="174" s="1"/>
  <c r="Q23" i="124"/>
  <c r="Q23" i="174" s="1"/>
  <c r="R23" i="124"/>
  <c r="R23" i="174" s="1"/>
  <c r="S23" i="124"/>
  <c r="S23" i="174" s="1"/>
  <c r="T23" i="124"/>
  <c r="T23" i="174" s="1"/>
  <c r="U23" i="124"/>
  <c r="U23" i="174" s="1"/>
  <c r="K24" i="124"/>
  <c r="K24" i="174" s="1"/>
  <c r="L24" i="124"/>
  <c r="L24" i="174" s="1"/>
  <c r="M24" i="124"/>
  <c r="M24" i="174" s="1"/>
  <c r="N24" i="124"/>
  <c r="N24" i="174" s="1"/>
  <c r="O24" i="124"/>
  <c r="O24" i="174" s="1"/>
  <c r="P24" i="124"/>
  <c r="P24" i="174" s="1"/>
  <c r="Q24" i="124"/>
  <c r="Q24" i="174" s="1"/>
  <c r="R24" i="124"/>
  <c r="R24" i="174" s="1"/>
  <c r="S24" i="124"/>
  <c r="S24" i="174" s="1"/>
  <c r="T24" i="124"/>
  <c r="T24" i="174" s="1"/>
  <c r="U24" i="124"/>
  <c r="U24" i="174" s="1"/>
  <c r="K25" i="124"/>
  <c r="K25" i="174" s="1"/>
  <c r="L25" i="124"/>
  <c r="L25" i="174" s="1"/>
  <c r="M25" i="124"/>
  <c r="M25" i="174" s="1"/>
  <c r="N25" i="124"/>
  <c r="N25" i="174" s="1"/>
  <c r="O25" i="124"/>
  <c r="O25" i="174" s="1"/>
  <c r="P25" i="124"/>
  <c r="P25" i="174" s="1"/>
  <c r="Q25" i="124"/>
  <c r="Q25" i="174" s="1"/>
  <c r="R25" i="124"/>
  <c r="R25" i="174" s="1"/>
  <c r="S25" i="124"/>
  <c r="S25" i="174" s="1"/>
  <c r="T25" i="124"/>
  <c r="T25" i="174" s="1"/>
  <c r="U25" i="124"/>
  <c r="U25" i="174" s="1"/>
  <c r="K26" i="124"/>
  <c r="K26" i="174" s="1"/>
  <c r="L26" i="124"/>
  <c r="L26" i="174" s="1"/>
  <c r="M26" i="124"/>
  <c r="M26" i="174" s="1"/>
  <c r="N26" i="124"/>
  <c r="N26" i="174" s="1"/>
  <c r="O26" i="124"/>
  <c r="O26" i="174" s="1"/>
  <c r="P26" i="124"/>
  <c r="P26" i="174" s="1"/>
  <c r="Q26" i="124"/>
  <c r="Q26" i="174" s="1"/>
  <c r="R26" i="124"/>
  <c r="R26" i="174" s="1"/>
  <c r="S26" i="124"/>
  <c r="S26" i="174" s="1"/>
  <c r="T26" i="124"/>
  <c r="T26" i="174" s="1"/>
  <c r="U26" i="124"/>
  <c r="U26" i="174" s="1"/>
  <c r="K27" i="124"/>
  <c r="K27" i="174" s="1"/>
  <c r="L27" i="124"/>
  <c r="L27" i="174" s="1"/>
  <c r="M27" i="124"/>
  <c r="M27" i="174" s="1"/>
  <c r="N27" i="124"/>
  <c r="N27" i="174" s="1"/>
  <c r="O27" i="124"/>
  <c r="O27" i="174" s="1"/>
  <c r="P27" i="124"/>
  <c r="P27" i="174" s="1"/>
  <c r="Q27" i="124"/>
  <c r="Q27" i="174" s="1"/>
  <c r="R27" i="124"/>
  <c r="R27" i="174" s="1"/>
  <c r="S27" i="124"/>
  <c r="S27" i="174" s="1"/>
  <c r="T27" i="124"/>
  <c r="T27" i="174" s="1"/>
  <c r="U27" i="124"/>
  <c r="U27" i="174" s="1"/>
  <c r="K28" i="124"/>
  <c r="K28" i="174" s="1"/>
  <c r="L28" i="124"/>
  <c r="L28" i="174" s="1"/>
  <c r="M28" i="124"/>
  <c r="M28" i="174" s="1"/>
  <c r="N28" i="124"/>
  <c r="N28" i="174" s="1"/>
  <c r="O28" i="124"/>
  <c r="O28" i="174" s="1"/>
  <c r="P28" i="124"/>
  <c r="P28" i="174" s="1"/>
  <c r="Q28" i="124"/>
  <c r="Q28" i="174" s="1"/>
  <c r="R28" i="124"/>
  <c r="R28" i="174" s="1"/>
  <c r="S28" i="124"/>
  <c r="S28" i="174" s="1"/>
  <c r="T28" i="124"/>
  <c r="T28" i="174" s="1"/>
  <c r="U28" i="124"/>
  <c r="U28" i="174" s="1"/>
  <c r="K29" i="124"/>
  <c r="K29" i="174" s="1"/>
  <c r="L29" i="124"/>
  <c r="L29" i="174" s="1"/>
  <c r="M29" i="124"/>
  <c r="M29" i="174" s="1"/>
  <c r="N29" i="124"/>
  <c r="N29" i="174" s="1"/>
  <c r="O29" i="124"/>
  <c r="O29" i="174" s="1"/>
  <c r="P29" i="124"/>
  <c r="P29" i="174" s="1"/>
  <c r="Q29" i="124"/>
  <c r="Q29" i="174" s="1"/>
  <c r="R29" i="124"/>
  <c r="R29" i="174" s="1"/>
  <c r="S29" i="124"/>
  <c r="S29" i="174" s="1"/>
  <c r="T29" i="124"/>
  <c r="T29" i="174" s="1"/>
  <c r="U29" i="124"/>
  <c r="U29" i="174" s="1"/>
  <c r="K30" i="124"/>
  <c r="K30" i="174" s="1"/>
  <c r="L30" i="124"/>
  <c r="L30" i="174" s="1"/>
  <c r="M30" i="124"/>
  <c r="M30" i="174" s="1"/>
  <c r="N30" i="124"/>
  <c r="N30" i="174" s="1"/>
  <c r="O30" i="124"/>
  <c r="O30" i="174" s="1"/>
  <c r="P30" i="124"/>
  <c r="P30" i="174" s="1"/>
  <c r="Q30" i="124"/>
  <c r="Q30" i="174" s="1"/>
  <c r="R30" i="124"/>
  <c r="R30" i="174" s="1"/>
  <c r="S30" i="124"/>
  <c r="S30" i="174" s="1"/>
  <c r="T30" i="124"/>
  <c r="T30" i="174" s="1"/>
  <c r="U30" i="124"/>
  <c r="U30" i="174" s="1"/>
  <c r="K31" i="124"/>
  <c r="K31" i="174" s="1"/>
  <c r="L31" i="124"/>
  <c r="L31" i="174" s="1"/>
  <c r="M31" i="124"/>
  <c r="M31" i="174" s="1"/>
  <c r="N31" i="124"/>
  <c r="N31" i="174" s="1"/>
  <c r="O31" i="124"/>
  <c r="O31" i="174" s="1"/>
  <c r="P31" i="124"/>
  <c r="P31" i="174" s="1"/>
  <c r="Q31" i="124"/>
  <c r="Q31" i="174" s="1"/>
  <c r="R31" i="124"/>
  <c r="R31" i="174" s="1"/>
  <c r="S31" i="124"/>
  <c r="S31" i="174" s="1"/>
  <c r="T31" i="124"/>
  <c r="T31" i="174" s="1"/>
  <c r="U31" i="124"/>
  <c r="U31" i="174" s="1"/>
  <c r="K32" i="124"/>
  <c r="K32" i="174" s="1"/>
  <c r="L32" i="124"/>
  <c r="L32" i="174" s="1"/>
  <c r="M32" i="124"/>
  <c r="M32" i="174" s="1"/>
  <c r="N32" i="124"/>
  <c r="N32" i="174" s="1"/>
  <c r="O32" i="124"/>
  <c r="O32" i="174" s="1"/>
  <c r="P32" i="124"/>
  <c r="P32" i="174" s="1"/>
  <c r="Q32" i="124"/>
  <c r="Q32" i="174" s="1"/>
  <c r="R32" i="124"/>
  <c r="R32" i="174" s="1"/>
  <c r="S32" i="124"/>
  <c r="S32" i="174" s="1"/>
  <c r="T32" i="124"/>
  <c r="T32" i="174" s="1"/>
  <c r="U32" i="124"/>
  <c r="U32" i="174" s="1"/>
  <c r="J32" i="124"/>
  <c r="J31" i="124"/>
  <c r="J31" i="174" s="1"/>
  <c r="J30" i="124"/>
  <c r="J30" i="174" s="1"/>
  <c r="J29" i="124"/>
  <c r="J29" i="174" s="1"/>
  <c r="J28" i="124"/>
  <c r="J28" i="174" s="1"/>
  <c r="J27" i="124"/>
  <c r="J27" i="174" s="1"/>
  <c r="J26" i="124"/>
  <c r="J26" i="174" s="1"/>
  <c r="J25" i="124"/>
  <c r="J25" i="174" s="1"/>
  <c r="J24" i="124"/>
  <c r="J24" i="174" s="1"/>
  <c r="J23" i="124"/>
  <c r="J23" i="174" s="1"/>
  <c r="J22" i="124"/>
  <c r="J22" i="174" s="1"/>
  <c r="J21" i="124"/>
  <c r="J21" i="174" s="1"/>
  <c r="J20" i="124"/>
  <c r="J20" i="174" s="1"/>
  <c r="J19" i="124"/>
  <c r="J19" i="174" s="1"/>
  <c r="J18" i="124"/>
  <c r="J18" i="174" s="1"/>
  <c r="J17" i="124"/>
  <c r="J17" i="174" s="1"/>
  <c r="J16" i="124"/>
  <c r="J16" i="174" s="1"/>
  <c r="J15" i="124"/>
  <c r="J15" i="174" s="1"/>
  <c r="J14" i="124"/>
  <c r="J14" i="174" s="1"/>
  <c r="J13" i="124"/>
  <c r="J13" i="174" s="1"/>
  <c r="AK23" i="124"/>
  <c r="AK23" i="174" s="1"/>
  <c r="V35" i="68"/>
  <c r="V36" i="68"/>
  <c r="V37" i="68"/>
  <c r="V38" i="68"/>
  <c r="V34" i="68"/>
  <c r="U91" i="174" l="1"/>
  <c r="V91" i="124"/>
  <c r="Q36" i="174"/>
  <c r="P36" i="174"/>
  <c r="O36" i="174"/>
  <c r="R36" i="124"/>
  <c r="Q35" i="174"/>
  <c r="P35" i="174"/>
  <c r="O35" i="174"/>
  <c r="R35" i="124"/>
  <c r="Q34" i="174"/>
  <c r="P34" i="174"/>
  <c r="O34" i="174"/>
  <c r="R34" i="124"/>
  <c r="R36" i="174"/>
  <c r="V33" i="68"/>
  <c r="U158" i="68"/>
  <c r="U159" i="68" s="1"/>
  <c r="U43" i="68"/>
  <c r="V147" i="87"/>
  <c r="W147" i="87" s="1"/>
  <c r="W150" i="87"/>
  <c r="V106" i="87"/>
  <c r="W106" i="87" s="1"/>
  <c r="W107" i="87"/>
  <c r="V90" i="87"/>
  <c r="W90" i="87" s="1"/>
  <c r="W91" i="87"/>
  <c r="V50" i="87"/>
  <c r="W51" i="87"/>
  <c r="V33" i="87"/>
  <c r="W34" i="87"/>
  <c r="V44" i="87"/>
  <c r="W44" i="87" s="1"/>
  <c r="U38" i="174"/>
  <c r="V38" i="124"/>
  <c r="V38" i="174" s="1"/>
  <c r="V257" i="175"/>
  <c r="W257" i="175" s="1"/>
  <c r="W255" i="175"/>
  <c r="V352" i="175"/>
  <c r="W290" i="175"/>
  <c r="AK290" i="175"/>
  <c r="AK255" i="175"/>
  <c r="AM253" i="175"/>
  <c r="AL253" i="175"/>
  <c r="V258" i="175"/>
  <c r="W258" i="175" s="1"/>
  <c r="W256" i="175"/>
  <c r="AK258" i="175"/>
  <c r="AM256" i="175"/>
  <c r="AL256" i="175"/>
  <c r="AK26" i="124"/>
  <c r="AK26" i="174" s="1"/>
  <c r="AK25" i="124"/>
  <c r="AK25" i="174" s="1"/>
  <c r="S12" i="124"/>
  <c r="S12" i="174" s="1"/>
  <c r="AK22" i="124"/>
  <c r="AK22" i="174" s="1"/>
  <c r="AK28" i="124"/>
  <c r="AK28" i="174" s="1"/>
  <c r="AK16" i="124"/>
  <c r="AK16" i="174" s="1"/>
  <c r="AK21" i="124"/>
  <c r="AK21" i="174" s="1"/>
  <c r="AK32" i="124"/>
  <c r="AK32" i="174" s="1"/>
  <c r="AK31" i="124"/>
  <c r="AK31" i="174" s="1"/>
  <c r="AK30" i="124"/>
  <c r="AK30" i="174" s="1"/>
  <c r="AK18" i="124"/>
  <c r="AK18" i="174" s="1"/>
  <c r="AK17" i="124"/>
  <c r="AK17" i="174" s="1"/>
  <c r="AK27" i="124"/>
  <c r="AK27" i="174" s="1"/>
  <c r="AK24" i="124"/>
  <c r="AK24" i="174" s="1"/>
  <c r="L12" i="124"/>
  <c r="L12" i="174" s="1"/>
  <c r="Q12" i="124"/>
  <c r="Q12" i="174" s="1"/>
  <c r="O12" i="124"/>
  <c r="O12" i="174" s="1"/>
  <c r="U12" i="124"/>
  <c r="U12" i="174" s="1"/>
  <c r="M12" i="124"/>
  <c r="M12" i="174" s="1"/>
  <c r="K12" i="124"/>
  <c r="K12" i="174" s="1"/>
  <c r="R12" i="124"/>
  <c r="R12" i="174" s="1"/>
  <c r="P12" i="124"/>
  <c r="P12" i="174" s="1"/>
  <c r="T12" i="124"/>
  <c r="T12" i="174" s="1"/>
  <c r="J12" i="124"/>
  <c r="J12" i="174" s="1"/>
  <c r="N12" i="124"/>
  <c r="N12" i="174" s="1"/>
  <c r="V90" i="124" l="1"/>
  <c r="R33" i="124"/>
  <c r="R43" i="124" s="1"/>
  <c r="R34" i="174"/>
  <c r="S34" i="124"/>
  <c r="R35" i="174"/>
  <c r="S35" i="124"/>
  <c r="S36" i="124"/>
  <c r="V155" i="87"/>
  <c r="W50" i="87"/>
  <c r="V43" i="87"/>
  <c r="W43" i="87" s="1"/>
  <c r="W33" i="87"/>
  <c r="V158" i="87"/>
  <c r="AM258" i="175"/>
  <c r="AL258" i="175"/>
  <c r="AK257" i="175"/>
  <c r="AM255" i="175"/>
  <c r="AL255" i="175"/>
  <c r="AK352" i="175"/>
  <c r="AM290" i="175"/>
  <c r="AL290" i="175"/>
  <c r="V355" i="175"/>
  <c r="W355" i="175" s="1"/>
  <c r="W352" i="175"/>
  <c r="E2" i="38"/>
  <c r="B3" i="38"/>
  <c r="E3" i="38"/>
  <c r="B4" i="38"/>
  <c r="E4" i="38"/>
  <c r="A6" i="38"/>
  <c r="B7" i="38"/>
  <c r="D7" i="38" s="1"/>
  <c r="B8" i="38"/>
  <c r="D8" i="38" s="1"/>
  <c r="B9" i="38"/>
  <c r="D9" i="38" s="1"/>
  <c r="B12" i="38"/>
  <c r="C12" i="38"/>
  <c r="D12" i="38"/>
  <c r="E12" i="38"/>
  <c r="F12" i="38"/>
  <c r="G12" i="38"/>
  <c r="H12" i="38"/>
  <c r="I12" i="38"/>
  <c r="J12" i="38"/>
  <c r="K12" i="38"/>
  <c r="L12" i="38"/>
  <c r="M12" i="38"/>
  <c r="B14" i="38"/>
  <c r="C14" i="38"/>
  <c r="D14" i="38"/>
  <c r="E14" i="38"/>
  <c r="F14" i="38"/>
  <c r="G14" i="38"/>
  <c r="H14" i="38"/>
  <c r="I14" i="38"/>
  <c r="J14" i="38"/>
  <c r="K14" i="38"/>
  <c r="L14" i="38"/>
  <c r="M14" i="38"/>
  <c r="B15" i="38"/>
  <c r="C15" i="38"/>
  <c r="D15" i="38"/>
  <c r="E15" i="38"/>
  <c r="F15" i="38"/>
  <c r="G15" i="38"/>
  <c r="H15" i="38"/>
  <c r="I15" i="38"/>
  <c r="J15" i="38"/>
  <c r="K15" i="38"/>
  <c r="L15" i="38"/>
  <c r="M15" i="38"/>
  <c r="B16" i="38"/>
  <c r="C16" i="38"/>
  <c r="D16" i="38"/>
  <c r="E16" i="38"/>
  <c r="F16" i="38"/>
  <c r="G16" i="38"/>
  <c r="H16" i="38"/>
  <c r="I16" i="38"/>
  <c r="J16" i="38"/>
  <c r="K16" i="38"/>
  <c r="L16" i="38"/>
  <c r="M16" i="38"/>
  <c r="A18" i="38"/>
  <c r="B18" i="38"/>
  <c r="B24" i="38"/>
  <c r="C24" i="38"/>
  <c r="D24" i="38"/>
  <c r="E24" i="38"/>
  <c r="F24" i="38"/>
  <c r="G24" i="38"/>
  <c r="H24" i="38"/>
  <c r="I24" i="38"/>
  <c r="J24" i="38"/>
  <c r="K24" i="38"/>
  <c r="L24" i="38"/>
  <c r="M24" i="38"/>
  <c r="B25" i="38"/>
  <c r="C25" i="38"/>
  <c r="D25" i="38"/>
  <c r="E25" i="38"/>
  <c r="F25" i="38"/>
  <c r="G25" i="38"/>
  <c r="H25" i="38"/>
  <c r="I25" i="38"/>
  <c r="J25" i="38"/>
  <c r="K25" i="38"/>
  <c r="L25" i="38"/>
  <c r="M25" i="38"/>
  <c r="B26" i="38"/>
  <c r="C26" i="38"/>
  <c r="D26" i="38"/>
  <c r="E26" i="38"/>
  <c r="F26" i="38"/>
  <c r="G26" i="38"/>
  <c r="H26" i="38"/>
  <c r="I26" i="38"/>
  <c r="J26" i="38"/>
  <c r="K26" i="38"/>
  <c r="L26" i="38"/>
  <c r="M26" i="38"/>
  <c r="B28" i="38"/>
  <c r="B30" i="38"/>
  <c r="C30" i="38"/>
  <c r="D30" i="38"/>
  <c r="E30" i="38"/>
  <c r="F30" i="38"/>
  <c r="G30" i="38"/>
  <c r="H30" i="38"/>
  <c r="I30" i="38"/>
  <c r="J30" i="38"/>
  <c r="K30" i="38"/>
  <c r="L30" i="38"/>
  <c r="M30" i="38"/>
  <c r="N30" i="38"/>
  <c r="B31" i="38"/>
  <c r="C31" i="38"/>
  <c r="D31" i="38"/>
  <c r="E31" i="38"/>
  <c r="F31" i="38"/>
  <c r="G31" i="38"/>
  <c r="H31" i="38"/>
  <c r="I31" i="38"/>
  <c r="J31" i="38"/>
  <c r="K31" i="38"/>
  <c r="L31" i="38"/>
  <c r="M31" i="38"/>
  <c r="N31" i="38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B34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B40" i="38"/>
  <c r="B42" i="38"/>
  <c r="C42" i="38"/>
  <c r="D42" i="38"/>
  <c r="E42" i="38"/>
  <c r="F42" i="38"/>
  <c r="G42" i="38"/>
  <c r="H42" i="38"/>
  <c r="I42" i="38"/>
  <c r="J42" i="38"/>
  <c r="K42" i="38"/>
  <c r="L42" i="38"/>
  <c r="M42" i="38"/>
  <c r="N42" i="38"/>
  <c r="B43" i="38"/>
  <c r="C43" i="38"/>
  <c r="D43" i="38"/>
  <c r="E43" i="38"/>
  <c r="F43" i="38"/>
  <c r="G43" i="38"/>
  <c r="H43" i="38"/>
  <c r="I43" i="38"/>
  <c r="J43" i="38"/>
  <c r="K43" i="38"/>
  <c r="L43" i="38"/>
  <c r="M43" i="38"/>
  <c r="N43" i="38"/>
  <c r="B44" i="38"/>
  <c r="C44" i="38"/>
  <c r="D44" i="38"/>
  <c r="E44" i="38"/>
  <c r="F44" i="38"/>
  <c r="G44" i="38"/>
  <c r="H44" i="38"/>
  <c r="I44" i="38"/>
  <c r="J44" i="38"/>
  <c r="K44" i="38"/>
  <c r="L44" i="38"/>
  <c r="M44" i="38"/>
  <c r="N44" i="38"/>
  <c r="B46" i="38"/>
  <c r="B48" i="38"/>
  <c r="C48" i="38"/>
  <c r="D48" i="38"/>
  <c r="E48" i="38"/>
  <c r="F48" i="38"/>
  <c r="G48" i="38"/>
  <c r="H48" i="38"/>
  <c r="I48" i="38"/>
  <c r="J48" i="38"/>
  <c r="K48" i="38"/>
  <c r="L48" i="38"/>
  <c r="M48" i="38"/>
  <c r="N48" i="38"/>
  <c r="B49" i="38"/>
  <c r="C49" i="38"/>
  <c r="D49" i="38"/>
  <c r="E49" i="38"/>
  <c r="F49" i="38"/>
  <c r="G49" i="38"/>
  <c r="H49" i="38"/>
  <c r="I49" i="38"/>
  <c r="J49" i="38"/>
  <c r="K49" i="38"/>
  <c r="L49" i="38"/>
  <c r="M49" i="38"/>
  <c r="N49" i="38"/>
  <c r="B50" i="38"/>
  <c r="C50" i="38"/>
  <c r="D50" i="38"/>
  <c r="E50" i="38"/>
  <c r="F50" i="38"/>
  <c r="G50" i="38"/>
  <c r="H50" i="38"/>
  <c r="I50" i="38"/>
  <c r="J50" i="38"/>
  <c r="K50" i="38"/>
  <c r="L50" i="38"/>
  <c r="M50" i="38"/>
  <c r="N50" i="38"/>
  <c r="B52" i="38"/>
  <c r="B54" i="38"/>
  <c r="C54" i="38"/>
  <c r="D54" i="38"/>
  <c r="E54" i="38"/>
  <c r="F54" i="38"/>
  <c r="G54" i="38"/>
  <c r="H54" i="38"/>
  <c r="I54" i="38"/>
  <c r="J54" i="38"/>
  <c r="K54" i="38"/>
  <c r="L54" i="38"/>
  <c r="M54" i="38"/>
  <c r="N54" i="38"/>
  <c r="B55" i="38"/>
  <c r="C55" i="38"/>
  <c r="D55" i="38"/>
  <c r="E55" i="38"/>
  <c r="F55" i="38"/>
  <c r="G55" i="38"/>
  <c r="H55" i="38"/>
  <c r="I55" i="38"/>
  <c r="J55" i="38"/>
  <c r="K55" i="38"/>
  <c r="L55" i="38"/>
  <c r="M55" i="38"/>
  <c r="N55" i="38"/>
  <c r="B56" i="38"/>
  <c r="C56" i="38"/>
  <c r="D56" i="38"/>
  <c r="E56" i="38"/>
  <c r="F56" i="38"/>
  <c r="G56" i="38"/>
  <c r="H56" i="38"/>
  <c r="I56" i="38"/>
  <c r="J56" i="38"/>
  <c r="K56" i="38"/>
  <c r="L56" i="38"/>
  <c r="M56" i="38"/>
  <c r="N56" i="38"/>
  <c r="N58" i="38"/>
  <c r="B59" i="38"/>
  <c r="N59" i="38"/>
  <c r="B60" i="38"/>
  <c r="N60" i="38"/>
  <c r="B61" i="38"/>
  <c r="C68" i="38"/>
  <c r="D68" i="38"/>
  <c r="E68" i="38"/>
  <c r="F68" i="38"/>
  <c r="G68" i="38"/>
  <c r="H68" i="38"/>
  <c r="I68" i="38"/>
  <c r="J68" i="38"/>
  <c r="K68" i="38"/>
  <c r="L68" i="38"/>
  <c r="M68" i="38"/>
  <c r="N68" i="38"/>
  <c r="C69" i="38"/>
  <c r="D69" i="38"/>
  <c r="E69" i="38"/>
  <c r="F69" i="38"/>
  <c r="G69" i="38"/>
  <c r="H69" i="38"/>
  <c r="I69" i="38"/>
  <c r="J69" i="38"/>
  <c r="K69" i="38"/>
  <c r="L69" i="38"/>
  <c r="M69" i="38"/>
  <c r="N69" i="38"/>
  <c r="C70" i="38"/>
  <c r="D70" i="38"/>
  <c r="E70" i="38"/>
  <c r="F70" i="38"/>
  <c r="G70" i="38"/>
  <c r="H70" i="38"/>
  <c r="I70" i="38"/>
  <c r="J70" i="38"/>
  <c r="K70" i="38"/>
  <c r="L70" i="38"/>
  <c r="M70" i="38"/>
  <c r="N70" i="38"/>
  <c r="C71" i="38"/>
  <c r="D71" i="38"/>
  <c r="E71" i="38"/>
  <c r="F71" i="38"/>
  <c r="G71" i="38"/>
  <c r="H71" i="38"/>
  <c r="I71" i="38"/>
  <c r="J71" i="38"/>
  <c r="K71" i="38"/>
  <c r="L71" i="38"/>
  <c r="M71" i="38"/>
  <c r="N71" i="38"/>
  <c r="C72" i="38"/>
  <c r="D72" i="38"/>
  <c r="E72" i="38"/>
  <c r="F72" i="38"/>
  <c r="G72" i="38"/>
  <c r="H72" i="38"/>
  <c r="I72" i="38"/>
  <c r="J72" i="38"/>
  <c r="K72" i="38"/>
  <c r="L72" i="38"/>
  <c r="M72" i="38"/>
  <c r="N72" i="38"/>
  <c r="C73" i="38"/>
  <c r="D73" i="38"/>
  <c r="E73" i="38"/>
  <c r="F73" i="38"/>
  <c r="G73" i="38"/>
  <c r="H73" i="38"/>
  <c r="I73" i="38"/>
  <c r="J73" i="38"/>
  <c r="K73" i="38"/>
  <c r="L73" i="38"/>
  <c r="M73" i="38"/>
  <c r="N73" i="38"/>
  <c r="C74" i="38"/>
  <c r="D74" i="38"/>
  <c r="E74" i="38"/>
  <c r="F74" i="38"/>
  <c r="G74" i="38"/>
  <c r="H74" i="38"/>
  <c r="I74" i="38"/>
  <c r="J74" i="38"/>
  <c r="K74" i="38"/>
  <c r="L74" i="38"/>
  <c r="M74" i="38"/>
  <c r="N74" i="38"/>
  <c r="C75" i="38"/>
  <c r="D75" i="38"/>
  <c r="E75" i="38"/>
  <c r="F75" i="38"/>
  <c r="G75" i="38"/>
  <c r="H75" i="38"/>
  <c r="I75" i="38"/>
  <c r="J75" i="38"/>
  <c r="K75" i="38"/>
  <c r="L75" i="38"/>
  <c r="M75" i="38"/>
  <c r="N75" i="38"/>
  <c r="C76" i="38"/>
  <c r="D76" i="38"/>
  <c r="E76" i="38"/>
  <c r="F76" i="38"/>
  <c r="G76" i="38"/>
  <c r="H76" i="38"/>
  <c r="I76" i="38"/>
  <c r="J76" i="38"/>
  <c r="K76" i="38"/>
  <c r="L76" i="38"/>
  <c r="M76" i="38"/>
  <c r="N76" i="38"/>
  <c r="C77" i="38"/>
  <c r="D77" i="38"/>
  <c r="E77" i="38"/>
  <c r="F77" i="38"/>
  <c r="G77" i="38"/>
  <c r="H77" i="38"/>
  <c r="I77" i="38"/>
  <c r="J77" i="38"/>
  <c r="K77" i="38"/>
  <c r="L77" i="38"/>
  <c r="M77" i="38"/>
  <c r="N77" i="38"/>
  <c r="C78" i="38"/>
  <c r="D78" i="38"/>
  <c r="E78" i="38"/>
  <c r="F78" i="38"/>
  <c r="G78" i="38"/>
  <c r="H78" i="38"/>
  <c r="I78" i="38"/>
  <c r="J78" i="38"/>
  <c r="K78" i="38"/>
  <c r="L78" i="38"/>
  <c r="M78" i="38"/>
  <c r="N78" i="38"/>
  <c r="C79" i="38"/>
  <c r="D79" i="38"/>
  <c r="E79" i="38"/>
  <c r="F79" i="38"/>
  <c r="G79" i="38"/>
  <c r="H79" i="38"/>
  <c r="I79" i="38"/>
  <c r="J79" i="38"/>
  <c r="K79" i="38"/>
  <c r="L79" i="38"/>
  <c r="M79" i="38"/>
  <c r="N79" i="38"/>
  <c r="C80" i="38"/>
  <c r="D80" i="38"/>
  <c r="E80" i="38"/>
  <c r="F80" i="38"/>
  <c r="G80" i="38"/>
  <c r="H80" i="38"/>
  <c r="I80" i="38"/>
  <c r="J80" i="38"/>
  <c r="K80" i="38"/>
  <c r="L80" i="38"/>
  <c r="M80" i="38"/>
  <c r="N80" i="38"/>
  <c r="C81" i="38"/>
  <c r="D81" i="38"/>
  <c r="E81" i="38"/>
  <c r="F81" i="38"/>
  <c r="G81" i="38"/>
  <c r="H81" i="38"/>
  <c r="I81" i="38"/>
  <c r="J81" i="38"/>
  <c r="K81" i="38"/>
  <c r="L81" i="38"/>
  <c r="M81" i="38"/>
  <c r="N81" i="38"/>
  <c r="C82" i="38"/>
  <c r="D82" i="38"/>
  <c r="E82" i="38"/>
  <c r="F82" i="38"/>
  <c r="G82" i="38"/>
  <c r="H82" i="38"/>
  <c r="I82" i="38"/>
  <c r="J82" i="38"/>
  <c r="K82" i="38"/>
  <c r="L82" i="38"/>
  <c r="M82" i="38"/>
  <c r="N82" i="38"/>
  <c r="C83" i="38"/>
  <c r="D83" i="38"/>
  <c r="E83" i="38"/>
  <c r="F83" i="38"/>
  <c r="G83" i="38"/>
  <c r="H83" i="38"/>
  <c r="I83" i="38"/>
  <c r="J83" i="38"/>
  <c r="K83" i="38"/>
  <c r="L83" i="38"/>
  <c r="M83" i="38"/>
  <c r="N83" i="38"/>
  <c r="C84" i="38"/>
  <c r="D84" i="38"/>
  <c r="E84" i="38"/>
  <c r="F84" i="38"/>
  <c r="G84" i="38"/>
  <c r="H84" i="38"/>
  <c r="I84" i="38"/>
  <c r="J84" i="38"/>
  <c r="K84" i="38"/>
  <c r="L84" i="38"/>
  <c r="M84" i="38"/>
  <c r="N84" i="38"/>
  <c r="C85" i="38"/>
  <c r="D85" i="38"/>
  <c r="E85" i="38"/>
  <c r="F85" i="38"/>
  <c r="G85" i="38"/>
  <c r="H85" i="38"/>
  <c r="I85" i="38"/>
  <c r="J85" i="38"/>
  <c r="K85" i="38"/>
  <c r="L85" i="38"/>
  <c r="M85" i="38"/>
  <c r="N85" i="38"/>
  <c r="C86" i="38"/>
  <c r="D86" i="38"/>
  <c r="E86" i="38"/>
  <c r="F86" i="38"/>
  <c r="G86" i="38"/>
  <c r="H86" i="38"/>
  <c r="I86" i="38"/>
  <c r="J86" i="38"/>
  <c r="K86" i="38"/>
  <c r="L86" i="38"/>
  <c r="M86" i="38"/>
  <c r="N86" i="38"/>
  <c r="C87" i="38"/>
  <c r="D87" i="38"/>
  <c r="E87" i="38"/>
  <c r="F87" i="38"/>
  <c r="G87" i="38"/>
  <c r="H87" i="38"/>
  <c r="I87" i="38"/>
  <c r="J87" i="38"/>
  <c r="K87" i="38"/>
  <c r="L87" i="38"/>
  <c r="M87" i="38"/>
  <c r="N87" i="38"/>
  <c r="C88" i="38"/>
  <c r="D88" i="38"/>
  <c r="E88" i="38"/>
  <c r="F88" i="38"/>
  <c r="G88" i="38"/>
  <c r="H88" i="38"/>
  <c r="I88" i="38"/>
  <c r="J88" i="38"/>
  <c r="K88" i="38"/>
  <c r="L88" i="38"/>
  <c r="M88" i="38"/>
  <c r="N88" i="38"/>
  <c r="C89" i="38"/>
  <c r="D89" i="38"/>
  <c r="E89" i="38"/>
  <c r="F89" i="38"/>
  <c r="G89" i="38"/>
  <c r="H89" i="38"/>
  <c r="I89" i="38"/>
  <c r="J89" i="38"/>
  <c r="K89" i="38"/>
  <c r="L89" i="38"/>
  <c r="M89" i="38"/>
  <c r="N89" i="38"/>
  <c r="C90" i="38"/>
  <c r="D90" i="38"/>
  <c r="E90" i="38"/>
  <c r="F90" i="38"/>
  <c r="G90" i="38"/>
  <c r="H90" i="38"/>
  <c r="I90" i="38"/>
  <c r="J90" i="38"/>
  <c r="K90" i="38"/>
  <c r="L90" i="38"/>
  <c r="M90" i="38"/>
  <c r="N90" i="38"/>
  <c r="C91" i="38"/>
  <c r="D91" i="38"/>
  <c r="E91" i="38"/>
  <c r="F91" i="38"/>
  <c r="G91" i="38"/>
  <c r="H91" i="38"/>
  <c r="I91" i="38"/>
  <c r="J91" i="38"/>
  <c r="K91" i="38"/>
  <c r="L91" i="38"/>
  <c r="M91" i="38"/>
  <c r="N91" i="38"/>
  <c r="C92" i="38"/>
  <c r="D92" i="38"/>
  <c r="E92" i="38"/>
  <c r="F92" i="38"/>
  <c r="G92" i="38"/>
  <c r="H92" i="38"/>
  <c r="I92" i="38"/>
  <c r="J92" i="38"/>
  <c r="K92" i="38"/>
  <c r="L92" i="38"/>
  <c r="M92" i="38"/>
  <c r="N92" i="38"/>
  <c r="C93" i="38"/>
  <c r="D93" i="38"/>
  <c r="E93" i="38"/>
  <c r="F93" i="38"/>
  <c r="G93" i="38"/>
  <c r="H93" i="38"/>
  <c r="I93" i="38"/>
  <c r="J93" i="38"/>
  <c r="K93" i="38"/>
  <c r="L93" i="38"/>
  <c r="M93" i="38"/>
  <c r="N93" i="38"/>
  <c r="C96" i="38"/>
  <c r="D96" i="38"/>
  <c r="E96" i="38"/>
  <c r="F96" i="38"/>
  <c r="G96" i="38"/>
  <c r="H96" i="38"/>
  <c r="I96" i="38"/>
  <c r="J96" i="38"/>
  <c r="K96" i="38"/>
  <c r="L96" i="38"/>
  <c r="M96" i="38"/>
  <c r="N96" i="38"/>
  <c r="C97" i="38"/>
  <c r="D97" i="38"/>
  <c r="E97" i="38"/>
  <c r="F97" i="38"/>
  <c r="G97" i="38"/>
  <c r="H97" i="38"/>
  <c r="I97" i="38"/>
  <c r="J97" i="38"/>
  <c r="K97" i="38"/>
  <c r="L97" i="38"/>
  <c r="M97" i="38"/>
  <c r="N97" i="38"/>
  <c r="C98" i="38"/>
  <c r="D98" i="38"/>
  <c r="E98" i="38"/>
  <c r="F98" i="38"/>
  <c r="G98" i="38"/>
  <c r="H98" i="38"/>
  <c r="I98" i="38"/>
  <c r="J98" i="38"/>
  <c r="K98" i="38"/>
  <c r="L98" i="38"/>
  <c r="M98" i="38"/>
  <c r="N98" i="38"/>
  <c r="C99" i="38"/>
  <c r="D99" i="38"/>
  <c r="E99" i="38"/>
  <c r="F99" i="38"/>
  <c r="G99" i="38"/>
  <c r="H99" i="38"/>
  <c r="I99" i="38"/>
  <c r="J99" i="38"/>
  <c r="K99" i="38"/>
  <c r="L99" i="38"/>
  <c r="M99" i="38"/>
  <c r="N99" i="38"/>
  <c r="C100" i="38"/>
  <c r="D100" i="38"/>
  <c r="E100" i="38"/>
  <c r="F100" i="38"/>
  <c r="G100" i="38"/>
  <c r="H100" i="38"/>
  <c r="I100" i="38"/>
  <c r="J100" i="38"/>
  <c r="K100" i="38"/>
  <c r="L100" i="38"/>
  <c r="M100" i="38"/>
  <c r="N100" i="38"/>
  <c r="C101" i="38"/>
  <c r="D101" i="38"/>
  <c r="E101" i="38"/>
  <c r="F101" i="38"/>
  <c r="G101" i="38"/>
  <c r="H101" i="38"/>
  <c r="I101" i="38"/>
  <c r="J101" i="38"/>
  <c r="K101" i="38"/>
  <c r="L101" i="38"/>
  <c r="M101" i="38"/>
  <c r="N101" i="38"/>
  <c r="C102" i="38"/>
  <c r="D102" i="38"/>
  <c r="E102" i="38"/>
  <c r="F102" i="38"/>
  <c r="G102" i="38"/>
  <c r="H102" i="38"/>
  <c r="I102" i="38"/>
  <c r="J102" i="38"/>
  <c r="K102" i="38"/>
  <c r="L102" i="38"/>
  <c r="M102" i="38"/>
  <c r="N102" i="38"/>
  <c r="C103" i="38"/>
  <c r="D103" i="38"/>
  <c r="E103" i="38"/>
  <c r="F103" i="38"/>
  <c r="G103" i="38"/>
  <c r="H103" i="38"/>
  <c r="I103" i="38"/>
  <c r="J103" i="38"/>
  <c r="K103" i="38"/>
  <c r="L103" i="38"/>
  <c r="M103" i="38"/>
  <c r="N103" i="38"/>
  <c r="C104" i="38"/>
  <c r="D104" i="38"/>
  <c r="E104" i="38"/>
  <c r="F104" i="38"/>
  <c r="G104" i="38"/>
  <c r="H104" i="38"/>
  <c r="I104" i="38"/>
  <c r="J104" i="38"/>
  <c r="K104" i="38"/>
  <c r="L104" i="38"/>
  <c r="M104" i="38"/>
  <c r="N104" i="38"/>
  <c r="C105" i="38"/>
  <c r="D105" i="38"/>
  <c r="E105" i="38"/>
  <c r="F105" i="38"/>
  <c r="G105" i="38"/>
  <c r="H105" i="38"/>
  <c r="I105" i="38"/>
  <c r="J105" i="38"/>
  <c r="K105" i="38"/>
  <c r="L105" i="38"/>
  <c r="M105" i="38"/>
  <c r="N105" i="38"/>
  <c r="C106" i="38"/>
  <c r="D106" i="38"/>
  <c r="E106" i="38"/>
  <c r="F106" i="38"/>
  <c r="G106" i="38"/>
  <c r="H106" i="38"/>
  <c r="I106" i="38"/>
  <c r="J106" i="38"/>
  <c r="K106" i="38"/>
  <c r="L106" i="38"/>
  <c r="M106" i="38"/>
  <c r="N106" i="38"/>
  <c r="C107" i="38"/>
  <c r="D107" i="38"/>
  <c r="E107" i="38"/>
  <c r="F107" i="38"/>
  <c r="G107" i="38"/>
  <c r="H107" i="38"/>
  <c r="I107" i="38"/>
  <c r="J107" i="38"/>
  <c r="K107" i="38"/>
  <c r="L107" i="38"/>
  <c r="M107" i="38"/>
  <c r="N107" i="38"/>
  <c r="C108" i="38"/>
  <c r="D108" i="38"/>
  <c r="E108" i="38"/>
  <c r="F108" i="38"/>
  <c r="G108" i="38"/>
  <c r="H108" i="38"/>
  <c r="I108" i="38"/>
  <c r="J108" i="38"/>
  <c r="K108" i="38"/>
  <c r="L108" i="38"/>
  <c r="M108" i="38"/>
  <c r="N108" i="38"/>
  <c r="C109" i="38"/>
  <c r="D109" i="38"/>
  <c r="E109" i="38"/>
  <c r="F109" i="38"/>
  <c r="G109" i="38"/>
  <c r="H109" i="38"/>
  <c r="I109" i="38"/>
  <c r="J109" i="38"/>
  <c r="K109" i="38"/>
  <c r="L109" i="38"/>
  <c r="M109" i="38"/>
  <c r="N109" i="38"/>
  <c r="C110" i="38"/>
  <c r="D110" i="38"/>
  <c r="E110" i="38"/>
  <c r="F110" i="38"/>
  <c r="G110" i="38"/>
  <c r="H110" i="38"/>
  <c r="I110" i="38"/>
  <c r="J110" i="38"/>
  <c r="K110" i="38"/>
  <c r="L110" i="38"/>
  <c r="M110" i="38"/>
  <c r="N110" i="38"/>
  <c r="C111" i="38"/>
  <c r="D111" i="38"/>
  <c r="E111" i="38"/>
  <c r="F111" i="38"/>
  <c r="G111" i="38"/>
  <c r="H111" i="38"/>
  <c r="I111" i="38"/>
  <c r="J111" i="38"/>
  <c r="K111" i="38"/>
  <c r="L111" i="38"/>
  <c r="M111" i="38"/>
  <c r="N111" i="38"/>
  <c r="C112" i="38"/>
  <c r="D112" i="38"/>
  <c r="E112" i="38"/>
  <c r="F112" i="38"/>
  <c r="G112" i="38"/>
  <c r="H112" i="38"/>
  <c r="I112" i="38"/>
  <c r="J112" i="38"/>
  <c r="K112" i="38"/>
  <c r="L112" i="38"/>
  <c r="M112" i="38"/>
  <c r="N112" i="38"/>
  <c r="C113" i="38"/>
  <c r="D113" i="38"/>
  <c r="E113" i="38"/>
  <c r="F113" i="38"/>
  <c r="G113" i="38"/>
  <c r="H113" i="38"/>
  <c r="I113" i="38"/>
  <c r="J113" i="38"/>
  <c r="K113" i="38"/>
  <c r="L113" i="38"/>
  <c r="M113" i="38"/>
  <c r="N113" i="38"/>
  <c r="C114" i="38"/>
  <c r="D114" i="38"/>
  <c r="E114" i="38"/>
  <c r="F114" i="38"/>
  <c r="G114" i="38"/>
  <c r="H114" i="38"/>
  <c r="I114" i="38"/>
  <c r="J114" i="38"/>
  <c r="K114" i="38"/>
  <c r="L114" i="38"/>
  <c r="M114" i="38"/>
  <c r="N114" i="38"/>
  <c r="C115" i="38"/>
  <c r="D115" i="38"/>
  <c r="E115" i="38"/>
  <c r="F115" i="38"/>
  <c r="G115" i="38"/>
  <c r="H115" i="38"/>
  <c r="I115" i="38"/>
  <c r="J115" i="38"/>
  <c r="K115" i="38"/>
  <c r="L115" i="38"/>
  <c r="M115" i="38"/>
  <c r="N115" i="38"/>
  <c r="C116" i="38"/>
  <c r="D116" i="38"/>
  <c r="E116" i="38"/>
  <c r="F116" i="38"/>
  <c r="G116" i="38"/>
  <c r="H116" i="38"/>
  <c r="I116" i="38"/>
  <c r="J116" i="38"/>
  <c r="K116" i="38"/>
  <c r="L116" i="38"/>
  <c r="M116" i="38"/>
  <c r="N116" i="38"/>
  <c r="C117" i="38"/>
  <c r="D117" i="38"/>
  <c r="E117" i="38"/>
  <c r="F117" i="38"/>
  <c r="G117" i="38"/>
  <c r="H117" i="38"/>
  <c r="I117" i="38"/>
  <c r="J117" i="38"/>
  <c r="K117" i="38"/>
  <c r="L117" i="38"/>
  <c r="M117" i="38"/>
  <c r="N117" i="38"/>
  <c r="C118" i="38"/>
  <c r="D118" i="38"/>
  <c r="E118" i="38"/>
  <c r="F118" i="38"/>
  <c r="G118" i="38"/>
  <c r="H118" i="38"/>
  <c r="I118" i="38"/>
  <c r="J118" i="38"/>
  <c r="K118" i="38"/>
  <c r="L118" i="38"/>
  <c r="M118" i="38"/>
  <c r="N118" i="38"/>
  <c r="C119" i="38"/>
  <c r="D119" i="38"/>
  <c r="E119" i="38"/>
  <c r="F119" i="38"/>
  <c r="G119" i="38"/>
  <c r="H119" i="38"/>
  <c r="I119" i="38"/>
  <c r="J119" i="38"/>
  <c r="K119" i="38"/>
  <c r="L119" i="38"/>
  <c r="M119" i="38"/>
  <c r="N119" i="38"/>
  <c r="C120" i="38"/>
  <c r="D120" i="38"/>
  <c r="E120" i="38"/>
  <c r="F120" i="38"/>
  <c r="G120" i="38"/>
  <c r="H120" i="38"/>
  <c r="I120" i="38"/>
  <c r="J120" i="38"/>
  <c r="K120" i="38"/>
  <c r="L120" i="38"/>
  <c r="M120" i="38"/>
  <c r="N120" i="38"/>
  <c r="C121" i="38"/>
  <c r="D121" i="38"/>
  <c r="E121" i="38"/>
  <c r="F121" i="38"/>
  <c r="G121" i="38"/>
  <c r="H121" i="38"/>
  <c r="I121" i="38"/>
  <c r="J121" i="38"/>
  <c r="K121" i="38"/>
  <c r="L121" i="38"/>
  <c r="M121" i="38"/>
  <c r="N121" i="38"/>
  <c r="C125" i="38"/>
  <c r="D125" i="38"/>
  <c r="E125" i="38"/>
  <c r="F125" i="38"/>
  <c r="G125" i="38"/>
  <c r="H125" i="38"/>
  <c r="I125" i="38"/>
  <c r="J125" i="38"/>
  <c r="K125" i="38"/>
  <c r="L125" i="38"/>
  <c r="M125" i="38"/>
  <c r="N125" i="38"/>
  <c r="C126" i="38"/>
  <c r="D126" i="38"/>
  <c r="E126" i="38"/>
  <c r="F126" i="38"/>
  <c r="G126" i="38"/>
  <c r="H126" i="38"/>
  <c r="I126" i="38"/>
  <c r="J126" i="38"/>
  <c r="K126" i="38"/>
  <c r="L126" i="38"/>
  <c r="M126" i="38"/>
  <c r="N126" i="38"/>
  <c r="C127" i="38"/>
  <c r="D127" i="38"/>
  <c r="E127" i="38"/>
  <c r="F127" i="38"/>
  <c r="G127" i="38"/>
  <c r="H127" i="38"/>
  <c r="I127" i="38"/>
  <c r="J127" i="38"/>
  <c r="K127" i="38"/>
  <c r="L127" i="38"/>
  <c r="M127" i="38"/>
  <c r="N127" i="38"/>
  <c r="C128" i="38"/>
  <c r="D128" i="38"/>
  <c r="E128" i="38"/>
  <c r="F128" i="38"/>
  <c r="G128" i="38"/>
  <c r="H128" i="38"/>
  <c r="I128" i="38"/>
  <c r="J128" i="38"/>
  <c r="K128" i="38"/>
  <c r="L128" i="38"/>
  <c r="M128" i="38"/>
  <c r="N128" i="38"/>
  <c r="C129" i="38"/>
  <c r="D129" i="38"/>
  <c r="E129" i="38"/>
  <c r="F129" i="38"/>
  <c r="G129" i="38"/>
  <c r="H129" i="38"/>
  <c r="I129" i="38"/>
  <c r="J129" i="38"/>
  <c r="K129" i="38"/>
  <c r="L129" i="38"/>
  <c r="M129" i="38"/>
  <c r="N129" i="38"/>
  <c r="C130" i="38"/>
  <c r="D130" i="38"/>
  <c r="E130" i="38"/>
  <c r="F130" i="38"/>
  <c r="G130" i="38"/>
  <c r="H130" i="38"/>
  <c r="I130" i="38"/>
  <c r="J130" i="38"/>
  <c r="K130" i="38"/>
  <c r="L130" i="38"/>
  <c r="M130" i="38"/>
  <c r="N130" i="38"/>
  <c r="C131" i="38"/>
  <c r="D131" i="38"/>
  <c r="E131" i="38"/>
  <c r="F131" i="38"/>
  <c r="G131" i="38"/>
  <c r="H131" i="38"/>
  <c r="I131" i="38"/>
  <c r="J131" i="38"/>
  <c r="K131" i="38"/>
  <c r="L131" i="38"/>
  <c r="M131" i="38"/>
  <c r="N131" i="38"/>
  <c r="C132" i="38"/>
  <c r="D132" i="38"/>
  <c r="E132" i="38"/>
  <c r="F132" i="38"/>
  <c r="G132" i="38"/>
  <c r="H132" i="38"/>
  <c r="I132" i="38"/>
  <c r="J132" i="38"/>
  <c r="K132" i="38"/>
  <c r="L132" i="38"/>
  <c r="M132" i="38"/>
  <c r="N132" i="38"/>
  <c r="C133" i="38"/>
  <c r="D133" i="38"/>
  <c r="E133" i="38"/>
  <c r="F133" i="38"/>
  <c r="G133" i="38"/>
  <c r="H133" i="38"/>
  <c r="I133" i="38"/>
  <c r="J133" i="38"/>
  <c r="K133" i="38"/>
  <c r="L133" i="38"/>
  <c r="M133" i="38"/>
  <c r="N133" i="38"/>
  <c r="C134" i="38"/>
  <c r="D134" i="38"/>
  <c r="E134" i="38"/>
  <c r="F134" i="38"/>
  <c r="G134" i="38"/>
  <c r="H134" i="38"/>
  <c r="I134" i="38"/>
  <c r="J134" i="38"/>
  <c r="K134" i="38"/>
  <c r="L134" i="38"/>
  <c r="M134" i="38"/>
  <c r="N134" i="38"/>
  <c r="C135" i="38"/>
  <c r="D135" i="38"/>
  <c r="E135" i="38"/>
  <c r="F135" i="38"/>
  <c r="G135" i="38"/>
  <c r="H135" i="38"/>
  <c r="I135" i="38"/>
  <c r="J135" i="38"/>
  <c r="K135" i="38"/>
  <c r="L135" i="38"/>
  <c r="M135" i="38"/>
  <c r="N135" i="38"/>
  <c r="C136" i="38"/>
  <c r="D136" i="38"/>
  <c r="E136" i="38"/>
  <c r="F136" i="38"/>
  <c r="G136" i="38"/>
  <c r="H136" i="38"/>
  <c r="I136" i="38"/>
  <c r="J136" i="38"/>
  <c r="K136" i="38"/>
  <c r="L136" i="38"/>
  <c r="M136" i="38"/>
  <c r="N136" i="38"/>
  <c r="C137" i="38"/>
  <c r="D137" i="38"/>
  <c r="E137" i="38"/>
  <c r="F137" i="38"/>
  <c r="G137" i="38"/>
  <c r="H137" i="38"/>
  <c r="I137" i="38"/>
  <c r="J137" i="38"/>
  <c r="K137" i="38"/>
  <c r="L137" i="38"/>
  <c r="M137" i="38"/>
  <c r="N137" i="38"/>
  <c r="C138" i="38"/>
  <c r="D138" i="38"/>
  <c r="E138" i="38"/>
  <c r="F138" i="38"/>
  <c r="G138" i="38"/>
  <c r="H138" i="38"/>
  <c r="I138" i="38"/>
  <c r="J138" i="38"/>
  <c r="K138" i="38"/>
  <c r="L138" i="38"/>
  <c r="M138" i="38"/>
  <c r="N138" i="38"/>
  <c r="C139" i="38"/>
  <c r="D139" i="38"/>
  <c r="E139" i="38"/>
  <c r="F139" i="38"/>
  <c r="G139" i="38"/>
  <c r="H139" i="38"/>
  <c r="I139" i="38"/>
  <c r="J139" i="38"/>
  <c r="K139" i="38"/>
  <c r="L139" i="38"/>
  <c r="M139" i="38"/>
  <c r="N139" i="38"/>
  <c r="C140" i="38"/>
  <c r="D140" i="38"/>
  <c r="E140" i="38"/>
  <c r="F140" i="38"/>
  <c r="G140" i="38"/>
  <c r="H140" i="38"/>
  <c r="I140" i="38"/>
  <c r="J140" i="38"/>
  <c r="K140" i="38"/>
  <c r="L140" i="38"/>
  <c r="M140" i="38"/>
  <c r="N140" i="38"/>
  <c r="C141" i="38"/>
  <c r="D141" i="38"/>
  <c r="E141" i="38"/>
  <c r="F141" i="38"/>
  <c r="G141" i="38"/>
  <c r="H141" i="38"/>
  <c r="I141" i="38"/>
  <c r="J141" i="38"/>
  <c r="K141" i="38"/>
  <c r="L141" i="38"/>
  <c r="M141" i="38"/>
  <c r="N141" i="38"/>
  <c r="C142" i="38"/>
  <c r="D142" i="38"/>
  <c r="E142" i="38"/>
  <c r="F142" i="38"/>
  <c r="G142" i="38"/>
  <c r="H142" i="38"/>
  <c r="I142" i="38"/>
  <c r="J142" i="38"/>
  <c r="K142" i="38"/>
  <c r="L142" i="38"/>
  <c r="M142" i="38"/>
  <c r="N142" i="38"/>
  <c r="C143" i="38"/>
  <c r="D143" i="38"/>
  <c r="E143" i="38"/>
  <c r="F143" i="38"/>
  <c r="G143" i="38"/>
  <c r="H143" i="38"/>
  <c r="I143" i="38"/>
  <c r="J143" i="38"/>
  <c r="K143" i="38"/>
  <c r="L143" i="38"/>
  <c r="M143" i="38"/>
  <c r="N143" i="38"/>
  <c r="C144" i="38"/>
  <c r="D144" i="38"/>
  <c r="E144" i="38"/>
  <c r="F144" i="38"/>
  <c r="G144" i="38"/>
  <c r="H144" i="38"/>
  <c r="I144" i="38"/>
  <c r="J144" i="38"/>
  <c r="K144" i="38"/>
  <c r="L144" i="38"/>
  <c r="M144" i="38"/>
  <c r="N144" i="38"/>
  <c r="C145" i="38"/>
  <c r="D145" i="38"/>
  <c r="E145" i="38"/>
  <c r="F145" i="38"/>
  <c r="G145" i="38"/>
  <c r="H145" i="38"/>
  <c r="I145" i="38"/>
  <c r="J145" i="38"/>
  <c r="K145" i="38"/>
  <c r="L145" i="38"/>
  <c r="M145" i="38"/>
  <c r="N145" i="38"/>
  <c r="C146" i="38"/>
  <c r="D146" i="38"/>
  <c r="E146" i="38"/>
  <c r="F146" i="38"/>
  <c r="G146" i="38"/>
  <c r="H146" i="38"/>
  <c r="I146" i="38"/>
  <c r="J146" i="38"/>
  <c r="K146" i="38"/>
  <c r="L146" i="38"/>
  <c r="M146" i="38"/>
  <c r="N146" i="38"/>
  <c r="C147" i="38"/>
  <c r="D147" i="38"/>
  <c r="E147" i="38"/>
  <c r="F147" i="38"/>
  <c r="G147" i="38"/>
  <c r="H147" i="38"/>
  <c r="I147" i="38"/>
  <c r="J147" i="38"/>
  <c r="K147" i="38"/>
  <c r="L147" i="38"/>
  <c r="M147" i="38"/>
  <c r="N147" i="38"/>
  <c r="C148" i="38"/>
  <c r="D148" i="38"/>
  <c r="E148" i="38"/>
  <c r="F148" i="38"/>
  <c r="G148" i="38"/>
  <c r="H148" i="38"/>
  <c r="I148" i="38"/>
  <c r="J148" i="38"/>
  <c r="K148" i="38"/>
  <c r="L148" i="38"/>
  <c r="M148" i="38"/>
  <c r="N148" i="38"/>
  <c r="C149" i="38"/>
  <c r="D149" i="38"/>
  <c r="E149" i="38"/>
  <c r="F149" i="38"/>
  <c r="G149" i="38"/>
  <c r="H149" i="38"/>
  <c r="I149" i="38"/>
  <c r="J149" i="38"/>
  <c r="K149" i="38"/>
  <c r="L149" i="38"/>
  <c r="M149" i="38"/>
  <c r="N149" i="38"/>
  <c r="C150" i="38"/>
  <c r="D150" i="38"/>
  <c r="E150" i="38"/>
  <c r="F150" i="38"/>
  <c r="G150" i="38"/>
  <c r="H150" i="38"/>
  <c r="I150" i="38"/>
  <c r="J150" i="38"/>
  <c r="K150" i="38"/>
  <c r="L150" i="38"/>
  <c r="M150" i="38"/>
  <c r="N150" i="38"/>
  <c r="B2" i="38"/>
  <c r="Y53" i="68"/>
  <c r="Y53" i="124" s="1"/>
  <c r="Y53" i="174" s="1"/>
  <c r="Y153" i="68"/>
  <c r="Y74" i="68"/>
  <c r="Y65" i="68"/>
  <c r="Y65" i="124" s="1"/>
  <c r="Y65" i="174" s="1"/>
  <c r="Y56" i="124"/>
  <c r="Y56" i="174" s="1"/>
  <c r="Y134" i="68"/>
  <c r="Y132" i="68"/>
  <c r="Y130" i="68"/>
  <c r="Y129" i="68"/>
  <c r="Y127" i="68"/>
  <c r="Y126" i="68"/>
  <c r="Y125" i="68"/>
  <c r="Y124" i="68"/>
  <c r="Y123" i="68"/>
  <c r="Y122" i="68"/>
  <c r="Y121" i="68"/>
  <c r="Y118" i="68"/>
  <c r="Y117" i="68"/>
  <c r="Y115" i="68"/>
  <c r="Y114" i="68"/>
  <c r="Y113" i="68"/>
  <c r="Y81" i="68"/>
  <c r="Y81" i="124" s="1"/>
  <c r="Y81" i="174" s="1"/>
  <c r="Y88" i="68"/>
  <c r="Y10" i="68"/>
  <c r="Y76" i="68"/>
  <c r="Y76" i="124" s="1"/>
  <c r="Y76" i="174" s="1"/>
  <c r="Y51" i="124"/>
  <c r="Y77" i="68"/>
  <c r="Y77" i="124" s="1"/>
  <c r="Y77" i="174" s="1"/>
  <c r="Y57" i="68"/>
  <c r="Y57" i="124" s="1"/>
  <c r="Y57" i="174" s="1"/>
  <c r="Y52" i="68"/>
  <c r="Y52" i="124" s="1"/>
  <c r="Y52" i="174" s="1"/>
  <c r="Y75" i="124"/>
  <c r="Y75" i="174" s="1"/>
  <c r="Y78" i="68"/>
  <c r="Y78" i="124" s="1"/>
  <c r="Y78" i="174" s="1"/>
  <c r="Y70" i="124"/>
  <c r="Y70" i="174" s="1"/>
  <c r="Y119" i="124"/>
  <c r="Y119" i="174" s="1"/>
  <c r="Y55" i="124"/>
  <c r="Y149" i="68"/>
  <c r="Y148" i="68"/>
  <c r="V153" i="68"/>
  <c r="V152" i="68"/>
  <c r="V151" i="68"/>
  <c r="V150" i="68"/>
  <c r="V149" i="68"/>
  <c r="V148" i="68"/>
  <c r="V147" i="68"/>
  <c r="V146" i="68"/>
  <c r="V145" i="68"/>
  <c r="AK144" i="68"/>
  <c r="V144" i="68"/>
  <c r="AK143" i="68"/>
  <c r="V143" i="68"/>
  <c r="V142" i="68"/>
  <c r="V141" i="68"/>
  <c r="AK140" i="68"/>
  <c r="V140" i="68"/>
  <c r="V139" i="68"/>
  <c r="V138" i="68"/>
  <c r="V137" i="68"/>
  <c r="AK136" i="68"/>
  <c r="V136" i="68"/>
  <c r="AK135" i="68"/>
  <c r="V135" i="68"/>
  <c r="V134" i="68"/>
  <c r="AK131" i="68"/>
  <c r="V121" i="68"/>
  <c r="V120" i="68"/>
  <c r="V119" i="68"/>
  <c r="V118" i="68"/>
  <c r="V117" i="68"/>
  <c r="V116" i="68"/>
  <c r="V115" i="68"/>
  <c r="V114" i="68"/>
  <c r="V113" i="68"/>
  <c r="V112" i="68"/>
  <c r="V110" i="68"/>
  <c r="V109" i="68"/>
  <c r="V108" i="68"/>
  <c r="V107" i="68"/>
  <c r="V106" i="68"/>
  <c r="V105" i="68"/>
  <c r="V104" i="68"/>
  <c r="V103" i="68"/>
  <c r="V102" i="68"/>
  <c r="V101" i="68"/>
  <c r="V100" i="68"/>
  <c r="V99" i="68"/>
  <c r="V98" i="68"/>
  <c r="V97" i="68"/>
  <c r="V96" i="68"/>
  <c r="V95" i="68"/>
  <c r="V94" i="68"/>
  <c r="V93" i="68"/>
  <c r="V92" i="68"/>
  <c r="V91" i="68"/>
  <c r="AK89" i="68"/>
  <c r="V89" i="68"/>
  <c r="V88" i="68"/>
  <c r="V87" i="68"/>
  <c r="V86" i="68"/>
  <c r="V85" i="68"/>
  <c r="AK84" i="68"/>
  <c r="V84" i="68"/>
  <c r="AK83" i="68"/>
  <c r="V83" i="68"/>
  <c r="AK82" i="68"/>
  <c r="V82" i="68"/>
  <c r="V81" i="68"/>
  <c r="V80" i="68"/>
  <c r="V79" i="68"/>
  <c r="V78" i="68"/>
  <c r="V77" i="68"/>
  <c r="V76" i="68"/>
  <c r="V75" i="68"/>
  <c r="V74" i="68"/>
  <c r="AK73" i="68"/>
  <c r="V73" i="68"/>
  <c r="AK72" i="68"/>
  <c r="V72" i="68"/>
  <c r="V71" i="68"/>
  <c r="V70" i="68"/>
  <c r="V69" i="68"/>
  <c r="V68" i="68"/>
  <c r="AO68" i="68" s="1"/>
  <c r="AK67" i="68"/>
  <c r="V67" i="68"/>
  <c r="V66" i="68"/>
  <c r="V65" i="68"/>
  <c r="V64" i="68"/>
  <c r="V63" i="68"/>
  <c r="V62" i="68"/>
  <c r="AK61" i="68"/>
  <c r="V61" i="68"/>
  <c r="AK60" i="68"/>
  <c r="V60" i="68"/>
  <c r="AK59" i="68"/>
  <c r="V59" i="68"/>
  <c r="V58" i="68"/>
  <c r="V57" i="68"/>
  <c r="V56" i="68"/>
  <c r="V55" i="68"/>
  <c r="V54" i="68"/>
  <c r="V53" i="68"/>
  <c r="V52" i="68"/>
  <c r="V51" i="68"/>
  <c r="V42" i="68"/>
  <c r="V41" i="68"/>
  <c r="V45" i="68" s="1"/>
  <c r="V40" i="68"/>
  <c r="V44" i="68" s="1"/>
  <c r="V39" i="68"/>
  <c r="W38" i="68"/>
  <c r="AK32" i="68"/>
  <c r="V32" i="68"/>
  <c r="AK31" i="68"/>
  <c r="V31" i="68"/>
  <c r="AK30" i="68"/>
  <c r="V30" i="68"/>
  <c r="V29" i="68"/>
  <c r="AK28" i="68"/>
  <c r="V28" i="68"/>
  <c r="AK27" i="68"/>
  <c r="V27" i="68"/>
  <c r="AK26" i="68"/>
  <c r="V26" i="68"/>
  <c r="V25" i="68"/>
  <c r="V24" i="68"/>
  <c r="V23" i="68"/>
  <c r="V22" i="68"/>
  <c r="V21" i="68"/>
  <c r="V20" i="68"/>
  <c r="V19" i="68"/>
  <c r="AK18" i="68"/>
  <c r="V18" i="68"/>
  <c r="AK17" i="68"/>
  <c r="V17" i="68"/>
  <c r="AK16" i="68"/>
  <c r="V16" i="68"/>
  <c r="V15" i="68"/>
  <c r="V14" i="68"/>
  <c r="V13" i="68"/>
  <c r="AK11" i="68"/>
  <c r="V11" i="68"/>
  <c r="V10" i="68"/>
  <c r="V9" i="68"/>
  <c r="V8" i="68"/>
  <c r="V7" i="68"/>
  <c r="Z1" i="68"/>
  <c r="Z51" i="68" s="1"/>
  <c r="K51" i="124"/>
  <c r="K51" i="174" s="1"/>
  <c r="L51" i="124"/>
  <c r="L51" i="174" s="1"/>
  <c r="M51" i="124"/>
  <c r="M51" i="174" s="1"/>
  <c r="N51" i="124"/>
  <c r="N51" i="174" s="1"/>
  <c r="O51" i="124"/>
  <c r="O51" i="174" s="1"/>
  <c r="P51" i="124"/>
  <c r="P51" i="174" s="1"/>
  <c r="Q51" i="124"/>
  <c r="Q51" i="174" s="1"/>
  <c r="R51" i="124"/>
  <c r="R51" i="174" s="1"/>
  <c r="S51" i="124"/>
  <c r="S51" i="174" s="1"/>
  <c r="T51" i="124"/>
  <c r="T51" i="174" s="1"/>
  <c r="U51" i="124"/>
  <c r="U51" i="174" s="1"/>
  <c r="K52" i="124"/>
  <c r="K52" i="174" s="1"/>
  <c r="L52" i="124"/>
  <c r="L52" i="174" s="1"/>
  <c r="M52" i="124"/>
  <c r="M52" i="174" s="1"/>
  <c r="N52" i="124"/>
  <c r="N52" i="174" s="1"/>
  <c r="O52" i="124"/>
  <c r="O52" i="174" s="1"/>
  <c r="P52" i="124"/>
  <c r="P52" i="174" s="1"/>
  <c r="Q52" i="124"/>
  <c r="Q52" i="174" s="1"/>
  <c r="R52" i="124"/>
  <c r="R52" i="174" s="1"/>
  <c r="S52" i="124"/>
  <c r="S52" i="174" s="1"/>
  <c r="T52" i="124"/>
  <c r="T52" i="174" s="1"/>
  <c r="U52" i="124"/>
  <c r="U52" i="174" s="1"/>
  <c r="K57" i="124"/>
  <c r="K57" i="174" s="1"/>
  <c r="L57" i="124"/>
  <c r="L57" i="174" s="1"/>
  <c r="M57" i="124"/>
  <c r="M57" i="174" s="1"/>
  <c r="N57" i="124"/>
  <c r="N57" i="174" s="1"/>
  <c r="O57" i="124"/>
  <c r="O57" i="174" s="1"/>
  <c r="P57" i="124"/>
  <c r="P57" i="174" s="1"/>
  <c r="Q57" i="124"/>
  <c r="Q57" i="174" s="1"/>
  <c r="R57" i="124"/>
  <c r="R57" i="174" s="1"/>
  <c r="S57" i="124"/>
  <c r="S57" i="174" s="1"/>
  <c r="T57" i="124"/>
  <c r="T57" i="174" s="1"/>
  <c r="U57" i="124"/>
  <c r="U57" i="174" s="1"/>
  <c r="K58" i="124"/>
  <c r="K58" i="174" s="1"/>
  <c r="L58" i="124"/>
  <c r="L58" i="174" s="1"/>
  <c r="M58" i="124"/>
  <c r="M58" i="174" s="1"/>
  <c r="N58" i="124"/>
  <c r="N58" i="174" s="1"/>
  <c r="O58" i="124"/>
  <c r="O58" i="174" s="1"/>
  <c r="P58" i="124"/>
  <c r="P58" i="174" s="1"/>
  <c r="Q58" i="124"/>
  <c r="Q58" i="174" s="1"/>
  <c r="R58" i="124"/>
  <c r="R58" i="174" s="1"/>
  <c r="S58" i="124"/>
  <c r="S58" i="174" s="1"/>
  <c r="T58" i="124"/>
  <c r="T58" i="174" s="1"/>
  <c r="U58" i="124"/>
  <c r="U58" i="174" s="1"/>
  <c r="K59" i="124"/>
  <c r="K59" i="174" s="1"/>
  <c r="L59" i="124"/>
  <c r="L59" i="174" s="1"/>
  <c r="M59" i="124"/>
  <c r="M59" i="174" s="1"/>
  <c r="N59" i="124"/>
  <c r="N59" i="174" s="1"/>
  <c r="O59" i="124"/>
  <c r="O59" i="174" s="1"/>
  <c r="P59" i="124"/>
  <c r="P59" i="174" s="1"/>
  <c r="Q59" i="124"/>
  <c r="Q59" i="174" s="1"/>
  <c r="R59" i="124"/>
  <c r="R59" i="174" s="1"/>
  <c r="S59" i="124"/>
  <c r="S59" i="174" s="1"/>
  <c r="T59" i="124"/>
  <c r="T59" i="174" s="1"/>
  <c r="U59" i="124"/>
  <c r="U59" i="174" s="1"/>
  <c r="K61" i="124"/>
  <c r="K61" i="174" s="1"/>
  <c r="L61" i="124"/>
  <c r="L61" i="174" s="1"/>
  <c r="M61" i="124"/>
  <c r="M61" i="174" s="1"/>
  <c r="N61" i="124"/>
  <c r="N61" i="174" s="1"/>
  <c r="O61" i="124"/>
  <c r="O61" i="174" s="1"/>
  <c r="P61" i="124"/>
  <c r="P61" i="174" s="1"/>
  <c r="Q61" i="124"/>
  <c r="Q61" i="174" s="1"/>
  <c r="R61" i="124"/>
  <c r="R61" i="174" s="1"/>
  <c r="S61" i="124"/>
  <c r="S61" i="174" s="1"/>
  <c r="T61" i="124"/>
  <c r="T61" i="174" s="1"/>
  <c r="U61" i="124"/>
  <c r="U61" i="174" s="1"/>
  <c r="K62" i="124"/>
  <c r="K62" i="174" s="1"/>
  <c r="L62" i="124"/>
  <c r="L62" i="174" s="1"/>
  <c r="M62" i="124"/>
  <c r="M62" i="174" s="1"/>
  <c r="N62" i="124"/>
  <c r="N62" i="174" s="1"/>
  <c r="O62" i="124"/>
  <c r="O62" i="174" s="1"/>
  <c r="P62" i="124"/>
  <c r="P62" i="174" s="1"/>
  <c r="Q62" i="124"/>
  <c r="Q62" i="174" s="1"/>
  <c r="R62" i="124"/>
  <c r="R62" i="174" s="1"/>
  <c r="S62" i="124"/>
  <c r="S62" i="174" s="1"/>
  <c r="T62" i="124"/>
  <c r="T62" i="174" s="1"/>
  <c r="U62" i="124"/>
  <c r="U62" i="174" s="1"/>
  <c r="K63" i="124"/>
  <c r="K63" i="174" s="1"/>
  <c r="L63" i="124"/>
  <c r="L63" i="174" s="1"/>
  <c r="M63" i="124"/>
  <c r="M63" i="174" s="1"/>
  <c r="N63" i="124"/>
  <c r="N63" i="174" s="1"/>
  <c r="O63" i="124"/>
  <c r="O63" i="174" s="1"/>
  <c r="P63" i="124"/>
  <c r="P63" i="174" s="1"/>
  <c r="Q63" i="124"/>
  <c r="Q63" i="174" s="1"/>
  <c r="R63" i="124"/>
  <c r="R63" i="174" s="1"/>
  <c r="S63" i="124"/>
  <c r="S63" i="174" s="1"/>
  <c r="T63" i="124"/>
  <c r="T63" i="174" s="1"/>
  <c r="U63" i="124"/>
  <c r="U63" i="174" s="1"/>
  <c r="K64" i="124"/>
  <c r="K64" i="174" s="1"/>
  <c r="L64" i="124"/>
  <c r="L64" i="174" s="1"/>
  <c r="M64" i="124"/>
  <c r="M64" i="174" s="1"/>
  <c r="N64" i="124"/>
  <c r="N64" i="174" s="1"/>
  <c r="O64" i="124"/>
  <c r="O64" i="174" s="1"/>
  <c r="P64" i="124"/>
  <c r="P64" i="174" s="1"/>
  <c r="Q64" i="124"/>
  <c r="Q64" i="174" s="1"/>
  <c r="R64" i="124"/>
  <c r="R64" i="174" s="1"/>
  <c r="S64" i="124"/>
  <c r="S64" i="174" s="1"/>
  <c r="T64" i="124"/>
  <c r="T64" i="174" s="1"/>
  <c r="U64" i="124"/>
  <c r="U64" i="174" s="1"/>
  <c r="K65" i="124"/>
  <c r="K65" i="174" s="1"/>
  <c r="L65" i="124"/>
  <c r="L65" i="174" s="1"/>
  <c r="M65" i="124"/>
  <c r="M65" i="174" s="1"/>
  <c r="N65" i="124"/>
  <c r="N65" i="174" s="1"/>
  <c r="O65" i="124"/>
  <c r="O65" i="174" s="1"/>
  <c r="P65" i="124"/>
  <c r="P65" i="174" s="1"/>
  <c r="Q65" i="124"/>
  <c r="Q65" i="174" s="1"/>
  <c r="R65" i="124"/>
  <c r="R65" i="174" s="1"/>
  <c r="S65" i="124"/>
  <c r="S65" i="174" s="1"/>
  <c r="T65" i="124"/>
  <c r="T65" i="174" s="1"/>
  <c r="U65" i="124"/>
  <c r="U65" i="174" s="1"/>
  <c r="K66" i="124"/>
  <c r="K66" i="174" s="1"/>
  <c r="L66" i="124"/>
  <c r="L66" i="174" s="1"/>
  <c r="M66" i="124"/>
  <c r="M66" i="174" s="1"/>
  <c r="N66" i="124"/>
  <c r="N66" i="174" s="1"/>
  <c r="O66" i="124"/>
  <c r="O66" i="174" s="1"/>
  <c r="P66" i="124"/>
  <c r="P66" i="174" s="1"/>
  <c r="Q66" i="124"/>
  <c r="Q66" i="174" s="1"/>
  <c r="R66" i="124"/>
  <c r="R66" i="174" s="1"/>
  <c r="S66" i="124"/>
  <c r="S66" i="174" s="1"/>
  <c r="T66" i="124"/>
  <c r="T66" i="174" s="1"/>
  <c r="U66" i="124"/>
  <c r="U66" i="174" s="1"/>
  <c r="K67" i="124"/>
  <c r="K67" i="174" s="1"/>
  <c r="L67" i="124"/>
  <c r="L67" i="174" s="1"/>
  <c r="M67" i="124"/>
  <c r="M67" i="174" s="1"/>
  <c r="N67" i="124"/>
  <c r="N67" i="174" s="1"/>
  <c r="O67" i="124"/>
  <c r="O67" i="174" s="1"/>
  <c r="P67" i="124"/>
  <c r="P67" i="174" s="1"/>
  <c r="Q67" i="124"/>
  <c r="Q67" i="174" s="1"/>
  <c r="R67" i="124"/>
  <c r="R67" i="174" s="1"/>
  <c r="S67" i="124"/>
  <c r="S67" i="174" s="1"/>
  <c r="T67" i="124"/>
  <c r="T67" i="174" s="1"/>
  <c r="U67" i="124"/>
  <c r="U67" i="174" s="1"/>
  <c r="K68" i="124"/>
  <c r="K68" i="174" s="1"/>
  <c r="L68" i="124"/>
  <c r="L68" i="174" s="1"/>
  <c r="M68" i="124"/>
  <c r="M68" i="174" s="1"/>
  <c r="N68" i="124"/>
  <c r="N68" i="174" s="1"/>
  <c r="O68" i="124"/>
  <c r="O68" i="174" s="1"/>
  <c r="P68" i="124"/>
  <c r="P68" i="174" s="1"/>
  <c r="Q68" i="124"/>
  <c r="Q68" i="174" s="1"/>
  <c r="R68" i="124"/>
  <c r="R68" i="174" s="1"/>
  <c r="S68" i="124"/>
  <c r="S68" i="174" s="1"/>
  <c r="T68" i="124"/>
  <c r="T68" i="174" s="1"/>
  <c r="U68" i="124"/>
  <c r="U68" i="174" s="1"/>
  <c r="K69" i="124"/>
  <c r="K69" i="174" s="1"/>
  <c r="L69" i="124"/>
  <c r="L69" i="174" s="1"/>
  <c r="M69" i="124"/>
  <c r="M69" i="174" s="1"/>
  <c r="N69" i="124"/>
  <c r="N69" i="174" s="1"/>
  <c r="O69" i="124"/>
  <c r="O69" i="174" s="1"/>
  <c r="P69" i="124"/>
  <c r="P69" i="174" s="1"/>
  <c r="Q69" i="124"/>
  <c r="Q69" i="174" s="1"/>
  <c r="R69" i="124"/>
  <c r="R69" i="174" s="1"/>
  <c r="S69" i="124"/>
  <c r="S69" i="174" s="1"/>
  <c r="T69" i="124"/>
  <c r="T69" i="174" s="1"/>
  <c r="U69" i="124"/>
  <c r="U69" i="174" s="1"/>
  <c r="K70" i="124"/>
  <c r="K70" i="174" s="1"/>
  <c r="L70" i="124"/>
  <c r="L70" i="174" s="1"/>
  <c r="M70" i="124"/>
  <c r="M70" i="174" s="1"/>
  <c r="N70" i="124"/>
  <c r="N70" i="174" s="1"/>
  <c r="O70" i="124"/>
  <c r="O70" i="174" s="1"/>
  <c r="P70" i="124"/>
  <c r="P70" i="174" s="1"/>
  <c r="Q70" i="124"/>
  <c r="Q70" i="174" s="1"/>
  <c r="R70" i="124"/>
  <c r="R70" i="174" s="1"/>
  <c r="S70" i="124"/>
  <c r="S70" i="174" s="1"/>
  <c r="T70" i="124"/>
  <c r="T70" i="174" s="1"/>
  <c r="U70" i="124"/>
  <c r="U70" i="174" s="1"/>
  <c r="K71" i="124"/>
  <c r="K71" i="174" s="1"/>
  <c r="L71" i="124"/>
  <c r="L71" i="174" s="1"/>
  <c r="M71" i="124"/>
  <c r="M71" i="174" s="1"/>
  <c r="N71" i="124"/>
  <c r="N71" i="174" s="1"/>
  <c r="O71" i="124"/>
  <c r="O71" i="174" s="1"/>
  <c r="P71" i="124"/>
  <c r="P71" i="174" s="1"/>
  <c r="Q71" i="124"/>
  <c r="Q71" i="174" s="1"/>
  <c r="R71" i="124"/>
  <c r="R71" i="174" s="1"/>
  <c r="S71" i="124"/>
  <c r="S71" i="174" s="1"/>
  <c r="T71" i="124"/>
  <c r="T71" i="174" s="1"/>
  <c r="U71" i="124"/>
  <c r="U71" i="174" s="1"/>
  <c r="K72" i="124"/>
  <c r="K72" i="174" s="1"/>
  <c r="L72" i="124"/>
  <c r="L72" i="174" s="1"/>
  <c r="M72" i="124"/>
  <c r="M72" i="174" s="1"/>
  <c r="N72" i="124"/>
  <c r="N72" i="174" s="1"/>
  <c r="O72" i="124"/>
  <c r="O72" i="174" s="1"/>
  <c r="P72" i="124"/>
  <c r="P72" i="174" s="1"/>
  <c r="Q72" i="124"/>
  <c r="Q72" i="174" s="1"/>
  <c r="R72" i="124"/>
  <c r="R72" i="174" s="1"/>
  <c r="S72" i="124"/>
  <c r="S72" i="174" s="1"/>
  <c r="T72" i="124"/>
  <c r="T72" i="174" s="1"/>
  <c r="U72" i="124"/>
  <c r="U72" i="174" s="1"/>
  <c r="K73" i="124"/>
  <c r="K73" i="174" s="1"/>
  <c r="L73" i="124"/>
  <c r="L73" i="174" s="1"/>
  <c r="M73" i="124"/>
  <c r="M73" i="174" s="1"/>
  <c r="N73" i="124"/>
  <c r="N73" i="174" s="1"/>
  <c r="O73" i="124"/>
  <c r="O73" i="174" s="1"/>
  <c r="P73" i="124"/>
  <c r="P73" i="174" s="1"/>
  <c r="Q73" i="124"/>
  <c r="Q73" i="174" s="1"/>
  <c r="R73" i="124"/>
  <c r="R73" i="174" s="1"/>
  <c r="S73" i="124"/>
  <c r="S73" i="174" s="1"/>
  <c r="T73" i="124"/>
  <c r="T73" i="174" s="1"/>
  <c r="U73" i="124"/>
  <c r="U73" i="174" s="1"/>
  <c r="K74" i="124"/>
  <c r="K74" i="174" s="1"/>
  <c r="L74" i="124"/>
  <c r="L74" i="174" s="1"/>
  <c r="M74" i="124"/>
  <c r="M74" i="174" s="1"/>
  <c r="N74" i="124"/>
  <c r="N74" i="174" s="1"/>
  <c r="O74" i="124"/>
  <c r="O74" i="174" s="1"/>
  <c r="P74" i="124"/>
  <c r="P74" i="174" s="1"/>
  <c r="Q74" i="124"/>
  <c r="Q74" i="174" s="1"/>
  <c r="R74" i="124"/>
  <c r="R74" i="174" s="1"/>
  <c r="S74" i="124"/>
  <c r="S74" i="174" s="1"/>
  <c r="T74" i="124"/>
  <c r="T74" i="174" s="1"/>
  <c r="U74" i="124"/>
  <c r="U74" i="174" s="1"/>
  <c r="K75" i="124"/>
  <c r="K75" i="174" s="1"/>
  <c r="L75" i="124"/>
  <c r="L75" i="174" s="1"/>
  <c r="M75" i="124"/>
  <c r="M75" i="174" s="1"/>
  <c r="N75" i="124"/>
  <c r="N75" i="174" s="1"/>
  <c r="O75" i="124"/>
  <c r="O75" i="174" s="1"/>
  <c r="P75" i="124"/>
  <c r="P75" i="174" s="1"/>
  <c r="Q75" i="124"/>
  <c r="Q75" i="174" s="1"/>
  <c r="R75" i="124"/>
  <c r="S75" i="124"/>
  <c r="S75" i="174" s="1"/>
  <c r="T75" i="124"/>
  <c r="T75" i="174" s="1"/>
  <c r="U75" i="124"/>
  <c r="U75" i="174" s="1"/>
  <c r="K76" i="124"/>
  <c r="K76" i="174" s="1"/>
  <c r="L76" i="124"/>
  <c r="L76" i="174" s="1"/>
  <c r="M76" i="124"/>
  <c r="M76" i="174" s="1"/>
  <c r="N76" i="124"/>
  <c r="N76" i="174" s="1"/>
  <c r="O76" i="124"/>
  <c r="O76" i="174" s="1"/>
  <c r="P76" i="124"/>
  <c r="P76" i="174" s="1"/>
  <c r="Q76" i="124"/>
  <c r="Q76" i="174" s="1"/>
  <c r="R76" i="124"/>
  <c r="S76" i="124"/>
  <c r="S76" i="174" s="1"/>
  <c r="U76" i="124"/>
  <c r="U76" i="174" s="1"/>
  <c r="K77" i="124"/>
  <c r="K77" i="174" s="1"/>
  <c r="L77" i="124"/>
  <c r="L77" i="174" s="1"/>
  <c r="M77" i="124"/>
  <c r="M77" i="174" s="1"/>
  <c r="N77" i="124"/>
  <c r="N77" i="174" s="1"/>
  <c r="O77" i="124"/>
  <c r="O77" i="174" s="1"/>
  <c r="P77" i="124"/>
  <c r="P77" i="174" s="1"/>
  <c r="Q77" i="124"/>
  <c r="Q77" i="174" s="1"/>
  <c r="R77" i="124"/>
  <c r="S77" i="124"/>
  <c r="S77" i="174" s="1"/>
  <c r="T77" i="124"/>
  <c r="T77" i="174" s="1"/>
  <c r="U77" i="124"/>
  <c r="U77" i="174" s="1"/>
  <c r="K78" i="124"/>
  <c r="K78" i="174" s="1"/>
  <c r="L78" i="124"/>
  <c r="L78" i="174" s="1"/>
  <c r="M78" i="124"/>
  <c r="M78" i="174" s="1"/>
  <c r="N78" i="124"/>
  <c r="N78" i="174" s="1"/>
  <c r="O78" i="124"/>
  <c r="O78" i="174" s="1"/>
  <c r="P78" i="124"/>
  <c r="P78" i="174" s="1"/>
  <c r="Q78" i="124"/>
  <c r="Q78" i="174" s="1"/>
  <c r="R78" i="124"/>
  <c r="S78" i="124"/>
  <c r="S78" i="174" s="1"/>
  <c r="T78" i="124"/>
  <c r="T78" i="174" s="1"/>
  <c r="U78" i="124"/>
  <c r="U78" i="174" s="1"/>
  <c r="K79" i="124"/>
  <c r="K79" i="174" s="1"/>
  <c r="L79" i="124"/>
  <c r="L79" i="174" s="1"/>
  <c r="M79" i="124"/>
  <c r="M79" i="174" s="1"/>
  <c r="N79" i="124"/>
  <c r="N79" i="174" s="1"/>
  <c r="O79" i="124"/>
  <c r="O79" i="174" s="1"/>
  <c r="P79" i="124"/>
  <c r="P79" i="174" s="1"/>
  <c r="Q79" i="124"/>
  <c r="Q79" i="174" s="1"/>
  <c r="R79" i="124"/>
  <c r="S79" i="124"/>
  <c r="S79" i="174" s="1"/>
  <c r="T79" i="124"/>
  <c r="T79" i="174" s="1"/>
  <c r="U79" i="124"/>
  <c r="U79" i="174" s="1"/>
  <c r="K80" i="124"/>
  <c r="K80" i="174" s="1"/>
  <c r="L80" i="124"/>
  <c r="L80" i="174" s="1"/>
  <c r="M80" i="124"/>
  <c r="M80" i="174" s="1"/>
  <c r="N80" i="124"/>
  <c r="N80" i="174" s="1"/>
  <c r="O80" i="124"/>
  <c r="O80" i="174" s="1"/>
  <c r="P80" i="124"/>
  <c r="P80" i="174" s="1"/>
  <c r="Q80" i="124"/>
  <c r="Q80" i="174" s="1"/>
  <c r="R80" i="124"/>
  <c r="R80" i="174" s="1"/>
  <c r="S80" i="124"/>
  <c r="S80" i="174" s="1"/>
  <c r="T80" i="124"/>
  <c r="T80" i="174" s="1"/>
  <c r="U80" i="124"/>
  <c r="U80" i="174" s="1"/>
  <c r="K81" i="124"/>
  <c r="K81" i="174" s="1"/>
  <c r="L81" i="124"/>
  <c r="L81" i="174" s="1"/>
  <c r="M81" i="124"/>
  <c r="M81" i="174" s="1"/>
  <c r="N81" i="124"/>
  <c r="N81" i="174" s="1"/>
  <c r="O81" i="124"/>
  <c r="O81" i="174" s="1"/>
  <c r="P81" i="124"/>
  <c r="P81" i="174" s="1"/>
  <c r="Q81" i="124"/>
  <c r="Q81" i="174" s="1"/>
  <c r="R81" i="124"/>
  <c r="S81" i="124"/>
  <c r="S81" i="174" s="1"/>
  <c r="T81" i="124"/>
  <c r="T81" i="174" s="1"/>
  <c r="U81" i="124"/>
  <c r="U81" i="174" s="1"/>
  <c r="K82" i="124"/>
  <c r="K82" i="174" s="1"/>
  <c r="L82" i="124"/>
  <c r="L82" i="174" s="1"/>
  <c r="M82" i="124"/>
  <c r="M82" i="174" s="1"/>
  <c r="N82" i="124"/>
  <c r="N82" i="174" s="1"/>
  <c r="O82" i="124"/>
  <c r="O82" i="174" s="1"/>
  <c r="P82" i="124"/>
  <c r="P82" i="174" s="1"/>
  <c r="Q82" i="124"/>
  <c r="Q82" i="174" s="1"/>
  <c r="R82" i="124"/>
  <c r="S82" i="124"/>
  <c r="S82" i="174" s="1"/>
  <c r="T82" i="124"/>
  <c r="T82" i="174" s="1"/>
  <c r="U82" i="124"/>
  <c r="U82" i="174" s="1"/>
  <c r="K83" i="124"/>
  <c r="K83" i="174" s="1"/>
  <c r="L83" i="124"/>
  <c r="L83" i="174" s="1"/>
  <c r="M83" i="124"/>
  <c r="M83" i="174" s="1"/>
  <c r="N83" i="124"/>
  <c r="N83" i="174" s="1"/>
  <c r="O83" i="124"/>
  <c r="O83" i="174" s="1"/>
  <c r="P83" i="124"/>
  <c r="P83" i="174" s="1"/>
  <c r="Q83" i="124"/>
  <c r="Q83" i="174" s="1"/>
  <c r="R83" i="124"/>
  <c r="S83" i="124"/>
  <c r="S83" i="174" s="1"/>
  <c r="T83" i="124"/>
  <c r="T83" i="174" s="1"/>
  <c r="U83" i="124"/>
  <c r="U83" i="174" s="1"/>
  <c r="K84" i="124"/>
  <c r="K84" i="174" s="1"/>
  <c r="L84" i="124"/>
  <c r="L84" i="174" s="1"/>
  <c r="M84" i="124"/>
  <c r="M84" i="174" s="1"/>
  <c r="N84" i="124"/>
  <c r="N84" i="174" s="1"/>
  <c r="O84" i="124"/>
  <c r="O84" i="174" s="1"/>
  <c r="P84" i="124"/>
  <c r="P84" i="174" s="1"/>
  <c r="Q84" i="124"/>
  <c r="Q84" i="174" s="1"/>
  <c r="R84" i="124"/>
  <c r="S84" i="124"/>
  <c r="S84" i="174" s="1"/>
  <c r="T84" i="124"/>
  <c r="T84" i="174" s="1"/>
  <c r="U84" i="124"/>
  <c r="U84" i="174" s="1"/>
  <c r="K85" i="124"/>
  <c r="K85" i="174" s="1"/>
  <c r="L85" i="124"/>
  <c r="L85" i="174" s="1"/>
  <c r="M85" i="124"/>
  <c r="M85" i="174" s="1"/>
  <c r="N85" i="124"/>
  <c r="N85" i="174" s="1"/>
  <c r="O85" i="124"/>
  <c r="O85" i="174" s="1"/>
  <c r="P85" i="124"/>
  <c r="P85" i="174" s="1"/>
  <c r="Q85" i="124"/>
  <c r="Q85" i="174" s="1"/>
  <c r="R85" i="124"/>
  <c r="S85" i="124"/>
  <c r="S85" i="174" s="1"/>
  <c r="T85" i="124"/>
  <c r="T85" i="174" s="1"/>
  <c r="U85" i="124"/>
  <c r="U85" i="174" s="1"/>
  <c r="K86" i="124"/>
  <c r="K86" i="174" s="1"/>
  <c r="L86" i="124"/>
  <c r="L86" i="174" s="1"/>
  <c r="M86" i="124"/>
  <c r="M86" i="174" s="1"/>
  <c r="N86" i="124"/>
  <c r="N86" i="174" s="1"/>
  <c r="O86" i="124"/>
  <c r="O86" i="174" s="1"/>
  <c r="P86" i="124"/>
  <c r="P86" i="174" s="1"/>
  <c r="Q86" i="124"/>
  <c r="Q86" i="174" s="1"/>
  <c r="R86" i="124"/>
  <c r="S86" i="124"/>
  <c r="S86" i="174" s="1"/>
  <c r="T86" i="124"/>
  <c r="T86" i="174" s="1"/>
  <c r="U86" i="124"/>
  <c r="U86" i="174" s="1"/>
  <c r="K87" i="124"/>
  <c r="K87" i="174" s="1"/>
  <c r="L87" i="124"/>
  <c r="L87" i="174" s="1"/>
  <c r="M87" i="124"/>
  <c r="M87" i="174" s="1"/>
  <c r="N87" i="124"/>
  <c r="N87" i="174" s="1"/>
  <c r="O87" i="124"/>
  <c r="O87" i="174" s="1"/>
  <c r="P87" i="124"/>
  <c r="P87" i="174" s="1"/>
  <c r="Q87" i="124"/>
  <c r="Q87" i="174" s="1"/>
  <c r="R87" i="124"/>
  <c r="S87" i="124"/>
  <c r="S87" i="174" s="1"/>
  <c r="T87" i="124"/>
  <c r="T87" i="174" s="1"/>
  <c r="U87" i="124"/>
  <c r="U87" i="174" s="1"/>
  <c r="K88" i="124"/>
  <c r="K88" i="174" s="1"/>
  <c r="L88" i="124"/>
  <c r="L88" i="174" s="1"/>
  <c r="M88" i="124"/>
  <c r="M88" i="174" s="1"/>
  <c r="N88" i="124"/>
  <c r="N88" i="174" s="1"/>
  <c r="O88" i="124"/>
  <c r="O88" i="174" s="1"/>
  <c r="P88" i="124"/>
  <c r="P88" i="174" s="1"/>
  <c r="Q88" i="124"/>
  <c r="Q88" i="174" s="1"/>
  <c r="R88" i="124"/>
  <c r="S88" i="124"/>
  <c r="S88" i="174" s="1"/>
  <c r="T88" i="124"/>
  <c r="T88" i="174" s="1"/>
  <c r="U88" i="124"/>
  <c r="U88" i="174" s="1"/>
  <c r="K89" i="124"/>
  <c r="K89" i="174" s="1"/>
  <c r="L89" i="124"/>
  <c r="L89" i="174" s="1"/>
  <c r="M89" i="124"/>
  <c r="M89" i="174" s="1"/>
  <c r="N89" i="124"/>
  <c r="N89" i="174" s="1"/>
  <c r="O89" i="124"/>
  <c r="O89" i="174" s="1"/>
  <c r="P89" i="124"/>
  <c r="P89" i="174" s="1"/>
  <c r="Q89" i="124"/>
  <c r="Q89" i="174" s="1"/>
  <c r="R89" i="124"/>
  <c r="R89" i="174" s="1"/>
  <c r="S89" i="124"/>
  <c r="S89" i="174" s="1"/>
  <c r="T89" i="124"/>
  <c r="T89" i="174" s="1"/>
  <c r="U89" i="124"/>
  <c r="U89" i="174" s="1"/>
  <c r="J52" i="124"/>
  <c r="J52" i="174" s="1"/>
  <c r="J57" i="124"/>
  <c r="J57" i="174" s="1"/>
  <c r="J58" i="124"/>
  <c r="J58" i="174" s="1"/>
  <c r="J59" i="124"/>
  <c r="J59" i="174" s="1"/>
  <c r="J61" i="124"/>
  <c r="J61" i="174" s="1"/>
  <c r="J62" i="124"/>
  <c r="J62" i="174" s="1"/>
  <c r="J63" i="124"/>
  <c r="J63" i="174" s="1"/>
  <c r="J64" i="124"/>
  <c r="J64" i="174" s="1"/>
  <c r="J65" i="124"/>
  <c r="J65" i="174" s="1"/>
  <c r="J66" i="124"/>
  <c r="J66" i="174" s="1"/>
  <c r="J67" i="124"/>
  <c r="J67" i="174" s="1"/>
  <c r="J68" i="124"/>
  <c r="J68" i="174" s="1"/>
  <c r="J69" i="124"/>
  <c r="J69" i="174" s="1"/>
  <c r="J70" i="124"/>
  <c r="J70" i="174" s="1"/>
  <c r="J71" i="124"/>
  <c r="J71" i="174" s="1"/>
  <c r="J72" i="124"/>
  <c r="J72" i="174" s="1"/>
  <c r="J73" i="124"/>
  <c r="J73" i="174" s="1"/>
  <c r="J74" i="124"/>
  <c r="J74" i="174" s="1"/>
  <c r="J75" i="124"/>
  <c r="J75" i="174" s="1"/>
  <c r="J76" i="124"/>
  <c r="J76" i="174" s="1"/>
  <c r="J77" i="124"/>
  <c r="J77" i="174" s="1"/>
  <c r="J78" i="124"/>
  <c r="J78" i="174" s="1"/>
  <c r="J79" i="124"/>
  <c r="J79" i="174" s="1"/>
  <c r="J80" i="124"/>
  <c r="J81" i="124"/>
  <c r="J82" i="124"/>
  <c r="J83" i="124"/>
  <c r="J84" i="124"/>
  <c r="J85" i="124"/>
  <c r="J86" i="124"/>
  <c r="J87" i="124"/>
  <c r="J88" i="124"/>
  <c r="J89" i="124"/>
  <c r="J51" i="124"/>
  <c r="J51" i="174" s="1"/>
  <c r="K40" i="124"/>
  <c r="K40" i="174" s="1"/>
  <c r="L40" i="124"/>
  <c r="L40" i="174" s="1"/>
  <c r="M40" i="124"/>
  <c r="M40" i="174" s="1"/>
  <c r="N40" i="124"/>
  <c r="N40" i="174" s="1"/>
  <c r="O40" i="124"/>
  <c r="O40" i="174" s="1"/>
  <c r="P40" i="124"/>
  <c r="P40" i="174" s="1"/>
  <c r="Q40" i="124"/>
  <c r="Q40" i="174" s="1"/>
  <c r="R40" i="124"/>
  <c r="S40" i="124"/>
  <c r="S40" i="174" s="1"/>
  <c r="T40" i="124"/>
  <c r="T40" i="174" s="1"/>
  <c r="U40" i="124"/>
  <c r="U40" i="174" s="1"/>
  <c r="K41" i="124"/>
  <c r="K41" i="174" s="1"/>
  <c r="L41" i="124"/>
  <c r="L41" i="174" s="1"/>
  <c r="M41" i="124"/>
  <c r="M41" i="174" s="1"/>
  <c r="N41" i="124"/>
  <c r="N41" i="174" s="1"/>
  <c r="O41" i="124"/>
  <c r="O41" i="174" s="1"/>
  <c r="P41" i="124"/>
  <c r="P41" i="174" s="1"/>
  <c r="Q41" i="124"/>
  <c r="Q41" i="174" s="1"/>
  <c r="R41" i="124"/>
  <c r="S41" i="124"/>
  <c r="S41" i="174" s="1"/>
  <c r="T41" i="124"/>
  <c r="T41" i="174" s="1"/>
  <c r="U41" i="124"/>
  <c r="U41" i="174" s="1"/>
  <c r="AJ339" i="174"/>
  <c r="AI339" i="174"/>
  <c r="AH339" i="174"/>
  <c r="AG339" i="174"/>
  <c r="AF339" i="174"/>
  <c r="AE339" i="174"/>
  <c r="AD339" i="174"/>
  <c r="AC339" i="174"/>
  <c r="AB339" i="174"/>
  <c r="AA339" i="174"/>
  <c r="Z339" i="174"/>
  <c r="Y339" i="174"/>
  <c r="V339" i="174"/>
  <c r="V315" i="174"/>
  <c r="AM315" i="174" s="1"/>
  <c r="V314" i="174"/>
  <c r="AM314" i="174" s="1"/>
  <c r="V288" i="174"/>
  <c r="AM288" i="174" s="1"/>
  <c r="V287" i="174"/>
  <c r="AM287" i="174" s="1"/>
  <c r="V286" i="174"/>
  <c r="AM286" i="174" s="1"/>
  <c r="V285" i="174"/>
  <c r="AM285" i="174" s="1"/>
  <c r="V284" i="174"/>
  <c r="AM284" i="174" s="1"/>
  <c r="V283" i="174"/>
  <c r="AM283" i="174" s="1"/>
  <c r="V282" i="174"/>
  <c r="AM282" i="174" s="1"/>
  <c r="V280" i="174"/>
  <c r="AM280" i="174" s="1"/>
  <c r="V279" i="174"/>
  <c r="AM279" i="174" s="1"/>
  <c r="V278" i="174"/>
  <c r="AM278" i="174" s="1"/>
  <c r="V277" i="174"/>
  <c r="AM277" i="174" s="1"/>
  <c r="V276" i="174"/>
  <c r="AM276" i="174" s="1"/>
  <c r="V274" i="174"/>
  <c r="AM274" i="174" s="1"/>
  <c r="V273" i="174"/>
  <c r="AM273" i="174" s="1"/>
  <c r="V272" i="174"/>
  <c r="AM272" i="174" s="1"/>
  <c r="V271" i="174"/>
  <c r="AM271" i="174" s="1"/>
  <c r="V270" i="174"/>
  <c r="AM270" i="174" s="1"/>
  <c r="V269" i="174"/>
  <c r="AM269" i="174" s="1"/>
  <c r="V268" i="174"/>
  <c r="AM268" i="174" s="1"/>
  <c r="V267" i="174"/>
  <c r="AM267" i="174" s="1"/>
  <c r="V266" i="174"/>
  <c r="AM266" i="174" s="1"/>
  <c r="V265" i="174"/>
  <c r="AM265" i="174" s="1"/>
  <c r="V264" i="174"/>
  <c r="AM264" i="174" s="1"/>
  <c r="V263" i="174"/>
  <c r="AM263" i="174" s="1"/>
  <c r="V262" i="174"/>
  <c r="AM262" i="174" s="1"/>
  <c r="AJ261" i="174"/>
  <c r="AI261" i="174"/>
  <c r="AH261" i="174"/>
  <c r="AG261" i="174"/>
  <c r="AF261" i="174"/>
  <c r="AE261" i="174"/>
  <c r="AD261" i="174"/>
  <c r="AC261" i="174"/>
  <c r="AB261" i="174"/>
  <c r="AA261" i="174"/>
  <c r="Z261" i="174"/>
  <c r="Y261" i="174"/>
  <c r="V261" i="174"/>
  <c r="AM261" i="174" s="1"/>
  <c r="U261" i="174"/>
  <c r="T261" i="174"/>
  <c r="S261" i="174"/>
  <c r="R261" i="174"/>
  <c r="Q261" i="174"/>
  <c r="P261" i="174"/>
  <c r="O261" i="174"/>
  <c r="N261" i="174"/>
  <c r="M261" i="174"/>
  <c r="L261" i="174"/>
  <c r="K261" i="174"/>
  <c r="J261" i="174"/>
  <c r="V250" i="174"/>
  <c r="AM250" i="174" s="1"/>
  <c r="V249" i="174"/>
  <c r="AM249" i="174" s="1"/>
  <c r="V248" i="174"/>
  <c r="AM248" i="174" s="1"/>
  <c r="V247" i="174"/>
  <c r="AM247" i="174" s="1"/>
  <c r="V246" i="174"/>
  <c r="AM246" i="174" s="1"/>
  <c r="U244" i="174"/>
  <c r="V245" i="174"/>
  <c r="AJ244" i="174"/>
  <c r="AI244" i="174"/>
  <c r="AH244" i="174"/>
  <c r="AG244" i="174"/>
  <c r="AF244" i="174"/>
  <c r="AE244" i="174"/>
  <c r="AD244" i="174"/>
  <c r="AC244" i="174"/>
  <c r="AB244" i="174"/>
  <c r="AA244" i="174"/>
  <c r="Z244" i="174"/>
  <c r="Y244" i="174"/>
  <c r="T244" i="174"/>
  <c r="S244" i="174"/>
  <c r="R244" i="174"/>
  <c r="Q244" i="174"/>
  <c r="P244" i="174"/>
  <c r="O244" i="174"/>
  <c r="N244" i="174"/>
  <c r="M244" i="174"/>
  <c r="L244" i="174"/>
  <c r="K244" i="174"/>
  <c r="J234" i="174"/>
  <c r="L229" i="174"/>
  <c r="K229" i="174"/>
  <c r="AJ229" i="174"/>
  <c r="AI229" i="174"/>
  <c r="AH229" i="174"/>
  <c r="AG229" i="174"/>
  <c r="AF229" i="174"/>
  <c r="AE229" i="174"/>
  <c r="AD229" i="174"/>
  <c r="AC229" i="174"/>
  <c r="AB229" i="174"/>
  <c r="AA229" i="174"/>
  <c r="Z229" i="174"/>
  <c r="Y229" i="174"/>
  <c r="U229" i="174"/>
  <c r="T229" i="174"/>
  <c r="S229" i="174"/>
  <c r="R229" i="174"/>
  <c r="Q229" i="174"/>
  <c r="P229" i="174"/>
  <c r="O229" i="174"/>
  <c r="N229" i="174"/>
  <c r="M229" i="174"/>
  <c r="J229" i="174"/>
  <c r="M212" i="174"/>
  <c r="L212" i="174"/>
  <c r="AH212" i="174"/>
  <c r="AG212" i="174"/>
  <c r="AF212" i="174"/>
  <c r="AE212" i="174"/>
  <c r="AD212" i="174"/>
  <c r="AC212" i="174"/>
  <c r="AB212" i="174"/>
  <c r="AA212" i="174"/>
  <c r="Z212" i="174"/>
  <c r="Y212" i="174"/>
  <c r="U212" i="174"/>
  <c r="T212" i="174"/>
  <c r="S212" i="174"/>
  <c r="R212" i="174"/>
  <c r="Q212" i="174"/>
  <c r="P212" i="174"/>
  <c r="O212" i="174"/>
  <c r="N212" i="174"/>
  <c r="K212" i="174"/>
  <c r="J212" i="174"/>
  <c r="O162" i="174"/>
  <c r="O251" i="174" s="1"/>
  <c r="O252" i="174" s="1"/>
  <c r="N162" i="174"/>
  <c r="N251" i="174" s="1"/>
  <c r="N252" i="174" s="1"/>
  <c r="U162" i="174"/>
  <c r="T162" i="174"/>
  <c r="T251" i="174" s="1"/>
  <c r="T252" i="174" s="1"/>
  <c r="S162" i="174"/>
  <c r="S251" i="174" s="1"/>
  <c r="S252" i="174" s="1"/>
  <c r="R162" i="174"/>
  <c r="R251" i="174" s="1"/>
  <c r="R252" i="174" s="1"/>
  <c r="Q162" i="174"/>
  <c r="Q251" i="174" s="1"/>
  <c r="Q252" i="174" s="1"/>
  <c r="P162" i="174"/>
  <c r="P251" i="174" s="1"/>
  <c r="P252" i="174" s="1"/>
  <c r="M162" i="174"/>
  <c r="L162" i="174"/>
  <c r="K162" i="174"/>
  <c r="J162" i="174"/>
  <c r="AK354" i="173"/>
  <c r="V354" i="173"/>
  <c r="AK330" i="173"/>
  <c r="V330" i="173"/>
  <c r="AK329" i="173"/>
  <c r="V329" i="173"/>
  <c r="AK328" i="173"/>
  <c r="V328" i="173"/>
  <c r="AK327" i="173"/>
  <c r="V327" i="173"/>
  <c r="AK326" i="173"/>
  <c r="V326" i="173"/>
  <c r="AK325" i="173"/>
  <c r="V325" i="173"/>
  <c r="AK324" i="173"/>
  <c r="V324" i="173"/>
  <c r="AK323" i="173"/>
  <c r="V323" i="173"/>
  <c r="AK322" i="173"/>
  <c r="V322" i="173"/>
  <c r="AK321" i="173"/>
  <c r="AJ321" i="173"/>
  <c r="AI321" i="173"/>
  <c r="AH321" i="173"/>
  <c r="AG321" i="173"/>
  <c r="AF321" i="173"/>
  <c r="AE321" i="173"/>
  <c r="AD321" i="173"/>
  <c r="AC321" i="173"/>
  <c r="AB321" i="173"/>
  <c r="AA321" i="173"/>
  <c r="Z321" i="173"/>
  <c r="Y321" i="173"/>
  <c r="V321" i="173"/>
  <c r="AK313" i="173"/>
  <c r="V313" i="173"/>
  <c r="AK312" i="173"/>
  <c r="V312" i="173"/>
  <c r="AK311" i="173"/>
  <c r="V311" i="173"/>
  <c r="AK310" i="173"/>
  <c r="V310" i="173"/>
  <c r="AK309" i="173"/>
  <c r="V309" i="173"/>
  <c r="AK308" i="173"/>
  <c r="V308" i="173"/>
  <c r="AK307" i="173"/>
  <c r="V307" i="173"/>
  <c r="AK306" i="173"/>
  <c r="V306" i="173"/>
  <c r="AK305" i="173"/>
  <c r="V305" i="173"/>
  <c r="AK304" i="173"/>
  <c r="V304" i="173"/>
  <c r="AK303" i="173"/>
  <c r="V303" i="173"/>
  <c r="AK302" i="173"/>
  <c r="V302" i="173"/>
  <c r="AK301" i="173"/>
  <c r="V301" i="173"/>
  <c r="AK300" i="173"/>
  <c r="V300" i="173"/>
  <c r="AK299" i="173"/>
  <c r="V299" i="173"/>
  <c r="AK298" i="173"/>
  <c r="V298" i="173"/>
  <c r="AK297" i="173"/>
  <c r="V297" i="173"/>
  <c r="AK296" i="173"/>
  <c r="V296" i="173"/>
  <c r="AK295" i="173"/>
  <c r="V295" i="173"/>
  <c r="AK294" i="173"/>
  <c r="AJ294" i="173"/>
  <c r="AI294" i="173"/>
  <c r="AH294" i="173"/>
  <c r="AG294" i="173"/>
  <c r="AF294" i="173"/>
  <c r="AE294" i="173"/>
  <c r="AD294" i="173"/>
  <c r="AC294" i="173"/>
  <c r="AB294" i="173"/>
  <c r="AA294" i="173"/>
  <c r="Z294" i="173"/>
  <c r="Y294" i="173"/>
  <c r="V294" i="173"/>
  <c r="AK288" i="173"/>
  <c r="V288" i="173"/>
  <c r="AK287" i="173"/>
  <c r="V287" i="173"/>
  <c r="AK286" i="173"/>
  <c r="V286" i="173"/>
  <c r="AK285" i="173"/>
  <c r="V285" i="173"/>
  <c r="AK284" i="173"/>
  <c r="V284" i="173"/>
  <c r="AK283" i="173"/>
  <c r="V283" i="173"/>
  <c r="AK282" i="173"/>
  <c r="AJ282" i="173"/>
  <c r="AI282" i="173"/>
  <c r="AH282" i="173"/>
  <c r="AG282" i="173"/>
  <c r="AF282" i="173"/>
  <c r="AE282" i="173"/>
  <c r="AD282" i="173"/>
  <c r="AC282" i="173"/>
  <c r="AB282" i="173"/>
  <c r="AA282" i="173"/>
  <c r="Z282" i="173"/>
  <c r="Y282" i="173"/>
  <c r="V282" i="173"/>
  <c r="AK280" i="173"/>
  <c r="V280" i="173"/>
  <c r="AK278" i="173"/>
  <c r="V278" i="173"/>
  <c r="AK277" i="173"/>
  <c r="V277" i="173"/>
  <c r="AK276" i="173"/>
  <c r="V276" i="173"/>
  <c r="AK275" i="173"/>
  <c r="AJ275" i="173"/>
  <c r="AI275" i="173"/>
  <c r="AH275" i="173"/>
  <c r="AG275" i="173"/>
  <c r="AF275" i="173"/>
  <c r="AE275" i="173"/>
  <c r="AD275" i="173"/>
  <c r="AC275" i="173"/>
  <c r="AB275" i="173"/>
  <c r="AA275" i="173"/>
  <c r="Z275" i="173"/>
  <c r="Y275" i="173"/>
  <c r="V275" i="173"/>
  <c r="AK267" i="173"/>
  <c r="V267" i="173"/>
  <c r="AK265" i="173"/>
  <c r="V265" i="173"/>
  <c r="AK261" i="173"/>
  <c r="V261" i="173"/>
  <c r="AK260" i="173"/>
  <c r="AJ260" i="173"/>
  <c r="AI260" i="173"/>
  <c r="AH260" i="173"/>
  <c r="AG260" i="173"/>
  <c r="AF260" i="173"/>
  <c r="AE260" i="173"/>
  <c r="AD260" i="173"/>
  <c r="AC260" i="173"/>
  <c r="AB260" i="173"/>
  <c r="AA260" i="173"/>
  <c r="Z260" i="173"/>
  <c r="Y260" i="173"/>
  <c r="V260" i="173"/>
  <c r="AJ256" i="173"/>
  <c r="AI256" i="173"/>
  <c r="AH256" i="173"/>
  <c r="AG256" i="173"/>
  <c r="AF256" i="173"/>
  <c r="AE256" i="173"/>
  <c r="AD256" i="173"/>
  <c r="AC256" i="173"/>
  <c r="AB256" i="173"/>
  <c r="AA256" i="173"/>
  <c r="Z256" i="173"/>
  <c r="Y256" i="173"/>
  <c r="AK249" i="173"/>
  <c r="V249" i="173"/>
  <c r="AK248" i="173"/>
  <c r="V248" i="173"/>
  <c r="AK247" i="173"/>
  <c r="V247" i="173"/>
  <c r="AK246" i="173"/>
  <c r="V246" i="173"/>
  <c r="AK245" i="173"/>
  <c r="V245" i="173"/>
  <c r="AK244" i="173"/>
  <c r="V244" i="173"/>
  <c r="AK243" i="173"/>
  <c r="AJ243" i="173"/>
  <c r="AI243" i="173"/>
  <c r="AH243" i="173"/>
  <c r="AG243" i="173"/>
  <c r="AF243" i="173"/>
  <c r="AE243" i="173"/>
  <c r="AD243" i="173"/>
  <c r="AC243" i="173"/>
  <c r="AB243" i="173"/>
  <c r="AA243" i="173"/>
  <c r="Z243" i="173"/>
  <c r="Y243" i="173"/>
  <c r="V243" i="173"/>
  <c r="AK242" i="173"/>
  <c r="V242" i="173"/>
  <c r="AK241" i="173"/>
  <c r="V241" i="173"/>
  <c r="AK240" i="173"/>
  <c r="V240" i="173"/>
  <c r="AK239" i="173"/>
  <c r="V239" i="173"/>
  <c r="AK238" i="173"/>
  <c r="V238" i="173"/>
  <c r="AK237" i="173"/>
  <c r="V237" i="173"/>
  <c r="AK236" i="173"/>
  <c r="V236" i="173"/>
  <c r="AK235" i="173"/>
  <c r="V235" i="173"/>
  <c r="AK234" i="173"/>
  <c r="V234" i="173"/>
  <c r="AK233" i="173"/>
  <c r="AJ233" i="173"/>
  <c r="AI233" i="173"/>
  <c r="AH233" i="173"/>
  <c r="AG233" i="173"/>
  <c r="AF233" i="173"/>
  <c r="AE233" i="173"/>
  <c r="AD233" i="173"/>
  <c r="AC233" i="173"/>
  <c r="AB233" i="173"/>
  <c r="AA233" i="173"/>
  <c r="Z233" i="173"/>
  <c r="Y233" i="173"/>
  <c r="V233" i="173"/>
  <c r="AK232" i="173"/>
  <c r="V232" i="173"/>
  <c r="AK231" i="173"/>
  <c r="V231" i="173"/>
  <c r="AK230" i="173"/>
  <c r="V230" i="173"/>
  <c r="AK229" i="173"/>
  <c r="V229" i="173"/>
  <c r="AK228" i="173"/>
  <c r="AJ228" i="173"/>
  <c r="AI228" i="173"/>
  <c r="AH228" i="173"/>
  <c r="AG228" i="173"/>
  <c r="AF228" i="173"/>
  <c r="AE228" i="173"/>
  <c r="AD228" i="173"/>
  <c r="AC228" i="173"/>
  <c r="AB228" i="173"/>
  <c r="AA228" i="173"/>
  <c r="Z228" i="173"/>
  <c r="Y228" i="173"/>
  <c r="V228" i="173"/>
  <c r="AK227" i="173"/>
  <c r="V227" i="173"/>
  <c r="AK226" i="173"/>
  <c r="V226" i="173"/>
  <c r="AK225" i="173"/>
  <c r="V225" i="173"/>
  <c r="AK224" i="173"/>
  <c r="V224" i="173"/>
  <c r="AK223" i="173"/>
  <c r="V223" i="173"/>
  <c r="AK222" i="173"/>
  <c r="V222" i="173"/>
  <c r="AK221" i="173"/>
  <c r="V221" i="173"/>
  <c r="AK220" i="173"/>
  <c r="V220" i="173"/>
  <c r="AK219" i="173"/>
  <c r="V219" i="173"/>
  <c r="AK218" i="173"/>
  <c r="V218" i="173"/>
  <c r="AK217" i="173"/>
  <c r="V217" i="173"/>
  <c r="AK216" i="173"/>
  <c r="V216" i="173"/>
  <c r="AK215" i="173"/>
  <c r="V215" i="173"/>
  <c r="AK214" i="173"/>
  <c r="V214" i="173"/>
  <c r="AK213" i="173"/>
  <c r="V213" i="173"/>
  <c r="AK212" i="173"/>
  <c r="V212" i="173"/>
  <c r="AK211" i="173"/>
  <c r="AJ211" i="173"/>
  <c r="AI211" i="173"/>
  <c r="AH211" i="173"/>
  <c r="AG211" i="173"/>
  <c r="AF211" i="173"/>
  <c r="AE211" i="173"/>
  <c r="AD211" i="173"/>
  <c r="AC211" i="173"/>
  <c r="AB211" i="173"/>
  <c r="AA211" i="173"/>
  <c r="Z211" i="173"/>
  <c r="Y211" i="173"/>
  <c r="V211" i="173"/>
  <c r="AK210" i="173"/>
  <c r="V210" i="173"/>
  <c r="AK209" i="173"/>
  <c r="V209" i="173"/>
  <c r="AK208" i="173"/>
  <c r="V208" i="173"/>
  <c r="AK207" i="173"/>
  <c r="V207" i="173"/>
  <c r="AK206" i="173"/>
  <c r="V206" i="173"/>
  <c r="AK205" i="173"/>
  <c r="V205" i="173"/>
  <c r="AK204" i="173"/>
  <c r="V204" i="173"/>
  <c r="AK203" i="173"/>
  <c r="V203" i="173"/>
  <c r="AK202" i="173"/>
  <c r="V202" i="173"/>
  <c r="AK201" i="173"/>
  <c r="V201" i="173"/>
  <c r="AK200" i="173"/>
  <c r="V200" i="173"/>
  <c r="AK199" i="173"/>
  <c r="V199" i="173"/>
  <c r="AK198" i="173"/>
  <c r="V198" i="173"/>
  <c r="AK197" i="173"/>
  <c r="V197" i="173"/>
  <c r="AK196" i="173"/>
  <c r="V196" i="173"/>
  <c r="AK195" i="173"/>
  <c r="V195" i="173"/>
  <c r="AK194" i="173"/>
  <c r="V194" i="173"/>
  <c r="AK193" i="173"/>
  <c r="V193" i="173"/>
  <c r="AK192" i="173"/>
  <c r="V192" i="173"/>
  <c r="AK191" i="173"/>
  <c r="V191" i="173"/>
  <c r="AK190" i="173"/>
  <c r="V190" i="173"/>
  <c r="AK189" i="173"/>
  <c r="V189" i="173"/>
  <c r="AK188" i="173"/>
  <c r="V188" i="173"/>
  <c r="AK187" i="173"/>
  <c r="V187" i="173"/>
  <c r="AK186" i="173"/>
  <c r="V186" i="173"/>
  <c r="AK185" i="173"/>
  <c r="V185" i="173"/>
  <c r="AK184" i="173"/>
  <c r="V184" i="173"/>
  <c r="AK183" i="173"/>
  <c r="V183" i="173"/>
  <c r="AK182" i="173"/>
  <c r="V182" i="173"/>
  <c r="AK181" i="173"/>
  <c r="V181" i="173"/>
  <c r="AK180" i="173"/>
  <c r="V180" i="173"/>
  <c r="AK179" i="173"/>
  <c r="V179" i="173"/>
  <c r="AK178" i="173"/>
  <c r="V178" i="173"/>
  <c r="AK177" i="173"/>
  <c r="V177" i="173"/>
  <c r="AK176" i="173"/>
  <c r="V176" i="173"/>
  <c r="AK175" i="173"/>
  <c r="V175" i="173"/>
  <c r="AK174" i="173"/>
  <c r="V174" i="173"/>
  <c r="AK173" i="173"/>
  <c r="V173" i="173"/>
  <c r="AK172" i="173"/>
  <c r="V172" i="173"/>
  <c r="AK171" i="173"/>
  <c r="V171" i="173"/>
  <c r="AK170" i="173"/>
  <c r="V170" i="173"/>
  <c r="AK169" i="173"/>
  <c r="V169" i="173"/>
  <c r="AK168" i="173"/>
  <c r="V168" i="173"/>
  <c r="AK167" i="173"/>
  <c r="V167" i="173"/>
  <c r="AK166" i="173"/>
  <c r="V166" i="173"/>
  <c r="AK165" i="173"/>
  <c r="V165" i="173"/>
  <c r="AK164" i="173"/>
  <c r="V164" i="173"/>
  <c r="AK163" i="173"/>
  <c r="V163" i="173"/>
  <c r="V162" i="173"/>
  <c r="V161" i="173"/>
  <c r="AJ155" i="173"/>
  <c r="AI155" i="173"/>
  <c r="AH155" i="173"/>
  <c r="AG155" i="173"/>
  <c r="AF155" i="173"/>
  <c r="AE155" i="173"/>
  <c r="AD155" i="173"/>
  <c r="AC155" i="173"/>
  <c r="AB155" i="173"/>
  <c r="AA155" i="173"/>
  <c r="Z155" i="173"/>
  <c r="Y155" i="173"/>
  <c r="AK153" i="173"/>
  <c r="V153" i="173"/>
  <c r="AK152" i="173"/>
  <c r="V152" i="173"/>
  <c r="AK151" i="173"/>
  <c r="V151" i="173"/>
  <c r="AK150" i="173"/>
  <c r="V150" i="173"/>
  <c r="AK149" i="173"/>
  <c r="V149" i="173"/>
  <c r="AK148" i="173"/>
  <c r="V148" i="173"/>
  <c r="AK147" i="173"/>
  <c r="AJ147" i="173"/>
  <c r="AI147" i="173"/>
  <c r="AH147" i="173"/>
  <c r="AG147" i="173"/>
  <c r="AF147" i="173"/>
  <c r="AE147" i="173"/>
  <c r="AD147" i="173"/>
  <c r="AC147" i="173"/>
  <c r="AB147" i="173"/>
  <c r="AA147" i="173"/>
  <c r="Z147" i="173"/>
  <c r="Y147" i="173"/>
  <c r="V147" i="173"/>
  <c r="AK114" i="173"/>
  <c r="V114" i="173"/>
  <c r="AK113" i="173"/>
  <c r="V113" i="173"/>
  <c r="AK112" i="173"/>
  <c r="V112" i="173"/>
  <c r="AK111" i="173"/>
  <c r="AJ111" i="173"/>
  <c r="AI111" i="173"/>
  <c r="AH111" i="173"/>
  <c r="AG111" i="173"/>
  <c r="AF111" i="173"/>
  <c r="AE111" i="173"/>
  <c r="AD111" i="173"/>
  <c r="AC111" i="173"/>
  <c r="AB111" i="173"/>
  <c r="AA111" i="173"/>
  <c r="Z111" i="173"/>
  <c r="Y111" i="173"/>
  <c r="V111" i="173"/>
  <c r="AK110" i="173"/>
  <c r="V110" i="173"/>
  <c r="AK109" i="173"/>
  <c r="V109" i="173"/>
  <c r="AK108" i="173"/>
  <c r="V108" i="173"/>
  <c r="AK107" i="173"/>
  <c r="V107" i="173"/>
  <c r="AK106" i="173"/>
  <c r="AJ106" i="173"/>
  <c r="AI106" i="173"/>
  <c r="AH106" i="173"/>
  <c r="AG106" i="173"/>
  <c r="AF106" i="173"/>
  <c r="AE106" i="173"/>
  <c r="AD106" i="173"/>
  <c r="AC106" i="173"/>
  <c r="AB106" i="173"/>
  <c r="AA106" i="173"/>
  <c r="Z106" i="173"/>
  <c r="Y106" i="173"/>
  <c r="V106" i="173"/>
  <c r="AK105" i="173"/>
  <c r="V105" i="173"/>
  <c r="AK104" i="173"/>
  <c r="V104" i="173"/>
  <c r="AK103" i="173"/>
  <c r="V103" i="173"/>
  <c r="AK102" i="173"/>
  <c r="V102" i="173"/>
  <c r="AK101" i="173"/>
  <c r="V101" i="173"/>
  <c r="AK100" i="173"/>
  <c r="V100" i="173"/>
  <c r="AK99" i="173"/>
  <c r="V99" i="173"/>
  <c r="AK98" i="173"/>
  <c r="V98" i="173"/>
  <c r="AK97" i="173"/>
  <c r="V97" i="173"/>
  <c r="AK96" i="173"/>
  <c r="V96" i="173"/>
  <c r="AK95" i="173"/>
  <c r="V95" i="173"/>
  <c r="AK94" i="173"/>
  <c r="V94" i="173"/>
  <c r="AK93" i="173"/>
  <c r="V93" i="173"/>
  <c r="AK92" i="173"/>
  <c r="V92" i="173"/>
  <c r="AK91" i="173"/>
  <c r="V91" i="173"/>
  <c r="AK90" i="173"/>
  <c r="AJ90" i="173"/>
  <c r="AI90" i="173"/>
  <c r="AH90" i="173"/>
  <c r="AG90" i="173"/>
  <c r="AF90" i="173"/>
  <c r="AE90" i="173"/>
  <c r="AD90" i="173"/>
  <c r="AC90" i="173"/>
  <c r="AB90" i="173"/>
  <c r="AA90" i="173"/>
  <c r="Z90" i="173"/>
  <c r="Y90" i="173"/>
  <c r="V90" i="173"/>
  <c r="AK73" i="173"/>
  <c r="V73" i="173"/>
  <c r="AK72" i="173"/>
  <c r="V72" i="173"/>
  <c r="AK71" i="173"/>
  <c r="V71" i="173"/>
  <c r="AK70" i="173"/>
  <c r="V70" i="173"/>
  <c r="AK69" i="173"/>
  <c r="V69" i="173"/>
  <c r="AK68" i="173"/>
  <c r="V68" i="173"/>
  <c r="AK67" i="173"/>
  <c r="V67" i="173"/>
  <c r="AK66" i="173"/>
  <c r="V66" i="173"/>
  <c r="AK65" i="173"/>
  <c r="V65" i="173"/>
  <c r="AK64" i="173"/>
  <c r="V64" i="173"/>
  <c r="AK63" i="173"/>
  <c r="V63" i="173"/>
  <c r="AK62" i="173"/>
  <c r="V62" i="173"/>
  <c r="AK61" i="173"/>
  <c r="V61" i="173"/>
  <c r="AK60" i="173"/>
  <c r="V60" i="173"/>
  <c r="AK59" i="173"/>
  <c r="V59" i="173"/>
  <c r="AK58" i="173"/>
  <c r="V58" i="173"/>
  <c r="AK57" i="173"/>
  <c r="V57" i="173"/>
  <c r="AK56" i="173"/>
  <c r="V56" i="173"/>
  <c r="AK55" i="173"/>
  <c r="V55" i="173"/>
  <c r="AK54" i="173"/>
  <c r="V54" i="173"/>
  <c r="AK53" i="173"/>
  <c r="V53" i="173"/>
  <c r="AK52" i="173"/>
  <c r="V52" i="173"/>
  <c r="AK51" i="173"/>
  <c r="V51" i="173"/>
  <c r="AK50" i="173"/>
  <c r="AJ50" i="173"/>
  <c r="AJ154" i="173" s="1"/>
  <c r="AI50" i="173"/>
  <c r="AI154" i="173" s="1"/>
  <c r="AH50" i="173"/>
  <c r="AH154" i="173" s="1"/>
  <c r="AG50" i="173"/>
  <c r="AG154" i="173" s="1"/>
  <c r="AF50" i="173"/>
  <c r="AF154" i="173" s="1"/>
  <c r="AE50" i="173"/>
  <c r="AE154" i="173" s="1"/>
  <c r="AD50" i="173"/>
  <c r="AD154" i="173" s="1"/>
  <c r="AC50" i="173"/>
  <c r="AC154" i="173" s="1"/>
  <c r="AB50" i="173"/>
  <c r="AB154" i="173" s="1"/>
  <c r="AA50" i="173"/>
  <c r="AA154" i="173" s="1"/>
  <c r="Z50" i="173"/>
  <c r="Z154" i="173" s="1"/>
  <c r="Y50" i="173"/>
  <c r="Y154" i="173" s="1"/>
  <c r="V50" i="173"/>
  <c r="AJ46" i="173"/>
  <c r="AI46" i="173"/>
  <c r="AH46" i="173"/>
  <c r="AG46" i="173"/>
  <c r="AF46" i="173"/>
  <c r="AE46" i="173"/>
  <c r="AD46" i="173"/>
  <c r="AC46" i="173"/>
  <c r="AB46" i="173"/>
  <c r="AA46" i="173"/>
  <c r="Z46" i="173"/>
  <c r="Y46" i="173"/>
  <c r="AJ45" i="173"/>
  <c r="AI45" i="173"/>
  <c r="AH45" i="173"/>
  <c r="AG45" i="173"/>
  <c r="AF45" i="173"/>
  <c r="AE45" i="173"/>
  <c r="AD45" i="173"/>
  <c r="AC45" i="173"/>
  <c r="AB45" i="173"/>
  <c r="AA45" i="173"/>
  <c r="Z45" i="173"/>
  <c r="Y45" i="173"/>
  <c r="AJ44" i="173"/>
  <c r="AI44" i="173"/>
  <c r="AH44" i="173"/>
  <c r="AG44" i="173"/>
  <c r="AF44" i="173"/>
  <c r="AE44" i="173"/>
  <c r="AD44" i="173"/>
  <c r="AC44" i="173"/>
  <c r="AB44" i="173"/>
  <c r="AA44" i="173"/>
  <c r="Z44" i="173"/>
  <c r="Y44" i="173"/>
  <c r="V43" i="173"/>
  <c r="AK42" i="173"/>
  <c r="V42" i="173"/>
  <c r="AK41" i="173"/>
  <c r="V41" i="173"/>
  <c r="AK40" i="173"/>
  <c r="V40" i="173"/>
  <c r="AJ39" i="173"/>
  <c r="AI39" i="173"/>
  <c r="AH39" i="173"/>
  <c r="AG39" i="173"/>
  <c r="AF39" i="173"/>
  <c r="AE39" i="173"/>
  <c r="AD39" i="173"/>
  <c r="AC39" i="173"/>
  <c r="AB39" i="173"/>
  <c r="AA39" i="173"/>
  <c r="Z39" i="173"/>
  <c r="Y39" i="173"/>
  <c r="AK39" i="173" s="1"/>
  <c r="V39" i="173"/>
  <c r="W39" i="173" s="1"/>
  <c r="AJ36" i="173"/>
  <c r="AI36" i="173"/>
  <c r="AH36" i="173"/>
  <c r="AG36" i="173"/>
  <c r="AF36" i="173"/>
  <c r="AE36" i="173"/>
  <c r="AD36" i="173"/>
  <c r="AC36" i="173"/>
  <c r="AB36" i="173"/>
  <c r="AA36" i="173"/>
  <c r="Z36" i="173"/>
  <c r="Y36" i="173"/>
  <c r="AK36" i="173" s="1"/>
  <c r="V36" i="173"/>
  <c r="AJ35" i="173"/>
  <c r="AI35" i="173"/>
  <c r="AH35" i="173"/>
  <c r="AG35" i="173"/>
  <c r="AF35" i="173"/>
  <c r="AE35" i="173"/>
  <c r="AD35" i="173"/>
  <c r="AC35" i="173"/>
  <c r="AB35" i="173"/>
  <c r="AA35" i="173"/>
  <c r="Z35" i="173"/>
  <c r="Y35" i="173"/>
  <c r="AK35" i="173" s="1"/>
  <c r="V35" i="173"/>
  <c r="AJ34" i="173"/>
  <c r="AI34" i="173"/>
  <c r="AH34" i="173"/>
  <c r="AG34" i="173"/>
  <c r="AF34" i="173"/>
  <c r="AE34" i="173"/>
  <c r="AD34" i="173"/>
  <c r="AC34" i="173"/>
  <c r="AB34" i="173"/>
  <c r="AA34" i="173"/>
  <c r="Z34" i="173"/>
  <c r="Y34" i="173"/>
  <c r="AK34" i="173" s="1"/>
  <c r="V34" i="173"/>
  <c r="AK32" i="173"/>
  <c r="V32" i="173"/>
  <c r="AK25" i="173"/>
  <c r="V25" i="173"/>
  <c r="AK24" i="173"/>
  <c r="V24" i="173"/>
  <c r="AK23" i="173"/>
  <c r="V23" i="173"/>
  <c r="AK22" i="173"/>
  <c r="V22" i="173"/>
  <c r="AK21" i="173"/>
  <c r="V21" i="173"/>
  <c r="AK20" i="173"/>
  <c r="V20" i="173"/>
  <c r="AK19" i="173"/>
  <c r="V19" i="173"/>
  <c r="AK18" i="173"/>
  <c r="V18" i="173"/>
  <c r="AK17" i="173"/>
  <c r="V17" i="173"/>
  <c r="AK16" i="173"/>
  <c r="V16" i="173"/>
  <c r="AK15" i="173"/>
  <c r="V15" i="173"/>
  <c r="AK14" i="173"/>
  <c r="V14" i="173"/>
  <c r="AK13" i="173"/>
  <c r="V13" i="173"/>
  <c r="AJ12" i="173"/>
  <c r="AI12" i="173"/>
  <c r="AH12" i="173"/>
  <c r="AG12" i="173"/>
  <c r="AF12" i="173"/>
  <c r="AE12" i="173"/>
  <c r="AD12" i="173"/>
  <c r="AC12" i="173"/>
  <c r="AB12" i="173"/>
  <c r="AA12" i="173"/>
  <c r="Z12" i="173"/>
  <c r="Y12" i="173"/>
  <c r="AK12" i="173" s="1"/>
  <c r="V12" i="173"/>
  <c r="AK10" i="173"/>
  <c r="V10" i="173"/>
  <c r="AK9" i="173"/>
  <c r="V9" i="173"/>
  <c r="AK8" i="173"/>
  <c r="V8" i="173"/>
  <c r="AK7" i="173"/>
  <c r="V7" i="173"/>
  <c r="AJ6" i="173"/>
  <c r="AJ33" i="173" s="1"/>
  <c r="AI6" i="173"/>
  <c r="AI33" i="173" s="1"/>
  <c r="AH6" i="173"/>
  <c r="AH33" i="173" s="1"/>
  <c r="AG6" i="173"/>
  <c r="AG33" i="173" s="1"/>
  <c r="AF6" i="173"/>
  <c r="AF33" i="173" s="1"/>
  <c r="AE6" i="173"/>
  <c r="AE33" i="173" s="1"/>
  <c r="AD6" i="173"/>
  <c r="AD33" i="173" s="1"/>
  <c r="AC6" i="173"/>
  <c r="AC33" i="173" s="1"/>
  <c r="AB6" i="173"/>
  <c r="AB33" i="173" s="1"/>
  <c r="AA6" i="173"/>
  <c r="AA33" i="173" s="1"/>
  <c r="Z6" i="173"/>
  <c r="Z33" i="173" s="1"/>
  <c r="Y6" i="173"/>
  <c r="V6" i="173"/>
  <c r="R41" i="174" l="1"/>
  <c r="R45" i="124"/>
  <c r="R40" i="174"/>
  <c r="R44" i="124"/>
  <c r="S36" i="174"/>
  <c r="T36" i="124"/>
  <c r="S45" i="124"/>
  <c r="S35" i="174"/>
  <c r="T35" i="124"/>
  <c r="S44" i="124"/>
  <c r="S33" i="124"/>
  <c r="S43" i="124" s="1"/>
  <c r="S34" i="174"/>
  <c r="T34" i="124"/>
  <c r="Z91" i="68"/>
  <c r="Z92" i="68"/>
  <c r="Z93" i="68"/>
  <c r="Z94" i="68"/>
  <c r="Z95" i="68"/>
  <c r="Z96" i="68"/>
  <c r="Z97" i="68"/>
  <c r="Z98" i="68"/>
  <c r="Z99" i="68"/>
  <c r="Z100" i="68"/>
  <c r="Z101" i="68"/>
  <c r="Z102" i="68"/>
  <c r="Z103" i="68"/>
  <c r="Z104" i="68"/>
  <c r="Z105" i="68"/>
  <c r="Z107" i="68"/>
  <c r="Z108" i="68"/>
  <c r="Z109" i="68"/>
  <c r="Z110" i="68"/>
  <c r="W39" i="68"/>
  <c r="V43" i="68"/>
  <c r="W155" i="87"/>
  <c r="V157" i="87"/>
  <c r="W157" i="87" s="1"/>
  <c r="V156" i="87"/>
  <c r="W156" i="87" s="1"/>
  <c r="W158" i="87"/>
  <c r="V159" i="87"/>
  <c r="Z64" i="68"/>
  <c r="Z120" i="68"/>
  <c r="Z112" i="68"/>
  <c r="Z75" i="68"/>
  <c r="Z68" i="68"/>
  <c r="Z56" i="68"/>
  <c r="Z70" i="68"/>
  <c r="Z151" i="68"/>
  <c r="Z150" i="68"/>
  <c r="Z133" i="68"/>
  <c r="Z119" i="68"/>
  <c r="Z116" i="68"/>
  <c r="Z80" i="68"/>
  <c r="Z54" i="68"/>
  <c r="Z62" i="68"/>
  <c r="Z55" i="68"/>
  <c r="AK355" i="175"/>
  <c r="AM352" i="175"/>
  <c r="AL352" i="175"/>
  <c r="AM257" i="175"/>
  <c r="AL257" i="175"/>
  <c r="V89" i="124"/>
  <c r="J89" i="174"/>
  <c r="V88" i="124"/>
  <c r="J88" i="174"/>
  <c r="V87" i="124"/>
  <c r="J87" i="174"/>
  <c r="V86" i="124"/>
  <c r="J86" i="174"/>
  <c r="V85" i="124"/>
  <c r="J85" i="174"/>
  <c r="V84" i="124"/>
  <c r="J84" i="174"/>
  <c r="V83" i="124"/>
  <c r="J83" i="174"/>
  <c r="V82" i="124"/>
  <c r="J82" i="174"/>
  <c r="V81" i="124"/>
  <c r="J81" i="174"/>
  <c r="Y51" i="174"/>
  <c r="Y55" i="174"/>
  <c r="V6" i="68"/>
  <c r="W154" i="68" s="1"/>
  <c r="V12" i="68"/>
  <c r="V50" i="68"/>
  <c r="V90" i="68"/>
  <c r="V111" i="68"/>
  <c r="R88" i="174"/>
  <c r="V88" i="174"/>
  <c r="R87" i="174"/>
  <c r="V87" i="174"/>
  <c r="R86" i="174"/>
  <c r="V86" i="174"/>
  <c r="R85" i="174"/>
  <c r="V85" i="174"/>
  <c r="R84" i="174"/>
  <c r="V84" i="174"/>
  <c r="R83" i="174"/>
  <c r="V83" i="174"/>
  <c r="R82" i="174"/>
  <c r="V82" i="174"/>
  <c r="R81" i="174"/>
  <c r="V81" i="174"/>
  <c r="R79" i="174"/>
  <c r="V79" i="124"/>
  <c r="V79" i="174" s="1"/>
  <c r="R78" i="174"/>
  <c r="V78" i="124"/>
  <c r="V78" i="174" s="1"/>
  <c r="R77" i="174"/>
  <c r="V77" i="124"/>
  <c r="V77" i="174" s="1"/>
  <c r="R76" i="174"/>
  <c r="V76" i="124"/>
  <c r="R75" i="174"/>
  <c r="V75" i="124"/>
  <c r="V75" i="174" s="1"/>
  <c r="J80" i="174"/>
  <c r="V80" i="124"/>
  <c r="V80" i="174" s="1"/>
  <c r="V244" i="174"/>
  <c r="AM244" i="174" s="1"/>
  <c r="AM245" i="174"/>
  <c r="Y153" i="124"/>
  <c r="Y153" i="174" s="1"/>
  <c r="Y110" i="124"/>
  <c r="Y110" i="174" s="1"/>
  <c r="Y109" i="124"/>
  <c r="Y109" i="174" s="1"/>
  <c r="Y108" i="124"/>
  <c r="Y108" i="174" s="1"/>
  <c r="Y113" i="124"/>
  <c r="Y113" i="174" s="1"/>
  <c r="Y114" i="124"/>
  <c r="Y114" i="174" s="1"/>
  <c r="Y115" i="124"/>
  <c r="Y115" i="174" s="1"/>
  <c r="Y129" i="124"/>
  <c r="Y129" i="174" s="1"/>
  <c r="Y130" i="124"/>
  <c r="Y130" i="174" s="1"/>
  <c r="Y132" i="124"/>
  <c r="Y132" i="174" s="1"/>
  <c r="Y134" i="124"/>
  <c r="Y134" i="174" s="1"/>
  <c r="Y116" i="124"/>
  <c r="Y116" i="174" s="1"/>
  <c r="Y133" i="124"/>
  <c r="Y133" i="174" s="1"/>
  <c r="Y150" i="124"/>
  <c r="Y150" i="174" s="1"/>
  <c r="Y117" i="124"/>
  <c r="Y117" i="174" s="1"/>
  <c r="Y118" i="124"/>
  <c r="Y118" i="174" s="1"/>
  <c r="Y148" i="124"/>
  <c r="Y148" i="174" s="1"/>
  <c r="Y149" i="124"/>
  <c r="Y149" i="174" s="1"/>
  <c r="Y145" i="124"/>
  <c r="Y145" i="174" s="1"/>
  <c r="Y120" i="124"/>
  <c r="Y120" i="174" s="1"/>
  <c r="Y121" i="124"/>
  <c r="Y121" i="174" s="1"/>
  <c r="Y122" i="124"/>
  <c r="Y122" i="174" s="1"/>
  <c r="Y106" i="68"/>
  <c r="Y107" i="124"/>
  <c r="Y124" i="124"/>
  <c r="Y124" i="174" s="1"/>
  <c r="Y125" i="124"/>
  <c r="Y125" i="174" s="1"/>
  <c r="Y126" i="124"/>
  <c r="Y126" i="174" s="1"/>
  <c r="Y127" i="124"/>
  <c r="Y127" i="174" s="1"/>
  <c r="Y123" i="124"/>
  <c r="Y123" i="174" s="1"/>
  <c r="Y151" i="124"/>
  <c r="Y151" i="174" s="1"/>
  <c r="AJ212" i="174"/>
  <c r="AI212" i="174"/>
  <c r="Q257" i="174"/>
  <c r="R257" i="174"/>
  <c r="S257" i="174"/>
  <c r="T257" i="174"/>
  <c r="Y10" i="124"/>
  <c r="Y10" i="174" s="1"/>
  <c r="Y74" i="124"/>
  <c r="Y74" i="174" s="1"/>
  <c r="Y88" i="124"/>
  <c r="Y88" i="174" s="1"/>
  <c r="Y50" i="68"/>
  <c r="Y147" i="68"/>
  <c r="Y111" i="68"/>
  <c r="Y90" i="68"/>
  <c r="N257" i="174"/>
  <c r="N337" i="174" s="1"/>
  <c r="N340" i="174" s="1"/>
  <c r="O257" i="174"/>
  <c r="O259" i="174" s="1"/>
  <c r="P257" i="174"/>
  <c r="P337" i="174" s="1"/>
  <c r="P340" i="174" s="1"/>
  <c r="AK83" i="124"/>
  <c r="AM83" i="124" s="1"/>
  <c r="AK82" i="124"/>
  <c r="AM82" i="124" s="1"/>
  <c r="V23" i="124"/>
  <c r="V23" i="174" s="1"/>
  <c r="V28" i="124"/>
  <c r="V28" i="174" s="1"/>
  <c r="V31" i="124"/>
  <c r="V29" i="124"/>
  <c r="V29" i="174" s="1"/>
  <c r="V27" i="124"/>
  <c r="V27" i="174" s="1"/>
  <c r="V22" i="124"/>
  <c r="V22" i="174" s="1"/>
  <c r="V19" i="124"/>
  <c r="V19" i="174" s="1"/>
  <c r="V30" i="124"/>
  <c r="V30" i="174" s="1"/>
  <c r="V26" i="124"/>
  <c r="V26" i="174" s="1"/>
  <c r="V21" i="124"/>
  <c r="V21" i="174" s="1"/>
  <c r="V20" i="124"/>
  <c r="V20" i="174" s="1"/>
  <c r="V25" i="124"/>
  <c r="V25" i="174" s="1"/>
  <c r="V24" i="124"/>
  <c r="V24" i="174" s="1"/>
  <c r="V164" i="174"/>
  <c r="AM164" i="174" s="1"/>
  <c r="AM166" i="174"/>
  <c r="AM168" i="174"/>
  <c r="AM169" i="174"/>
  <c r="AM170" i="174"/>
  <c r="AM171" i="174"/>
  <c r="AM173" i="174"/>
  <c r="AM174" i="174"/>
  <c r="AM175" i="174"/>
  <c r="L251" i="174"/>
  <c r="L252" i="174" s="1"/>
  <c r="AM177" i="174"/>
  <c r="AM179" i="174"/>
  <c r="AM181" i="174"/>
  <c r="V183" i="174"/>
  <c r="AM183" i="174" s="1"/>
  <c r="AM185" i="174"/>
  <c r="AM187" i="174"/>
  <c r="V189" i="174"/>
  <c r="AM189" i="174" s="1"/>
  <c r="AM191" i="174"/>
  <c r="AM193" i="174"/>
  <c r="AM194" i="174"/>
  <c r="AM196" i="174"/>
  <c r="AM198" i="174"/>
  <c r="AM199" i="174"/>
  <c r="AM202" i="174"/>
  <c r="AM204" i="174"/>
  <c r="AM206" i="174"/>
  <c r="AM208" i="174"/>
  <c r="AM211" i="174"/>
  <c r="M251" i="174"/>
  <c r="M252" i="174" s="1"/>
  <c r="V213" i="174"/>
  <c r="AM213" i="174" s="1"/>
  <c r="V214" i="174"/>
  <c r="AM214" i="174" s="1"/>
  <c r="V215" i="174"/>
  <c r="AM215" i="174" s="1"/>
  <c r="V216" i="174"/>
  <c r="AM216" i="174" s="1"/>
  <c r="V217" i="174"/>
  <c r="AM217" i="174" s="1"/>
  <c r="V218" i="174"/>
  <c r="AM218" i="174" s="1"/>
  <c r="V219" i="174"/>
  <c r="AM219" i="174" s="1"/>
  <c r="V220" i="174"/>
  <c r="AM220" i="174" s="1"/>
  <c r="V221" i="174"/>
  <c r="AM221" i="174" s="1"/>
  <c r="V222" i="174"/>
  <c r="AM222" i="174" s="1"/>
  <c r="V223" i="174"/>
  <c r="AM223" i="174" s="1"/>
  <c r="V225" i="174"/>
  <c r="AM225" i="174" s="1"/>
  <c r="V226" i="174"/>
  <c r="AM226" i="174" s="1"/>
  <c r="V227" i="174"/>
  <c r="AM227" i="174" s="1"/>
  <c r="V228" i="174"/>
  <c r="AM228" i="174" s="1"/>
  <c r="U251" i="174"/>
  <c r="U252" i="174" s="1"/>
  <c r="K251" i="174"/>
  <c r="K252" i="174" s="1"/>
  <c r="V163" i="174"/>
  <c r="V162" i="174" s="1"/>
  <c r="AM165" i="174"/>
  <c r="AM167" i="174"/>
  <c r="AM172" i="174"/>
  <c r="AM176" i="174"/>
  <c r="AM178" i="174"/>
  <c r="AM180" i="174"/>
  <c r="AM182" i="174"/>
  <c r="AM184" i="174"/>
  <c r="AM186" i="174"/>
  <c r="AM188" i="174"/>
  <c r="AM190" i="174"/>
  <c r="AM192" i="174"/>
  <c r="AM195" i="174"/>
  <c r="AM197" i="174"/>
  <c r="AM200" i="174"/>
  <c r="AM201" i="174"/>
  <c r="AM203" i="174"/>
  <c r="AM205" i="174"/>
  <c r="AM207" i="174"/>
  <c r="AM209" i="174"/>
  <c r="AM210" i="174"/>
  <c r="V230" i="174"/>
  <c r="AM230" i="174" s="1"/>
  <c r="V231" i="174"/>
  <c r="AM231" i="174" s="1"/>
  <c r="V232" i="174"/>
  <c r="AM232" i="174" s="1"/>
  <c r="V233" i="174"/>
  <c r="AM233" i="174" s="1"/>
  <c r="V235" i="174"/>
  <c r="V236" i="174"/>
  <c r="AM236" i="174" s="1"/>
  <c r="V237" i="174"/>
  <c r="AM237" i="174" s="1"/>
  <c r="V238" i="174"/>
  <c r="AM238" i="174" s="1"/>
  <c r="V239" i="174"/>
  <c r="AM239" i="174" s="1"/>
  <c r="V240" i="174"/>
  <c r="AM240" i="174" s="1"/>
  <c r="V241" i="174"/>
  <c r="AM241" i="174" s="1"/>
  <c r="V242" i="174"/>
  <c r="AM242" i="174" s="1"/>
  <c r="V243" i="174"/>
  <c r="AM243" i="174" s="1"/>
  <c r="J244" i="174"/>
  <c r="J251" i="174" s="1"/>
  <c r="J252" i="174" s="1"/>
  <c r="V293" i="174"/>
  <c r="AM293" i="174" s="1"/>
  <c r="V294" i="174"/>
  <c r="AM294" i="174" s="1"/>
  <c r="V295" i="174"/>
  <c r="AM295" i="174" s="1"/>
  <c r="V296" i="174"/>
  <c r="AM296" i="174" s="1"/>
  <c r="V297" i="174"/>
  <c r="AM297" i="174" s="1"/>
  <c r="V298" i="174"/>
  <c r="AM298" i="174" s="1"/>
  <c r="V299" i="174"/>
  <c r="AM299" i="174" s="1"/>
  <c r="V300" i="174"/>
  <c r="AM300" i="174" s="1"/>
  <c r="V301" i="174"/>
  <c r="AM301" i="174" s="1"/>
  <c r="V302" i="174"/>
  <c r="AM302" i="174" s="1"/>
  <c r="V303" i="174"/>
  <c r="AM303" i="174" s="1"/>
  <c r="V304" i="174"/>
  <c r="AM304" i="174" s="1"/>
  <c r="V305" i="174"/>
  <c r="AM305" i="174" s="1"/>
  <c r="V306" i="174"/>
  <c r="AM306" i="174" s="1"/>
  <c r="V307" i="174"/>
  <c r="AM307" i="174" s="1"/>
  <c r="V308" i="174"/>
  <c r="AM308" i="174" s="1"/>
  <c r="V309" i="174"/>
  <c r="AM309" i="174" s="1"/>
  <c r="V310" i="174"/>
  <c r="AM310" i="174" s="1"/>
  <c r="V311" i="174"/>
  <c r="AM311" i="174" s="1"/>
  <c r="V312" i="174"/>
  <c r="AM312" i="174" s="1"/>
  <c r="Z53" i="68"/>
  <c r="Z153" i="68"/>
  <c r="Z74" i="68"/>
  <c r="Z65" i="68"/>
  <c r="Z134" i="68"/>
  <c r="Z132" i="68"/>
  <c r="Z130" i="68"/>
  <c r="Z129" i="68"/>
  <c r="Z127" i="68"/>
  <c r="Z126" i="68"/>
  <c r="Z125" i="68"/>
  <c r="Z124" i="68"/>
  <c r="Z123" i="68"/>
  <c r="Z122" i="68"/>
  <c r="Z121" i="68"/>
  <c r="Z118" i="68"/>
  <c r="Z117" i="68"/>
  <c r="Z115" i="68"/>
  <c r="Z114" i="68"/>
  <c r="Z113" i="68"/>
  <c r="Z81" i="68"/>
  <c r="Z10" i="68"/>
  <c r="Z76" i="68"/>
  <c r="Z88" i="68"/>
  <c r="Z77" i="68"/>
  <c r="Z57" i="68"/>
  <c r="Z52" i="68"/>
  <c r="Z78" i="68"/>
  <c r="Z149" i="68"/>
  <c r="Z148" i="68"/>
  <c r="AA1" i="68"/>
  <c r="AA51" i="68" s="1"/>
  <c r="W6" i="68"/>
  <c r="W34" i="68"/>
  <c r="W7" i="68"/>
  <c r="W35" i="68"/>
  <c r="W8" i="68"/>
  <c r="W36" i="68"/>
  <c r="W9" i="68"/>
  <c r="W10" i="68"/>
  <c r="Y29" i="68"/>
  <c r="Y29" i="124" s="1"/>
  <c r="Y29" i="174" s="1"/>
  <c r="W11" i="68"/>
  <c r="AM11" i="68"/>
  <c r="W12" i="68"/>
  <c r="W13" i="68"/>
  <c r="W14" i="68"/>
  <c r="W15" i="68"/>
  <c r="W16" i="68"/>
  <c r="AM16" i="68"/>
  <c r="W17" i="68"/>
  <c r="AM17" i="68"/>
  <c r="W18" i="68"/>
  <c r="AM18" i="68"/>
  <c r="W19" i="68"/>
  <c r="W20" i="68"/>
  <c r="W21" i="68"/>
  <c r="W22" i="68"/>
  <c r="W23" i="68"/>
  <c r="W24" i="68"/>
  <c r="W25" i="68"/>
  <c r="W26" i="68"/>
  <c r="AM26" i="68"/>
  <c r="W27" i="68"/>
  <c r="AM27" i="68"/>
  <c r="W28" i="68"/>
  <c r="AM28" i="68"/>
  <c r="W29" i="68"/>
  <c r="W30" i="68"/>
  <c r="AM30" i="68"/>
  <c r="W31" i="68"/>
  <c r="AM31" i="68"/>
  <c r="W32" i="68"/>
  <c r="AM32" i="68"/>
  <c r="W40" i="68"/>
  <c r="W41" i="68"/>
  <c r="W42" i="68"/>
  <c r="W44" i="68"/>
  <c r="W45" i="68"/>
  <c r="W46" i="68"/>
  <c r="W51" i="68"/>
  <c r="W52" i="68"/>
  <c r="W53" i="68"/>
  <c r="W54" i="68"/>
  <c r="W55" i="68"/>
  <c r="W56" i="68"/>
  <c r="W57" i="68"/>
  <c r="W58" i="68"/>
  <c r="W59" i="68"/>
  <c r="AM59" i="68"/>
  <c r="W60" i="68"/>
  <c r="AM60" i="68"/>
  <c r="W61" i="68"/>
  <c r="AM61" i="68"/>
  <c r="W62" i="68"/>
  <c r="W63" i="68"/>
  <c r="W64" i="68"/>
  <c r="W65" i="68"/>
  <c r="W66" i="68"/>
  <c r="W67" i="68"/>
  <c r="AM67" i="68"/>
  <c r="W68" i="68"/>
  <c r="W69" i="68"/>
  <c r="W70" i="68"/>
  <c r="W71" i="68"/>
  <c r="W72" i="68"/>
  <c r="AM72" i="68"/>
  <c r="W73" i="68"/>
  <c r="AM73" i="68"/>
  <c r="W74" i="68"/>
  <c r="W75" i="68"/>
  <c r="W76" i="68"/>
  <c r="W77" i="68"/>
  <c r="W78" i="68"/>
  <c r="W79" i="68"/>
  <c r="W80" i="68"/>
  <c r="W81" i="68"/>
  <c r="W82" i="68"/>
  <c r="AM82" i="68"/>
  <c r="W83" i="68"/>
  <c r="AM83" i="68"/>
  <c r="W84" i="68"/>
  <c r="AM84" i="68"/>
  <c r="W85" i="68"/>
  <c r="W86" i="68"/>
  <c r="W87" i="68"/>
  <c r="W88" i="68"/>
  <c r="W89" i="68"/>
  <c r="AM89" i="68"/>
  <c r="W90" i="68"/>
  <c r="W91" i="68"/>
  <c r="W92" i="68"/>
  <c r="W93" i="68"/>
  <c r="W94" i="68"/>
  <c r="W95" i="68"/>
  <c r="W96" i="68"/>
  <c r="W97" i="68"/>
  <c r="W98" i="68"/>
  <c r="W99" i="68"/>
  <c r="W100" i="68"/>
  <c r="W101" i="68"/>
  <c r="W102" i="68"/>
  <c r="W103" i="68"/>
  <c r="W104" i="68"/>
  <c r="W105" i="68"/>
  <c r="W106" i="68"/>
  <c r="W107" i="68"/>
  <c r="W108" i="68"/>
  <c r="W109" i="68"/>
  <c r="W110" i="68"/>
  <c r="W111" i="68"/>
  <c r="W112" i="68"/>
  <c r="W113" i="68"/>
  <c r="W114" i="68"/>
  <c r="W115" i="68"/>
  <c r="W116" i="68"/>
  <c r="W117" i="68"/>
  <c r="W118" i="68"/>
  <c r="W119" i="68"/>
  <c r="W120" i="68"/>
  <c r="W121" i="68"/>
  <c r="AM131" i="68"/>
  <c r="W134" i="68"/>
  <c r="W135" i="68"/>
  <c r="AM135" i="68"/>
  <c r="W136" i="68"/>
  <c r="AM136" i="68"/>
  <c r="W137" i="68"/>
  <c r="W138" i="68"/>
  <c r="W139" i="68"/>
  <c r="W140" i="68"/>
  <c r="AM140" i="68"/>
  <c r="W141" i="68"/>
  <c r="W142" i="68"/>
  <c r="W143" i="68"/>
  <c r="AM143" i="68"/>
  <c r="W144" i="68"/>
  <c r="AM144" i="68"/>
  <c r="W145" i="68"/>
  <c r="W147" i="68"/>
  <c r="W148" i="68"/>
  <c r="W149" i="68"/>
  <c r="W150" i="68"/>
  <c r="W151" i="68"/>
  <c r="W152" i="68"/>
  <c r="W153" i="68"/>
  <c r="J53" i="124"/>
  <c r="J53" i="174" s="1"/>
  <c r="K53" i="124"/>
  <c r="K53" i="174" s="1"/>
  <c r="L53" i="124"/>
  <c r="L53" i="174" s="1"/>
  <c r="M53" i="124"/>
  <c r="M53" i="174" s="1"/>
  <c r="N53" i="124"/>
  <c r="N53" i="174" s="1"/>
  <c r="O53" i="124"/>
  <c r="O53" i="174" s="1"/>
  <c r="P53" i="124"/>
  <c r="P53" i="174" s="1"/>
  <c r="Q53" i="124"/>
  <c r="Q53" i="174" s="1"/>
  <c r="R53" i="124"/>
  <c r="R53" i="174" s="1"/>
  <c r="S53" i="124"/>
  <c r="S53" i="174" s="1"/>
  <c r="T53" i="124"/>
  <c r="T53" i="174" s="1"/>
  <c r="U53" i="174"/>
  <c r="J54" i="124"/>
  <c r="J54" i="174" s="1"/>
  <c r="K54" i="124"/>
  <c r="K54" i="174" s="1"/>
  <c r="L54" i="124"/>
  <c r="L54" i="174" s="1"/>
  <c r="M54" i="124"/>
  <c r="M54" i="174" s="1"/>
  <c r="N54" i="124"/>
  <c r="N54" i="174" s="1"/>
  <c r="O54" i="124"/>
  <c r="O54" i="174" s="1"/>
  <c r="P54" i="124"/>
  <c r="P54" i="174" s="1"/>
  <c r="Q54" i="124"/>
  <c r="Q54" i="174" s="1"/>
  <c r="R54" i="124"/>
  <c r="R54" i="174" s="1"/>
  <c r="S54" i="124"/>
  <c r="S54" i="174" s="1"/>
  <c r="T54" i="124"/>
  <c r="T54" i="174" s="1"/>
  <c r="U54" i="124"/>
  <c r="U54" i="174" s="1"/>
  <c r="J55" i="124"/>
  <c r="J55" i="174" s="1"/>
  <c r="K55" i="124"/>
  <c r="K55" i="174" s="1"/>
  <c r="L55" i="124"/>
  <c r="L55" i="174" s="1"/>
  <c r="M55" i="124"/>
  <c r="M55" i="174" s="1"/>
  <c r="N55" i="124"/>
  <c r="N55" i="174" s="1"/>
  <c r="O55" i="124"/>
  <c r="O55" i="174" s="1"/>
  <c r="P55" i="124"/>
  <c r="P55" i="174" s="1"/>
  <c r="Q55" i="124"/>
  <c r="Q55" i="174" s="1"/>
  <c r="R55" i="124"/>
  <c r="R55" i="174" s="1"/>
  <c r="J56" i="124"/>
  <c r="J56" i="174" s="1"/>
  <c r="K56" i="124"/>
  <c r="K56" i="174" s="1"/>
  <c r="L56" i="124"/>
  <c r="L56" i="174" s="1"/>
  <c r="M56" i="124"/>
  <c r="M56" i="174" s="1"/>
  <c r="N56" i="124"/>
  <c r="N56" i="174" s="1"/>
  <c r="O56" i="124"/>
  <c r="O56" i="174" s="1"/>
  <c r="P56" i="124"/>
  <c r="P56" i="174" s="1"/>
  <c r="Q56" i="124"/>
  <c r="Q56" i="174" s="1"/>
  <c r="R56" i="124"/>
  <c r="R56" i="174" s="1"/>
  <c r="S56" i="124"/>
  <c r="S56" i="174" s="1"/>
  <c r="T56" i="124"/>
  <c r="T56" i="174" s="1"/>
  <c r="U56" i="124"/>
  <c r="U56" i="174" s="1"/>
  <c r="K60" i="124"/>
  <c r="K60" i="174" s="1"/>
  <c r="L60" i="124"/>
  <c r="L60" i="174" s="1"/>
  <c r="M60" i="124"/>
  <c r="M60" i="174" s="1"/>
  <c r="N60" i="124"/>
  <c r="N60" i="174" s="1"/>
  <c r="O60" i="124"/>
  <c r="O60" i="174" s="1"/>
  <c r="P60" i="124"/>
  <c r="P60" i="174" s="1"/>
  <c r="Q60" i="124"/>
  <c r="Q60" i="174" s="1"/>
  <c r="R60" i="124"/>
  <c r="R60" i="174" s="1"/>
  <c r="S60" i="124"/>
  <c r="S60" i="174" s="1"/>
  <c r="T60" i="124"/>
  <c r="T60" i="174" s="1"/>
  <c r="U60" i="124"/>
  <c r="U60" i="174" s="1"/>
  <c r="J60" i="124"/>
  <c r="J60" i="174" s="1"/>
  <c r="K42" i="124"/>
  <c r="K42" i="174" s="1"/>
  <c r="L42" i="124"/>
  <c r="L42" i="174" s="1"/>
  <c r="M42" i="124"/>
  <c r="M42" i="174" s="1"/>
  <c r="N42" i="124"/>
  <c r="N42" i="174" s="1"/>
  <c r="O42" i="124"/>
  <c r="O42" i="174" s="1"/>
  <c r="P42" i="124"/>
  <c r="P42" i="174" s="1"/>
  <c r="Q42" i="124"/>
  <c r="Q42" i="174" s="1"/>
  <c r="R42" i="124"/>
  <c r="S42" i="124"/>
  <c r="T42" i="124"/>
  <c r="T42" i="174" s="1"/>
  <c r="U42" i="124"/>
  <c r="U42" i="174" s="1"/>
  <c r="Y256" i="174"/>
  <c r="J257" i="174"/>
  <c r="N258" i="174"/>
  <c r="Q337" i="174"/>
  <c r="Q340" i="174" s="1"/>
  <c r="Q259" i="174"/>
  <c r="R337" i="174"/>
  <c r="R340" i="174" s="1"/>
  <c r="R259" i="174"/>
  <c r="R260" i="174" s="1"/>
  <c r="R258" i="174"/>
  <c r="S337" i="174"/>
  <c r="S340" i="174" s="1"/>
  <c r="S259" i="174"/>
  <c r="S260" i="174" s="1"/>
  <c r="S258" i="174"/>
  <c r="T337" i="174"/>
  <c r="T340" i="174" s="1"/>
  <c r="T259" i="174"/>
  <c r="V33" i="173"/>
  <c r="W6" i="173"/>
  <c r="Y33" i="173"/>
  <c r="AK6" i="173"/>
  <c r="Z157" i="173"/>
  <c r="Z43" i="173"/>
  <c r="AA157" i="173"/>
  <c r="AA43" i="173"/>
  <c r="AB157" i="173"/>
  <c r="AB43" i="173"/>
  <c r="AC157" i="173"/>
  <c r="AC43" i="173"/>
  <c r="AD157" i="173"/>
  <c r="AD43" i="173"/>
  <c r="AE157" i="173"/>
  <c r="AE43" i="173"/>
  <c r="AF157" i="173"/>
  <c r="AF43" i="173"/>
  <c r="AG157" i="173"/>
  <c r="AG43" i="173"/>
  <c r="AH157" i="173"/>
  <c r="AH43" i="173"/>
  <c r="AI157" i="173"/>
  <c r="AI43" i="173"/>
  <c r="AJ157" i="173"/>
  <c r="AJ43" i="173"/>
  <c r="V44" i="173"/>
  <c r="W7" i="173"/>
  <c r="AK44" i="173"/>
  <c r="AM44" i="173" s="1"/>
  <c r="AM7" i="173"/>
  <c r="AL7" i="173"/>
  <c r="V45" i="173"/>
  <c r="W8" i="173"/>
  <c r="AK45" i="173"/>
  <c r="AM45" i="173" s="1"/>
  <c r="AM8" i="173"/>
  <c r="AL8" i="173"/>
  <c r="V46" i="173"/>
  <c r="W9" i="173"/>
  <c r="AK46" i="173"/>
  <c r="AM46" i="173" s="1"/>
  <c r="AM9" i="173"/>
  <c r="AL9" i="173"/>
  <c r="W10" i="173"/>
  <c r="AM10" i="173"/>
  <c r="AL10" i="173"/>
  <c r="W12" i="173"/>
  <c r="AM12" i="173"/>
  <c r="AL12" i="173"/>
  <c r="W13" i="173"/>
  <c r="AM13" i="173"/>
  <c r="AL13" i="173"/>
  <c r="W14" i="173"/>
  <c r="AM14" i="173"/>
  <c r="AL14" i="173"/>
  <c r="W15" i="173"/>
  <c r="AM15" i="173"/>
  <c r="AL15" i="173"/>
  <c r="W16" i="173"/>
  <c r="AM16" i="173"/>
  <c r="AL16" i="173"/>
  <c r="W17" i="173"/>
  <c r="AM17" i="173"/>
  <c r="AL17" i="173"/>
  <c r="W18" i="173"/>
  <c r="AM18" i="173"/>
  <c r="AL18" i="173"/>
  <c r="W19" i="173"/>
  <c r="AM19" i="173"/>
  <c r="AL19" i="173"/>
  <c r="W20" i="173"/>
  <c r="AM20" i="173"/>
  <c r="AL20" i="173"/>
  <c r="W21" i="173"/>
  <c r="AM21" i="173"/>
  <c r="AL21" i="173"/>
  <c r="W22" i="173"/>
  <c r="AM22" i="173"/>
  <c r="AL22" i="173"/>
  <c r="W23" i="173"/>
  <c r="AM23" i="173"/>
  <c r="AL23" i="173"/>
  <c r="W24" i="173"/>
  <c r="AM24" i="173"/>
  <c r="AL24" i="173"/>
  <c r="W25" i="173"/>
  <c r="AM25" i="173"/>
  <c r="AL25" i="173"/>
  <c r="W32" i="173"/>
  <c r="AM32" i="173"/>
  <c r="AL32" i="173"/>
  <c r="AM34" i="173"/>
  <c r="AM35" i="173"/>
  <c r="AM36" i="173"/>
  <c r="AM39" i="173"/>
  <c r="AL39" i="173"/>
  <c r="W40" i="173"/>
  <c r="AM40" i="173"/>
  <c r="AL40" i="173"/>
  <c r="W41" i="173"/>
  <c r="AM41" i="173"/>
  <c r="AL41" i="173"/>
  <c r="W42" i="173"/>
  <c r="AM42" i="173"/>
  <c r="AL42" i="173"/>
  <c r="V154" i="173"/>
  <c r="W50" i="173"/>
  <c r="Y156" i="173"/>
  <c r="Z156" i="173"/>
  <c r="AA156" i="173"/>
  <c r="AB156" i="173"/>
  <c r="AC156" i="173"/>
  <c r="AD156" i="173"/>
  <c r="AE156" i="173"/>
  <c r="AF156" i="173"/>
  <c r="AG156" i="173"/>
  <c r="AH156" i="173"/>
  <c r="AI156" i="173"/>
  <c r="AJ156" i="173"/>
  <c r="AK154" i="173"/>
  <c r="AM50" i="173"/>
  <c r="AL50" i="173"/>
  <c r="W51" i="173"/>
  <c r="AM51" i="173"/>
  <c r="AL51" i="173"/>
  <c r="W52" i="173"/>
  <c r="AM52" i="173"/>
  <c r="AL52" i="173"/>
  <c r="W53" i="173"/>
  <c r="AM53" i="173"/>
  <c r="AL53" i="173"/>
  <c r="W54" i="173"/>
  <c r="AM54" i="173"/>
  <c r="AL54" i="173"/>
  <c r="W55" i="173"/>
  <c r="AM55" i="173"/>
  <c r="AL55" i="173"/>
  <c r="W56" i="173"/>
  <c r="AM56" i="173"/>
  <c r="AL56" i="173"/>
  <c r="W57" i="173"/>
  <c r="AM57" i="173"/>
  <c r="AL57" i="173"/>
  <c r="W58" i="173"/>
  <c r="AM58" i="173"/>
  <c r="AL58" i="173"/>
  <c r="W59" i="173"/>
  <c r="AM59" i="173"/>
  <c r="AL59" i="173"/>
  <c r="W60" i="173"/>
  <c r="AM60" i="173"/>
  <c r="AL60" i="173"/>
  <c r="W61" i="173"/>
  <c r="AM61" i="173"/>
  <c r="AL61" i="173"/>
  <c r="W62" i="173"/>
  <c r="AM62" i="173"/>
  <c r="AL62" i="173"/>
  <c r="W63" i="173"/>
  <c r="AM63" i="173"/>
  <c r="AL63" i="173"/>
  <c r="W64" i="173"/>
  <c r="AM64" i="173"/>
  <c r="AL64" i="173"/>
  <c r="W65" i="173"/>
  <c r="AM65" i="173"/>
  <c r="AL65" i="173"/>
  <c r="W66" i="173"/>
  <c r="AM66" i="173"/>
  <c r="AL66" i="173"/>
  <c r="W67" i="173"/>
  <c r="AM67" i="173"/>
  <c r="AL67" i="173"/>
  <c r="W68" i="173"/>
  <c r="AM68" i="173"/>
  <c r="AL68" i="173"/>
  <c r="W69" i="173"/>
  <c r="AM69" i="173"/>
  <c r="AL69" i="173"/>
  <c r="W70" i="173"/>
  <c r="AM70" i="173"/>
  <c r="AL70" i="173"/>
  <c r="W71" i="173"/>
  <c r="AM71" i="173"/>
  <c r="AL71" i="173"/>
  <c r="W72" i="173"/>
  <c r="AM72" i="173"/>
  <c r="AL72" i="173"/>
  <c r="W73" i="173"/>
  <c r="AM73" i="173"/>
  <c r="AL73" i="173"/>
  <c r="W90" i="173"/>
  <c r="AM90" i="173"/>
  <c r="AL90" i="173"/>
  <c r="W91" i="173"/>
  <c r="AM91" i="173"/>
  <c r="AL91" i="173"/>
  <c r="W92" i="173"/>
  <c r="AM92" i="173"/>
  <c r="AL92" i="173"/>
  <c r="W93" i="173"/>
  <c r="AM93" i="173"/>
  <c r="AL93" i="173"/>
  <c r="W94" i="173"/>
  <c r="AM94" i="173"/>
  <c r="AL94" i="173"/>
  <c r="W95" i="173"/>
  <c r="AM95" i="173"/>
  <c r="AL95" i="173"/>
  <c r="W96" i="173"/>
  <c r="AM96" i="173"/>
  <c r="AL96" i="173"/>
  <c r="W97" i="173"/>
  <c r="AM97" i="173"/>
  <c r="AL97" i="173"/>
  <c r="W98" i="173"/>
  <c r="AM98" i="173"/>
  <c r="AL98" i="173"/>
  <c r="W99" i="173"/>
  <c r="AM99" i="173"/>
  <c r="AL99" i="173"/>
  <c r="W100" i="173"/>
  <c r="AM100" i="173"/>
  <c r="AL100" i="173"/>
  <c r="W101" i="173"/>
  <c r="AM101" i="173"/>
  <c r="AL101" i="173"/>
  <c r="W102" i="173"/>
  <c r="AM102" i="173"/>
  <c r="AL102" i="173"/>
  <c r="W103" i="173"/>
  <c r="AM103" i="173"/>
  <c r="AL103" i="173"/>
  <c r="W104" i="173"/>
  <c r="AM104" i="173"/>
  <c r="AL104" i="173"/>
  <c r="W105" i="173"/>
  <c r="AM105" i="173"/>
  <c r="AL105" i="173"/>
  <c r="W106" i="173"/>
  <c r="AM106" i="173"/>
  <c r="AL106" i="173"/>
  <c r="W107" i="173"/>
  <c r="AM107" i="173"/>
  <c r="AL107" i="173"/>
  <c r="W108" i="173"/>
  <c r="AM108" i="173"/>
  <c r="AL108" i="173"/>
  <c r="W109" i="173"/>
  <c r="AM109" i="173"/>
  <c r="AL109" i="173"/>
  <c r="W110" i="173"/>
  <c r="AM110" i="173"/>
  <c r="AL110" i="173"/>
  <c r="W111" i="173"/>
  <c r="AM111" i="173"/>
  <c r="AL111" i="173"/>
  <c r="W112" i="173"/>
  <c r="AM112" i="173"/>
  <c r="AL112" i="173"/>
  <c r="W113" i="173"/>
  <c r="AM113" i="173"/>
  <c r="AL113" i="173"/>
  <c r="W114" i="173"/>
  <c r="AM114" i="173"/>
  <c r="AL114" i="173"/>
  <c r="W147" i="173"/>
  <c r="AM147" i="173"/>
  <c r="AL147" i="173"/>
  <c r="W148" i="173"/>
  <c r="AM148" i="173"/>
  <c r="AL148" i="173"/>
  <c r="W149" i="173"/>
  <c r="AM149" i="173"/>
  <c r="AL149" i="173"/>
  <c r="W150" i="173"/>
  <c r="AM150" i="173"/>
  <c r="AL150" i="173"/>
  <c r="W151" i="173"/>
  <c r="AM151" i="173"/>
  <c r="AL151" i="173"/>
  <c r="W152" i="173"/>
  <c r="AM152" i="173"/>
  <c r="AL152" i="173"/>
  <c r="V155" i="173"/>
  <c r="W155" i="173" s="1"/>
  <c r="W153" i="173"/>
  <c r="AK155" i="173"/>
  <c r="AM153" i="173"/>
  <c r="AL153" i="173"/>
  <c r="V250" i="173"/>
  <c r="W161" i="173"/>
  <c r="W162" i="173"/>
  <c r="W163" i="173"/>
  <c r="AM163" i="173"/>
  <c r="AL163" i="173"/>
  <c r="W164" i="173"/>
  <c r="AM164" i="173"/>
  <c r="AL164" i="173"/>
  <c r="W165" i="173"/>
  <c r="AM165" i="173"/>
  <c r="AL165" i="173"/>
  <c r="W166" i="173"/>
  <c r="AM166" i="173"/>
  <c r="AL166" i="173"/>
  <c r="W167" i="173"/>
  <c r="AM167" i="173"/>
  <c r="AL167" i="173"/>
  <c r="W168" i="173"/>
  <c r="AM168" i="173"/>
  <c r="AL168" i="173"/>
  <c r="W169" i="173"/>
  <c r="AM169" i="173"/>
  <c r="AL169" i="173"/>
  <c r="W170" i="173"/>
  <c r="AM170" i="173"/>
  <c r="AL170" i="173"/>
  <c r="W171" i="173"/>
  <c r="AM171" i="173"/>
  <c r="AL171" i="173"/>
  <c r="W172" i="173"/>
  <c r="AM172" i="173"/>
  <c r="AL172" i="173"/>
  <c r="W173" i="173"/>
  <c r="AM173" i="173"/>
  <c r="AL173" i="173"/>
  <c r="W174" i="173"/>
  <c r="AM174" i="173"/>
  <c r="AL174" i="173"/>
  <c r="W175" i="173"/>
  <c r="AM175" i="173"/>
  <c r="AL175" i="173"/>
  <c r="W176" i="173"/>
  <c r="AM176" i="173"/>
  <c r="AL176" i="173"/>
  <c r="W177" i="173"/>
  <c r="AM177" i="173"/>
  <c r="AL177" i="173"/>
  <c r="W178" i="173"/>
  <c r="AM178" i="173"/>
  <c r="AL178" i="173"/>
  <c r="W179" i="173"/>
  <c r="AM179" i="173"/>
  <c r="AL179" i="173"/>
  <c r="W180" i="173"/>
  <c r="AM180" i="173"/>
  <c r="AL180" i="173"/>
  <c r="W181" i="173"/>
  <c r="AM181" i="173"/>
  <c r="AL181" i="173"/>
  <c r="W182" i="173"/>
  <c r="AM182" i="173"/>
  <c r="AL182" i="173"/>
  <c r="W183" i="173"/>
  <c r="AM183" i="173"/>
  <c r="AL183" i="173"/>
  <c r="W184" i="173"/>
  <c r="AM184" i="173"/>
  <c r="AL184" i="173"/>
  <c r="W185" i="173"/>
  <c r="AM185" i="173"/>
  <c r="AL185" i="173"/>
  <c r="W186" i="173"/>
  <c r="AM186" i="173"/>
  <c r="AL186" i="173"/>
  <c r="W187" i="173"/>
  <c r="AM187" i="173"/>
  <c r="AL187" i="173"/>
  <c r="W188" i="173"/>
  <c r="AM188" i="173"/>
  <c r="AL188" i="173"/>
  <c r="W189" i="173"/>
  <c r="AM189" i="173"/>
  <c r="AL189" i="173"/>
  <c r="W190" i="173"/>
  <c r="AM190" i="173"/>
  <c r="AL190" i="173"/>
  <c r="W191" i="173"/>
  <c r="AM191" i="173"/>
  <c r="AL191" i="173"/>
  <c r="W192" i="173"/>
  <c r="AM192" i="173"/>
  <c r="AL192" i="173"/>
  <c r="W193" i="173"/>
  <c r="AM193" i="173"/>
  <c r="AL193" i="173"/>
  <c r="W194" i="173"/>
  <c r="AM194" i="173"/>
  <c r="AL194" i="173"/>
  <c r="W195" i="173"/>
  <c r="AM195" i="173"/>
  <c r="AL195" i="173"/>
  <c r="W196" i="173"/>
  <c r="AM196" i="173"/>
  <c r="AL196" i="173"/>
  <c r="W197" i="173"/>
  <c r="AM197" i="173"/>
  <c r="AL197" i="173"/>
  <c r="W198" i="173"/>
  <c r="AM198" i="173"/>
  <c r="AL198" i="173"/>
  <c r="W199" i="173"/>
  <c r="AM199" i="173"/>
  <c r="AL199" i="173"/>
  <c r="W200" i="173"/>
  <c r="AM200" i="173"/>
  <c r="AL200" i="173"/>
  <c r="W201" i="173"/>
  <c r="AM201" i="173"/>
  <c r="AL201" i="173"/>
  <c r="W202" i="173"/>
  <c r="AM202" i="173"/>
  <c r="AL202" i="173"/>
  <c r="W203" i="173"/>
  <c r="AM203" i="173"/>
  <c r="AL203" i="173"/>
  <c r="W204" i="173"/>
  <c r="AM204" i="173"/>
  <c r="AL204" i="173"/>
  <c r="W205" i="173"/>
  <c r="AM205" i="173"/>
  <c r="AL205" i="173"/>
  <c r="W206" i="173"/>
  <c r="AM206" i="173"/>
  <c r="AL206" i="173"/>
  <c r="W207" i="173"/>
  <c r="AM207" i="173"/>
  <c r="AL207" i="173"/>
  <c r="W208" i="173"/>
  <c r="AM208" i="173"/>
  <c r="AL208" i="173"/>
  <c r="W209" i="173"/>
  <c r="AM209" i="173"/>
  <c r="AL209" i="173"/>
  <c r="W210" i="173"/>
  <c r="AM210" i="173"/>
  <c r="AL210" i="173"/>
  <c r="W211" i="173"/>
  <c r="AM211" i="173"/>
  <c r="AL211" i="173"/>
  <c r="W212" i="173"/>
  <c r="AM212" i="173"/>
  <c r="AL212" i="173"/>
  <c r="W213" i="173"/>
  <c r="AM213" i="173"/>
  <c r="AL213" i="173"/>
  <c r="W214" i="173"/>
  <c r="AM214" i="173"/>
  <c r="AL214" i="173"/>
  <c r="W215" i="173"/>
  <c r="AM215" i="173"/>
  <c r="AL215" i="173"/>
  <c r="W216" i="173"/>
  <c r="AM216" i="173"/>
  <c r="AL216" i="173"/>
  <c r="W217" i="173"/>
  <c r="AM217" i="173"/>
  <c r="AL217" i="173"/>
  <c r="W218" i="173"/>
  <c r="AM218" i="173"/>
  <c r="AL218" i="173"/>
  <c r="W219" i="173"/>
  <c r="AM219" i="173"/>
  <c r="AL219" i="173"/>
  <c r="W220" i="173"/>
  <c r="AM220" i="173"/>
  <c r="AL220" i="173"/>
  <c r="W221" i="173"/>
  <c r="AM221" i="173"/>
  <c r="AL221" i="173"/>
  <c r="W222" i="173"/>
  <c r="AM222" i="173"/>
  <c r="AL222" i="173"/>
  <c r="W223" i="173"/>
  <c r="AM223" i="173"/>
  <c r="AL223" i="173"/>
  <c r="W224" i="173"/>
  <c r="AM224" i="173"/>
  <c r="AL224" i="173"/>
  <c r="W225" i="173"/>
  <c r="AM225" i="173"/>
  <c r="AL225" i="173"/>
  <c r="W226" i="173"/>
  <c r="AM226" i="173"/>
  <c r="AL226" i="173"/>
  <c r="W227" i="173"/>
  <c r="AM227" i="173"/>
  <c r="AL227" i="173"/>
  <c r="W228" i="173"/>
  <c r="AM228" i="173"/>
  <c r="AL228" i="173"/>
  <c r="W229" i="173"/>
  <c r="AM229" i="173"/>
  <c r="AL229" i="173"/>
  <c r="W230" i="173"/>
  <c r="AM230" i="173"/>
  <c r="AL230" i="173"/>
  <c r="W231" i="173"/>
  <c r="AM231" i="173"/>
  <c r="AL231" i="173"/>
  <c r="W232" i="173"/>
  <c r="AM232" i="173"/>
  <c r="AL232" i="173"/>
  <c r="W233" i="173"/>
  <c r="AM233" i="173"/>
  <c r="AL233" i="173"/>
  <c r="W234" i="173"/>
  <c r="AM234" i="173"/>
  <c r="AL234" i="173"/>
  <c r="W235" i="173"/>
  <c r="AM235" i="173"/>
  <c r="AL235" i="173"/>
  <c r="W236" i="173"/>
  <c r="AM236" i="173"/>
  <c r="AL236" i="173"/>
  <c r="W237" i="173"/>
  <c r="AM237" i="173"/>
  <c r="AL237" i="173"/>
  <c r="W238" i="173"/>
  <c r="AM238" i="173"/>
  <c r="AL238" i="173"/>
  <c r="W239" i="173"/>
  <c r="AM239" i="173"/>
  <c r="AL239" i="173"/>
  <c r="W240" i="173"/>
  <c r="AM240" i="173"/>
  <c r="AL240" i="173"/>
  <c r="W241" i="173"/>
  <c r="AM241" i="173"/>
  <c r="AL241" i="173"/>
  <c r="W242" i="173"/>
  <c r="AM242" i="173"/>
  <c r="AL242" i="173"/>
  <c r="W243" i="173"/>
  <c r="AM243" i="173"/>
  <c r="AL243" i="173"/>
  <c r="W244" i="173"/>
  <c r="AM244" i="173"/>
  <c r="AL244" i="173"/>
  <c r="W245" i="173"/>
  <c r="AM245" i="173"/>
  <c r="AL245" i="173"/>
  <c r="W246" i="173"/>
  <c r="AM246" i="173"/>
  <c r="AL246" i="173"/>
  <c r="W247" i="173"/>
  <c r="AM247" i="173"/>
  <c r="AL247" i="173"/>
  <c r="W248" i="173"/>
  <c r="AM248" i="173"/>
  <c r="AL248" i="173"/>
  <c r="W249" i="173"/>
  <c r="AM249" i="173"/>
  <c r="AL249" i="173"/>
  <c r="W260" i="173"/>
  <c r="AM260" i="173"/>
  <c r="AL260" i="173"/>
  <c r="W261" i="173"/>
  <c r="AM261" i="173"/>
  <c r="AL261" i="173"/>
  <c r="W265" i="173"/>
  <c r="AM265" i="173"/>
  <c r="AL265" i="173"/>
  <c r="W267" i="173"/>
  <c r="AM267" i="173"/>
  <c r="AL267" i="173"/>
  <c r="W275" i="173"/>
  <c r="AM275" i="173"/>
  <c r="AL275" i="173"/>
  <c r="W276" i="173"/>
  <c r="AM276" i="173"/>
  <c r="AL276" i="173"/>
  <c r="W277" i="173"/>
  <c r="AM277" i="173"/>
  <c r="AL277" i="173"/>
  <c r="W278" i="173"/>
  <c r="AM278" i="173"/>
  <c r="AL278" i="173"/>
  <c r="W280" i="173"/>
  <c r="AM280" i="173"/>
  <c r="AL280" i="173"/>
  <c r="W282" i="173"/>
  <c r="AM282" i="173"/>
  <c r="AL282" i="173"/>
  <c r="W283" i="173"/>
  <c r="AM283" i="173"/>
  <c r="AL283" i="173"/>
  <c r="W284" i="173"/>
  <c r="AM284" i="173"/>
  <c r="AL284" i="173"/>
  <c r="W285" i="173"/>
  <c r="AM285" i="173"/>
  <c r="AL285" i="173"/>
  <c r="W286" i="173"/>
  <c r="AM286" i="173"/>
  <c r="AL286" i="173"/>
  <c r="W287" i="173"/>
  <c r="AM287" i="173"/>
  <c r="AL287" i="173"/>
  <c r="W288" i="173"/>
  <c r="AM288" i="173"/>
  <c r="AL288" i="173"/>
  <c r="W294" i="173"/>
  <c r="AM294" i="173"/>
  <c r="AL294" i="173"/>
  <c r="W295" i="173"/>
  <c r="AM295" i="173"/>
  <c r="AL295" i="173"/>
  <c r="W296" i="173"/>
  <c r="AM296" i="173"/>
  <c r="AL296" i="173"/>
  <c r="W297" i="173"/>
  <c r="AM297" i="173"/>
  <c r="AL297" i="173"/>
  <c r="W298" i="173"/>
  <c r="AM298" i="173"/>
  <c r="AL298" i="173"/>
  <c r="W299" i="173"/>
  <c r="AM299" i="173"/>
  <c r="AL299" i="173"/>
  <c r="W300" i="173"/>
  <c r="AM300" i="173"/>
  <c r="AL300" i="173"/>
  <c r="W301" i="173"/>
  <c r="AM301" i="173"/>
  <c r="AL301" i="173"/>
  <c r="W302" i="173"/>
  <c r="AM302" i="173"/>
  <c r="AL302" i="173"/>
  <c r="W303" i="173"/>
  <c r="AM303" i="173"/>
  <c r="AL303" i="173"/>
  <c r="W304" i="173"/>
  <c r="AM304" i="173"/>
  <c r="AL304" i="173"/>
  <c r="W305" i="173"/>
  <c r="AM305" i="173"/>
  <c r="AL305" i="173"/>
  <c r="W306" i="173"/>
  <c r="AM306" i="173"/>
  <c r="AL306" i="173"/>
  <c r="W307" i="173"/>
  <c r="AM307" i="173"/>
  <c r="AL307" i="173"/>
  <c r="W308" i="173"/>
  <c r="AM308" i="173"/>
  <c r="AL308" i="173"/>
  <c r="W309" i="173"/>
  <c r="AM309" i="173"/>
  <c r="AL309" i="173"/>
  <c r="W310" i="173"/>
  <c r="AM310" i="173"/>
  <c r="AL310" i="173"/>
  <c r="W311" i="173"/>
  <c r="AM311" i="173"/>
  <c r="AL311" i="173"/>
  <c r="W312" i="173"/>
  <c r="AM312" i="173"/>
  <c r="AL312" i="173"/>
  <c r="W313" i="173"/>
  <c r="AM313" i="173"/>
  <c r="AL313" i="173"/>
  <c r="W321" i="173"/>
  <c r="AM321" i="173"/>
  <c r="AL321" i="173"/>
  <c r="W322" i="173"/>
  <c r="AM322" i="173"/>
  <c r="AL322" i="173"/>
  <c r="W323" i="173"/>
  <c r="AM323" i="173"/>
  <c r="AL323" i="173"/>
  <c r="W324" i="173"/>
  <c r="AM324" i="173"/>
  <c r="AL324" i="173"/>
  <c r="W325" i="173"/>
  <c r="AM325" i="173"/>
  <c r="AL325" i="173"/>
  <c r="W326" i="173"/>
  <c r="AM326" i="173"/>
  <c r="AL326" i="173"/>
  <c r="W327" i="173"/>
  <c r="AM327" i="173"/>
  <c r="AL327" i="173"/>
  <c r="W328" i="173"/>
  <c r="AM328" i="173"/>
  <c r="AL328" i="173"/>
  <c r="W329" i="173"/>
  <c r="AM329" i="173"/>
  <c r="AL329" i="173"/>
  <c r="W330" i="173"/>
  <c r="AM330" i="173"/>
  <c r="AL330" i="173"/>
  <c r="W354" i="173"/>
  <c r="AM354" i="173"/>
  <c r="AL354" i="173"/>
  <c r="V155" i="68" l="1"/>
  <c r="W155" i="68" s="1"/>
  <c r="Y155" i="68"/>
  <c r="Y107" i="174"/>
  <c r="Y106" i="124"/>
  <c r="S42" i="174"/>
  <c r="S46" i="124"/>
  <c r="R42" i="174"/>
  <c r="R46" i="124"/>
  <c r="T44" i="124"/>
  <c r="T33" i="124"/>
  <c r="T43" i="124" s="1"/>
  <c r="T34" i="174"/>
  <c r="U34" i="124"/>
  <c r="T45" i="124"/>
  <c r="T35" i="174"/>
  <c r="U35" i="124"/>
  <c r="T36" i="174"/>
  <c r="T46" i="124"/>
  <c r="U36" i="124"/>
  <c r="AA91" i="68"/>
  <c r="AA92" i="68"/>
  <c r="AA93" i="68"/>
  <c r="AA94" i="68"/>
  <c r="AA95" i="68"/>
  <c r="AA96" i="68"/>
  <c r="AA97" i="68"/>
  <c r="AA98" i="68"/>
  <c r="AA99" i="68"/>
  <c r="AA100" i="68"/>
  <c r="AA101" i="68"/>
  <c r="AA102" i="68"/>
  <c r="AA103" i="68"/>
  <c r="AA104" i="68"/>
  <c r="AA105" i="68"/>
  <c r="AA107" i="68"/>
  <c r="AA108" i="68"/>
  <c r="AA109" i="68"/>
  <c r="AA110" i="68"/>
  <c r="W50" i="68"/>
  <c r="AA64" i="68"/>
  <c r="AA120" i="68"/>
  <c r="AA112" i="68"/>
  <c r="AA75" i="68"/>
  <c r="AA68" i="68"/>
  <c r="AA56" i="68"/>
  <c r="AA70" i="68"/>
  <c r="AA151" i="68"/>
  <c r="AA150" i="68"/>
  <c r="AA133" i="68"/>
  <c r="AA119" i="68"/>
  <c r="AA116" i="68"/>
  <c r="AA80" i="68"/>
  <c r="AA54" i="68"/>
  <c r="AA62" i="68"/>
  <c r="AA55" i="68"/>
  <c r="Z45" i="68"/>
  <c r="AA45" i="68"/>
  <c r="AB45" i="68"/>
  <c r="AC45" i="68"/>
  <c r="AD45" i="68"/>
  <c r="AE45" i="68"/>
  <c r="AF45" i="68"/>
  <c r="AG45" i="68"/>
  <c r="AH45" i="68"/>
  <c r="AI45" i="68"/>
  <c r="AJ45" i="68"/>
  <c r="Y45" i="68"/>
  <c r="AM355" i="175"/>
  <c r="AL355" i="175"/>
  <c r="V76" i="174"/>
  <c r="W122" i="68"/>
  <c r="W123" i="68"/>
  <c r="W124" i="68"/>
  <c r="W125" i="68"/>
  <c r="W126" i="68"/>
  <c r="W127" i="68"/>
  <c r="W128" i="68"/>
  <c r="W129" i="68"/>
  <c r="W130" i="68"/>
  <c r="W131" i="68"/>
  <c r="W132" i="68"/>
  <c r="W133" i="68"/>
  <c r="AM31" i="124"/>
  <c r="AM31" i="174" s="1"/>
  <c r="V31" i="174"/>
  <c r="AM82" i="174"/>
  <c r="AK82" i="174"/>
  <c r="AR82" i="174" s="1"/>
  <c r="AM83" i="174"/>
  <c r="AK83" i="174"/>
  <c r="AR83" i="174" s="1"/>
  <c r="V234" i="174"/>
  <c r="AM234" i="174" s="1"/>
  <c r="AM235" i="174"/>
  <c r="K257" i="174"/>
  <c r="K337" i="174" s="1"/>
  <c r="K340" i="174" s="1"/>
  <c r="U257" i="174"/>
  <c r="U337" i="174" s="1"/>
  <c r="U340" i="174" s="1"/>
  <c r="M257" i="174"/>
  <c r="M337" i="174" s="1"/>
  <c r="M340" i="174" s="1"/>
  <c r="L257" i="174"/>
  <c r="L337" i="174" s="1"/>
  <c r="L340" i="174" s="1"/>
  <c r="O260" i="174"/>
  <c r="T258" i="174"/>
  <c r="N259" i="174"/>
  <c r="M258" i="174"/>
  <c r="M259" i="174"/>
  <c r="M260" i="174" s="1"/>
  <c r="Z50" i="68"/>
  <c r="Z90" i="68"/>
  <c r="Z29" i="68"/>
  <c r="Y38" i="68"/>
  <c r="Y38" i="124" s="1"/>
  <c r="Y38" i="174" s="1"/>
  <c r="Z106" i="68"/>
  <c r="Z111" i="68"/>
  <c r="K258" i="174"/>
  <c r="Q258" i="174"/>
  <c r="U258" i="174"/>
  <c r="T260" i="174"/>
  <c r="N260" i="174"/>
  <c r="Q260" i="174"/>
  <c r="O337" i="174"/>
  <c r="O340" i="174" s="1"/>
  <c r="U259" i="174"/>
  <c r="U260" i="174" s="1"/>
  <c r="L258" i="174"/>
  <c r="P258" i="174"/>
  <c r="L259" i="174"/>
  <c r="L260" i="174" s="1"/>
  <c r="P259" i="174"/>
  <c r="P260" i="174" s="1"/>
  <c r="O258" i="174"/>
  <c r="AM30" i="124"/>
  <c r="AM30" i="174" s="1"/>
  <c r="Z147" i="68"/>
  <c r="Z155" i="68" s="1"/>
  <c r="V292" i="174"/>
  <c r="AM292" i="174" s="1"/>
  <c r="V229" i="174"/>
  <c r="AM229" i="174" s="1"/>
  <c r="K259" i="174"/>
  <c r="K260" i="174" s="1"/>
  <c r="V212" i="174"/>
  <c r="AM212" i="174" s="1"/>
  <c r="AA53" i="68"/>
  <c r="AA153" i="68"/>
  <c r="AA74" i="68"/>
  <c r="AA65" i="68"/>
  <c r="AA134" i="68"/>
  <c r="AA132" i="68"/>
  <c r="AA130" i="68"/>
  <c r="AA129" i="68"/>
  <c r="AA127" i="68"/>
  <c r="AA126" i="68"/>
  <c r="AA125" i="68"/>
  <c r="AA124" i="68"/>
  <c r="AA123" i="68"/>
  <c r="AA122" i="68"/>
  <c r="AA121" i="68"/>
  <c r="AA118" i="68"/>
  <c r="AA117" i="68"/>
  <c r="AA115" i="68"/>
  <c r="AA114" i="68"/>
  <c r="AA113" i="68"/>
  <c r="AA81" i="68"/>
  <c r="AA10" i="68"/>
  <c r="AA76" i="68"/>
  <c r="AA88" i="68"/>
  <c r="AA77" i="68"/>
  <c r="AA57" i="68"/>
  <c r="AA52" i="68"/>
  <c r="AA78" i="68"/>
  <c r="AA149" i="68"/>
  <c r="V157" i="68"/>
  <c r="W157" i="68" s="1"/>
  <c r="V156" i="68"/>
  <c r="W156" i="68" s="1"/>
  <c r="V158" i="68"/>
  <c r="W43" i="68"/>
  <c r="W33" i="68"/>
  <c r="AA148" i="68"/>
  <c r="AB1" i="68"/>
  <c r="AB51" i="68" s="1"/>
  <c r="V32" i="124"/>
  <c r="V32" i="174" s="1"/>
  <c r="J337" i="174"/>
  <c r="J340" i="174" s="1"/>
  <c r="J259" i="174"/>
  <c r="J260" i="174" s="1"/>
  <c r="J258" i="174"/>
  <c r="V252" i="173"/>
  <c r="W252" i="173" s="1"/>
  <c r="W250" i="173"/>
  <c r="AM155" i="173"/>
  <c r="AL155" i="173"/>
  <c r="AK156" i="173"/>
  <c r="AM154" i="173"/>
  <c r="AL154" i="173"/>
  <c r="V156" i="173"/>
  <c r="W154" i="173"/>
  <c r="AK33" i="173"/>
  <c r="AM6" i="173"/>
  <c r="AL6" i="173"/>
  <c r="Y157" i="173"/>
  <c r="Y43" i="173"/>
  <c r="AK43" i="173" s="1"/>
  <c r="AM43" i="173" s="1"/>
  <c r="V157" i="173"/>
  <c r="W33" i="173"/>
  <c r="U36" i="174" l="1"/>
  <c r="U46" i="124"/>
  <c r="U45" i="124"/>
  <c r="U35" i="174"/>
  <c r="U44" i="124"/>
  <c r="U33" i="124"/>
  <c r="U43" i="124" s="1"/>
  <c r="U34" i="174"/>
  <c r="AB91" i="68"/>
  <c r="AB92" i="68"/>
  <c r="AB93" i="68"/>
  <c r="AB94" i="68"/>
  <c r="AB95" i="68"/>
  <c r="AB96" i="68"/>
  <c r="AB97" i="68"/>
  <c r="AB98" i="68"/>
  <c r="AB99" i="68"/>
  <c r="AB100" i="68"/>
  <c r="AB101" i="68"/>
  <c r="AB102" i="68"/>
  <c r="AB103" i="68"/>
  <c r="AB104" i="68"/>
  <c r="AB105" i="68"/>
  <c r="AB107" i="68"/>
  <c r="AB108" i="68"/>
  <c r="AB109" i="68"/>
  <c r="AB110" i="68"/>
  <c r="AB64" i="68"/>
  <c r="AB120" i="68"/>
  <c r="AB112" i="68"/>
  <c r="AB75" i="68"/>
  <c r="AB68" i="68"/>
  <c r="AB56" i="68"/>
  <c r="AB70" i="68"/>
  <c r="AB151" i="68"/>
  <c r="AB150" i="68"/>
  <c r="AB133" i="68"/>
  <c r="AB119" i="68"/>
  <c r="AB116" i="68"/>
  <c r="AB80" i="68"/>
  <c r="AB54" i="68"/>
  <c r="AB62" i="68"/>
  <c r="AB55" i="68"/>
  <c r="V251" i="174"/>
  <c r="Z38" i="68"/>
  <c r="AB53" i="68"/>
  <c r="AB153" i="68"/>
  <c r="AB74" i="68"/>
  <c r="AB65" i="68"/>
  <c r="AB134" i="68"/>
  <c r="AB132" i="68"/>
  <c r="AB130" i="68"/>
  <c r="AB129" i="68"/>
  <c r="AB127" i="68"/>
  <c r="AB126" i="68"/>
  <c r="AB125" i="68"/>
  <c r="AB124" i="68"/>
  <c r="AB123" i="68"/>
  <c r="AB122" i="68"/>
  <c r="AB121" i="68"/>
  <c r="AB118" i="68"/>
  <c r="AB117" i="68"/>
  <c r="AB115" i="68"/>
  <c r="AB114" i="68"/>
  <c r="AB113" i="68"/>
  <c r="AB81" i="68"/>
  <c r="AB10" i="68"/>
  <c r="AB76" i="68"/>
  <c r="AB88" i="68"/>
  <c r="AB77" i="68"/>
  <c r="AB57" i="68"/>
  <c r="AB52" i="68"/>
  <c r="AB78" i="68"/>
  <c r="AB149" i="68"/>
  <c r="AB148" i="68"/>
  <c r="AC1" i="68"/>
  <c r="AC51" i="68" s="1"/>
  <c r="AA29" i="68"/>
  <c r="AA50" i="68"/>
  <c r="AA90" i="68"/>
  <c r="AA106" i="68"/>
  <c r="AA111" i="68"/>
  <c r="AA147" i="68"/>
  <c r="AA155" i="68" s="1"/>
  <c r="V159" i="68"/>
  <c r="W159" i="68" s="1"/>
  <c r="W158" i="68"/>
  <c r="V253" i="173"/>
  <c r="W157" i="173"/>
  <c r="AK157" i="173"/>
  <c r="AM33" i="173"/>
  <c r="AL33" i="173"/>
  <c r="V254" i="173"/>
  <c r="W156" i="173"/>
  <c r="AM156" i="173"/>
  <c r="AL156" i="173"/>
  <c r="W159" i="87"/>
  <c r="AC91" i="68" l="1"/>
  <c r="AC92" i="68"/>
  <c r="AC93" i="68"/>
  <c r="AC94" i="68"/>
  <c r="AC95" i="68"/>
  <c r="AC96" i="68"/>
  <c r="AC97" i="68"/>
  <c r="AC98" i="68"/>
  <c r="AC99" i="68"/>
  <c r="AC100" i="68"/>
  <c r="AC101" i="68"/>
  <c r="AC102" i="68"/>
  <c r="AC103" i="68"/>
  <c r="AC104" i="68"/>
  <c r="AC105" i="68"/>
  <c r="AC107" i="68"/>
  <c r="AC108" i="68"/>
  <c r="AC109" i="68"/>
  <c r="AC110" i="68"/>
  <c r="AC64" i="68"/>
  <c r="AC120" i="68"/>
  <c r="AC112" i="68"/>
  <c r="AC75" i="68"/>
  <c r="AC68" i="68"/>
  <c r="AC56" i="68"/>
  <c r="AC70" i="68"/>
  <c r="AC151" i="68"/>
  <c r="AC150" i="68"/>
  <c r="AC133" i="68"/>
  <c r="AC119" i="68"/>
  <c r="AC116" i="68"/>
  <c r="AC80" i="68"/>
  <c r="AC54" i="68"/>
  <c r="AC62" i="68"/>
  <c r="AC55" i="68"/>
  <c r="Z46" i="68"/>
  <c r="AA46" i="68"/>
  <c r="AB46" i="68"/>
  <c r="AC46" i="68"/>
  <c r="AD46" i="68"/>
  <c r="AE46" i="68"/>
  <c r="AF46" i="68"/>
  <c r="AG46" i="68"/>
  <c r="AH46" i="68"/>
  <c r="AI46" i="68"/>
  <c r="AJ46" i="68"/>
  <c r="Y46" i="68"/>
  <c r="AB50" i="68"/>
  <c r="AB29" i="68"/>
  <c r="AB38" i="68"/>
  <c r="AB90" i="68"/>
  <c r="AB106" i="68"/>
  <c r="AB111" i="68"/>
  <c r="AA38" i="68"/>
  <c r="AB147" i="68"/>
  <c r="AB155" i="68" s="1"/>
  <c r="AC53" i="68"/>
  <c r="AC153" i="68"/>
  <c r="AC74" i="68"/>
  <c r="AC65" i="68"/>
  <c r="AC134" i="68"/>
  <c r="AC132" i="68"/>
  <c r="AC130" i="68"/>
  <c r="AC129" i="68"/>
  <c r="AC127" i="68"/>
  <c r="AC126" i="68"/>
  <c r="AC125" i="68"/>
  <c r="AC124" i="68"/>
  <c r="AC123" i="68"/>
  <c r="AC122" i="68"/>
  <c r="AC121" i="68"/>
  <c r="AC118" i="68"/>
  <c r="AC117" i="68"/>
  <c r="AC115" i="68"/>
  <c r="AC114" i="68"/>
  <c r="AC113" i="68"/>
  <c r="AC81" i="68"/>
  <c r="AC10" i="68"/>
  <c r="AC76" i="68"/>
  <c r="AC88" i="68"/>
  <c r="AC77" i="68"/>
  <c r="AC57" i="68"/>
  <c r="AC52" i="68"/>
  <c r="AC78" i="68"/>
  <c r="AC149" i="68"/>
  <c r="AC148" i="68"/>
  <c r="AD1" i="68"/>
  <c r="AD51" i="68" s="1"/>
  <c r="V256" i="173"/>
  <c r="W254" i="173"/>
  <c r="AM157" i="173"/>
  <c r="AL157" i="173"/>
  <c r="V290" i="173"/>
  <c r="V255" i="173"/>
  <c r="W253" i="173"/>
  <c r="AD91" i="68" l="1"/>
  <c r="AD92" i="68"/>
  <c r="AD93" i="68"/>
  <c r="AD94" i="68"/>
  <c r="AD95" i="68"/>
  <c r="AD96" i="68"/>
  <c r="AD97" i="68"/>
  <c r="AD98" i="68"/>
  <c r="AD99" i="68"/>
  <c r="AD100" i="68"/>
  <c r="AD101" i="68"/>
  <c r="AD102" i="68"/>
  <c r="AD103" i="68"/>
  <c r="AD104" i="68"/>
  <c r="AD105" i="68"/>
  <c r="AD107" i="68"/>
  <c r="AD108" i="68"/>
  <c r="AD109" i="68"/>
  <c r="AD110" i="68"/>
  <c r="AD64" i="68"/>
  <c r="AD120" i="68"/>
  <c r="AD112" i="68"/>
  <c r="AD75" i="68"/>
  <c r="AD68" i="68"/>
  <c r="AD56" i="68"/>
  <c r="AD70" i="68"/>
  <c r="AD151" i="68"/>
  <c r="AD150" i="68"/>
  <c r="AD133" i="68"/>
  <c r="AD119" i="68"/>
  <c r="AD116" i="68"/>
  <c r="AD80" i="68"/>
  <c r="AD54" i="68"/>
  <c r="AD62" i="68"/>
  <c r="AD55" i="68"/>
  <c r="AD53" i="68"/>
  <c r="AD153" i="68"/>
  <c r="AD74" i="68"/>
  <c r="AD65" i="68"/>
  <c r="AD134" i="68"/>
  <c r="AD132" i="68"/>
  <c r="AD130" i="68"/>
  <c r="AD129" i="68"/>
  <c r="AD127" i="68"/>
  <c r="AD126" i="68"/>
  <c r="AD125" i="68"/>
  <c r="AD124" i="68"/>
  <c r="AD123" i="68"/>
  <c r="AD122" i="68"/>
  <c r="AD121" i="68"/>
  <c r="AD118" i="68"/>
  <c r="AD117" i="68"/>
  <c r="AD115" i="68"/>
  <c r="AD114" i="68"/>
  <c r="AD113" i="68"/>
  <c r="AD81" i="68"/>
  <c r="AD10" i="68"/>
  <c r="AD76" i="68"/>
  <c r="AD88" i="68"/>
  <c r="AD77" i="68"/>
  <c r="AD57" i="68"/>
  <c r="AD52" i="68"/>
  <c r="AD78" i="68"/>
  <c r="AD149" i="68"/>
  <c r="AD148" i="68"/>
  <c r="AE1" i="68"/>
  <c r="AE51" i="68" s="1"/>
  <c r="AC29" i="68"/>
  <c r="AC50" i="68"/>
  <c r="AC90" i="68"/>
  <c r="AC106" i="68"/>
  <c r="AC111" i="68"/>
  <c r="AC147" i="68"/>
  <c r="AC155" i="68" s="1"/>
  <c r="V257" i="173"/>
  <c r="W257" i="173" s="1"/>
  <c r="W255" i="173"/>
  <c r="V352" i="173"/>
  <c r="W290" i="173"/>
  <c r="V258" i="173"/>
  <c r="W258" i="173" s="1"/>
  <c r="W256" i="173"/>
  <c r="AE91" i="68" l="1"/>
  <c r="AE92" i="68"/>
  <c r="AE93" i="68"/>
  <c r="AE94" i="68"/>
  <c r="AE95" i="68"/>
  <c r="AE96" i="68"/>
  <c r="AE97" i="68"/>
  <c r="AE98" i="68"/>
  <c r="AE99" i="68"/>
  <c r="AE100" i="68"/>
  <c r="AE101" i="68"/>
  <c r="AE102" i="68"/>
  <c r="AE103" i="68"/>
  <c r="AE104" i="68"/>
  <c r="AE105" i="68"/>
  <c r="AE107" i="68"/>
  <c r="AE108" i="68"/>
  <c r="AE109" i="68"/>
  <c r="AE110" i="68"/>
  <c r="AE120" i="68"/>
  <c r="AE112" i="68"/>
  <c r="AE75" i="68"/>
  <c r="AE68" i="68"/>
  <c r="AE56" i="68"/>
  <c r="AE70" i="68"/>
  <c r="AE151" i="68"/>
  <c r="AE150" i="68"/>
  <c r="AE133" i="68"/>
  <c r="AE119" i="68"/>
  <c r="AE116" i="68"/>
  <c r="AE80" i="68"/>
  <c r="AE54" i="68"/>
  <c r="AE62" i="68"/>
  <c r="AE55" i="68"/>
  <c r="AD29" i="68"/>
  <c r="AD106" i="68"/>
  <c r="AD111" i="68"/>
  <c r="AD90" i="68"/>
  <c r="AC38" i="68"/>
  <c r="AD50" i="68"/>
  <c r="AD147" i="68"/>
  <c r="AD155" i="68" s="1"/>
  <c r="AE53" i="68"/>
  <c r="AE153" i="68"/>
  <c r="AE74" i="68"/>
  <c r="AE65" i="68"/>
  <c r="AE134" i="68"/>
  <c r="AE132" i="68"/>
  <c r="AE130" i="68"/>
  <c r="AE129" i="68"/>
  <c r="AE127" i="68"/>
  <c r="AE126" i="68"/>
  <c r="AE125" i="68"/>
  <c r="AE124" i="68"/>
  <c r="AE123" i="68"/>
  <c r="AE122" i="68"/>
  <c r="AE121" i="68"/>
  <c r="AE118" i="68"/>
  <c r="AE117" i="68"/>
  <c r="AE115" i="68"/>
  <c r="AE114" i="68"/>
  <c r="AE113" i="68"/>
  <c r="AE81" i="68"/>
  <c r="AE10" i="68"/>
  <c r="AE76" i="68"/>
  <c r="AE88" i="68"/>
  <c r="AE77" i="68"/>
  <c r="AE57" i="68"/>
  <c r="AE52" i="68"/>
  <c r="AE78" i="68"/>
  <c r="AE149" i="68"/>
  <c r="AE148" i="68"/>
  <c r="AF1" i="68"/>
  <c r="AF51" i="68" s="1"/>
  <c r="V355" i="173"/>
  <c r="W355" i="173" s="1"/>
  <c r="W352" i="173"/>
  <c r="AF91" i="68" l="1"/>
  <c r="AF92" i="68"/>
  <c r="AF93" i="68"/>
  <c r="AF94" i="68"/>
  <c r="AF95" i="68"/>
  <c r="AF96" i="68"/>
  <c r="AF97" i="68"/>
  <c r="AF98" i="68"/>
  <c r="AF99" i="68"/>
  <c r="AF100" i="68"/>
  <c r="AF101" i="68"/>
  <c r="AF102" i="68"/>
  <c r="AF103" i="68"/>
  <c r="AF104" i="68"/>
  <c r="AF105" i="68"/>
  <c r="AF107" i="68"/>
  <c r="AF108" i="68"/>
  <c r="AF109" i="68"/>
  <c r="AF110" i="68"/>
  <c r="AF64" i="68"/>
  <c r="AF120" i="68"/>
  <c r="AF112" i="68"/>
  <c r="AF75" i="68"/>
  <c r="AF68" i="68"/>
  <c r="AF56" i="68"/>
  <c r="AF70" i="68"/>
  <c r="AF151" i="68"/>
  <c r="AF150" i="68"/>
  <c r="AF133" i="68"/>
  <c r="AF119" i="68"/>
  <c r="AF116" i="68"/>
  <c r="AF80" i="68"/>
  <c r="AF54" i="68"/>
  <c r="AF62" i="68"/>
  <c r="AF55" i="68"/>
  <c r="AD38" i="68"/>
  <c r="AF53" i="68"/>
  <c r="AF153" i="68"/>
  <c r="AF74" i="68"/>
  <c r="AF65" i="68"/>
  <c r="AF134" i="68"/>
  <c r="AF132" i="68"/>
  <c r="AF130" i="68"/>
  <c r="AF129" i="68"/>
  <c r="AF127" i="68"/>
  <c r="AF126" i="68"/>
  <c r="AF125" i="68"/>
  <c r="AF124" i="68"/>
  <c r="AF123" i="68"/>
  <c r="AF122" i="68"/>
  <c r="AF121" i="68"/>
  <c r="AF118" i="68"/>
  <c r="AF117" i="68"/>
  <c r="AF115" i="68"/>
  <c r="AF114" i="68"/>
  <c r="AF113" i="68"/>
  <c r="AF81" i="68"/>
  <c r="AF10" i="68"/>
  <c r="AF76" i="68"/>
  <c r="AF88" i="68"/>
  <c r="AF77" i="68"/>
  <c r="AF57" i="68"/>
  <c r="AF52" i="68"/>
  <c r="AF78" i="68"/>
  <c r="AF149" i="68"/>
  <c r="AF148" i="68"/>
  <c r="AG1" i="68"/>
  <c r="AG51" i="68" s="1"/>
  <c r="AE29" i="68"/>
  <c r="AE50" i="68"/>
  <c r="AE90" i="68"/>
  <c r="AE106" i="68"/>
  <c r="AE111" i="68"/>
  <c r="AE147" i="68"/>
  <c r="AE155" i="68" s="1"/>
  <c r="AG91" i="68" l="1"/>
  <c r="AG92" i="68"/>
  <c r="AG93" i="68"/>
  <c r="AG94" i="68"/>
  <c r="AG95" i="68"/>
  <c r="AG96" i="68"/>
  <c r="AG97" i="68"/>
  <c r="AG98" i="68"/>
  <c r="AG99" i="68"/>
  <c r="AG100" i="68"/>
  <c r="AG101" i="68"/>
  <c r="AG102" i="68"/>
  <c r="AG103" i="68"/>
  <c r="AG104" i="68"/>
  <c r="AG105" i="68"/>
  <c r="AG107" i="68"/>
  <c r="AG108" i="68"/>
  <c r="AG109" i="68"/>
  <c r="AG110" i="68"/>
  <c r="AG64" i="68"/>
  <c r="AG120" i="68"/>
  <c r="AG112" i="68"/>
  <c r="AG75" i="68"/>
  <c r="AG68" i="68"/>
  <c r="AG56" i="68"/>
  <c r="AG70" i="68"/>
  <c r="AG151" i="68"/>
  <c r="AG150" i="68"/>
  <c r="AG133" i="68"/>
  <c r="AG119" i="68"/>
  <c r="AG116" i="68"/>
  <c r="AG80" i="68"/>
  <c r="AG54" i="68"/>
  <c r="AG62" i="68"/>
  <c r="AG55" i="68"/>
  <c r="AF111" i="68"/>
  <c r="AF29" i="68"/>
  <c r="AF38" i="68"/>
  <c r="AF90" i="68"/>
  <c r="AF50" i="68"/>
  <c r="AF106" i="68"/>
  <c r="AE38" i="68"/>
  <c r="AF147" i="68"/>
  <c r="AF155" i="68" s="1"/>
  <c r="AG53" i="68"/>
  <c r="AG153" i="68"/>
  <c r="AG74" i="68"/>
  <c r="AG65" i="68"/>
  <c r="AG134" i="68"/>
  <c r="AG132" i="68"/>
  <c r="AG130" i="68"/>
  <c r="AG129" i="68"/>
  <c r="AG127" i="68"/>
  <c r="AG126" i="68"/>
  <c r="AG125" i="68"/>
  <c r="AG124" i="68"/>
  <c r="AG123" i="68"/>
  <c r="AG122" i="68"/>
  <c r="AG121" i="68"/>
  <c r="AG118" i="68"/>
  <c r="AG117" i="68"/>
  <c r="AG115" i="68"/>
  <c r="AG114" i="68"/>
  <c r="AG113" i="68"/>
  <c r="AG81" i="68"/>
  <c r="AG10" i="68"/>
  <c r="AG76" i="68"/>
  <c r="AG88" i="68"/>
  <c r="AG77" i="68"/>
  <c r="AG57" i="68"/>
  <c r="AG52" i="68"/>
  <c r="AG78" i="68"/>
  <c r="AG149" i="68"/>
  <c r="AG148" i="68"/>
  <c r="AH1" i="68"/>
  <c r="AH51" i="68" s="1"/>
  <c r="AH91" i="68" l="1"/>
  <c r="AH92" i="68"/>
  <c r="AH93" i="68"/>
  <c r="AH94" i="68"/>
  <c r="AH95" i="68"/>
  <c r="AH96" i="68"/>
  <c r="AH97" i="68"/>
  <c r="AH98" i="68"/>
  <c r="AH99" i="68"/>
  <c r="AH100" i="68"/>
  <c r="AH101" i="68"/>
  <c r="AH102" i="68"/>
  <c r="AH103" i="68"/>
  <c r="AH104" i="68"/>
  <c r="AH105" i="68"/>
  <c r="AH107" i="68"/>
  <c r="AH108" i="68"/>
  <c r="AH109" i="68"/>
  <c r="AH110" i="68"/>
  <c r="AH64" i="68"/>
  <c r="AH120" i="68"/>
  <c r="AH112" i="68"/>
  <c r="AH75" i="68"/>
  <c r="AH68" i="68"/>
  <c r="AH56" i="68"/>
  <c r="AH70" i="68"/>
  <c r="AH151" i="68"/>
  <c r="AH150" i="68"/>
  <c r="AH133" i="68"/>
  <c r="AH119" i="68"/>
  <c r="AH116" i="68"/>
  <c r="AH80" i="68"/>
  <c r="AH54" i="68"/>
  <c r="AH62" i="68"/>
  <c r="AH55" i="68"/>
  <c r="AH53" i="68"/>
  <c r="AH153" i="68"/>
  <c r="AH74" i="68"/>
  <c r="AH65" i="68"/>
  <c r="AH134" i="68"/>
  <c r="AH132" i="68"/>
  <c r="AH130" i="68"/>
  <c r="AH129" i="68"/>
  <c r="AH127" i="68"/>
  <c r="AH126" i="68"/>
  <c r="AH125" i="68"/>
  <c r="AH124" i="68"/>
  <c r="AH123" i="68"/>
  <c r="AH122" i="68"/>
  <c r="AH121" i="68"/>
  <c r="AH118" i="68"/>
  <c r="AH117" i="68"/>
  <c r="AH115" i="68"/>
  <c r="AH114" i="68"/>
  <c r="AH113" i="68"/>
  <c r="AH81" i="68"/>
  <c r="AH10" i="68"/>
  <c r="AH76" i="68"/>
  <c r="AH88" i="68"/>
  <c r="AH77" i="68"/>
  <c r="AH57" i="68"/>
  <c r="AH52" i="68"/>
  <c r="AH78" i="68"/>
  <c r="AH149" i="68"/>
  <c r="AH148" i="68"/>
  <c r="AI1" i="68"/>
  <c r="AI51" i="68" s="1"/>
  <c r="AG29" i="68"/>
  <c r="AG50" i="68"/>
  <c r="AG90" i="68"/>
  <c r="AG106" i="68"/>
  <c r="AG111" i="68"/>
  <c r="AG147" i="68"/>
  <c r="AG155" i="68" s="1"/>
  <c r="AI91" i="68" l="1"/>
  <c r="AI92" i="68"/>
  <c r="AI93" i="68"/>
  <c r="AI94" i="68"/>
  <c r="AI95" i="68"/>
  <c r="AI96" i="68"/>
  <c r="AI97" i="68"/>
  <c r="AI98" i="68"/>
  <c r="AI99" i="68"/>
  <c r="AI100" i="68"/>
  <c r="AI101" i="68"/>
  <c r="AI102" i="68"/>
  <c r="AI103" i="68"/>
  <c r="AI104" i="68"/>
  <c r="AI105" i="68"/>
  <c r="AI107" i="68"/>
  <c r="AI108" i="68"/>
  <c r="AI109" i="68"/>
  <c r="AI110" i="68"/>
  <c r="AI40" i="68"/>
  <c r="AI41" i="68"/>
  <c r="AI64" i="68"/>
  <c r="AI120" i="68"/>
  <c r="AI112" i="68"/>
  <c r="AI75" i="68"/>
  <c r="AI68" i="68"/>
  <c r="AI56" i="68"/>
  <c r="AI70" i="68"/>
  <c r="AI151" i="68"/>
  <c r="AI150" i="68"/>
  <c r="AI133" i="68"/>
  <c r="AI119" i="68"/>
  <c r="AI116" i="68"/>
  <c r="AI80" i="68"/>
  <c r="AI54" i="68"/>
  <c r="AI62" i="68"/>
  <c r="AI55" i="68"/>
  <c r="AH50" i="68"/>
  <c r="AH106" i="68"/>
  <c r="AH111" i="68"/>
  <c r="AH29" i="68"/>
  <c r="AH90" i="68"/>
  <c r="AG38" i="68"/>
  <c r="AH147" i="68"/>
  <c r="AH155" i="68" s="1"/>
  <c r="AI53" i="68"/>
  <c r="AI153" i="68"/>
  <c r="AI74" i="68"/>
  <c r="AI65" i="68"/>
  <c r="AI134" i="68"/>
  <c r="AI132" i="68"/>
  <c r="AI130" i="68"/>
  <c r="AI129" i="68"/>
  <c r="AI127" i="68"/>
  <c r="AI126" i="68"/>
  <c r="AI125" i="68"/>
  <c r="AI124" i="68"/>
  <c r="AI123" i="68"/>
  <c r="AI122" i="68"/>
  <c r="AI121" i="68"/>
  <c r="AI118" i="68"/>
  <c r="AI117" i="68"/>
  <c r="AI115" i="68"/>
  <c r="AI114" i="68"/>
  <c r="AI113" i="68"/>
  <c r="AI81" i="68"/>
  <c r="AI10" i="68"/>
  <c r="AI76" i="68"/>
  <c r="AI88" i="68"/>
  <c r="AI77" i="68"/>
  <c r="AI57" i="68"/>
  <c r="AI52" i="68"/>
  <c r="AI78" i="68"/>
  <c r="AI149" i="68"/>
  <c r="AI148" i="68"/>
  <c r="AJ1" i="68"/>
  <c r="AJ51" i="68" s="1"/>
  <c r="U111" i="124"/>
  <c r="U111" i="174" s="1"/>
  <c r="AJ91" i="68" l="1"/>
  <c r="AJ92" i="68"/>
  <c r="AJ93" i="68"/>
  <c r="AJ94" i="68"/>
  <c r="AJ95" i="68"/>
  <c r="AJ96" i="68"/>
  <c r="AJ97" i="68"/>
  <c r="AJ98" i="68"/>
  <c r="AJ99" i="68"/>
  <c r="AJ100" i="68"/>
  <c r="AJ101" i="68"/>
  <c r="AJ102" i="68"/>
  <c r="AJ103" i="68"/>
  <c r="AJ104" i="68"/>
  <c r="AJ105" i="68"/>
  <c r="AJ107" i="68"/>
  <c r="AJ108" i="68"/>
  <c r="AJ109" i="68"/>
  <c r="AJ110" i="68"/>
  <c r="AJ64" i="68"/>
  <c r="AK64" i="68" s="1"/>
  <c r="AM64" i="68" s="1"/>
  <c r="AJ120" i="68"/>
  <c r="AJ112" i="68"/>
  <c r="AK86" i="68"/>
  <c r="AM86" i="68" s="1"/>
  <c r="AJ75" i="68"/>
  <c r="AJ68" i="68"/>
  <c r="AK68" i="68" s="1"/>
  <c r="AM68" i="68" s="1"/>
  <c r="AJ56" i="68"/>
  <c r="AJ70" i="68"/>
  <c r="AJ151" i="68"/>
  <c r="AJ150" i="68"/>
  <c r="AJ133" i="68"/>
  <c r="AJ119" i="68"/>
  <c r="AJ116" i="68"/>
  <c r="AJ80" i="68"/>
  <c r="AK80" i="68" s="1"/>
  <c r="AM80" i="68" s="1"/>
  <c r="AJ54" i="68"/>
  <c r="AJ62" i="68"/>
  <c r="AK62" i="68" s="1"/>
  <c r="AM62" i="68" s="1"/>
  <c r="AJ55" i="68"/>
  <c r="AH38" i="68"/>
  <c r="AJ53" i="68"/>
  <c r="AJ153" i="68"/>
  <c r="AJ74" i="68"/>
  <c r="AJ65" i="68"/>
  <c r="AJ134" i="68"/>
  <c r="AJ132" i="68"/>
  <c r="AJ130" i="68"/>
  <c r="AJ129" i="68"/>
  <c r="AJ127" i="68"/>
  <c r="AJ126" i="68"/>
  <c r="AJ125" i="68"/>
  <c r="AJ124" i="68"/>
  <c r="AJ123" i="68"/>
  <c r="AJ122" i="68"/>
  <c r="AJ121" i="68"/>
  <c r="AJ118" i="68"/>
  <c r="AJ117" i="68"/>
  <c r="AJ115" i="68"/>
  <c r="AJ114" i="68"/>
  <c r="AJ113" i="68"/>
  <c r="AJ81" i="68"/>
  <c r="AJ10" i="68"/>
  <c r="AJ76" i="68"/>
  <c r="AJ88" i="68"/>
  <c r="AJ77" i="68"/>
  <c r="AJ57" i="68"/>
  <c r="AJ52" i="68"/>
  <c r="AJ78" i="68"/>
  <c r="AJ149" i="68"/>
  <c r="AJ148" i="68"/>
  <c r="AK1" i="68"/>
  <c r="AI29" i="68"/>
  <c r="AI50" i="68"/>
  <c r="AK52" i="68"/>
  <c r="AK54" i="68"/>
  <c r="AK58" i="68"/>
  <c r="AK63" i="68"/>
  <c r="AK66" i="68"/>
  <c r="AK69" i="68"/>
  <c r="AK71" i="68"/>
  <c r="AK79" i="68"/>
  <c r="AK85" i="68"/>
  <c r="AK87" i="68"/>
  <c r="AI90" i="68"/>
  <c r="AK94" i="68"/>
  <c r="AK96" i="68"/>
  <c r="AK97" i="68"/>
  <c r="AI106" i="68"/>
  <c r="AI111" i="68"/>
  <c r="AK112" i="68"/>
  <c r="AK115" i="68"/>
  <c r="AK128" i="68"/>
  <c r="AK132" i="68"/>
  <c r="AK134" i="68"/>
  <c r="AK137" i="68"/>
  <c r="AK138" i="68"/>
  <c r="AK139" i="68"/>
  <c r="AK141" i="68"/>
  <c r="AK142" i="68"/>
  <c r="AK146" i="68"/>
  <c r="AI147" i="68"/>
  <c r="AI155" i="68" s="1"/>
  <c r="AK148" i="68"/>
  <c r="AK152" i="68"/>
  <c r="AK153" i="68"/>
  <c r="AK110" i="68" l="1"/>
  <c r="AK109" i="68"/>
  <c r="AK107" i="68"/>
  <c r="AK113" i="68"/>
  <c r="AM113" i="68" s="1"/>
  <c r="AK114" i="68"/>
  <c r="AM114" i="68" s="1"/>
  <c r="AK124" i="68"/>
  <c r="AK125" i="68"/>
  <c r="AK126" i="68"/>
  <c r="AK127" i="68"/>
  <c r="AM127" i="68" s="1"/>
  <c r="AK129" i="68"/>
  <c r="AM129" i="68" s="1"/>
  <c r="AK145" i="68"/>
  <c r="AK120" i="68"/>
  <c r="AK121" i="68"/>
  <c r="AM121" i="68" s="1"/>
  <c r="AK122" i="68"/>
  <c r="AK123" i="68"/>
  <c r="AK116" i="68"/>
  <c r="AK119" i="68"/>
  <c r="AM119" i="68" s="1"/>
  <c r="AK133" i="68"/>
  <c r="AM133" i="68" s="1"/>
  <c r="AK150" i="68"/>
  <c r="AM150" i="68" s="1"/>
  <c r="AK151" i="68"/>
  <c r="AK117" i="68"/>
  <c r="AM117" i="68" s="1"/>
  <c r="AK118" i="68"/>
  <c r="AK149" i="68"/>
  <c r="AK76" i="68"/>
  <c r="AM76" i="68" s="1"/>
  <c r="AK101" i="68"/>
  <c r="AK56" i="68"/>
  <c r="AK65" i="68"/>
  <c r="AK78" i="68"/>
  <c r="AM78" i="68" s="1"/>
  <c r="AK75" i="68"/>
  <c r="AM75" i="68" s="1"/>
  <c r="AK74" i="68"/>
  <c r="AM74" i="68" s="1"/>
  <c r="AK103" i="68"/>
  <c r="AK102" i="68"/>
  <c r="AK10" i="68"/>
  <c r="AK81" i="68"/>
  <c r="AK70" i="68"/>
  <c r="AM70" i="68" s="1"/>
  <c r="AK100" i="68"/>
  <c r="AK95" i="68"/>
  <c r="AM95" i="68" s="1"/>
  <c r="AK99" i="68"/>
  <c r="AM99" i="68" s="1"/>
  <c r="AK53" i="68"/>
  <c r="AM53" i="68" s="1"/>
  <c r="AK98" i="68"/>
  <c r="AK57" i="68"/>
  <c r="AK105" i="68"/>
  <c r="AM105" i="68" s="1"/>
  <c r="AK93" i="68"/>
  <c r="AM93" i="68" s="1"/>
  <c r="AK88" i="68"/>
  <c r="AM88" i="68" s="1"/>
  <c r="AK91" i="68"/>
  <c r="AM91" i="68" s="1"/>
  <c r="AK55" i="68"/>
  <c r="AM55" i="68" s="1"/>
  <c r="AK77" i="68"/>
  <c r="AM77" i="68" s="1"/>
  <c r="AK104" i="68"/>
  <c r="AK92" i="68"/>
  <c r="AM92" i="68" s="1"/>
  <c r="AJ50" i="68"/>
  <c r="AJ111" i="68"/>
  <c r="AJ29" i="68"/>
  <c r="AJ106" i="68"/>
  <c r="AI38" i="68"/>
  <c r="AJ90" i="68"/>
  <c r="AK108" i="68"/>
  <c r="AK106" i="68" s="1"/>
  <c r="AK51" i="68"/>
  <c r="AM51" i="68" s="1"/>
  <c r="AJ147" i="68"/>
  <c r="AJ155" i="68" s="1"/>
  <c r="AK130" i="68"/>
  <c r="AM130" i="68" s="1"/>
  <c r="AM153" i="68"/>
  <c r="AM152" i="68"/>
  <c r="AM151" i="68"/>
  <c r="AM149" i="68"/>
  <c r="AM148" i="68"/>
  <c r="AK147" i="68"/>
  <c r="AM146" i="68"/>
  <c r="AM145" i="68"/>
  <c r="AM142" i="68"/>
  <c r="AM141" i="68"/>
  <c r="AM139" i="68"/>
  <c r="AM138" i="68"/>
  <c r="AM137" i="68"/>
  <c r="AM134" i="68"/>
  <c r="AM132" i="68"/>
  <c r="AM128" i="68"/>
  <c r="AM126" i="68"/>
  <c r="AM125" i="68"/>
  <c r="AM124" i="68"/>
  <c r="AM123" i="68"/>
  <c r="AM122" i="68"/>
  <c r="AM120" i="68"/>
  <c r="AM118" i="68"/>
  <c r="AM116" i="68"/>
  <c r="AM115" i="68"/>
  <c r="AM112" i="68"/>
  <c r="AM110" i="68"/>
  <c r="AM109" i="68"/>
  <c r="AM107" i="68"/>
  <c r="AM104" i="68"/>
  <c r="AM103" i="68"/>
  <c r="AM102" i="68"/>
  <c r="AM101" i="68"/>
  <c r="AM100" i="68"/>
  <c r="AM98" i="68"/>
  <c r="AM97" i="68"/>
  <c r="AM96" i="68"/>
  <c r="AM94" i="68"/>
  <c r="AM87" i="68"/>
  <c r="AM85" i="68"/>
  <c r="AM81" i="68"/>
  <c r="AM79" i="68"/>
  <c r="AM71" i="68"/>
  <c r="AM69" i="68"/>
  <c r="AM66" i="68"/>
  <c r="AM65" i="68"/>
  <c r="AM63" i="68"/>
  <c r="AM58" i="68"/>
  <c r="AM57" i="68"/>
  <c r="AM56" i="68"/>
  <c r="AM54" i="68"/>
  <c r="AM52" i="68"/>
  <c r="AM10" i="68"/>
  <c r="AK23" i="68"/>
  <c r="Y111" i="124"/>
  <c r="Y111" i="174" s="1"/>
  <c r="AK90" i="68" l="1"/>
  <c r="AK29" i="68"/>
  <c r="AM29" i="68" s="1"/>
  <c r="AK50" i="68"/>
  <c r="AK111" i="68"/>
  <c r="AM108" i="68"/>
  <c r="AJ38" i="68"/>
  <c r="AM23" i="68"/>
  <c r="AM50" i="68"/>
  <c r="AM106" i="68"/>
  <c r="AM111" i="68"/>
  <c r="AM147" i="68"/>
  <c r="AK155" i="68" l="1"/>
  <c r="AM155" i="68" s="1"/>
  <c r="AM90" i="68"/>
  <c r="AK38" i="68"/>
  <c r="AM38" i="68"/>
  <c r="Z1" i="87"/>
  <c r="Z51" i="87" s="1"/>
  <c r="Z110" i="87" l="1"/>
  <c r="Z109" i="87"/>
  <c r="Z108" i="87"/>
  <c r="Z107" i="87"/>
  <c r="Z53" i="87"/>
  <c r="Z91" i="87"/>
  <c r="Z91" i="124" s="1"/>
  <c r="Z92" i="87"/>
  <c r="Z92" i="124" s="1"/>
  <c r="Z93" i="87"/>
  <c r="Z93" i="124" s="1"/>
  <c r="Z94" i="87"/>
  <c r="Z94" i="124" s="1"/>
  <c r="Z95" i="87"/>
  <c r="Z95" i="124" s="1"/>
  <c r="Z96" i="87"/>
  <c r="Z96" i="124" s="1"/>
  <c r="Z97" i="87"/>
  <c r="Z97" i="124" s="1"/>
  <c r="Z98" i="87"/>
  <c r="Z98" i="124" s="1"/>
  <c r="Z99" i="87"/>
  <c r="Z99" i="124" s="1"/>
  <c r="Z100" i="87"/>
  <c r="Z100" i="124" s="1"/>
  <c r="Z101" i="87"/>
  <c r="Z101" i="124" s="1"/>
  <c r="Z102" i="87"/>
  <c r="Z102" i="124" s="1"/>
  <c r="Z103" i="87"/>
  <c r="Z103" i="124" s="1"/>
  <c r="Z104" i="87"/>
  <c r="Z104" i="124" s="1"/>
  <c r="Z105" i="87"/>
  <c r="Z105" i="124" s="1"/>
  <c r="Z120" i="87"/>
  <c r="Z112" i="87"/>
  <c r="Z75" i="87"/>
  <c r="Z68" i="87"/>
  <c r="Z56" i="87"/>
  <c r="Z70" i="87"/>
  <c r="Z151" i="87"/>
  <c r="Z150" i="87"/>
  <c r="Z133" i="87"/>
  <c r="Z119" i="87"/>
  <c r="Z116" i="87"/>
  <c r="Z80" i="87"/>
  <c r="Z54" i="87"/>
  <c r="Z62" i="87"/>
  <c r="Z55" i="87"/>
  <c r="Z153" i="87"/>
  <c r="Z149" i="87"/>
  <c r="Z148" i="87"/>
  <c r="Z134" i="87"/>
  <c r="Z132" i="87"/>
  <c r="Z130" i="87"/>
  <c r="Z129" i="87"/>
  <c r="Z127" i="87"/>
  <c r="Z126" i="87"/>
  <c r="Z125" i="87"/>
  <c r="Z124" i="87"/>
  <c r="Z123" i="87"/>
  <c r="Z122" i="87"/>
  <c r="Z121" i="87"/>
  <c r="Z118" i="87"/>
  <c r="Z117" i="87"/>
  <c r="Z115" i="87"/>
  <c r="Z114" i="87"/>
  <c r="Z113" i="87"/>
  <c r="Z88" i="87"/>
  <c r="Z81" i="87"/>
  <c r="Z78" i="87"/>
  <c r="Z77" i="87"/>
  <c r="Z76" i="87"/>
  <c r="Z74" i="87"/>
  <c r="Z65" i="87"/>
  <c r="Z64" i="87"/>
  <c r="Z57" i="87"/>
  <c r="Z52" i="87"/>
  <c r="Z10" i="87"/>
  <c r="AA1" i="87"/>
  <c r="AA51" i="87" s="1"/>
  <c r="Z105" i="174" l="1"/>
  <c r="Z104" i="174"/>
  <c r="Z103" i="174"/>
  <c r="Z102" i="174"/>
  <c r="Z101" i="174"/>
  <c r="Z100" i="174"/>
  <c r="Z99" i="174"/>
  <c r="Z98" i="174"/>
  <c r="Z97" i="174"/>
  <c r="Z96" i="174"/>
  <c r="Z95" i="174"/>
  <c r="Z94" i="174"/>
  <c r="Z93" i="174"/>
  <c r="Z92" i="174"/>
  <c r="Z91" i="174"/>
  <c r="Z90" i="124"/>
  <c r="AA110" i="87"/>
  <c r="AA109" i="87"/>
  <c r="AA108" i="87"/>
  <c r="AA107" i="87"/>
  <c r="AA91" i="87"/>
  <c r="AA91" i="124" s="1"/>
  <c r="AA92" i="87"/>
  <c r="AA92" i="124" s="1"/>
  <c r="AA93" i="87"/>
  <c r="AA93" i="124" s="1"/>
  <c r="AA94" i="87"/>
  <c r="AA94" i="124" s="1"/>
  <c r="AA95" i="87"/>
  <c r="AA95" i="124" s="1"/>
  <c r="AA96" i="87"/>
  <c r="AA96" i="124" s="1"/>
  <c r="AA97" i="87"/>
  <c r="AA97" i="124" s="1"/>
  <c r="AA98" i="87"/>
  <c r="AA98" i="124" s="1"/>
  <c r="AA99" i="87"/>
  <c r="AA99" i="124" s="1"/>
  <c r="AA100" i="87"/>
  <c r="AA100" i="124" s="1"/>
  <c r="AA101" i="87"/>
  <c r="AA101" i="124" s="1"/>
  <c r="AA102" i="87"/>
  <c r="AA102" i="124" s="1"/>
  <c r="AA103" i="87"/>
  <c r="AA103" i="124" s="1"/>
  <c r="AA104" i="87"/>
  <c r="AA104" i="124" s="1"/>
  <c r="AA105" i="87"/>
  <c r="AA105" i="124" s="1"/>
  <c r="AA120" i="87"/>
  <c r="AA112" i="87"/>
  <c r="AA112" i="124" s="1"/>
  <c r="AA112" i="174" s="1"/>
  <c r="AA86" i="124"/>
  <c r="AA86" i="174" s="1"/>
  <c r="AA75" i="87"/>
  <c r="AA68" i="87"/>
  <c r="AA56" i="87"/>
  <c r="AA70" i="87"/>
  <c r="AA151" i="87"/>
  <c r="AA150" i="87"/>
  <c r="AA133" i="87"/>
  <c r="AA119" i="87"/>
  <c r="AA116" i="87"/>
  <c r="AA80" i="87"/>
  <c r="AA54" i="87"/>
  <c r="AA62" i="87"/>
  <c r="AA55" i="87"/>
  <c r="Z45" i="87"/>
  <c r="AA45" i="87"/>
  <c r="AB45" i="87"/>
  <c r="AC45" i="87"/>
  <c r="AD45" i="87"/>
  <c r="AE45" i="87"/>
  <c r="AF45" i="87"/>
  <c r="AG45" i="87"/>
  <c r="AH45" i="87"/>
  <c r="AI45" i="87"/>
  <c r="AJ45" i="87"/>
  <c r="Y45" i="87"/>
  <c r="Z86" i="124"/>
  <c r="Z86" i="174" s="1"/>
  <c r="Z112" i="124"/>
  <c r="Z112" i="174" s="1"/>
  <c r="AA153" i="87"/>
  <c r="AA149" i="87"/>
  <c r="AA148" i="87"/>
  <c r="AA134" i="87"/>
  <c r="AA132" i="87"/>
  <c r="AA130" i="87"/>
  <c r="AA129" i="87"/>
  <c r="AA127" i="87"/>
  <c r="AA126" i="87"/>
  <c r="AA125" i="87"/>
  <c r="AA124" i="87"/>
  <c r="AA123" i="87"/>
  <c r="AA122" i="87"/>
  <c r="AA121" i="87"/>
  <c r="AA118" i="87"/>
  <c r="AA117" i="87"/>
  <c r="AA115" i="87"/>
  <c r="AA114" i="87"/>
  <c r="AA113" i="87"/>
  <c r="AA88" i="87"/>
  <c r="AA88" i="124" s="1"/>
  <c r="AA88" i="174" s="1"/>
  <c r="AA81" i="87"/>
  <c r="AA81" i="124" s="1"/>
  <c r="AA81" i="174" s="1"/>
  <c r="AA80" i="124"/>
  <c r="AA80" i="174" s="1"/>
  <c r="AA78" i="87"/>
  <c r="AA78" i="124" s="1"/>
  <c r="AA78" i="174" s="1"/>
  <c r="AA77" i="87"/>
  <c r="AA77" i="124" s="1"/>
  <c r="AA77" i="174" s="1"/>
  <c r="AA76" i="87"/>
  <c r="AA76" i="124" s="1"/>
  <c r="AA76" i="174" s="1"/>
  <c r="AA75" i="124"/>
  <c r="AA75" i="174" s="1"/>
  <c r="AA74" i="87"/>
  <c r="AA74" i="124" s="1"/>
  <c r="AA74" i="174" s="1"/>
  <c r="AA70" i="124"/>
  <c r="AA70" i="174" s="1"/>
  <c r="AA68" i="124"/>
  <c r="AA68" i="174" s="1"/>
  <c r="AA65" i="87"/>
  <c r="AA65" i="124" s="1"/>
  <c r="AA65" i="174" s="1"/>
  <c r="AA64" i="87"/>
  <c r="AA64" i="124" s="1"/>
  <c r="AA64" i="174" s="1"/>
  <c r="AA62" i="124"/>
  <c r="AA62" i="174" s="1"/>
  <c r="AA57" i="87"/>
  <c r="AA57" i="124" s="1"/>
  <c r="AA57" i="174" s="1"/>
  <c r="AA56" i="124"/>
  <c r="AA56" i="174" s="1"/>
  <c r="AA55" i="124"/>
  <c r="AA55" i="174" s="1"/>
  <c r="AA54" i="124"/>
  <c r="AA54" i="174" s="1"/>
  <c r="AA53" i="87"/>
  <c r="AA53" i="124" s="1"/>
  <c r="AA53" i="174" s="1"/>
  <c r="AA52" i="87"/>
  <c r="AA52" i="124" s="1"/>
  <c r="AA52" i="174" s="1"/>
  <c r="AA10" i="87"/>
  <c r="Z110" i="124"/>
  <c r="Z110" i="174" s="1"/>
  <c r="Z109" i="124"/>
  <c r="Z109" i="174" s="1"/>
  <c r="Z108" i="124"/>
  <c r="Z108" i="174" s="1"/>
  <c r="Z106" i="87"/>
  <c r="Z107" i="124"/>
  <c r="Z90" i="87"/>
  <c r="Z29" i="87"/>
  <c r="Z38" i="87"/>
  <c r="Z10" i="124"/>
  <c r="Z10" i="174" s="1"/>
  <c r="Z50" i="87"/>
  <c r="Z51" i="124"/>
  <c r="Z52" i="124"/>
  <c r="Z52" i="174" s="1"/>
  <c r="Z53" i="124"/>
  <c r="Z53" i="174" s="1"/>
  <c r="Z54" i="124"/>
  <c r="Z54" i="174" s="1"/>
  <c r="Z55" i="124"/>
  <c r="Z56" i="124"/>
  <c r="Z56" i="174" s="1"/>
  <c r="Z57" i="124"/>
  <c r="Z57" i="174" s="1"/>
  <c r="Z62" i="124"/>
  <c r="Z62" i="174" s="1"/>
  <c r="Z64" i="124"/>
  <c r="Z64" i="174" s="1"/>
  <c r="Z65" i="124"/>
  <c r="Z65" i="174" s="1"/>
  <c r="Z68" i="124"/>
  <c r="Z68" i="174" s="1"/>
  <c r="Z70" i="124"/>
  <c r="Z70" i="174" s="1"/>
  <c r="Z74" i="124"/>
  <c r="Z74" i="174" s="1"/>
  <c r="Z75" i="124"/>
  <c r="Z75" i="174" s="1"/>
  <c r="Z76" i="124"/>
  <c r="Z76" i="174" s="1"/>
  <c r="Z77" i="124"/>
  <c r="Z77" i="174" s="1"/>
  <c r="Z78" i="124"/>
  <c r="Z78" i="174" s="1"/>
  <c r="Z80" i="124"/>
  <c r="Z80" i="174" s="1"/>
  <c r="Z81" i="124"/>
  <c r="Z81" i="174" s="1"/>
  <c r="Z88" i="124"/>
  <c r="Z88" i="174" s="1"/>
  <c r="Z111" i="87"/>
  <c r="Z113" i="124"/>
  <c r="Z113" i="174" s="1"/>
  <c r="Z114" i="124"/>
  <c r="Z114" i="174" s="1"/>
  <c r="Z115" i="124"/>
  <c r="Z115" i="174" s="1"/>
  <c r="Z116" i="124"/>
  <c r="Z116" i="174" s="1"/>
  <c r="Z117" i="124"/>
  <c r="Z117" i="174" s="1"/>
  <c r="Z118" i="124"/>
  <c r="Z118" i="174" s="1"/>
  <c r="Z119" i="124"/>
  <c r="Z119" i="174" s="1"/>
  <c r="Z120" i="124"/>
  <c r="Z120" i="174" s="1"/>
  <c r="Z121" i="124"/>
  <c r="Z121" i="174" s="1"/>
  <c r="Z122" i="124"/>
  <c r="Z122" i="174" s="1"/>
  <c r="Z123" i="124"/>
  <c r="Z123" i="174" s="1"/>
  <c r="Z124" i="124"/>
  <c r="Z124" i="174" s="1"/>
  <c r="Z125" i="124"/>
  <c r="Z125" i="174" s="1"/>
  <c r="Z126" i="124"/>
  <c r="Z126" i="174" s="1"/>
  <c r="Z127" i="124"/>
  <c r="Z127" i="174" s="1"/>
  <c r="Z129" i="124"/>
  <c r="Z129" i="174" s="1"/>
  <c r="Z130" i="124"/>
  <c r="Z130" i="174" s="1"/>
  <c r="Z132" i="124"/>
  <c r="Z132" i="174" s="1"/>
  <c r="Z133" i="124"/>
  <c r="Z133" i="174" s="1"/>
  <c r="Z134" i="124"/>
  <c r="Z134" i="174" s="1"/>
  <c r="Z145" i="124"/>
  <c r="Z145" i="174" s="1"/>
  <c r="Z146" i="124"/>
  <c r="Z146" i="174" s="1"/>
  <c r="Z147" i="87"/>
  <c r="Z155" i="87" s="1"/>
  <c r="Z148" i="124"/>
  <c r="Z148" i="174" s="1"/>
  <c r="Z149" i="124"/>
  <c r="Z149" i="174" s="1"/>
  <c r="Z150" i="124"/>
  <c r="Z150" i="174" s="1"/>
  <c r="Z151" i="124"/>
  <c r="Z151" i="174" s="1"/>
  <c r="Z153" i="124"/>
  <c r="Z153" i="174" s="1"/>
  <c r="AB1" i="87"/>
  <c r="AB51" i="87" s="1"/>
  <c r="AC1" i="87"/>
  <c r="AC51" i="87" s="1"/>
  <c r="Z107" i="174" l="1"/>
  <c r="Z106" i="124"/>
  <c r="AA105" i="174"/>
  <c r="AA104" i="174"/>
  <c r="AA103" i="174"/>
  <c r="AA102" i="174"/>
  <c r="AA101" i="174"/>
  <c r="AA100" i="174"/>
  <c r="AA99" i="174"/>
  <c r="AA98" i="174"/>
  <c r="AA97" i="174"/>
  <c r="AA96" i="174"/>
  <c r="AA95" i="174"/>
  <c r="AA94" i="174"/>
  <c r="AA93" i="174"/>
  <c r="AA92" i="174"/>
  <c r="AA91" i="174"/>
  <c r="AA90" i="124"/>
  <c r="AC110" i="87"/>
  <c r="AC109" i="87"/>
  <c r="AC108" i="87"/>
  <c r="AC107" i="87"/>
  <c r="AB110" i="87"/>
  <c r="AB109" i="87"/>
  <c r="AB108" i="87"/>
  <c r="AB107" i="87"/>
  <c r="AC91" i="87"/>
  <c r="AC91" i="124" s="1"/>
  <c r="AC92" i="87"/>
  <c r="AC92" i="124" s="1"/>
  <c r="AC92" i="174" s="1"/>
  <c r="AC93" i="87"/>
  <c r="AC93" i="124" s="1"/>
  <c r="AC93" i="174" s="1"/>
  <c r="AC94" i="87"/>
  <c r="AC94" i="124" s="1"/>
  <c r="AC94" i="174" s="1"/>
  <c r="AC95" i="87"/>
  <c r="AC95" i="124" s="1"/>
  <c r="AC95" i="174" s="1"/>
  <c r="AC96" i="87"/>
  <c r="AC96" i="124" s="1"/>
  <c r="AC96" i="174" s="1"/>
  <c r="AC97" i="87"/>
  <c r="AC97" i="124" s="1"/>
  <c r="AC97" i="174" s="1"/>
  <c r="AC98" i="87"/>
  <c r="AC98" i="124" s="1"/>
  <c r="AC98" i="174" s="1"/>
  <c r="AC99" i="87"/>
  <c r="AC99" i="124" s="1"/>
  <c r="AC99" i="174" s="1"/>
  <c r="AC100" i="87"/>
  <c r="AC100" i="124" s="1"/>
  <c r="AC100" i="174" s="1"/>
  <c r="AC101" i="87"/>
  <c r="AC101" i="124" s="1"/>
  <c r="AC101" i="174" s="1"/>
  <c r="AC102" i="87"/>
  <c r="AC102" i="124" s="1"/>
  <c r="AC102" i="174" s="1"/>
  <c r="AC103" i="87"/>
  <c r="AC103" i="124" s="1"/>
  <c r="AC103" i="174" s="1"/>
  <c r="AC104" i="87"/>
  <c r="AC104" i="124" s="1"/>
  <c r="AC104" i="174" s="1"/>
  <c r="AC105" i="87"/>
  <c r="AC105" i="124" s="1"/>
  <c r="AC105" i="174" s="1"/>
  <c r="AB91" i="87"/>
  <c r="AB91" i="124" s="1"/>
  <c r="AB92" i="87"/>
  <c r="AB92" i="124" s="1"/>
  <c r="AB93" i="87"/>
  <c r="AB93" i="124" s="1"/>
  <c r="AB94" i="87"/>
  <c r="AB94" i="124" s="1"/>
  <c r="AB95" i="87"/>
  <c r="AB95" i="124" s="1"/>
  <c r="AB96" i="87"/>
  <c r="AB96" i="124" s="1"/>
  <c r="AB97" i="87"/>
  <c r="AB97" i="124" s="1"/>
  <c r="AB98" i="87"/>
  <c r="AB98" i="124" s="1"/>
  <c r="AB99" i="87"/>
  <c r="AB99" i="124" s="1"/>
  <c r="AB100" i="87"/>
  <c r="AB100" i="124" s="1"/>
  <c r="AB101" i="87"/>
  <c r="AB101" i="124" s="1"/>
  <c r="AB102" i="87"/>
  <c r="AB102" i="124" s="1"/>
  <c r="AB103" i="87"/>
  <c r="AB103" i="124" s="1"/>
  <c r="AB104" i="87"/>
  <c r="AB104" i="124" s="1"/>
  <c r="AB105" i="87"/>
  <c r="AB105" i="124" s="1"/>
  <c r="AC120" i="87"/>
  <c r="AC112" i="87"/>
  <c r="AC112" i="124" s="1"/>
  <c r="AC112" i="174" s="1"/>
  <c r="AC86" i="124"/>
  <c r="AC86" i="174" s="1"/>
  <c r="AC75" i="87"/>
  <c r="AC68" i="87"/>
  <c r="AC56" i="87"/>
  <c r="AC70" i="87"/>
  <c r="AC151" i="87"/>
  <c r="AC150" i="87"/>
  <c r="AC133" i="87"/>
  <c r="AC119" i="87"/>
  <c r="AC116" i="87"/>
  <c r="AC80" i="87"/>
  <c r="AC54" i="87"/>
  <c r="AC62" i="87"/>
  <c r="AC55" i="87"/>
  <c r="Z46" i="87"/>
  <c r="AA46" i="87"/>
  <c r="AB46" i="87"/>
  <c r="AC46" i="87"/>
  <c r="AD46" i="87"/>
  <c r="AE46" i="87"/>
  <c r="AF46" i="87"/>
  <c r="AG46" i="87"/>
  <c r="AH46" i="87"/>
  <c r="AI46" i="87"/>
  <c r="AJ46" i="87"/>
  <c r="Y46" i="87"/>
  <c r="AB120" i="87"/>
  <c r="AB112" i="87"/>
  <c r="AB75" i="87"/>
  <c r="AB68" i="87"/>
  <c r="AB56" i="87"/>
  <c r="AB70" i="87"/>
  <c r="AB151" i="87"/>
  <c r="AB150" i="87"/>
  <c r="AB133" i="87"/>
  <c r="AB119" i="87"/>
  <c r="AB116" i="87"/>
  <c r="AB80" i="87"/>
  <c r="AB54" i="87"/>
  <c r="AB62" i="87"/>
  <c r="AB55" i="87"/>
  <c r="Z51" i="174"/>
  <c r="Z55" i="174"/>
  <c r="AA153" i="124"/>
  <c r="AA153" i="174" s="1"/>
  <c r="AA110" i="124"/>
  <c r="AA110" i="174" s="1"/>
  <c r="AA109" i="124"/>
  <c r="AA109" i="174" s="1"/>
  <c r="AA108" i="124"/>
  <c r="AA108" i="174" s="1"/>
  <c r="AA114" i="124"/>
  <c r="AA114" i="174" s="1"/>
  <c r="AA115" i="124"/>
  <c r="AA115" i="174" s="1"/>
  <c r="AA124" i="124"/>
  <c r="AA124" i="174" s="1"/>
  <c r="AA125" i="124"/>
  <c r="AA125" i="174" s="1"/>
  <c r="AA126" i="124"/>
  <c r="AA126" i="174" s="1"/>
  <c r="AA127" i="124"/>
  <c r="AA127" i="174" s="1"/>
  <c r="AA129" i="124"/>
  <c r="AA129" i="174" s="1"/>
  <c r="AA132" i="124"/>
  <c r="AA132" i="174" s="1"/>
  <c r="AA134" i="124"/>
  <c r="AA134" i="174" s="1"/>
  <c r="AA116" i="124"/>
  <c r="AA116" i="174" s="1"/>
  <c r="AA117" i="124"/>
  <c r="AA117" i="174" s="1"/>
  <c r="AA118" i="124"/>
  <c r="AA118" i="174" s="1"/>
  <c r="AA119" i="124"/>
  <c r="AA119" i="174" s="1"/>
  <c r="AA133" i="124"/>
  <c r="AA133" i="174" s="1"/>
  <c r="AA146" i="124"/>
  <c r="AA146" i="174" s="1"/>
  <c r="AA150" i="124"/>
  <c r="AA150" i="174" s="1"/>
  <c r="AA151" i="124"/>
  <c r="AA151" i="174" s="1"/>
  <c r="AA149" i="124"/>
  <c r="AA149" i="174" s="1"/>
  <c r="AA120" i="124"/>
  <c r="AA120" i="174" s="1"/>
  <c r="AA121" i="124"/>
  <c r="AA121" i="174" s="1"/>
  <c r="AA122" i="124"/>
  <c r="AA122" i="174" s="1"/>
  <c r="AA123" i="124"/>
  <c r="AA123" i="174" s="1"/>
  <c r="AA145" i="124"/>
  <c r="AA145" i="174" s="1"/>
  <c r="AC153" i="87"/>
  <c r="AC149" i="87"/>
  <c r="AC148" i="87"/>
  <c r="AC134" i="87"/>
  <c r="AC132" i="87"/>
  <c r="AC130" i="87"/>
  <c r="AC129" i="87"/>
  <c r="AC127" i="87"/>
  <c r="AC126" i="87"/>
  <c r="AC125" i="87"/>
  <c r="AC124" i="87"/>
  <c r="AC123" i="87"/>
  <c r="AC122" i="87"/>
  <c r="AC121" i="87"/>
  <c r="AC118" i="87"/>
  <c r="AC117" i="87"/>
  <c r="AC115" i="87"/>
  <c r="AC114" i="87"/>
  <c r="AC113" i="87"/>
  <c r="AC88" i="87"/>
  <c r="AC88" i="124" s="1"/>
  <c r="AC88" i="174" s="1"/>
  <c r="AC81" i="87"/>
  <c r="AC81" i="124" s="1"/>
  <c r="AC81" i="174" s="1"/>
  <c r="AC80" i="124"/>
  <c r="AC80" i="174" s="1"/>
  <c r="AC78" i="87"/>
  <c r="AC78" i="124" s="1"/>
  <c r="AC78" i="174" s="1"/>
  <c r="AC77" i="87"/>
  <c r="AC77" i="124" s="1"/>
  <c r="AC77" i="174" s="1"/>
  <c r="AC76" i="87"/>
  <c r="AC76" i="124" s="1"/>
  <c r="AC76" i="174" s="1"/>
  <c r="AC75" i="124"/>
  <c r="AC75" i="174" s="1"/>
  <c r="AC74" i="87"/>
  <c r="AC74" i="124" s="1"/>
  <c r="AC74" i="174" s="1"/>
  <c r="AC70" i="124"/>
  <c r="AC70" i="174" s="1"/>
  <c r="AC68" i="124"/>
  <c r="AC68" i="174" s="1"/>
  <c r="AC65" i="87"/>
  <c r="AC65" i="124" s="1"/>
  <c r="AC65" i="174" s="1"/>
  <c r="AC64" i="87"/>
  <c r="AC64" i="124" s="1"/>
  <c r="AC64" i="174" s="1"/>
  <c r="AC62" i="124"/>
  <c r="AC62" i="174" s="1"/>
  <c r="AC57" i="87"/>
  <c r="AC57" i="124" s="1"/>
  <c r="AC57" i="174" s="1"/>
  <c r="AC56" i="124"/>
  <c r="AC56" i="174" s="1"/>
  <c r="AC55" i="124"/>
  <c r="AC55" i="174" s="1"/>
  <c r="AC54" i="124"/>
  <c r="AC54" i="174" s="1"/>
  <c r="AC53" i="87"/>
  <c r="AC53" i="124" s="1"/>
  <c r="AC53" i="174" s="1"/>
  <c r="AC52" i="87"/>
  <c r="AC52" i="124" s="1"/>
  <c r="AC52" i="174" s="1"/>
  <c r="AC10" i="87"/>
  <c r="AB153" i="87"/>
  <c r="AB149" i="87"/>
  <c r="AB148" i="87"/>
  <c r="AB134" i="87"/>
  <c r="AB132" i="87"/>
  <c r="AB130" i="87"/>
  <c r="AB129" i="87"/>
  <c r="AB127" i="87"/>
  <c r="AB126" i="87"/>
  <c r="AB125" i="87"/>
  <c r="AB124" i="87"/>
  <c r="AB123" i="87"/>
  <c r="AB122" i="87"/>
  <c r="AB121" i="87"/>
  <c r="AB118" i="87"/>
  <c r="AB117" i="87"/>
  <c r="AB115" i="87"/>
  <c r="AB114" i="87"/>
  <c r="AB113" i="87"/>
  <c r="AB88" i="87"/>
  <c r="AB81" i="87"/>
  <c r="AB78" i="87"/>
  <c r="AB77" i="87"/>
  <c r="AB76" i="87"/>
  <c r="AB74" i="87"/>
  <c r="AB65" i="87"/>
  <c r="AB64" i="87"/>
  <c r="AB57" i="87"/>
  <c r="AB53" i="87"/>
  <c r="AB52" i="87"/>
  <c r="AB10" i="87"/>
  <c r="Z38" i="124"/>
  <c r="Z38" i="174" s="1"/>
  <c r="Z29" i="124"/>
  <c r="Z29" i="174" s="1"/>
  <c r="AA106" i="87"/>
  <c r="AA107" i="124"/>
  <c r="AA90" i="87"/>
  <c r="AA29" i="87"/>
  <c r="AA10" i="124"/>
  <c r="AA10" i="174" s="1"/>
  <c r="AA50" i="87"/>
  <c r="AA51" i="124"/>
  <c r="AA111" i="87"/>
  <c r="AA113" i="124"/>
  <c r="AA113" i="174" s="1"/>
  <c r="AA130" i="124"/>
  <c r="AA130" i="174" s="1"/>
  <c r="AA147" i="87"/>
  <c r="AA155" i="87" s="1"/>
  <c r="AA148" i="124"/>
  <c r="AA148" i="174" s="1"/>
  <c r="Z256" i="174"/>
  <c r="AD1" i="87"/>
  <c r="AD51" i="87" s="1"/>
  <c r="K7" i="124"/>
  <c r="K7" i="174" s="1"/>
  <c r="L7" i="124"/>
  <c r="L7" i="174" s="1"/>
  <c r="M7" i="124"/>
  <c r="M7" i="174" s="1"/>
  <c r="N7" i="124"/>
  <c r="N7" i="174" s="1"/>
  <c r="O7" i="124"/>
  <c r="O7" i="174" s="1"/>
  <c r="P7" i="124"/>
  <c r="P7" i="174" s="1"/>
  <c r="Q7" i="124"/>
  <c r="R7" i="124"/>
  <c r="R7" i="174" s="1"/>
  <c r="S7" i="124"/>
  <c r="S7" i="174" s="1"/>
  <c r="T7" i="124"/>
  <c r="T7" i="174" s="1"/>
  <c r="U7" i="124"/>
  <c r="U7" i="174" s="1"/>
  <c r="K8" i="124"/>
  <c r="K8" i="174" s="1"/>
  <c r="L8" i="124"/>
  <c r="L8" i="174" s="1"/>
  <c r="M8" i="124"/>
  <c r="M8" i="174" s="1"/>
  <c r="N8" i="124"/>
  <c r="N8" i="174" s="1"/>
  <c r="O8" i="124"/>
  <c r="O8" i="174" s="1"/>
  <c r="P8" i="124"/>
  <c r="P8" i="174" s="1"/>
  <c r="Q8" i="124"/>
  <c r="Q8" i="174" s="1"/>
  <c r="R8" i="124"/>
  <c r="R8" i="174" s="1"/>
  <c r="S8" i="124"/>
  <c r="S8" i="174" s="1"/>
  <c r="T8" i="124"/>
  <c r="T8" i="174" s="1"/>
  <c r="U8" i="124"/>
  <c r="U8" i="174" s="1"/>
  <c r="K9" i="124"/>
  <c r="L9" i="124"/>
  <c r="M9" i="124"/>
  <c r="N9" i="124"/>
  <c r="O9" i="124"/>
  <c r="P9" i="124"/>
  <c r="Q9" i="124"/>
  <c r="R9" i="124"/>
  <c r="S9" i="124"/>
  <c r="T9" i="124"/>
  <c r="U9" i="124"/>
  <c r="K10" i="124"/>
  <c r="K10" i="174" s="1"/>
  <c r="L10" i="124"/>
  <c r="L10" i="174" s="1"/>
  <c r="M10" i="124"/>
  <c r="M10" i="174" s="1"/>
  <c r="N10" i="124"/>
  <c r="N10" i="174" s="1"/>
  <c r="O10" i="124"/>
  <c r="O10" i="174" s="1"/>
  <c r="P10" i="124"/>
  <c r="P10" i="174" s="1"/>
  <c r="Q10" i="124"/>
  <c r="Q10" i="174" s="1"/>
  <c r="R10" i="124"/>
  <c r="R10" i="174" s="1"/>
  <c r="S10" i="124"/>
  <c r="S10" i="174" s="1"/>
  <c r="T10" i="124"/>
  <c r="T10" i="174" s="1"/>
  <c r="U10" i="124"/>
  <c r="U10" i="174" s="1"/>
  <c r="K11" i="124"/>
  <c r="K11" i="174" s="1"/>
  <c r="L11" i="124"/>
  <c r="L11" i="174" s="1"/>
  <c r="M11" i="124"/>
  <c r="M11" i="174" s="1"/>
  <c r="N11" i="124"/>
  <c r="N11" i="174" s="1"/>
  <c r="O11" i="124"/>
  <c r="O11" i="174" s="1"/>
  <c r="P11" i="124"/>
  <c r="P11" i="174" s="1"/>
  <c r="Q11" i="124"/>
  <c r="Q11" i="174" s="1"/>
  <c r="R11" i="124"/>
  <c r="R11" i="174" s="1"/>
  <c r="S11" i="124"/>
  <c r="S11" i="174" s="1"/>
  <c r="T11" i="124"/>
  <c r="T11" i="174" s="1"/>
  <c r="U11" i="124"/>
  <c r="U11" i="174" s="1"/>
  <c r="J8" i="124"/>
  <c r="J8" i="174" s="1"/>
  <c r="J9" i="124"/>
  <c r="J10" i="124"/>
  <c r="J10" i="174" s="1"/>
  <c r="J11" i="124"/>
  <c r="J11" i="174" s="1"/>
  <c r="AA107" i="174" l="1"/>
  <c r="AA106" i="124"/>
  <c r="AB105" i="174"/>
  <c r="AB104" i="174"/>
  <c r="AB103" i="174"/>
  <c r="AB102" i="174"/>
  <c r="AB101" i="174"/>
  <c r="AB100" i="174"/>
  <c r="AB99" i="174"/>
  <c r="AB98" i="174"/>
  <c r="AB97" i="174"/>
  <c r="AB96" i="174"/>
  <c r="AB95" i="174"/>
  <c r="AB94" i="174"/>
  <c r="AB93" i="174"/>
  <c r="AB92" i="174"/>
  <c r="AB91" i="174"/>
  <c r="AB90" i="124"/>
  <c r="AC91" i="174"/>
  <c r="AC90" i="124"/>
  <c r="AD110" i="87"/>
  <c r="AD109" i="87"/>
  <c r="AD108" i="87"/>
  <c r="AD107" i="87"/>
  <c r="AD91" i="87"/>
  <c r="AD91" i="124" s="1"/>
  <c r="AD92" i="87"/>
  <c r="AD92" i="124" s="1"/>
  <c r="AD93" i="87"/>
  <c r="AD93" i="124" s="1"/>
  <c r="AD94" i="87"/>
  <c r="AD94" i="124" s="1"/>
  <c r="AD95" i="87"/>
  <c r="AD95" i="124" s="1"/>
  <c r="AD96" i="87"/>
  <c r="AD96" i="124" s="1"/>
  <c r="AD97" i="87"/>
  <c r="AD97" i="124" s="1"/>
  <c r="AD98" i="87"/>
  <c r="AD98" i="124" s="1"/>
  <c r="AD99" i="87"/>
  <c r="AD99" i="124" s="1"/>
  <c r="AD100" i="87"/>
  <c r="AD100" i="124" s="1"/>
  <c r="AD101" i="87"/>
  <c r="AD101" i="124" s="1"/>
  <c r="AD102" i="87"/>
  <c r="AD102" i="124" s="1"/>
  <c r="AD103" i="87"/>
  <c r="AD103" i="124" s="1"/>
  <c r="AD104" i="87"/>
  <c r="AD104" i="124" s="1"/>
  <c r="AD105" i="87"/>
  <c r="AD105" i="124" s="1"/>
  <c r="Q7" i="174"/>
  <c r="J46" i="124"/>
  <c r="J46" i="174" s="1"/>
  <c r="J9" i="174"/>
  <c r="U46" i="174"/>
  <c r="U9" i="174"/>
  <c r="T46" i="174"/>
  <c r="T9" i="174"/>
  <c r="S46" i="174"/>
  <c r="S9" i="174"/>
  <c r="Q46" i="124"/>
  <c r="Q46" i="174" s="1"/>
  <c r="Q9" i="174"/>
  <c r="P46" i="124"/>
  <c r="P46" i="174" s="1"/>
  <c r="P9" i="174"/>
  <c r="O46" i="124"/>
  <c r="O46" i="174" s="1"/>
  <c r="O9" i="174"/>
  <c r="N46" i="124"/>
  <c r="N46" i="174" s="1"/>
  <c r="N9" i="174"/>
  <c r="M46" i="124"/>
  <c r="M46" i="174" s="1"/>
  <c r="M9" i="174"/>
  <c r="L46" i="124"/>
  <c r="L46" i="174" s="1"/>
  <c r="L9" i="174"/>
  <c r="K46" i="124"/>
  <c r="K46" i="174" s="1"/>
  <c r="K9" i="174"/>
  <c r="AD120" i="87"/>
  <c r="AD112" i="87"/>
  <c r="AD112" i="124" s="1"/>
  <c r="AD112" i="174" s="1"/>
  <c r="AD86" i="124"/>
  <c r="AD86" i="174" s="1"/>
  <c r="AD75" i="87"/>
  <c r="AD68" i="87"/>
  <c r="AD56" i="87"/>
  <c r="AD70" i="87"/>
  <c r="AD151" i="87"/>
  <c r="AD150" i="87"/>
  <c r="AD133" i="87"/>
  <c r="AD119" i="87"/>
  <c r="AD116" i="87"/>
  <c r="AD80" i="87"/>
  <c r="AD54" i="87"/>
  <c r="AD62" i="87"/>
  <c r="AD55" i="87"/>
  <c r="AB86" i="124"/>
  <c r="AB86" i="174" s="1"/>
  <c r="AB112" i="124"/>
  <c r="AB112" i="174" s="1"/>
  <c r="AA51" i="174"/>
  <c r="R46" i="174"/>
  <c r="R9" i="174"/>
  <c r="AC153" i="124"/>
  <c r="AC153" i="174" s="1"/>
  <c r="AC110" i="124"/>
  <c r="AC110" i="174" s="1"/>
  <c r="AC109" i="124"/>
  <c r="AC109" i="174" s="1"/>
  <c r="AC108" i="124"/>
  <c r="AC108" i="174" s="1"/>
  <c r="AC114" i="124"/>
  <c r="AC114" i="174" s="1"/>
  <c r="AC115" i="124"/>
  <c r="AC115" i="174" s="1"/>
  <c r="AC124" i="124"/>
  <c r="AC124" i="174" s="1"/>
  <c r="AC125" i="124"/>
  <c r="AC125" i="174" s="1"/>
  <c r="AC126" i="124"/>
  <c r="AC126" i="174" s="1"/>
  <c r="AC127" i="124"/>
  <c r="AC127" i="174" s="1"/>
  <c r="AC129" i="124"/>
  <c r="AC129" i="174" s="1"/>
  <c r="AC132" i="124"/>
  <c r="AC132" i="174" s="1"/>
  <c r="AC134" i="124"/>
  <c r="AC134" i="174" s="1"/>
  <c r="AC116" i="124"/>
  <c r="AC116" i="174" s="1"/>
  <c r="AC117" i="124"/>
  <c r="AC117" i="174" s="1"/>
  <c r="AC118" i="124"/>
  <c r="AC118" i="174" s="1"/>
  <c r="AC119" i="124"/>
  <c r="AC119" i="174" s="1"/>
  <c r="AC133" i="124"/>
  <c r="AC133" i="174" s="1"/>
  <c r="AC146" i="124"/>
  <c r="AC146" i="174" s="1"/>
  <c r="AC150" i="124"/>
  <c r="AC150" i="174" s="1"/>
  <c r="AC151" i="124"/>
  <c r="AC151" i="174" s="1"/>
  <c r="AC149" i="124"/>
  <c r="AC149" i="174" s="1"/>
  <c r="AC120" i="124"/>
  <c r="AC120" i="174" s="1"/>
  <c r="AC121" i="124"/>
  <c r="AC121" i="174" s="1"/>
  <c r="AC122" i="124"/>
  <c r="AC122" i="174" s="1"/>
  <c r="AC123" i="124"/>
  <c r="AC123" i="174" s="1"/>
  <c r="AC145" i="124"/>
  <c r="AC145" i="174" s="1"/>
  <c r="O45" i="124"/>
  <c r="O45" i="174" s="1"/>
  <c r="N45" i="124"/>
  <c r="N45" i="174" s="1"/>
  <c r="M45" i="124"/>
  <c r="M45" i="174" s="1"/>
  <c r="L45" i="124"/>
  <c r="L45" i="174" s="1"/>
  <c r="K45" i="124"/>
  <c r="K45" i="174" s="1"/>
  <c r="N44" i="124"/>
  <c r="N44" i="174" s="1"/>
  <c r="M44" i="124"/>
  <c r="M44" i="174" s="1"/>
  <c r="L44" i="124"/>
  <c r="L44" i="174" s="1"/>
  <c r="K44" i="124"/>
  <c r="K44" i="174" s="1"/>
  <c r="AD153" i="87"/>
  <c r="AD149" i="87"/>
  <c r="AD148" i="87"/>
  <c r="AD134" i="87"/>
  <c r="AD132" i="87"/>
  <c r="AD130" i="87"/>
  <c r="AD129" i="87"/>
  <c r="AD127" i="87"/>
  <c r="AD126" i="87"/>
  <c r="AD125" i="87"/>
  <c r="AD124" i="87"/>
  <c r="AD123" i="87"/>
  <c r="AD122" i="87"/>
  <c r="AD121" i="87"/>
  <c r="AD118" i="87"/>
  <c r="AD117" i="87"/>
  <c r="AD115" i="87"/>
  <c r="AD114" i="87"/>
  <c r="AD113" i="87"/>
  <c r="AD88" i="87"/>
  <c r="AD88" i="124" s="1"/>
  <c r="AD88" i="174" s="1"/>
  <c r="AD81" i="87"/>
  <c r="AD81" i="124" s="1"/>
  <c r="AD81" i="174" s="1"/>
  <c r="AD80" i="124"/>
  <c r="AD80" i="174" s="1"/>
  <c r="AD78" i="87"/>
  <c r="AD78" i="124" s="1"/>
  <c r="AD78" i="174" s="1"/>
  <c r="AD77" i="87"/>
  <c r="AD77" i="124" s="1"/>
  <c r="AD77" i="174" s="1"/>
  <c r="AD76" i="87"/>
  <c r="AD76" i="124" s="1"/>
  <c r="AD76" i="174" s="1"/>
  <c r="AD75" i="124"/>
  <c r="AD75" i="174" s="1"/>
  <c r="AD74" i="87"/>
  <c r="AD74" i="124" s="1"/>
  <c r="AD74" i="174" s="1"/>
  <c r="AD70" i="124"/>
  <c r="AD70" i="174" s="1"/>
  <c r="AD68" i="124"/>
  <c r="AD68" i="174" s="1"/>
  <c r="AD65" i="87"/>
  <c r="AD65" i="124" s="1"/>
  <c r="AD65" i="174" s="1"/>
  <c r="AD64" i="87"/>
  <c r="AD64" i="124" s="1"/>
  <c r="AD64" i="174" s="1"/>
  <c r="AD62" i="124"/>
  <c r="AD62" i="174" s="1"/>
  <c r="AD57" i="87"/>
  <c r="AD57" i="124" s="1"/>
  <c r="AD57" i="174" s="1"/>
  <c r="AD56" i="124"/>
  <c r="AD56" i="174" s="1"/>
  <c r="AD55" i="124"/>
  <c r="AD55" i="174" s="1"/>
  <c r="AD54" i="124"/>
  <c r="AD54" i="174" s="1"/>
  <c r="AD53" i="87"/>
  <c r="AD53" i="124" s="1"/>
  <c r="AD53" i="174" s="1"/>
  <c r="AD52" i="87"/>
  <c r="AD52" i="124" s="1"/>
  <c r="AD52" i="174" s="1"/>
  <c r="AD10" i="87"/>
  <c r="AA38" i="87"/>
  <c r="AA29" i="124"/>
  <c r="AA29" i="174" s="1"/>
  <c r="AB110" i="124"/>
  <c r="AB110" i="174" s="1"/>
  <c r="AB109" i="124"/>
  <c r="AB109" i="174" s="1"/>
  <c r="AB108" i="124"/>
  <c r="AB108" i="174" s="1"/>
  <c r="AB106" i="87"/>
  <c r="AB107" i="124"/>
  <c r="AB90" i="87"/>
  <c r="AB29" i="87"/>
  <c r="AB38" i="87"/>
  <c r="AB38" i="124" s="1"/>
  <c r="AB38" i="174" s="1"/>
  <c r="AB10" i="124"/>
  <c r="AB10" i="174" s="1"/>
  <c r="AB50" i="87"/>
  <c r="AB51" i="124"/>
  <c r="AB52" i="124"/>
  <c r="AB52" i="174" s="1"/>
  <c r="AB53" i="124"/>
  <c r="AB53" i="174" s="1"/>
  <c r="AB54" i="124"/>
  <c r="AB54" i="174" s="1"/>
  <c r="AB55" i="124"/>
  <c r="AB56" i="124"/>
  <c r="AB56" i="174" s="1"/>
  <c r="AB57" i="124"/>
  <c r="AB57" i="174" s="1"/>
  <c r="AB62" i="124"/>
  <c r="AB62" i="174" s="1"/>
  <c r="AB64" i="124"/>
  <c r="AB64" i="174" s="1"/>
  <c r="AB65" i="124"/>
  <c r="AB65" i="174" s="1"/>
  <c r="AB68" i="124"/>
  <c r="AB68" i="174" s="1"/>
  <c r="AB70" i="124"/>
  <c r="AB70" i="174" s="1"/>
  <c r="AB74" i="124"/>
  <c r="AB74" i="174" s="1"/>
  <c r="AB75" i="124"/>
  <c r="AB75" i="174" s="1"/>
  <c r="AB76" i="124"/>
  <c r="AB76" i="174" s="1"/>
  <c r="AB77" i="124"/>
  <c r="AB77" i="174" s="1"/>
  <c r="AB78" i="124"/>
  <c r="AB78" i="174" s="1"/>
  <c r="AB80" i="124"/>
  <c r="AB80" i="174" s="1"/>
  <c r="AB81" i="124"/>
  <c r="AB81" i="174" s="1"/>
  <c r="AB88" i="124"/>
  <c r="AB88" i="174" s="1"/>
  <c r="AB111" i="87"/>
  <c r="AB113" i="124"/>
  <c r="AB113" i="174" s="1"/>
  <c r="AB114" i="124"/>
  <c r="AB114" i="174" s="1"/>
  <c r="AB115" i="124"/>
  <c r="AB115" i="174" s="1"/>
  <c r="AB116" i="124"/>
  <c r="AB116" i="174" s="1"/>
  <c r="AB117" i="124"/>
  <c r="AB117" i="174" s="1"/>
  <c r="AB118" i="124"/>
  <c r="AB118" i="174" s="1"/>
  <c r="AB119" i="124"/>
  <c r="AB119" i="174" s="1"/>
  <c r="AB120" i="124"/>
  <c r="AB120" i="174" s="1"/>
  <c r="AB121" i="124"/>
  <c r="AB121" i="174" s="1"/>
  <c r="AB122" i="124"/>
  <c r="AB122" i="174" s="1"/>
  <c r="AB123" i="124"/>
  <c r="AB123" i="174" s="1"/>
  <c r="AB124" i="124"/>
  <c r="AB124" i="174" s="1"/>
  <c r="AB125" i="124"/>
  <c r="AB125" i="174" s="1"/>
  <c r="AB126" i="124"/>
  <c r="AB126" i="174" s="1"/>
  <c r="AB127" i="124"/>
  <c r="AB127" i="174" s="1"/>
  <c r="AB129" i="124"/>
  <c r="AB129" i="174" s="1"/>
  <c r="AB130" i="124"/>
  <c r="AB130" i="174" s="1"/>
  <c r="AB132" i="124"/>
  <c r="AB132" i="174" s="1"/>
  <c r="AB133" i="124"/>
  <c r="AB133" i="174" s="1"/>
  <c r="AB134" i="124"/>
  <c r="AB134" i="174" s="1"/>
  <c r="AB145" i="124"/>
  <c r="AB145" i="174" s="1"/>
  <c r="AB146" i="124"/>
  <c r="AB146" i="174" s="1"/>
  <c r="AB147" i="87"/>
  <c r="AB155" i="87" s="1"/>
  <c r="AB148" i="124"/>
  <c r="AB148" i="174" s="1"/>
  <c r="AB149" i="124"/>
  <c r="AB149" i="174" s="1"/>
  <c r="AB150" i="124"/>
  <c r="AB150" i="174" s="1"/>
  <c r="AB151" i="124"/>
  <c r="AB151" i="174" s="1"/>
  <c r="AB153" i="124"/>
  <c r="AB153" i="174" s="1"/>
  <c r="AC106" i="87"/>
  <c r="AC107" i="124"/>
  <c r="AC90" i="87"/>
  <c r="AC29" i="87"/>
  <c r="AC10" i="124"/>
  <c r="AC10" i="174" s="1"/>
  <c r="AC50" i="87"/>
  <c r="AC51" i="124"/>
  <c r="AC51" i="174" s="1"/>
  <c r="AC111" i="87"/>
  <c r="AC113" i="124"/>
  <c r="AC113" i="174" s="1"/>
  <c r="AC130" i="124"/>
  <c r="AC130" i="174" s="1"/>
  <c r="AC147" i="87"/>
  <c r="AC155" i="87" s="1"/>
  <c r="AC148" i="124"/>
  <c r="AC148" i="174" s="1"/>
  <c r="U44" i="174"/>
  <c r="U45" i="174"/>
  <c r="T44" i="174"/>
  <c r="T45" i="174"/>
  <c r="P45" i="124"/>
  <c r="P45" i="174" s="1"/>
  <c r="O44" i="124"/>
  <c r="O44" i="174" s="1"/>
  <c r="S44" i="174"/>
  <c r="R44" i="174"/>
  <c r="R45" i="174"/>
  <c r="J45" i="124"/>
  <c r="J45" i="174" s="1"/>
  <c r="S45" i="174"/>
  <c r="Q44" i="124"/>
  <c r="Q44" i="174" s="1"/>
  <c r="Q45" i="124"/>
  <c r="Q45" i="174" s="1"/>
  <c r="P44" i="124"/>
  <c r="P44" i="174" s="1"/>
  <c r="AA256" i="174"/>
  <c r="U50" i="124"/>
  <c r="L50" i="124"/>
  <c r="S50" i="124"/>
  <c r="K50" i="124"/>
  <c r="J50" i="124"/>
  <c r="P50" i="124"/>
  <c r="T50" i="124"/>
  <c r="O50" i="124"/>
  <c r="N50" i="124"/>
  <c r="M50" i="124"/>
  <c r="R50" i="124"/>
  <c r="Q50" i="124"/>
  <c r="AE1" i="87"/>
  <c r="AE51" i="87" s="1"/>
  <c r="Q50" i="174" l="1"/>
  <c r="R50" i="174"/>
  <c r="M50" i="174"/>
  <c r="N50" i="174"/>
  <c r="O50" i="174"/>
  <c r="T50" i="174"/>
  <c r="P50" i="174"/>
  <c r="J50" i="174"/>
  <c r="K50" i="174"/>
  <c r="S50" i="174"/>
  <c r="L50" i="174"/>
  <c r="U50" i="174"/>
  <c r="AC107" i="174"/>
  <c r="AC106" i="124"/>
  <c r="AB107" i="174"/>
  <c r="AB106" i="124"/>
  <c r="AD105" i="174"/>
  <c r="AD104" i="174"/>
  <c r="AD103" i="174"/>
  <c r="AD102" i="174"/>
  <c r="AD101" i="174"/>
  <c r="AD100" i="174"/>
  <c r="AD99" i="174"/>
  <c r="AD98" i="174"/>
  <c r="AD97" i="174"/>
  <c r="AD96" i="174"/>
  <c r="AD95" i="174"/>
  <c r="AD94" i="174"/>
  <c r="AD93" i="174"/>
  <c r="AD92" i="174"/>
  <c r="AD91" i="174"/>
  <c r="AD90" i="124"/>
  <c r="AE110" i="87"/>
  <c r="AE109" i="87"/>
  <c r="AE108" i="87"/>
  <c r="AE107" i="87"/>
  <c r="AE91" i="87"/>
  <c r="AE91" i="124" s="1"/>
  <c r="AE92" i="87"/>
  <c r="AE92" i="124" s="1"/>
  <c r="AE93" i="87"/>
  <c r="AE93" i="124" s="1"/>
  <c r="AE94" i="87"/>
  <c r="AE94" i="124" s="1"/>
  <c r="AE95" i="87"/>
  <c r="AE95" i="124" s="1"/>
  <c r="AE96" i="87"/>
  <c r="AE96" i="124" s="1"/>
  <c r="AE97" i="87"/>
  <c r="AE97" i="124" s="1"/>
  <c r="AE98" i="87"/>
  <c r="AE98" i="124" s="1"/>
  <c r="AE99" i="87"/>
  <c r="AE99" i="124" s="1"/>
  <c r="AE100" i="87"/>
  <c r="AE100" i="124" s="1"/>
  <c r="AE101" i="87"/>
  <c r="AE101" i="124" s="1"/>
  <c r="AE102" i="87"/>
  <c r="AE102" i="124" s="1"/>
  <c r="AE103" i="87"/>
  <c r="AE103" i="124" s="1"/>
  <c r="AE104" i="87"/>
  <c r="AE104" i="124" s="1"/>
  <c r="AE105" i="87"/>
  <c r="AE105" i="124" s="1"/>
  <c r="AE120" i="87"/>
  <c r="AE112" i="87"/>
  <c r="AE75" i="87"/>
  <c r="AE68" i="87"/>
  <c r="AE56" i="87"/>
  <c r="AE70" i="87"/>
  <c r="AE151" i="87"/>
  <c r="AE150" i="87"/>
  <c r="AE133" i="87"/>
  <c r="AE119" i="87"/>
  <c r="AE116" i="87"/>
  <c r="AE80" i="87"/>
  <c r="AE54" i="87"/>
  <c r="AE62" i="87"/>
  <c r="AE55" i="87"/>
  <c r="AB51" i="174"/>
  <c r="AB55" i="174"/>
  <c r="AD153" i="124"/>
  <c r="AD153" i="174" s="1"/>
  <c r="AD110" i="124"/>
  <c r="AD110" i="174" s="1"/>
  <c r="AD109" i="124"/>
  <c r="AD109" i="174" s="1"/>
  <c r="AD108" i="124"/>
  <c r="AD108" i="174" s="1"/>
  <c r="AD114" i="124"/>
  <c r="AD114" i="174" s="1"/>
  <c r="AD115" i="124"/>
  <c r="AD115" i="174" s="1"/>
  <c r="AD124" i="124"/>
  <c r="AD124" i="174" s="1"/>
  <c r="AD125" i="124"/>
  <c r="AD125" i="174" s="1"/>
  <c r="AD126" i="124"/>
  <c r="AD126" i="174" s="1"/>
  <c r="AD127" i="124"/>
  <c r="AD127" i="174" s="1"/>
  <c r="AD129" i="124"/>
  <c r="AD129" i="174" s="1"/>
  <c r="AD132" i="124"/>
  <c r="AD132" i="174" s="1"/>
  <c r="AD134" i="124"/>
  <c r="AD134" i="174" s="1"/>
  <c r="AD116" i="124"/>
  <c r="AD116" i="174" s="1"/>
  <c r="AD117" i="124"/>
  <c r="AD117" i="174" s="1"/>
  <c r="AD118" i="124"/>
  <c r="AD118" i="174" s="1"/>
  <c r="AD119" i="124"/>
  <c r="AD119" i="174" s="1"/>
  <c r="AD133" i="124"/>
  <c r="AD133" i="174" s="1"/>
  <c r="AD146" i="124"/>
  <c r="AD146" i="174" s="1"/>
  <c r="AD150" i="124"/>
  <c r="AD150" i="174" s="1"/>
  <c r="AD151" i="124"/>
  <c r="AD151" i="174" s="1"/>
  <c r="AD149" i="124"/>
  <c r="AD149" i="174" s="1"/>
  <c r="AD120" i="124"/>
  <c r="AD120" i="174" s="1"/>
  <c r="AD121" i="124"/>
  <c r="AD121" i="174" s="1"/>
  <c r="AD122" i="124"/>
  <c r="AD122" i="174" s="1"/>
  <c r="AD123" i="124"/>
  <c r="AD123" i="174" s="1"/>
  <c r="AD145" i="124"/>
  <c r="AD145" i="174" s="1"/>
  <c r="AE153" i="87"/>
  <c r="AE149" i="87"/>
  <c r="AE148" i="87"/>
  <c r="AE134" i="87"/>
  <c r="AE132" i="87"/>
  <c r="AE130" i="87"/>
  <c r="AE129" i="87"/>
  <c r="AE127" i="87"/>
  <c r="AE126" i="87"/>
  <c r="AE125" i="87"/>
  <c r="AE124" i="87"/>
  <c r="AE123" i="87"/>
  <c r="AE122" i="87"/>
  <c r="AE121" i="87"/>
  <c r="AE118" i="87"/>
  <c r="AE117" i="87"/>
  <c r="AE115" i="87"/>
  <c r="AE114" i="87"/>
  <c r="AE113" i="87"/>
  <c r="AE88" i="87"/>
  <c r="AE81" i="87"/>
  <c r="AE78" i="87"/>
  <c r="AE77" i="87"/>
  <c r="AE76" i="87"/>
  <c r="AE74" i="87"/>
  <c r="AE65" i="87"/>
  <c r="AE57" i="87"/>
  <c r="AE53" i="87"/>
  <c r="AE52" i="87"/>
  <c r="AE10" i="87"/>
  <c r="AC38" i="87"/>
  <c r="AC38" i="124" s="1"/>
  <c r="AC38" i="174" s="1"/>
  <c r="AC29" i="124"/>
  <c r="AC29" i="174" s="1"/>
  <c r="AB29" i="124"/>
  <c r="AB29" i="174" s="1"/>
  <c r="AA38" i="124"/>
  <c r="AA38" i="174" s="1"/>
  <c r="AD106" i="87"/>
  <c r="AD107" i="124"/>
  <c r="AD90" i="87"/>
  <c r="AD29" i="87"/>
  <c r="AD38" i="87"/>
  <c r="AD10" i="124"/>
  <c r="AD10" i="174" s="1"/>
  <c r="AD50" i="87"/>
  <c r="AD51" i="124"/>
  <c r="AD111" i="87"/>
  <c r="AD113" i="124"/>
  <c r="AD113" i="174" s="1"/>
  <c r="AD130" i="124"/>
  <c r="AD130" i="174" s="1"/>
  <c r="AD147" i="87"/>
  <c r="AD155" i="87" s="1"/>
  <c r="AD148" i="124"/>
  <c r="AD148" i="174" s="1"/>
  <c r="AC256" i="174"/>
  <c r="AB256" i="174"/>
  <c r="AF1" i="87"/>
  <c r="AF51" i="87" s="1"/>
  <c r="AD107" i="174" l="1"/>
  <c r="AD106" i="124"/>
  <c r="AE105" i="174"/>
  <c r="AE104" i="174"/>
  <c r="AE103" i="174"/>
  <c r="AE102" i="174"/>
  <c r="AE101" i="174"/>
  <c r="AE100" i="174"/>
  <c r="AE99" i="174"/>
  <c r="AE98" i="174"/>
  <c r="AE97" i="174"/>
  <c r="AE96" i="174"/>
  <c r="AE95" i="174"/>
  <c r="AE94" i="174"/>
  <c r="AE93" i="174"/>
  <c r="AE92" i="174"/>
  <c r="AE91" i="174"/>
  <c r="AE90" i="124"/>
  <c r="AF110" i="87"/>
  <c r="AF109" i="87"/>
  <c r="AF108" i="87"/>
  <c r="AF107" i="87"/>
  <c r="AF91" i="87"/>
  <c r="AF91" i="124" s="1"/>
  <c r="AF92" i="87"/>
  <c r="AF92" i="124" s="1"/>
  <c r="AF93" i="87"/>
  <c r="AF93" i="124" s="1"/>
  <c r="AF94" i="87"/>
  <c r="AF94" i="124" s="1"/>
  <c r="AF95" i="87"/>
  <c r="AF95" i="124" s="1"/>
  <c r="AF96" i="87"/>
  <c r="AF96" i="124" s="1"/>
  <c r="AF97" i="87"/>
  <c r="AF97" i="124" s="1"/>
  <c r="AF98" i="87"/>
  <c r="AF98" i="124" s="1"/>
  <c r="AF99" i="87"/>
  <c r="AF99" i="124" s="1"/>
  <c r="AF100" i="87"/>
  <c r="AF100" i="124" s="1"/>
  <c r="AF101" i="87"/>
  <c r="AF101" i="124" s="1"/>
  <c r="AF102" i="87"/>
  <c r="AF102" i="124" s="1"/>
  <c r="AF103" i="87"/>
  <c r="AF103" i="124" s="1"/>
  <c r="AF104" i="87"/>
  <c r="AF104" i="124" s="1"/>
  <c r="AF105" i="87"/>
  <c r="AF105" i="124" s="1"/>
  <c r="AF120" i="87"/>
  <c r="AF112" i="87"/>
  <c r="AF112" i="124" s="1"/>
  <c r="AF112" i="174" s="1"/>
  <c r="AF86" i="124"/>
  <c r="AF86" i="174" s="1"/>
  <c r="AF75" i="87"/>
  <c r="AF68" i="87"/>
  <c r="AF56" i="87"/>
  <c r="AF70" i="87"/>
  <c r="AF151" i="87"/>
  <c r="AF150" i="87"/>
  <c r="AF133" i="87"/>
  <c r="AF119" i="87"/>
  <c r="AF116" i="87"/>
  <c r="AF80" i="87"/>
  <c r="AF54" i="87"/>
  <c r="AF62" i="87"/>
  <c r="AF55" i="87"/>
  <c r="AE86" i="124"/>
  <c r="AE86" i="174" s="1"/>
  <c r="AE112" i="124"/>
  <c r="AE112" i="174" s="1"/>
  <c r="AD51" i="174"/>
  <c r="AF153" i="87"/>
  <c r="AF149" i="87"/>
  <c r="AF148" i="87"/>
  <c r="AF134" i="87"/>
  <c r="AF132" i="87"/>
  <c r="AF130" i="87"/>
  <c r="AF129" i="87"/>
  <c r="AF127" i="87"/>
  <c r="AF126" i="87"/>
  <c r="AF125" i="87"/>
  <c r="AF124" i="87"/>
  <c r="AF123" i="87"/>
  <c r="AF122" i="87"/>
  <c r="AF121" i="87"/>
  <c r="AF118" i="87"/>
  <c r="AF117" i="87"/>
  <c r="AF115" i="87"/>
  <c r="AF114" i="87"/>
  <c r="AF113" i="87"/>
  <c r="AF88" i="87"/>
  <c r="AF88" i="124" s="1"/>
  <c r="AF88" i="174" s="1"/>
  <c r="AF81" i="87"/>
  <c r="AF81" i="124" s="1"/>
  <c r="AF81" i="174" s="1"/>
  <c r="AF80" i="124"/>
  <c r="AF80" i="174" s="1"/>
  <c r="AF78" i="87"/>
  <c r="AF78" i="124" s="1"/>
  <c r="AF78" i="174" s="1"/>
  <c r="AF77" i="87"/>
  <c r="AF77" i="124" s="1"/>
  <c r="AF77" i="174" s="1"/>
  <c r="AF76" i="87"/>
  <c r="AF76" i="124" s="1"/>
  <c r="AF76" i="174" s="1"/>
  <c r="AF75" i="124"/>
  <c r="AF75" i="174" s="1"/>
  <c r="AF74" i="87"/>
  <c r="AF74" i="124" s="1"/>
  <c r="AF74" i="174" s="1"/>
  <c r="AF70" i="124"/>
  <c r="AF70" i="174" s="1"/>
  <c r="AF68" i="124"/>
  <c r="AF68" i="174" s="1"/>
  <c r="AF65" i="87"/>
  <c r="AF65" i="124" s="1"/>
  <c r="AF65" i="174" s="1"/>
  <c r="AF64" i="87"/>
  <c r="AF64" i="124" s="1"/>
  <c r="AF64" i="174" s="1"/>
  <c r="AF62" i="124"/>
  <c r="AF62" i="174" s="1"/>
  <c r="AF57" i="87"/>
  <c r="AF57" i="124" s="1"/>
  <c r="AF57" i="174" s="1"/>
  <c r="AF56" i="124"/>
  <c r="AF56" i="174" s="1"/>
  <c r="AF55" i="124"/>
  <c r="AF55" i="174" s="1"/>
  <c r="AF54" i="124"/>
  <c r="AF54" i="174" s="1"/>
  <c r="AF53" i="87"/>
  <c r="AF53" i="124" s="1"/>
  <c r="AF53" i="174" s="1"/>
  <c r="AF52" i="87"/>
  <c r="AF52" i="124" s="1"/>
  <c r="AF52" i="174" s="1"/>
  <c r="AF10" i="87"/>
  <c r="AD38" i="124"/>
  <c r="AD38" i="174" s="1"/>
  <c r="AD29" i="124"/>
  <c r="AD29" i="174" s="1"/>
  <c r="AE110" i="124"/>
  <c r="AE110" i="174" s="1"/>
  <c r="AE109" i="124"/>
  <c r="AE109" i="174" s="1"/>
  <c r="AE108" i="124"/>
  <c r="AE108" i="174" s="1"/>
  <c r="AE106" i="87"/>
  <c r="AE107" i="124"/>
  <c r="AE90" i="87"/>
  <c r="AE29" i="87"/>
  <c r="AE38" i="87"/>
  <c r="AE10" i="124"/>
  <c r="AE10" i="174" s="1"/>
  <c r="AE50" i="87"/>
  <c r="AE51" i="124"/>
  <c r="AE52" i="124"/>
  <c r="AE52" i="174" s="1"/>
  <c r="AE53" i="124"/>
  <c r="AE53" i="174" s="1"/>
  <c r="AE54" i="124"/>
  <c r="AE54" i="174" s="1"/>
  <c r="AE55" i="124"/>
  <c r="AE56" i="124"/>
  <c r="AE56" i="174" s="1"/>
  <c r="AE57" i="124"/>
  <c r="AE57" i="174" s="1"/>
  <c r="AE62" i="124"/>
  <c r="AE62" i="174" s="1"/>
  <c r="AE64" i="124"/>
  <c r="AE64" i="174" s="1"/>
  <c r="AE65" i="124"/>
  <c r="AE65" i="174" s="1"/>
  <c r="AE68" i="124"/>
  <c r="AE68" i="174" s="1"/>
  <c r="AE70" i="124"/>
  <c r="AE70" i="174" s="1"/>
  <c r="AE74" i="124"/>
  <c r="AE74" i="174" s="1"/>
  <c r="AE75" i="124"/>
  <c r="AE75" i="174" s="1"/>
  <c r="AE76" i="124"/>
  <c r="AE76" i="174" s="1"/>
  <c r="AE77" i="124"/>
  <c r="AE77" i="174" s="1"/>
  <c r="AE78" i="124"/>
  <c r="AE78" i="174" s="1"/>
  <c r="AE80" i="124"/>
  <c r="AE80" i="174" s="1"/>
  <c r="AE81" i="124"/>
  <c r="AE81" i="174" s="1"/>
  <c r="AE88" i="124"/>
  <c r="AE88" i="174" s="1"/>
  <c r="AE111" i="87"/>
  <c r="AE113" i="124"/>
  <c r="AE113" i="174" s="1"/>
  <c r="AE114" i="124"/>
  <c r="AE114" i="174" s="1"/>
  <c r="AE115" i="124"/>
  <c r="AE115" i="174" s="1"/>
  <c r="AE116" i="124"/>
  <c r="AE116" i="174" s="1"/>
  <c r="AE117" i="124"/>
  <c r="AE117" i="174" s="1"/>
  <c r="AE118" i="124"/>
  <c r="AE118" i="174" s="1"/>
  <c r="AE119" i="124"/>
  <c r="AE119" i="174" s="1"/>
  <c r="AE120" i="124"/>
  <c r="AE120" i="174" s="1"/>
  <c r="AE121" i="124"/>
  <c r="AE121" i="174" s="1"/>
  <c r="AE122" i="124"/>
  <c r="AE122" i="174" s="1"/>
  <c r="AE123" i="124"/>
  <c r="AE123" i="174" s="1"/>
  <c r="AE124" i="124"/>
  <c r="AE124" i="174" s="1"/>
  <c r="AE125" i="124"/>
  <c r="AE125" i="174" s="1"/>
  <c r="AE126" i="124"/>
  <c r="AE126" i="174" s="1"/>
  <c r="AE127" i="124"/>
  <c r="AE127" i="174" s="1"/>
  <c r="AE129" i="124"/>
  <c r="AE129" i="174" s="1"/>
  <c r="AE130" i="124"/>
  <c r="AE130" i="174" s="1"/>
  <c r="AE132" i="124"/>
  <c r="AE132" i="174" s="1"/>
  <c r="AE133" i="124"/>
  <c r="AE133" i="174" s="1"/>
  <c r="AE134" i="124"/>
  <c r="AE134" i="174" s="1"/>
  <c r="AE145" i="124"/>
  <c r="AE145" i="174" s="1"/>
  <c r="AE146" i="124"/>
  <c r="AE146" i="174" s="1"/>
  <c r="AE147" i="87"/>
  <c r="AE155" i="87" s="1"/>
  <c r="AE148" i="124"/>
  <c r="AE148" i="174" s="1"/>
  <c r="AE149" i="124"/>
  <c r="AE149" i="174" s="1"/>
  <c r="AE150" i="124"/>
  <c r="AE150" i="174" s="1"/>
  <c r="AE151" i="124"/>
  <c r="AE151" i="174" s="1"/>
  <c r="AE153" i="124"/>
  <c r="AE153" i="174" s="1"/>
  <c r="AD256" i="174"/>
  <c r="AG1" i="87"/>
  <c r="AG51" i="87" s="1"/>
  <c r="AE107" i="174" l="1"/>
  <c r="AE106" i="124"/>
  <c r="AF105" i="174"/>
  <c r="AF104" i="174"/>
  <c r="AF103" i="174"/>
  <c r="AF102" i="174"/>
  <c r="AF101" i="174"/>
  <c r="AF100" i="174"/>
  <c r="AF99" i="174"/>
  <c r="AF98" i="174"/>
  <c r="AF97" i="174"/>
  <c r="AF96" i="174"/>
  <c r="AF95" i="174"/>
  <c r="AF94" i="174"/>
  <c r="AF93" i="174"/>
  <c r="AF92" i="174"/>
  <c r="AF91" i="174"/>
  <c r="AF90" i="124"/>
  <c r="AG110" i="87"/>
  <c r="AG109" i="87"/>
  <c r="AG108" i="87"/>
  <c r="AG107" i="87"/>
  <c r="AG91" i="87"/>
  <c r="AG91" i="124" s="1"/>
  <c r="AG92" i="87"/>
  <c r="AG92" i="124" s="1"/>
  <c r="AG93" i="87"/>
  <c r="AG93" i="124" s="1"/>
  <c r="AG94" i="87"/>
  <c r="AG94" i="124" s="1"/>
  <c r="AG95" i="87"/>
  <c r="AG95" i="124" s="1"/>
  <c r="AG96" i="87"/>
  <c r="AG96" i="124" s="1"/>
  <c r="AG97" i="87"/>
  <c r="AG97" i="124" s="1"/>
  <c r="AG98" i="87"/>
  <c r="AG98" i="124" s="1"/>
  <c r="AG99" i="87"/>
  <c r="AG99" i="124" s="1"/>
  <c r="AG100" i="87"/>
  <c r="AG100" i="124" s="1"/>
  <c r="AG101" i="87"/>
  <c r="AG101" i="124" s="1"/>
  <c r="AG102" i="87"/>
  <c r="AG102" i="124" s="1"/>
  <c r="AG103" i="87"/>
  <c r="AG103" i="124" s="1"/>
  <c r="AG104" i="87"/>
  <c r="AG104" i="124" s="1"/>
  <c r="AG105" i="87"/>
  <c r="AG105" i="124" s="1"/>
  <c r="AG120" i="87"/>
  <c r="AG112" i="87"/>
  <c r="AG75" i="87"/>
  <c r="AG68" i="87"/>
  <c r="AG56" i="87"/>
  <c r="AG70" i="87"/>
  <c r="AG151" i="87"/>
  <c r="AG150" i="87"/>
  <c r="AG133" i="87"/>
  <c r="AG119" i="87"/>
  <c r="AG116" i="87"/>
  <c r="AG80" i="87"/>
  <c r="AG54" i="87"/>
  <c r="AG62" i="87"/>
  <c r="AG55" i="87"/>
  <c r="AE51" i="174"/>
  <c r="AE55" i="174"/>
  <c r="AF153" i="124"/>
  <c r="AF153" i="174" s="1"/>
  <c r="AF110" i="124"/>
  <c r="AF110" i="174" s="1"/>
  <c r="AF109" i="124"/>
  <c r="AF109" i="174" s="1"/>
  <c r="AF108" i="124"/>
  <c r="AF108" i="174" s="1"/>
  <c r="AF114" i="124"/>
  <c r="AF114" i="174" s="1"/>
  <c r="AF115" i="124"/>
  <c r="AF115" i="174" s="1"/>
  <c r="AF124" i="124"/>
  <c r="AF124" i="174" s="1"/>
  <c r="AF125" i="124"/>
  <c r="AF125" i="174" s="1"/>
  <c r="AF126" i="124"/>
  <c r="AF126" i="174" s="1"/>
  <c r="AF127" i="124"/>
  <c r="AF127" i="174" s="1"/>
  <c r="AF129" i="124"/>
  <c r="AF129" i="174" s="1"/>
  <c r="AF132" i="124"/>
  <c r="AF132" i="174" s="1"/>
  <c r="AF134" i="124"/>
  <c r="AF134" i="174" s="1"/>
  <c r="AF116" i="124"/>
  <c r="AF116" i="174" s="1"/>
  <c r="AF117" i="124"/>
  <c r="AF117" i="174" s="1"/>
  <c r="AF118" i="124"/>
  <c r="AF118" i="174" s="1"/>
  <c r="AF119" i="124"/>
  <c r="AF119" i="174" s="1"/>
  <c r="AF133" i="124"/>
  <c r="AF133" i="174" s="1"/>
  <c r="AF146" i="124"/>
  <c r="AF146" i="174" s="1"/>
  <c r="AF150" i="124"/>
  <c r="AF150" i="174" s="1"/>
  <c r="AF151" i="124"/>
  <c r="AF151" i="174" s="1"/>
  <c r="AF149" i="124"/>
  <c r="AF149" i="174" s="1"/>
  <c r="AF120" i="124"/>
  <c r="AF120" i="174" s="1"/>
  <c r="AF121" i="124"/>
  <c r="AF121" i="174" s="1"/>
  <c r="AF122" i="124"/>
  <c r="AF122" i="174" s="1"/>
  <c r="AF123" i="124"/>
  <c r="AF123" i="174" s="1"/>
  <c r="AF145" i="124"/>
  <c r="AF145" i="174" s="1"/>
  <c r="AG153" i="87"/>
  <c r="AG149" i="87"/>
  <c r="AG148" i="87"/>
  <c r="AG134" i="87"/>
  <c r="AG132" i="87"/>
  <c r="AG130" i="87"/>
  <c r="AG129" i="87"/>
  <c r="AG127" i="87"/>
  <c r="AG126" i="87"/>
  <c r="AG125" i="87"/>
  <c r="AG124" i="87"/>
  <c r="AG123" i="87"/>
  <c r="AG122" i="87"/>
  <c r="AG121" i="87"/>
  <c r="AG118" i="87"/>
  <c r="AG117" i="87"/>
  <c r="AG115" i="87"/>
  <c r="AG114" i="87"/>
  <c r="AG113" i="87"/>
  <c r="AG88" i="87"/>
  <c r="AG81" i="87"/>
  <c r="AG78" i="87"/>
  <c r="AG77" i="87"/>
  <c r="AG76" i="87"/>
  <c r="AG74" i="87"/>
  <c r="AG65" i="87"/>
  <c r="AG64" i="87"/>
  <c r="AG57" i="87"/>
  <c r="AG53" i="87"/>
  <c r="AG52" i="87"/>
  <c r="AG10" i="87"/>
  <c r="AE38" i="124"/>
  <c r="AE38" i="174" s="1"/>
  <c r="AE29" i="124"/>
  <c r="AE29" i="174" s="1"/>
  <c r="AF106" i="87"/>
  <c r="AF107" i="124"/>
  <c r="AF90" i="87"/>
  <c r="AF29" i="87"/>
  <c r="AF38" i="87"/>
  <c r="AF10" i="124"/>
  <c r="AF10" i="174" s="1"/>
  <c r="AF50" i="87"/>
  <c r="AF51" i="124"/>
  <c r="AF111" i="87"/>
  <c r="AF113" i="124"/>
  <c r="AF113" i="174" s="1"/>
  <c r="AF130" i="124"/>
  <c r="AF130" i="174" s="1"/>
  <c r="AF147" i="87"/>
  <c r="AF155" i="87" s="1"/>
  <c r="AF148" i="124"/>
  <c r="AF148" i="174" s="1"/>
  <c r="AE256" i="174"/>
  <c r="AH1" i="87"/>
  <c r="AH51" i="87" s="1"/>
  <c r="AF107" i="174" l="1"/>
  <c r="AF106" i="124"/>
  <c r="AG105" i="174"/>
  <c r="AG104" i="174"/>
  <c r="AG103" i="174"/>
  <c r="AG102" i="174"/>
  <c r="AG101" i="174"/>
  <c r="AG100" i="174"/>
  <c r="AG99" i="174"/>
  <c r="AG98" i="174"/>
  <c r="AG97" i="174"/>
  <c r="AG96" i="174"/>
  <c r="AG95" i="174"/>
  <c r="AG94" i="174"/>
  <c r="AG93" i="174"/>
  <c r="AG92" i="174"/>
  <c r="AG91" i="174"/>
  <c r="AG90" i="124"/>
  <c r="AH112" i="87"/>
  <c r="AH110" i="87"/>
  <c r="AH109" i="87"/>
  <c r="AH108" i="87"/>
  <c r="AH107" i="87"/>
  <c r="AH91" i="87"/>
  <c r="AH91" i="124" s="1"/>
  <c r="AH92" i="87"/>
  <c r="AH92" i="124" s="1"/>
  <c r="AH93" i="87"/>
  <c r="AH93" i="124" s="1"/>
  <c r="AH94" i="87"/>
  <c r="AH94" i="124" s="1"/>
  <c r="AH95" i="87"/>
  <c r="AH95" i="124" s="1"/>
  <c r="AH96" i="87"/>
  <c r="AH96" i="124" s="1"/>
  <c r="AH97" i="87"/>
  <c r="AH97" i="124" s="1"/>
  <c r="AH98" i="87"/>
  <c r="AH98" i="124" s="1"/>
  <c r="AH99" i="87"/>
  <c r="AH99" i="124" s="1"/>
  <c r="AH100" i="87"/>
  <c r="AH100" i="124" s="1"/>
  <c r="AH101" i="87"/>
  <c r="AH101" i="124" s="1"/>
  <c r="AH102" i="87"/>
  <c r="AH102" i="124" s="1"/>
  <c r="AH103" i="87"/>
  <c r="AH103" i="124" s="1"/>
  <c r="AH104" i="87"/>
  <c r="AH104" i="124" s="1"/>
  <c r="AH105" i="87"/>
  <c r="AH105" i="124" s="1"/>
  <c r="AH120" i="87"/>
  <c r="AH112" i="124"/>
  <c r="AH112" i="174" s="1"/>
  <c r="AH86" i="124"/>
  <c r="AH86" i="174" s="1"/>
  <c r="AH75" i="87"/>
  <c r="AH68" i="87"/>
  <c r="AH56" i="87"/>
  <c r="AH70" i="87"/>
  <c r="AH151" i="87"/>
  <c r="AH150" i="87"/>
  <c r="AH133" i="87"/>
  <c r="AH119" i="87"/>
  <c r="AH116" i="87"/>
  <c r="AH80" i="87"/>
  <c r="AH54" i="87"/>
  <c r="AH62" i="87"/>
  <c r="AH55" i="87"/>
  <c r="AG86" i="124"/>
  <c r="AG86" i="174" s="1"/>
  <c r="AG112" i="124"/>
  <c r="AG112" i="174" s="1"/>
  <c r="AF51" i="174"/>
  <c r="AH153" i="87"/>
  <c r="AH149" i="87"/>
  <c r="AH148" i="87"/>
  <c r="AH134" i="87"/>
  <c r="AH132" i="87"/>
  <c r="AH130" i="87"/>
  <c r="AH129" i="87"/>
  <c r="AH127" i="87"/>
  <c r="AH126" i="87"/>
  <c r="AH125" i="87"/>
  <c r="AH124" i="87"/>
  <c r="AH123" i="87"/>
  <c r="AH122" i="87"/>
  <c r="AH121" i="87"/>
  <c r="AH118" i="87"/>
  <c r="AH117" i="87"/>
  <c r="AH115" i="87"/>
  <c r="AH114" i="87"/>
  <c r="AH113" i="87"/>
  <c r="AH88" i="87"/>
  <c r="AH88" i="124" s="1"/>
  <c r="AH88" i="174" s="1"/>
  <c r="AH81" i="87"/>
  <c r="AH81" i="124" s="1"/>
  <c r="AH81" i="174" s="1"/>
  <c r="AH80" i="124"/>
  <c r="AH80" i="174" s="1"/>
  <c r="AH78" i="87"/>
  <c r="AH78" i="124" s="1"/>
  <c r="AH78" i="174" s="1"/>
  <c r="AH77" i="87"/>
  <c r="AH77" i="124" s="1"/>
  <c r="AH77" i="174" s="1"/>
  <c r="AH76" i="87"/>
  <c r="AH76" i="124" s="1"/>
  <c r="AH76" i="174" s="1"/>
  <c r="AH75" i="124"/>
  <c r="AH75" i="174" s="1"/>
  <c r="AH74" i="87"/>
  <c r="AH74" i="124" s="1"/>
  <c r="AH74" i="174" s="1"/>
  <c r="AH70" i="124"/>
  <c r="AH70" i="174" s="1"/>
  <c r="AH68" i="124"/>
  <c r="AH68" i="174" s="1"/>
  <c r="AH65" i="87"/>
  <c r="AH65" i="124" s="1"/>
  <c r="AH65" i="174" s="1"/>
  <c r="AH64" i="87"/>
  <c r="AH64" i="124" s="1"/>
  <c r="AH64" i="174" s="1"/>
  <c r="AH62" i="124"/>
  <c r="AH62" i="174" s="1"/>
  <c r="AH57" i="87"/>
  <c r="AH57" i="124" s="1"/>
  <c r="AH57" i="174" s="1"/>
  <c r="AH56" i="124"/>
  <c r="AH56" i="174" s="1"/>
  <c r="AH55" i="124"/>
  <c r="AH55" i="174" s="1"/>
  <c r="AH54" i="124"/>
  <c r="AH54" i="174" s="1"/>
  <c r="AH53" i="87"/>
  <c r="AH53" i="124" s="1"/>
  <c r="AH53" i="174" s="1"/>
  <c r="AH52" i="87"/>
  <c r="AH52" i="124" s="1"/>
  <c r="AH52" i="174" s="1"/>
  <c r="AH10" i="87"/>
  <c r="AF38" i="124"/>
  <c r="AF38" i="174" s="1"/>
  <c r="AF29" i="124"/>
  <c r="AF29" i="174" s="1"/>
  <c r="AG110" i="124"/>
  <c r="AG110" i="174" s="1"/>
  <c r="AG109" i="124"/>
  <c r="AG109" i="174" s="1"/>
  <c r="AG108" i="124"/>
  <c r="AG108" i="174" s="1"/>
  <c r="AG106" i="87"/>
  <c r="AG107" i="124"/>
  <c r="AG90" i="87"/>
  <c r="AG29" i="87"/>
  <c r="AG10" i="124"/>
  <c r="AG10" i="174" s="1"/>
  <c r="AG50" i="87"/>
  <c r="AG51" i="124"/>
  <c r="AG52" i="124"/>
  <c r="AG52" i="174" s="1"/>
  <c r="AG53" i="124"/>
  <c r="AG53" i="174" s="1"/>
  <c r="AG54" i="124"/>
  <c r="AG54" i="174" s="1"/>
  <c r="AG55" i="124"/>
  <c r="AG56" i="124"/>
  <c r="AG56" i="174" s="1"/>
  <c r="AG57" i="124"/>
  <c r="AG57" i="174" s="1"/>
  <c r="AG62" i="124"/>
  <c r="AG62" i="174" s="1"/>
  <c r="AG64" i="124"/>
  <c r="AG64" i="174" s="1"/>
  <c r="AG65" i="124"/>
  <c r="AG65" i="174" s="1"/>
  <c r="AG68" i="124"/>
  <c r="AG68" i="174" s="1"/>
  <c r="AG70" i="124"/>
  <c r="AG70" i="174" s="1"/>
  <c r="AG74" i="124"/>
  <c r="AG74" i="174" s="1"/>
  <c r="AG75" i="124"/>
  <c r="AG75" i="174" s="1"/>
  <c r="AG76" i="124"/>
  <c r="AG76" i="174" s="1"/>
  <c r="AG77" i="124"/>
  <c r="AG77" i="174" s="1"/>
  <c r="AG78" i="124"/>
  <c r="AG78" i="174" s="1"/>
  <c r="AG80" i="124"/>
  <c r="AG80" i="174" s="1"/>
  <c r="AG81" i="124"/>
  <c r="AG81" i="174" s="1"/>
  <c r="AG88" i="124"/>
  <c r="AG88" i="174" s="1"/>
  <c r="AG111" i="87"/>
  <c r="AG113" i="124"/>
  <c r="AG113" i="174" s="1"/>
  <c r="AG114" i="124"/>
  <c r="AG114" i="174" s="1"/>
  <c r="AG115" i="124"/>
  <c r="AG115" i="174" s="1"/>
  <c r="AG116" i="124"/>
  <c r="AG116" i="174" s="1"/>
  <c r="AG117" i="124"/>
  <c r="AG117" i="174" s="1"/>
  <c r="AG118" i="124"/>
  <c r="AG118" i="174" s="1"/>
  <c r="AG119" i="124"/>
  <c r="AG119" i="174" s="1"/>
  <c r="AG120" i="124"/>
  <c r="AG120" i="174" s="1"/>
  <c r="AG121" i="124"/>
  <c r="AG121" i="174" s="1"/>
  <c r="AG122" i="124"/>
  <c r="AG122" i="174" s="1"/>
  <c r="AG123" i="124"/>
  <c r="AG123" i="174" s="1"/>
  <c r="AG124" i="124"/>
  <c r="AG124" i="174" s="1"/>
  <c r="AG125" i="124"/>
  <c r="AG125" i="174" s="1"/>
  <c r="AG126" i="124"/>
  <c r="AG126" i="174" s="1"/>
  <c r="AG127" i="124"/>
  <c r="AG127" i="174" s="1"/>
  <c r="AG129" i="124"/>
  <c r="AG129" i="174" s="1"/>
  <c r="AG130" i="124"/>
  <c r="AG130" i="174" s="1"/>
  <c r="AG132" i="124"/>
  <c r="AG132" i="174" s="1"/>
  <c r="AG133" i="124"/>
  <c r="AG133" i="174" s="1"/>
  <c r="AG134" i="124"/>
  <c r="AG134" i="174" s="1"/>
  <c r="AG145" i="124"/>
  <c r="AG145" i="174" s="1"/>
  <c r="AG146" i="124"/>
  <c r="AG146" i="174" s="1"/>
  <c r="AG147" i="87"/>
  <c r="AG155" i="87" s="1"/>
  <c r="AG148" i="124"/>
  <c r="AG148" i="174" s="1"/>
  <c r="AG149" i="124"/>
  <c r="AG149" i="174" s="1"/>
  <c r="AG150" i="124"/>
  <c r="AG150" i="174" s="1"/>
  <c r="AG151" i="124"/>
  <c r="AG151" i="174" s="1"/>
  <c r="AG153" i="124"/>
  <c r="AG153" i="174" s="1"/>
  <c r="AF256" i="174"/>
  <c r="AI1" i="87"/>
  <c r="AI51" i="87" s="1"/>
  <c r="AG107" i="174" l="1"/>
  <c r="AG106" i="124"/>
  <c r="AH105" i="174"/>
  <c r="AH104" i="174"/>
  <c r="AH103" i="174"/>
  <c r="AH102" i="174"/>
  <c r="AH101" i="174"/>
  <c r="AH100" i="174"/>
  <c r="AH99" i="174"/>
  <c r="AH98" i="174"/>
  <c r="AH97" i="174"/>
  <c r="AH96" i="174"/>
  <c r="AH95" i="174"/>
  <c r="AH94" i="174"/>
  <c r="AH93" i="174"/>
  <c r="AH92" i="174"/>
  <c r="AH91" i="174"/>
  <c r="AH90" i="124"/>
  <c r="AI110" i="87"/>
  <c r="AI109" i="87"/>
  <c r="AI108" i="87"/>
  <c r="AI107" i="87"/>
  <c r="AI91" i="87"/>
  <c r="AI91" i="124" s="1"/>
  <c r="AI92" i="87"/>
  <c r="AI92" i="124" s="1"/>
  <c r="AI93" i="87"/>
  <c r="AI93" i="124" s="1"/>
  <c r="AI94" i="87"/>
  <c r="AI94" i="124" s="1"/>
  <c r="AI95" i="87"/>
  <c r="AI95" i="124" s="1"/>
  <c r="AI96" i="87"/>
  <c r="AI96" i="124" s="1"/>
  <c r="AI97" i="87"/>
  <c r="AI97" i="124" s="1"/>
  <c r="AI98" i="87"/>
  <c r="AI98" i="124" s="1"/>
  <c r="AI99" i="87"/>
  <c r="AI99" i="124" s="1"/>
  <c r="AI100" i="87"/>
  <c r="AI100" i="124" s="1"/>
  <c r="AI101" i="87"/>
  <c r="AI101" i="124" s="1"/>
  <c r="AI102" i="87"/>
  <c r="AI102" i="124" s="1"/>
  <c r="AI103" i="87"/>
  <c r="AI103" i="124" s="1"/>
  <c r="AI104" i="87"/>
  <c r="AI104" i="124" s="1"/>
  <c r="AI105" i="87"/>
  <c r="AI105" i="124" s="1"/>
  <c r="AI120" i="87"/>
  <c r="AI112" i="87"/>
  <c r="AI75" i="87"/>
  <c r="AI68" i="87"/>
  <c r="AI56" i="87"/>
  <c r="AI70" i="87"/>
  <c r="AI151" i="87"/>
  <c r="AI150" i="87"/>
  <c r="AI133" i="87"/>
  <c r="AI119" i="87"/>
  <c r="AI116" i="87"/>
  <c r="AI80" i="87"/>
  <c r="AI54" i="87"/>
  <c r="AI62" i="87"/>
  <c r="AI55" i="87"/>
  <c r="AG51" i="174"/>
  <c r="AG55" i="174"/>
  <c r="AH153" i="124"/>
  <c r="AH153" i="174" s="1"/>
  <c r="AH110" i="124"/>
  <c r="AH110" i="174" s="1"/>
  <c r="AH109" i="124"/>
  <c r="AH109" i="174" s="1"/>
  <c r="AH108" i="124"/>
  <c r="AH108" i="174" s="1"/>
  <c r="AH114" i="124"/>
  <c r="AH114" i="174" s="1"/>
  <c r="AH115" i="124"/>
  <c r="AH115" i="174" s="1"/>
  <c r="AH124" i="124"/>
  <c r="AH124" i="174" s="1"/>
  <c r="AH125" i="124"/>
  <c r="AH125" i="174" s="1"/>
  <c r="AH126" i="124"/>
  <c r="AH126" i="174" s="1"/>
  <c r="AH127" i="124"/>
  <c r="AH127" i="174" s="1"/>
  <c r="AH129" i="124"/>
  <c r="AH129" i="174" s="1"/>
  <c r="AH132" i="124"/>
  <c r="AH132" i="174" s="1"/>
  <c r="AH134" i="124"/>
  <c r="AH134" i="174" s="1"/>
  <c r="AH116" i="124"/>
  <c r="AH116" i="174" s="1"/>
  <c r="AH117" i="124"/>
  <c r="AH117" i="174" s="1"/>
  <c r="AH118" i="124"/>
  <c r="AH118" i="174" s="1"/>
  <c r="AH119" i="124"/>
  <c r="AH119" i="174" s="1"/>
  <c r="AH133" i="124"/>
  <c r="AH133" i="174" s="1"/>
  <c r="AH146" i="124"/>
  <c r="AH146" i="174" s="1"/>
  <c r="AH150" i="124"/>
  <c r="AH150" i="174" s="1"/>
  <c r="AH151" i="124"/>
  <c r="AH151" i="174" s="1"/>
  <c r="AH149" i="124"/>
  <c r="AH149" i="174" s="1"/>
  <c r="AH120" i="124"/>
  <c r="AH120" i="174" s="1"/>
  <c r="AH121" i="124"/>
  <c r="AH121" i="174" s="1"/>
  <c r="AH122" i="124"/>
  <c r="AH122" i="174" s="1"/>
  <c r="AH123" i="124"/>
  <c r="AH123" i="174" s="1"/>
  <c r="AH145" i="124"/>
  <c r="AH145" i="174" s="1"/>
  <c r="AI153" i="87"/>
  <c r="AI149" i="87"/>
  <c r="AI148" i="87"/>
  <c r="AI134" i="87"/>
  <c r="AI132" i="87"/>
  <c r="AI130" i="87"/>
  <c r="AI129" i="87"/>
  <c r="AI127" i="87"/>
  <c r="AI126" i="87"/>
  <c r="AI125" i="87"/>
  <c r="AI124" i="87"/>
  <c r="AI123" i="87"/>
  <c r="AI122" i="87"/>
  <c r="AI121" i="87"/>
  <c r="AI118" i="87"/>
  <c r="AI117" i="87"/>
  <c r="AI115" i="87"/>
  <c r="AI114" i="87"/>
  <c r="AI113" i="87"/>
  <c r="AI88" i="87"/>
  <c r="AI81" i="87"/>
  <c r="AI78" i="87"/>
  <c r="AI77" i="87"/>
  <c r="AI76" i="87"/>
  <c r="AI74" i="87"/>
  <c r="AI65" i="87"/>
  <c r="AI64" i="87"/>
  <c r="AI57" i="87"/>
  <c r="AI53" i="87"/>
  <c r="AI52" i="87"/>
  <c r="AI10" i="87"/>
  <c r="AG38" i="87"/>
  <c r="AG29" i="124"/>
  <c r="AG29" i="174" s="1"/>
  <c r="AH106" i="87"/>
  <c r="AH107" i="124"/>
  <c r="AH90" i="87"/>
  <c r="AH29" i="87"/>
  <c r="AH10" i="124"/>
  <c r="AH10" i="174" s="1"/>
  <c r="AH50" i="87"/>
  <c r="AH51" i="124"/>
  <c r="AH111" i="87"/>
  <c r="AH113" i="124"/>
  <c r="AH113" i="174" s="1"/>
  <c r="AH130" i="124"/>
  <c r="AH130" i="174" s="1"/>
  <c r="AH147" i="87"/>
  <c r="AH155" i="87" s="1"/>
  <c r="AH148" i="124"/>
  <c r="AH148" i="174" s="1"/>
  <c r="AG256" i="174"/>
  <c r="AJ1" i="87"/>
  <c r="AJ51" i="87" s="1"/>
  <c r="AH107" i="174" l="1"/>
  <c r="AH106" i="124"/>
  <c r="AI105" i="174"/>
  <c r="AI104" i="174"/>
  <c r="AI103" i="174"/>
  <c r="AI102" i="174"/>
  <c r="AI101" i="174"/>
  <c r="AI100" i="174"/>
  <c r="AI99" i="174"/>
  <c r="AI98" i="174"/>
  <c r="AI97" i="174"/>
  <c r="AI96" i="174"/>
  <c r="AI95" i="174"/>
  <c r="AI94" i="174"/>
  <c r="AI93" i="174"/>
  <c r="AI92" i="174"/>
  <c r="AI91" i="174"/>
  <c r="AI90" i="124"/>
  <c r="AJ110" i="87"/>
  <c r="AJ109" i="87"/>
  <c r="AJ108" i="87"/>
  <c r="AJ107" i="87"/>
  <c r="AJ91" i="87"/>
  <c r="AJ91" i="124" s="1"/>
  <c r="AJ92" i="87"/>
  <c r="AJ92" i="124" s="1"/>
  <c r="AJ93" i="87"/>
  <c r="AJ93" i="124" s="1"/>
  <c r="AJ94" i="87"/>
  <c r="AJ94" i="124" s="1"/>
  <c r="AJ95" i="87"/>
  <c r="AJ95" i="124" s="1"/>
  <c r="AJ96" i="87"/>
  <c r="AJ96" i="124" s="1"/>
  <c r="AJ97" i="87"/>
  <c r="AJ97" i="124" s="1"/>
  <c r="AJ98" i="87"/>
  <c r="AJ98" i="124" s="1"/>
  <c r="AJ99" i="87"/>
  <c r="AJ99" i="124" s="1"/>
  <c r="AJ100" i="87"/>
  <c r="AJ100" i="124" s="1"/>
  <c r="AJ101" i="87"/>
  <c r="AJ101" i="124" s="1"/>
  <c r="AJ102" i="87"/>
  <c r="AJ102" i="124" s="1"/>
  <c r="AJ103" i="87"/>
  <c r="AJ103" i="124" s="1"/>
  <c r="AJ104" i="87"/>
  <c r="AJ104" i="124" s="1"/>
  <c r="AJ105" i="87"/>
  <c r="AJ105" i="124" s="1"/>
  <c r="AJ120" i="87"/>
  <c r="AJ112" i="87"/>
  <c r="AJ112" i="124" s="1"/>
  <c r="AJ112" i="174" s="1"/>
  <c r="AJ86" i="124"/>
  <c r="AJ86" i="174" s="1"/>
  <c r="AJ75" i="87"/>
  <c r="AJ68" i="87"/>
  <c r="AJ56" i="87"/>
  <c r="AJ70" i="87"/>
  <c r="AJ151" i="87"/>
  <c r="AJ150" i="87"/>
  <c r="AJ133" i="87"/>
  <c r="AJ119" i="87"/>
  <c r="AJ116" i="87"/>
  <c r="AJ80" i="87"/>
  <c r="AJ54" i="87"/>
  <c r="AJ62" i="87"/>
  <c r="AJ55" i="87"/>
  <c r="AI86" i="124"/>
  <c r="AI86" i="174" s="1"/>
  <c r="AK86" i="87"/>
  <c r="AM86" i="87" s="1"/>
  <c r="AI112" i="124"/>
  <c r="AI112" i="174" s="1"/>
  <c r="AK112" i="87"/>
  <c r="AM112" i="87" s="1"/>
  <c r="AH51" i="174"/>
  <c r="AJ153" i="87"/>
  <c r="AJ149" i="87"/>
  <c r="AJ148" i="87"/>
  <c r="AJ134" i="87"/>
  <c r="AJ132" i="87"/>
  <c r="AJ130" i="87"/>
  <c r="AJ129" i="87"/>
  <c r="AJ127" i="87"/>
  <c r="AJ126" i="87"/>
  <c r="AJ125" i="87"/>
  <c r="AJ124" i="87"/>
  <c r="AJ123" i="87"/>
  <c r="AJ122" i="87"/>
  <c r="AJ121" i="87"/>
  <c r="AJ118" i="87"/>
  <c r="AJ117" i="87"/>
  <c r="AJ115" i="87"/>
  <c r="AJ114" i="87"/>
  <c r="AJ113" i="87"/>
  <c r="AJ88" i="87"/>
  <c r="AJ88" i="124" s="1"/>
  <c r="AJ88" i="174" s="1"/>
  <c r="AJ81" i="87"/>
  <c r="AJ81" i="124" s="1"/>
  <c r="AJ81" i="174" s="1"/>
  <c r="AJ80" i="124"/>
  <c r="AJ80" i="174" s="1"/>
  <c r="AJ78" i="87"/>
  <c r="AJ78" i="124" s="1"/>
  <c r="AJ78" i="174" s="1"/>
  <c r="AJ77" i="87"/>
  <c r="AJ77" i="124" s="1"/>
  <c r="AJ77" i="174" s="1"/>
  <c r="AJ76" i="87"/>
  <c r="AJ76" i="124" s="1"/>
  <c r="AJ76" i="174" s="1"/>
  <c r="AJ75" i="124"/>
  <c r="AJ75" i="174" s="1"/>
  <c r="AJ74" i="87"/>
  <c r="AJ74" i="124" s="1"/>
  <c r="AJ74" i="174" s="1"/>
  <c r="AJ70" i="124"/>
  <c r="AJ70" i="174" s="1"/>
  <c r="AJ68" i="124"/>
  <c r="AJ68" i="174" s="1"/>
  <c r="AJ65" i="87"/>
  <c r="AJ65" i="124" s="1"/>
  <c r="AJ65" i="174" s="1"/>
  <c r="AJ64" i="87"/>
  <c r="AJ64" i="124" s="1"/>
  <c r="AJ64" i="174" s="1"/>
  <c r="AJ62" i="124"/>
  <c r="AJ62" i="174" s="1"/>
  <c r="AJ57" i="87"/>
  <c r="AJ57" i="124" s="1"/>
  <c r="AJ57" i="174" s="1"/>
  <c r="AJ56" i="124"/>
  <c r="AJ56" i="174" s="1"/>
  <c r="AJ55" i="124"/>
  <c r="AJ55" i="174" s="1"/>
  <c r="AJ54" i="124"/>
  <c r="AJ54" i="174" s="1"/>
  <c r="AJ53" i="87"/>
  <c r="AJ53" i="124" s="1"/>
  <c r="AJ53" i="174" s="1"/>
  <c r="AJ52" i="87"/>
  <c r="AJ52" i="124" s="1"/>
  <c r="AJ52" i="174" s="1"/>
  <c r="AJ10" i="87"/>
  <c r="AH38" i="87"/>
  <c r="AH38" i="124" s="1"/>
  <c r="AH38" i="174" s="1"/>
  <c r="AH29" i="124"/>
  <c r="AH29" i="174" s="1"/>
  <c r="AG38" i="124"/>
  <c r="AG38" i="174" s="1"/>
  <c r="AI110" i="124"/>
  <c r="AI110" i="174" s="1"/>
  <c r="AK110" i="87"/>
  <c r="AM110" i="87" s="1"/>
  <c r="AI109" i="124"/>
  <c r="AI109" i="174" s="1"/>
  <c r="AK109" i="87"/>
  <c r="AM109" i="87" s="1"/>
  <c r="AI108" i="124"/>
  <c r="AI108" i="174" s="1"/>
  <c r="AK108" i="87"/>
  <c r="AM108" i="87" s="1"/>
  <c r="AI106" i="87"/>
  <c r="AI107" i="124"/>
  <c r="AK107" i="87"/>
  <c r="AK105" i="87"/>
  <c r="AM105" i="87" s="1"/>
  <c r="AK104" i="87"/>
  <c r="AM104" i="87" s="1"/>
  <c r="AK103" i="87"/>
  <c r="AM103" i="87" s="1"/>
  <c r="AK102" i="87"/>
  <c r="AM102" i="87" s="1"/>
  <c r="AK101" i="87"/>
  <c r="AM101" i="87" s="1"/>
  <c r="AK100" i="87"/>
  <c r="AM100" i="87" s="1"/>
  <c r="AK99" i="87"/>
  <c r="AM99" i="87" s="1"/>
  <c r="AK98" i="87"/>
  <c r="AM98" i="87" s="1"/>
  <c r="AK97" i="87"/>
  <c r="AM97" i="87" s="1"/>
  <c r="AK96" i="87"/>
  <c r="AM96" i="87" s="1"/>
  <c r="AK95" i="87"/>
  <c r="AM95" i="87" s="1"/>
  <c r="AK94" i="87"/>
  <c r="AM94" i="87" s="1"/>
  <c r="AK93" i="87"/>
  <c r="AM93" i="87" s="1"/>
  <c r="AK92" i="87"/>
  <c r="AM92" i="87" s="1"/>
  <c r="AI90" i="87"/>
  <c r="AK91" i="87"/>
  <c r="AI29" i="87"/>
  <c r="AI38" i="87"/>
  <c r="AI10" i="124"/>
  <c r="AI10" i="174" s="1"/>
  <c r="AK10" i="87"/>
  <c r="AM10" i="87" s="1"/>
  <c r="AI50" i="87"/>
  <c r="AI51" i="124"/>
  <c r="AK51" i="87"/>
  <c r="AI52" i="124"/>
  <c r="AI52" i="174" s="1"/>
  <c r="AK52" i="87"/>
  <c r="AM52" i="87" s="1"/>
  <c r="AI53" i="124"/>
  <c r="AI53" i="174" s="1"/>
  <c r="AK53" i="87"/>
  <c r="AM53" i="87" s="1"/>
  <c r="AI54" i="124"/>
  <c r="AI54" i="174" s="1"/>
  <c r="AK54" i="87"/>
  <c r="AM54" i="87" s="1"/>
  <c r="AI55" i="124"/>
  <c r="AK55" i="87"/>
  <c r="AM55" i="87" s="1"/>
  <c r="AI56" i="124"/>
  <c r="AI56" i="174" s="1"/>
  <c r="AK56" i="87"/>
  <c r="AM56" i="87" s="1"/>
  <c r="AI57" i="124"/>
  <c r="AI57" i="174" s="1"/>
  <c r="AK57" i="87"/>
  <c r="AM57" i="87" s="1"/>
  <c r="AI62" i="124"/>
  <c r="AI62" i="174" s="1"/>
  <c r="AK62" i="87"/>
  <c r="AM62" i="87" s="1"/>
  <c r="AI64" i="124"/>
  <c r="AI64" i="174" s="1"/>
  <c r="AK64" i="87"/>
  <c r="AM64" i="87" s="1"/>
  <c r="AI65" i="124"/>
  <c r="AI65" i="174" s="1"/>
  <c r="AK65" i="87"/>
  <c r="AM65" i="87" s="1"/>
  <c r="AI68" i="124"/>
  <c r="AI68" i="174" s="1"/>
  <c r="AK68" i="87"/>
  <c r="AM68" i="87" s="1"/>
  <c r="AI70" i="124"/>
  <c r="AI70" i="174" s="1"/>
  <c r="AK70" i="87"/>
  <c r="AM70" i="87" s="1"/>
  <c r="AI74" i="124"/>
  <c r="AI74" i="174" s="1"/>
  <c r="AK74" i="87"/>
  <c r="AM74" i="87" s="1"/>
  <c r="AI75" i="124"/>
  <c r="AI75" i="174" s="1"/>
  <c r="AK75" i="87"/>
  <c r="AM75" i="87" s="1"/>
  <c r="AI76" i="124"/>
  <c r="AI76" i="174" s="1"/>
  <c r="AK76" i="87"/>
  <c r="AM76" i="87" s="1"/>
  <c r="AI77" i="124"/>
  <c r="AI77" i="174" s="1"/>
  <c r="AK77" i="87"/>
  <c r="AM77" i="87" s="1"/>
  <c r="AI78" i="124"/>
  <c r="AI78" i="174" s="1"/>
  <c r="AK78" i="87"/>
  <c r="AM78" i="87" s="1"/>
  <c r="AI80" i="124"/>
  <c r="AI80" i="174" s="1"/>
  <c r="AK80" i="87"/>
  <c r="AM80" i="87" s="1"/>
  <c r="AI81" i="124"/>
  <c r="AI81" i="174" s="1"/>
  <c r="AK81" i="87"/>
  <c r="AM81" i="87" s="1"/>
  <c r="AI88" i="124"/>
  <c r="AI88" i="174" s="1"/>
  <c r="AK88" i="87"/>
  <c r="AM88" i="87" s="1"/>
  <c r="AI111" i="87"/>
  <c r="AI113" i="124"/>
  <c r="AI113" i="174" s="1"/>
  <c r="AK113" i="87"/>
  <c r="AI114" i="124"/>
  <c r="AI114" i="174" s="1"/>
  <c r="AK114" i="87"/>
  <c r="AM114" i="87" s="1"/>
  <c r="AI115" i="124"/>
  <c r="AI115" i="174" s="1"/>
  <c r="AK115" i="87"/>
  <c r="AM115" i="87" s="1"/>
  <c r="AI116" i="124"/>
  <c r="AI116" i="174" s="1"/>
  <c r="AK116" i="87"/>
  <c r="AM116" i="87" s="1"/>
  <c r="AI117" i="124"/>
  <c r="AI117" i="174" s="1"/>
  <c r="AK117" i="87"/>
  <c r="AM117" i="87" s="1"/>
  <c r="AI118" i="124"/>
  <c r="AI118" i="174" s="1"/>
  <c r="AK118" i="87"/>
  <c r="AM118" i="87" s="1"/>
  <c r="AI119" i="124"/>
  <c r="AI119" i="174" s="1"/>
  <c r="AK119" i="87"/>
  <c r="AM119" i="87" s="1"/>
  <c r="AI120" i="124"/>
  <c r="AI120" i="174" s="1"/>
  <c r="AK120" i="87"/>
  <c r="AM120" i="87" s="1"/>
  <c r="AI121" i="124"/>
  <c r="AI121" i="174" s="1"/>
  <c r="AK121" i="87"/>
  <c r="AM121" i="87" s="1"/>
  <c r="AI122" i="124"/>
  <c r="AI122" i="174" s="1"/>
  <c r="AK122" i="87"/>
  <c r="AM122" i="87" s="1"/>
  <c r="AI123" i="124"/>
  <c r="AI123" i="174" s="1"/>
  <c r="AK123" i="87"/>
  <c r="AM123" i="87" s="1"/>
  <c r="AI124" i="124"/>
  <c r="AI124" i="174" s="1"/>
  <c r="AK124" i="87"/>
  <c r="AM124" i="87" s="1"/>
  <c r="AI125" i="124"/>
  <c r="AI125" i="174" s="1"/>
  <c r="AK125" i="87"/>
  <c r="AM125" i="87" s="1"/>
  <c r="AI126" i="124"/>
  <c r="AI126" i="174" s="1"/>
  <c r="AK126" i="87"/>
  <c r="AM126" i="87" s="1"/>
  <c r="AI127" i="124"/>
  <c r="AI127" i="174" s="1"/>
  <c r="AK127" i="87"/>
  <c r="AM127" i="87" s="1"/>
  <c r="AI129" i="124"/>
  <c r="AI129" i="174" s="1"/>
  <c r="AK129" i="87"/>
  <c r="AM129" i="87" s="1"/>
  <c r="AI130" i="124"/>
  <c r="AI130" i="174" s="1"/>
  <c r="AK130" i="87"/>
  <c r="AM130" i="87" s="1"/>
  <c r="AI132" i="124"/>
  <c r="AI132" i="174" s="1"/>
  <c r="AK132" i="87"/>
  <c r="AM132" i="87" s="1"/>
  <c r="AI133" i="124"/>
  <c r="AI133" i="174" s="1"/>
  <c r="AK133" i="87"/>
  <c r="AM133" i="87" s="1"/>
  <c r="AI134" i="124"/>
  <c r="AI134" i="174" s="1"/>
  <c r="AK134" i="87"/>
  <c r="AM134" i="87" s="1"/>
  <c r="AI145" i="124"/>
  <c r="AI145" i="174" s="1"/>
  <c r="AK145" i="87"/>
  <c r="AM145" i="87" s="1"/>
  <c r="AI146" i="124"/>
  <c r="AI146" i="174" s="1"/>
  <c r="AK146" i="87"/>
  <c r="AM146" i="87" s="1"/>
  <c r="AI147" i="87"/>
  <c r="AI155" i="87" s="1"/>
  <c r="AI148" i="124"/>
  <c r="AI148" i="174" s="1"/>
  <c r="AK148" i="87"/>
  <c r="AI149" i="124"/>
  <c r="AI149" i="174" s="1"/>
  <c r="AK149" i="87"/>
  <c r="AM149" i="87" s="1"/>
  <c r="AI150" i="124"/>
  <c r="AI150" i="174" s="1"/>
  <c r="AK150" i="87"/>
  <c r="AM150" i="87" s="1"/>
  <c r="AI151" i="124"/>
  <c r="AI151" i="174" s="1"/>
  <c r="AK151" i="87"/>
  <c r="AM151" i="87" s="1"/>
  <c r="AI153" i="124"/>
  <c r="AI153" i="174" s="1"/>
  <c r="AK153" i="87"/>
  <c r="AM153" i="87" s="1"/>
  <c r="AH256" i="174"/>
  <c r="AI107" i="174" l="1"/>
  <c r="AI106" i="124"/>
  <c r="AJ105" i="174"/>
  <c r="AK105" i="124"/>
  <c r="AM105" i="124" s="1"/>
  <c r="AJ104" i="174"/>
  <c r="AK104" i="124"/>
  <c r="AM104" i="124" s="1"/>
  <c r="AJ103" i="174"/>
  <c r="AK103" i="124"/>
  <c r="AM103" i="124" s="1"/>
  <c r="AJ102" i="174"/>
  <c r="AK102" i="124"/>
  <c r="AM102" i="124" s="1"/>
  <c r="AJ101" i="174"/>
  <c r="AK101" i="124"/>
  <c r="AM101" i="124" s="1"/>
  <c r="AJ100" i="174"/>
  <c r="AK100" i="124"/>
  <c r="AM100" i="124" s="1"/>
  <c r="AJ99" i="174"/>
  <c r="AK99" i="124"/>
  <c r="AM99" i="124" s="1"/>
  <c r="AJ98" i="174"/>
  <c r="AK98" i="124"/>
  <c r="AM98" i="124" s="1"/>
  <c r="AJ97" i="174"/>
  <c r="AK97" i="124"/>
  <c r="AM97" i="124" s="1"/>
  <c r="AJ96" i="174"/>
  <c r="AK96" i="124"/>
  <c r="AM96" i="124" s="1"/>
  <c r="AJ95" i="174"/>
  <c r="AK95" i="124"/>
  <c r="AM95" i="124" s="1"/>
  <c r="AJ94" i="174"/>
  <c r="AK94" i="124"/>
  <c r="AM94" i="124" s="1"/>
  <c r="AJ93" i="174"/>
  <c r="AK93" i="124"/>
  <c r="AM93" i="124" s="1"/>
  <c r="AJ92" i="174"/>
  <c r="AK92" i="124"/>
  <c r="AM92" i="124" s="1"/>
  <c r="AJ91" i="174"/>
  <c r="AJ90" i="124"/>
  <c r="AK91" i="124"/>
  <c r="AI51" i="174"/>
  <c r="AI55" i="174"/>
  <c r="AK55" i="124"/>
  <c r="AJ153" i="124"/>
  <c r="AJ153" i="174" s="1"/>
  <c r="AJ110" i="124"/>
  <c r="AJ110" i="174" s="1"/>
  <c r="AJ109" i="124"/>
  <c r="AJ109" i="174" s="1"/>
  <c r="AJ108" i="124"/>
  <c r="AJ108" i="174" s="1"/>
  <c r="AJ114" i="124"/>
  <c r="AJ114" i="174" s="1"/>
  <c r="AJ115" i="124"/>
  <c r="AJ115" i="174" s="1"/>
  <c r="AJ124" i="124"/>
  <c r="AJ124" i="174" s="1"/>
  <c r="AJ125" i="124"/>
  <c r="AJ125" i="174" s="1"/>
  <c r="AJ126" i="124"/>
  <c r="AJ126" i="174" s="1"/>
  <c r="AJ127" i="124"/>
  <c r="AJ127" i="174" s="1"/>
  <c r="AJ129" i="124"/>
  <c r="AJ132" i="124"/>
  <c r="AJ132" i="174" s="1"/>
  <c r="AJ134" i="124"/>
  <c r="AJ134" i="174" s="1"/>
  <c r="AJ116" i="124"/>
  <c r="AJ116" i="174" s="1"/>
  <c r="AJ117" i="124"/>
  <c r="AJ117" i="174" s="1"/>
  <c r="AJ118" i="124"/>
  <c r="AJ118" i="174" s="1"/>
  <c r="AJ119" i="124"/>
  <c r="AJ119" i="174" s="1"/>
  <c r="AJ133" i="124"/>
  <c r="AJ133" i="174" s="1"/>
  <c r="AJ146" i="124"/>
  <c r="AJ146" i="174" s="1"/>
  <c r="AJ150" i="124"/>
  <c r="AJ150" i="174" s="1"/>
  <c r="AJ151" i="124"/>
  <c r="AJ151" i="174" s="1"/>
  <c r="AJ149" i="124"/>
  <c r="AJ149" i="174" s="1"/>
  <c r="AJ120" i="124"/>
  <c r="AJ120" i="174" s="1"/>
  <c r="AJ121" i="124"/>
  <c r="AJ121" i="174" s="1"/>
  <c r="AJ122" i="124"/>
  <c r="AJ122" i="174" s="1"/>
  <c r="AJ123" i="124"/>
  <c r="AJ123" i="174" s="1"/>
  <c r="AJ145" i="124"/>
  <c r="AJ145" i="174" s="1"/>
  <c r="AM148" i="87"/>
  <c r="AK147" i="87"/>
  <c r="AM113" i="87"/>
  <c r="AK111" i="87"/>
  <c r="AM111" i="87" s="1"/>
  <c r="AM51" i="87"/>
  <c r="AK50" i="87"/>
  <c r="AI38" i="124"/>
  <c r="AI38" i="174" s="1"/>
  <c r="AI29" i="124"/>
  <c r="AI29" i="174" s="1"/>
  <c r="AM91" i="87"/>
  <c r="AK90" i="87"/>
  <c r="AK106" i="87"/>
  <c r="AM106" i="87" s="1"/>
  <c r="AM107" i="87"/>
  <c r="AJ106" i="87"/>
  <c r="AJ107" i="124"/>
  <c r="AJ90" i="87"/>
  <c r="AJ29" i="87"/>
  <c r="AJ38" i="87"/>
  <c r="AJ10" i="124"/>
  <c r="AJ10" i="174" s="1"/>
  <c r="AJ50" i="87"/>
  <c r="AJ51" i="124"/>
  <c r="AJ111" i="87"/>
  <c r="AJ113" i="124"/>
  <c r="AJ113" i="174" s="1"/>
  <c r="AJ130" i="124"/>
  <c r="AJ130" i="174" s="1"/>
  <c r="AJ147" i="87"/>
  <c r="AJ155" i="87" s="1"/>
  <c r="AJ148" i="124"/>
  <c r="AK149" i="124"/>
  <c r="AK149" i="174" s="1"/>
  <c r="AK150" i="124"/>
  <c r="AK150" i="174" s="1"/>
  <c r="AK151" i="124"/>
  <c r="AK151" i="174" s="1"/>
  <c r="AK153" i="124"/>
  <c r="AK153" i="174" s="1"/>
  <c r="AK79" i="124"/>
  <c r="AK128" i="124"/>
  <c r="AK134" i="124"/>
  <c r="AK81" i="124"/>
  <c r="AK88" i="124"/>
  <c r="AK135" i="124"/>
  <c r="AK132" i="124"/>
  <c r="AK130" i="124"/>
  <c r="AK130" i="174" s="1"/>
  <c r="AR130" i="174" s="1"/>
  <c r="AK126" i="124"/>
  <c r="AK120" i="124"/>
  <c r="AK120" i="174" s="1"/>
  <c r="AK76" i="124"/>
  <c r="AK85" i="124"/>
  <c r="AM85" i="124" s="1"/>
  <c r="AI256" i="174"/>
  <c r="AK89" i="124"/>
  <c r="AK123" i="124"/>
  <c r="AK80" i="124"/>
  <c r="AM80" i="124" s="1"/>
  <c r="AK75" i="124"/>
  <c r="AK87" i="124"/>
  <c r="AK77" i="124"/>
  <c r="AK84" i="124"/>
  <c r="AM84" i="124" s="1"/>
  <c r="AK137" i="124"/>
  <c r="AK137" i="174" s="1"/>
  <c r="AR137" i="174" s="1"/>
  <c r="AK136" i="124"/>
  <c r="AK136" i="174" s="1"/>
  <c r="AR136" i="174" s="1"/>
  <c r="AK133" i="124"/>
  <c r="AK131" i="124"/>
  <c r="AK127" i="124"/>
  <c r="AK125" i="124"/>
  <c r="AK124" i="124"/>
  <c r="AK122" i="124"/>
  <c r="AK121" i="124"/>
  <c r="AK119" i="124"/>
  <c r="AK86" i="124"/>
  <c r="AK78" i="124"/>
  <c r="AM147" i="87" l="1"/>
  <c r="AK155" i="87"/>
  <c r="AJ107" i="174"/>
  <c r="AJ106" i="124"/>
  <c r="AM91" i="124"/>
  <c r="AK90" i="124"/>
  <c r="AM90" i="124" s="1"/>
  <c r="AM50" i="87"/>
  <c r="AM81" i="124"/>
  <c r="AJ51" i="174"/>
  <c r="AK51" i="124"/>
  <c r="AK87" i="174"/>
  <c r="AR87" i="174" s="1"/>
  <c r="AM87" i="124"/>
  <c r="AK89" i="174"/>
  <c r="AM89" i="124"/>
  <c r="AK88" i="174"/>
  <c r="AR88" i="174" s="1"/>
  <c r="AM88" i="124"/>
  <c r="AK86" i="174"/>
  <c r="AR86" i="174" s="1"/>
  <c r="AM86" i="124"/>
  <c r="AK91" i="174"/>
  <c r="AK129" i="124"/>
  <c r="AJ129" i="174"/>
  <c r="AK148" i="124"/>
  <c r="AK148" i="174" s="1"/>
  <c r="AJ148" i="174"/>
  <c r="AM78" i="124"/>
  <c r="AM78" i="174" s="1"/>
  <c r="AK78" i="174"/>
  <c r="AR78" i="174" s="1"/>
  <c r="AM119" i="124"/>
  <c r="AM119" i="174" s="1"/>
  <c r="AK119" i="174"/>
  <c r="AR119" i="174" s="1"/>
  <c r="AM121" i="124"/>
  <c r="AM121" i="174" s="1"/>
  <c r="AK121" i="174"/>
  <c r="AR121" i="174" s="1"/>
  <c r="AM122" i="124"/>
  <c r="AM122" i="174" s="1"/>
  <c r="AK122" i="174"/>
  <c r="AR122" i="174" s="1"/>
  <c r="AM124" i="124"/>
  <c r="AM124" i="174" s="1"/>
  <c r="AK124" i="174"/>
  <c r="AR124" i="174" s="1"/>
  <c r="AM125" i="124"/>
  <c r="AM125" i="174" s="1"/>
  <c r="AK125" i="174"/>
  <c r="AR125" i="174" s="1"/>
  <c r="AM127" i="124"/>
  <c r="AM127" i="174" s="1"/>
  <c r="AK127" i="174"/>
  <c r="AR127" i="174" s="1"/>
  <c r="AM131" i="124"/>
  <c r="AM131" i="174" s="1"/>
  <c r="AK131" i="174"/>
  <c r="AR131" i="174" s="1"/>
  <c r="AM133" i="124"/>
  <c r="AM133" i="174" s="1"/>
  <c r="AK133" i="174"/>
  <c r="AR133" i="174" s="1"/>
  <c r="AM84" i="174"/>
  <c r="AK84" i="174"/>
  <c r="AR84" i="174" s="1"/>
  <c r="AM77" i="124"/>
  <c r="AM77" i="174" s="1"/>
  <c r="AK77" i="174"/>
  <c r="AR77" i="174" s="1"/>
  <c r="AM75" i="124"/>
  <c r="AM75" i="174" s="1"/>
  <c r="AK75" i="174"/>
  <c r="AR75" i="174" s="1"/>
  <c r="AM80" i="174"/>
  <c r="AK80" i="174"/>
  <c r="AR80" i="174" s="1"/>
  <c r="AM123" i="124"/>
  <c r="AM123" i="174" s="1"/>
  <c r="AK123" i="174"/>
  <c r="AR123" i="174" s="1"/>
  <c r="AM85" i="174"/>
  <c r="AK85" i="174"/>
  <c r="AR85" i="174" s="1"/>
  <c r="AM76" i="124"/>
  <c r="AM76" i="174" s="1"/>
  <c r="AK76" i="174"/>
  <c r="AR76" i="174" s="1"/>
  <c r="AM120" i="124"/>
  <c r="AM120" i="174" s="1"/>
  <c r="AR120" i="174"/>
  <c r="AM126" i="124"/>
  <c r="AM126" i="174" s="1"/>
  <c r="AK126" i="174"/>
  <c r="AR126" i="174" s="1"/>
  <c r="AM130" i="124"/>
  <c r="AM130" i="174" s="1"/>
  <c r="AM132" i="124"/>
  <c r="AM132" i="174" s="1"/>
  <c r="AK132" i="174"/>
  <c r="AR132" i="174" s="1"/>
  <c r="AM135" i="124"/>
  <c r="AM135" i="174" s="1"/>
  <c r="AK135" i="174"/>
  <c r="AR135" i="174" s="1"/>
  <c r="AM81" i="174"/>
  <c r="AK81" i="174"/>
  <c r="AR81" i="174" s="1"/>
  <c r="AM134" i="124"/>
  <c r="AM134" i="174" s="1"/>
  <c r="AK134" i="174"/>
  <c r="AR134" i="174" s="1"/>
  <c r="AM128" i="124"/>
  <c r="AM128" i="174" s="1"/>
  <c r="AK128" i="174"/>
  <c r="AR128" i="174" s="1"/>
  <c r="AM79" i="124"/>
  <c r="AM79" i="174" s="1"/>
  <c r="AK79" i="174"/>
  <c r="AR79" i="174" s="1"/>
  <c r="AM129" i="124"/>
  <c r="AM129" i="174" s="1"/>
  <c r="AK129" i="174"/>
  <c r="AR129" i="174" s="1"/>
  <c r="AJ38" i="124"/>
  <c r="AK38" i="87"/>
  <c r="AM38" i="87" s="1"/>
  <c r="AJ29" i="124"/>
  <c r="AK29" i="87"/>
  <c r="AM29" i="87" s="1"/>
  <c r="AM155" i="87"/>
  <c r="AM90" i="87"/>
  <c r="AJ256" i="174"/>
  <c r="AM26" i="124"/>
  <c r="AM26" i="174" s="1"/>
  <c r="AK29" i="124" l="1"/>
  <c r="AK29" i="174" s="1"/>
  <c r="AJ29" i="174"/>
  <c r="AK38" i="124"/>
  <c r="AJ38" i="174"/>
  <c r="AM38" i="124"/>
  <c r="AM38" i="174" s="1"/>
  <c r="AK38" i="174"/>
  <c r="AM29" i="124"/>
  <c r="AM29" i="174" s="1"/>
  <c r="AM27" i="124"/>
  <c r="AM27" i="174" s="1"/>
  <c r="AM22" i="124"/>
  <c r="AM22" i="174" s="1"/>
  <c r="AM25" i="124"/>
  <c r="AM25" i="174" s="1"/>
  <c r="AM28" i="124"/>
  <c r="AM28" i="174" s="1"/>
  <c r="J7" i="124" l="1"/>
  <c r="Z1" i="124"/>
  <c r="AA1" i="124" s="1"/>
  <c r="AB1" i="124" s="1"/>
  <c r="AC1" i="124" s="1"/>
  <c r="AD1" i="124" s="1"/>
  <c r="AE1" i="124" s="1"/>
  <c r="AF1" i="124" s="1"/>
  <c r="AG1" i="124" s="1"/>
  <c r="AH1" i="124" s="1"/>
  <c r="AI1" i="124" s="1"/>
  <c r="AJ1" i="124" s="1"/>
  <c r="AK1" i="124" s="1"/>
  <c r="J7" i="174" l="1"/>
  <c r="V7" i="124"/>
  <c r="J44" i="124"/>
  <c r="J44" i="174" s="1"/>
  <c r="J106" i="124"/>
  <c r="J106" i="174" s="1"/>
  <c r="M106" i="124"/>
  <c r="M106" i="174" s="1"/>
  <c r="R106" i="124"/>
  <c r="R106" i="174" s="1"/>
  <c r="Q147" i="124"/>
  <c r="N6" i="124"/>
  <c r="N6" i="174" s="1"/>
  <c r="J6" i="124"/>
  <c r="J6" i="174" s="1"/>
  <c r="P90" i="124"/>
  <c r="P147" i="124"/>
  <c r="P147" i="174" s="1"/>
  <c r="K90" i="124"/>
  <c r="P6" i="124"/>
  <c r="P6" i="174" s="1"/>
  <c r="N106" i="124"/>
  <c r="N106" i="174" s="1"/>
  <c r="O147" i="124"/>
  <c r="O147" i="174" s="1"/>
  <c r="S147" i="124"/>
  <c r="S147" i="174" s="1"/>
  <c r="T6" i="124"/>
  <c r="T6" i="174" s="1"/>
  <c r="S106" i="124"/>
  <c r="S106" i="174" s="1"/>
  <c r="U106" i="124"/>
  <c r="U106" i="174" s="1"/>
  <c r="R6" i="124"/>
  <c r="R6" i="174" s="1"/>
  <c r="S90" i="124"/>
  <c r="K147" i="124"/>
  <c r="K147" i="174" s="1"/>
  <c r="K106" i="124"/>
  <c r="K106" i="174" s="1"/>
  <c r="V150" i="124"/>
  <c r="V150" i="174" s="1"/>
  <c r="L111" i="124"/>
  <c r="L111" i="174" s="1"/>
  <c r="V67" i="124"/>
  <c r="V67" i="174" s="1"/>
  <c r="O106" i="124"/>
  <c r="O106" i="174" s="1"/>
  <c r="Q90" i="124"/>
  <c r="N90" i="124"/>
  <c r="V95" i="174"/>
  <c r="T90" i="124"/>
  <c r="V96" i="174"/>
  <c r="J111" i="124"/>
  <c r="J111" i="174" s="1"/>
  <c r="R111" i="124"/>
  <c r="R111" i="174" s="1"/>
  <c r="N111" i="124"/>
  <c r="N111" i="174" s="1"/>
  <c r="V151" i="124"/>
  <c r="V151" i="174" s="1"/>
  <c r="U6" i="124"/>
  <c r="U6" i="174" s="1"/>
  <c r="O90" i="124"/>
  <c r="P106" i="124"/>
  <c r="P106" i="174" s="1"/>
  <c r="K6" i="124"/>
  <c r="K6" i="174" s="1"/>
  <c r="S6" i="124"/>
  <c r="S6" i="174" s="1"/>
  <c r="V35" i="124"/>
  <c r="V69" i="124"/>
  <c r="V69" i="174" s="1"/>
  <c r="V99" i="174"/>
  <c r="R90" i="124"/>
  <c r="Q111" i="124"/>
  <c r="Q111" i="174" s="1"/>
  <c r="N147" i="124"/>
  <c r="N147" i="174" s="1"/>
  <c r="V149" i="124"/>
  <c r="V149" i="174" s="1"/>
  <c r="AK66" i="124"/>
  <c r="AK66" i="174" s="1"/>
  <c r="V72" i="124"/>
  <c r="V72" i="174" s="1"/>
  <c r="O111" i="124"/>
  <c r="O111" i="174" s="1"/>
  <c r="L106" i="124"/>
  <c r="L106" i="174" s="1"/>
  <c r="T106" i="124"/>
  <c r="T106" i="174" s="1"/>
  <c r="V66" i="124"/>
  <c r="V66" i="174" s="1"/>
  <c r="AK71" i="124"/>
  <c r="AK71" i="174" s="1"/>
  <c r="M90" i="124"/>
  <c r="U90" i="124"/>
  <c r="M111" i="124"/>
  <c r="M111" i="174" s="1"/>
  <c r="U147" i="124"/>
  <c r="Q6" i="124"/>
  <c r="Q6" i="174" s="1"/>
  <c r="O6" i="124"/>
  <c r="O6" i="174" s="1"/>
  <c r="V68" i="124"/>
  <c r="V68" i="174" s="1"/>
  <c r="Q106" i="124"/>
  <c r="Q106" i="174" s="1"/>
  <c r="V148" i="124"/>
  <c r="V148" i="174" s="1"/>
  <c r="J147" i="124"/>
  <c r="J147" i="174" s="1"/>
  <c r="R147" i="124"/>
  <c r="R147" i="174" s="1"/>
  <c r="V152" i="124"/>
  <c r="V152" i="174" s="1"/>
  <c r="V8" i="124"/>
  <c r="V8" i="174" s="1"/>
  <c r="V10" i="124"/>
  <c r="V10" i="174" s="1"/>
  <c r="V14" i="124"/>
  <c r="V14" i="174" s="1"/>
  <c r="V17" i="124"/>
  <c r="V17" i="174" s="1"/>
  <c r="V36" i="124"/>
  <c r="V40" i="124"/>
  <c r="V40" i="174" s="1"/>
  <c r="V41" i="124"/>
  <c r="V41" i="174" s="1"/>
  <c r="V51" i="124"/>
  <c r="V51" i="174" s="1"/>
  <c r="V60" i="124"/>
  <c r="V60" i="174" s="1"/>
  <c r="V62" i="124"/>
  <c r="V62" i="174" s="1"/>
  <c r="V64" i="124"/>
  <c r="V64" i="174" s="1"/>
  <c r="AK74" i="124"/>
  <c r="AK74" i="174" s="1"/>
  <c r="V93" i="174"/>
  <c r="V112" i="124"/>
  <c r="V112" i="174" s="1"/>
  <c r="AT112" i="174" s="1"/>
  <c r="AM136" i="124"/>
  <c r="AM136" i="174" s="1"/>
  <c r="AM137" i="124"/>
  <c r="AM137" i="174" s="1"/>
  <c r="V153" i="124"/>
  <c r="V153" i="174" s="1"/>
  <c r="V42" i="124"/>
  <c r="V42" i="174" s="1"/>
  <c r="V55" i="124"/>
  <c r="V55" i="174" s="1"/>
  <c r="J90" i="124"/>
  <c r="J155" i="124" s="1"/>
  <c r="J155" i="174" s="1"/>
  <c r="V92" i="174"/>
  <c r="V105" i="174"/>
  <c r="V110" i="124"/>
  <c r="V110" i="174" s="1"/>
  <c r="L6" i="124"/>
  <c r="L6" i="174" s="1"/>
  <c r="V7" i="174"/>
  <c r="V13" i="124"/>
  <c r="V13" i="174" s="1"/>
  <c r="V39" i="124"/>
  <c r="V57" i="124"/>
  <c r="V57" i="174" s="1"/>
  <c r="V59" i="124"/>
  <c r="V59" i="174" s="1"/>
  <c r="AK61" i="124"/>
  <c r="AK61" i="174" s="1"/>
  <c r="AK63" i="124"/>
  <c r="AK63" i="174" s="1"/>
  <c r="V74" i="124"/>
  <c r="V74" i="174" s="1"/>
  <c r="AM87" i="174"/>
  <c r="M6" i="124"/>
  <c r="M6" i="174" s="1"/>
  <c r="L90" i="124"/>
  <c r="P111" i="124"/>
  <c r="P111" i="174" s="1"/>
  <c r="L147" i="124"/>
  <c r="L147" i="174" s="1"/>
  <c r="T147" i="124"/>
  <c r="V11" i="124"/>
  <c r="V11" i="174" s="1"/>
  <c r="V16" i="124"/>
  <c r="V16" i="174" s="1"/>
  <c r="V18" i="124"/>
  <c r="V18" i="174" s="1"/>
  <c r="V34" i="124"/>
  <c r="V44" i="124" s="1"/>
  <c r="V61" i="124"/>
  <c r="V61" i="174" s="1"/>
  <c r="V63" i="124"/>
  <c r="V63" i="174" s="1"/>
  <c r="V65" i="124"/>
  <c r="V65" i="174" s="1"/>
  <c r="AK73" i="124"/>
  <c r="AK73" i="174" s="1"/>
  <c r="V91" i="174"/>
  <c r="V94" i="174"/>
  <c r="V98" i="174"/>
  <c r="V103" i="174"/>
  <c r="V104" i="174"/>
  <c r="V109" i="124"/>
  <c r="V109" i="174" s="1"/>
  <c r="M147" i="124"/>
  <c r="M147" i="174" s="1"/>
  <c r="V54" i="124"/>
  <c r="V54" i="174" s="1"/>
  <c r="V56" i="124"/>
  <c r="V56" i="174" s="1"/>
  <c r="AT56" i="174" s="1"/>
  <c r="V70" i="124"/>
  <c r="V70" i="174" s="1"/>
  <c r="V71" i="124"/>
  <c r="V71" i="174" s="1"/>
  <c r="V97" i="174"/>
  <c r="V108" i="124"/>
  <c r="V108" i="174" s="1"/>
  <c r="V9" i="124"/>
  <c r="V9" i="174" s="1"/>
  <c r="AK10" i="124"/>
  <c r="AK10" i="174" s="1"/>
  <c r="V15" i="124"/>
  <c r="V15" i="174" s="1"/>
  <c r="V37" i="124"/>
  <c r="V37" i="174" s="1"/>
  <c r="V52" i="124"/>
  <c r="V52" i="174" s="1"/>
  <c r="V53" i="124"/>
  <c r="V53" i="174" s="1"/>
  <c r="V58" i="124"/>
  <c r="V58" i="174" s="1"/>
  <c r="AK60" i="124"/>
  <c r="AK60" i="174" s="1"/>
  <c r="AR60" i="174" s="1"/>
  <c r="AK62" i="124"/>
  <c r="AK62" i="174" s="1"/>
  <c r="AR62" i="174" s="1"/>
  <c r="AK64" i="124"/>
  <c r="V73" i="124"/>
  <c r="V73" i="174" s="1"/>
  <c r="AM86" i="174"/>
  <c r="AM88" i="174"/>
  <c r="V100" i="174"/>
  <c r="V101" i="174"/>
  <c r="V102" i="174"/>
  <c r="V107" i="124"/>
  <c r="V106" i="124" s="1"/>
  <c r="K111" i="124"/>
  <c r="K111" i="174" s="1"/>
  <c r="S111" i="124"/>
  <c r="S111" i="174" s="1"/>
  <c r="L90" i="174" l="1"/>
  <c r="L155" i="124"/>
  <c r="L155" i="174" s="1"/>
  <c r="U90" i="174"/>
  <c r="U155" i="124"/>
  <c r="U155" i="174" s="1"/>
  <c r="M90" i="174"/>
  <c r="M155" i="124"/>
  <c r="M155" i="174" s="1"/>
  <c r="R90" i="174"/>
  <c r="R155" i="124"/>
  <c r="R155" i="174" s="1"/>
  <c r="O90" i="174"/>
  <c r="O155" i="124"/>
  <c r="O155" i="174" s="1"/>
  <c r="T90" i="174"/>
  <c r="N90" i="174"/>
  <c r="N155" i="124"/>
  <c r="N155" i="174" s="1"/>
  <c r="Q90" i="174"/>
  <c r="Q155" i="124"/>
  <c r="Q155" i="174" s="1"/>
  <c r="S90" i="174"/>
  <c r="S155" i="124"/>
  <c r="S155" i="174" s="1"/>
  <c r="K90" i="174"/>
  <c r="K155" i="124"/>
  <c r="K155" i="174" s="1"/>
  <c r="P90" i="174"/>
  <c r="P155" i="124"/>
  <c r="P155" i="174" s="1"/>
  <c r="T147" i="174"/>
  <c r="U147" i="174"/>
  <c r="Q147" i="174"/>
  <c r="V107" i="174"/>
  <c r="AR61" i="174"/>
  <c r="AR66" i="174"/>
  <c r="AR73" i="174"/>
  <c r="AR63" i="174"/>
  <c r="AR74" i="174"/>
  <c r="AR71" i="174"/>
  <c r="V35" i="174"/>
  <c r="V45" i="124"/>
  <c r="V36" i="174"/>
  <c r="V46" i="124"/>
  <c r="AR103" i="174"/>
  <c r="AR91" i="174"/>
  <c r="AK64" i="174"/>
  <c r="AR64" i="174" s="1"/>
  <c r="V44" i="174"/>
  <c r="V34" i="174"/>
  <c r="AM89" i="174"/>
  <c r="V89" i="174"/>
  <c r="AR89" i="174" s="1"/>
  <c r="W38" i="124"/>
  <c r="W38" i="174" s="1"/>
  <c r="V39" i="174"/>
  <c r="J90" i="174"/>
  <c r="V46" i="174"/>
  <c r="V45" i="174"/>
  <c r="J156" i="124"/>
  <c r="J156" i="174" s="1"/>
  <c r="J157" i="124"/>
  <c r="J157" i="174" s="1"/>
  <c r="M156" i="124"/>
  <c r="M156" i="174" s="1"/>
  <c r="M157" i="124"/>
  <c r="M157" i="174" s="1"/>
  <c r="K157" i="124"/>
  <c r="K157" i="174" s="1"/>
  <c r="K156" i="124"/>
  <c r="K156" i="174" s="1"/>
  <c r="S157" i="124"/>
  <c r="S157" i="174" s="1"/>
  <c r="S156" i="124"/>
  <c r="S156" i="174" s="1"/>
  <c r="O157" i="124"/>
  <c r="O157" i="174" s="1"/>
  <c r="O156" i="124"/>
  <c r="O156" i="174" s="1"/>
  <c r="AM60" i="124"/>
  <c r="AM60" i="174" s="1"/>
  <c r="Y106" i="174"/>
  <c r="P33" i="124"/>
  <c r="P33" i="174" s="1"/>
  <c r="AM64" i="124"/>
  <c r="AM64" i="174" s="1"/>
  <c r="AM17" i="124"/>
  <c r="AM17" i="174" s="1"/>
  <c r="J33" i="124"/>
  <c r="J33" i="174" s="1"/>
  <c r="AK72" i="124"/>
  <c r="L33" i="124"/>
  <c r="L33" i="174" s="1"/>
  <c r="Q33" i="124"/>
  <c r="Q33" i="174" s="1"/>
  <c r="O33" i="124"/>
  <c r="O33" i="174" s="1"/>
  <c r="AK70" i="124"/>
  <c r="AM62" i="124"/>
  <c r="AM62" i="174" s="1"/>
  <c r="S33" i="174"/>
  <c r="N33" i="124"/>
  <c r="N33" i="174" s="1"/>
  <c r="K33" i="124"/>
  <c r="K33" i="174" s="1"/>
  <c r="T33" i="174"/>
  <c r="W34" i="124"/>
  <c r="W34" i="174" s="1"/>
  <c r="U33" i="174"/>
  <c r="W41" i="124"/>
  <c r="W41" i="174" s="1"/>
  <c r="AM66" i="124"/>
  <c r="AM66" i="174" s="1"/>
  <c r="AM10" i="124"/>
  <c r="AM10" i="174" s="1"/>
  <c r="AM63" i="124"/>
  <c r="AM63" i="174" s="1"/>
  <c r="W40" i="124"/>
  <c r="W40" i="174" s="1"/>
  <c r="V147" i="124"/>
  <c r="AM71" i="124"/>
  <c r="AM71" i="174" s="1"/>
  <c r="W37" i="124"/>
  <c r="W37" i="174" s="1"/>
  <c r="V90" i="174"/>
  <c r="W39" i="124"/>
  <c r="W39" i="174" s="1"/>
  <c r="V6" i="124"/>
  <c r="W154" i="124" s="1"/>
  <c r="V50" i="124"/>
  <c r="W36" i="124"/>
  <c r="W36" i="174" s="1"/>
  <c r="AM73" i="124"/>
  <c r="AM73" i="174" s="1"/>
  <c r="AM61" i="124"/>
  <c r="AM61" i="174" s="1"/>
  <c r="AM16" i="124"/>
  <c r="AM16" i="174" s="1"/>
  <c r="V106" i="174"/>
  <c r="W42" i="124"/>
  <c r="W42" i="174" s="1"/>
  <c r="W35" i="124"/>
  <c r="W35" i="174" s="1"/>
  <c r="V12" i="124"/>
  <c r="V12" i="174" s="1"/>
  <c r="AM74" i="124"/>
  <c r="AM74" i="174" s="1"/>
  <c r="M33" i="124"/>
  <c r="M33" i="174" s="1"/>
  <c r="AK69" i="124"/>
  <c r="AK69" i="174" s="1"/>
  <c r="AR69" i="174" s="1"/>
  <c r="V50" i="174" l="1"/>
  <c r="AS50" i="174" s="1"/>
  <c r="V147" i="174"/>
  <c r="W92" i="124"/>
  <c r="W93" i="124"/>
  <c r="W94" i="124"/>
  <c r="W95" i="124"/>
  <c r="W96" i="124"/>
  <c r="W97" i="124"/>
  <c r="W98" i="124"/>
  <c r="W99" i="124"/>
  <c r="W100" i="124"/>
  <c r="W101" i="124"/>
  <c r="W102" i="124"/>
  <c r="W103" i="124"/>
  <c r="W104" i="124"/>
  <c r="W105" i="124"/>
  <c r="W91" i="124"/>
  <c r="W90" i="124"/>
  <c r="W106" i="124"/>
  <c r="V6" i="174"/>
  <c r="W154" i="174" s="1"/>
  <c r="W85" i="124"/>
  <c r="W85" i="174" s="1"/>
  <c r="W84" i="124"/>
  <c r="W84" i="174" s="1"/>
  <c r="W83" i="124"/>
  <c r="W83" i="174" s="1"/>
  <c r="W82" i="124"/>
  <c r="W82" i="174" s="1"/>
  <c r="W81" i="124"/>
  <c r="W81" i="174" s="1"/>
  <c r="W80" i="124"/>
  <c r="W80" i="174" s="1"/>
  <c r="W79" i="124"/>
  <c r="W79" i="174" s="1"/>
  <c r="W78" i="124"/>
  <c r="W78" i="174" s="1"/>
  <c r="W77" i="124"/>
  <c r="W77" i="174" s="1"/>
  <c r="W75" i="124"/>
  <c r="W75" i="174" s="1"/>
  <c r="W76" i="124"/>
  <c r="W76" i="174" s="1"/>
  <c r="W375" i="174"/>
  <c r="W373" i="174"/>
  <c r="W372" i="174"/>
  <c r="W371" i="174"/>
  <c r="W370" i="174"/>
  <c r="W369" i="174"/>
  <c r="W368" i="174"/>
  <c r="W366" i="174"/>
  <c r="W362" i="174"/>
  <c r="W364" i="174"/>
  <c r="W363" i="174"/>
  <c r="W361" i="174"/>
  <c r="W360" i="174"/>
  <c r="W359" i="174"/>
  <c r="W344" i="174"/>
  <c r="W357" i="174"/>
  <c r="W356" i="174"/>
  <c r="W355" i="174"/>
  <c r="W354" i="174"/>
  <c r="W353" i="174"/>
  <c r="W352" i="174"/>
  <c r="W351" i="174"/>
  <c r="W350" i="174"/>
  <c r="W349" i="174"/>
  <c r="W348" i="174"/>
  <c r="W347" i="174"/>
  <c r="W346" i="174"/>
  <c r="W345" i="174"/>
  <c r="W343" i="174"/>
  <c r="W367" i="174"/>
  <c r="W224" i="174"/>
  <c r="W251" i="174"/>
  <c r="W162" i="174"/>
  <c r="W163" i="174"/>
  <c r="W164" i="174"/>
  <c r="W165" i="174"/>
  <c r="W166" i="174"/>
  <c r="W167" i="174"/>
  <c r="W168" i="174"/>
  <c r="W169" i="174"/>
  <c r="W170" i="174"/>
  <c r="W171" i="174"/>
  <c r="W172" i="174"/>
  <c r="W173" i="174"/>
  <c r="W174" i="174"/>
  <c r="W175" i="174"/>
  <c r="W176" i="174"/>
  <c r="W177" i="174"/>
  <c r="W178" i="174"/>
  <c r="W179" i="174"/>
  <c r="W180" i="174"/>
  <c r="W181" i="174"/>
  <c r="W182" i="174"/>
  <c r="W183" i="174"/>
  <c r="W184" i="174"/>
  <c r="W185" i="174"/>
  <c r="W186" i="174"/>
  <c r="W187" i="174"/>
  <c r="W188" i="174"/>
  <c r="W189" i="174"/>
  <c r="W190" i="174"/>
  <c r="W191" i="174"/>
  <c r="W192" i="174"/>
  <c r="W193" i="174"/>
  <c r="W194" i="174"/>
  <c r="W195" i="174"/>
  <c r="W196" i="174"/>
  <c r="W197" i="174"/>
  <c r="W198" i="174"/>
  <c r="W199" i="174"/>
  <c r="W200" i="174"/>
  <c r="W201" i="174"/>
  <c r="W202" i="174"/>
  <c r="W203" i="174"/>
  <c r="W204" i="174"/>
  <c r="W205" i="174"/>
  <c r="W206" i="174"/>
  <c r="W207" i="174"/>
  <c r="W208" i="174"/>
  <c r="W209" i="174"/>
  <c r="W210" i="174"/>
  <c r="W211" i="174"/>
  <c r="W212" i="174"/>
  <c r="W213" i="174"/>
  <c r="W214" i="174"/>
  <c r="W215" i="174"/>
  <c r="W216" i="174"/>
  <c r="W217" i="174"/>
  <c r="W218" i="174"/>
  <c r="W219" i="174"/>
  <c r="W220" i="174"/>
  <c r="W221" i="174"/>
  <c r="W222" i="174"/>
  <c r="W223" i="174"/>
  <c r="W225" i="174"/>
  <c r="W226" i="174"/>
  <c r="W227" i="174"/>
  <c r="W228" i="174"/>
  <c r="W229" i="174"/>
  <c r="W230" i="174"/>
  <c r="W231" i="174"/>
  <c r="W232" i="174"/>
  <c r="W233" i="174"/>
  <c r="W234" i="174"/>
  <c r="W235" i="174"/>
  <c r="W236" i="174"/>
  <c r="W237" i="174"/>
  <c r="W238" i="174"/>
  <c r="W239" i="174"/>
  <c r="W240" i="174"/>
  <c r="W241" i="174"/>
  <c r="W242" i="174"/>
  <c r="W243" i="174"/>
  <c r="W244" i="174"/>
  <c r="W245" i="174"/>
  <c r="W246" i="174"/>
  <c r="W247" i="174"/>
  <c r="W248" i="174"/>
  <c r="W249" i="174"/>
  <c r="W250" i="174"/>
  <c r="W261" i="174"/>
  <c r="W262" i="174"/>
  <c r="W263" i="174"/>
  <c r="W264" i="174"/>
  <c r="W265" i="174"/>
  <c r="W266" i="174"/>
  <c r="W267" i="174"/>
  <c r="W268" i="174"/>
  <c r="W269" i="174"/>
  <c r="W270" i="174"/>
  <c r="W271" i="174"/>
  <c r="W272" i="174"/>
  <c r="W273" i="174"/>
  <c r="W274" i="174"/>
  <c r="W276" i="174"/>
  <c r="W277" i="174"/>
  <c r="W278" i="174"/>
  <c r="W279" i="174"/>
  <c r="W280" i="174"/>
  <c r="W282" i="174"/>
  <c r="W283" i="174"/>
  <c r="W284" i="174"/>
  <c r="W285" i="174"/>
  <c r="W286" i="174"/>
  <c r="W287" i="174"/>
  <c r="W288" i="174"/>
  <c r="W292" i="174"/>
  <c r="W293" i="174"/>
  <c r="W294" i="174"/>
  <c r="W295" i="174"/>
  <c r="W296" i="174"/>
  <c r="W297" i="174"/>
  <c r="W298" i="174"/>
  <c r="W299" i="174"/>
  <c r="W300" i="174"/>
  <c r="W301" i="174"/>
  <c r="W302" i="174"/>
  <c r="W303" i="174"/>
  <c r="W304" i="174"/>
  <c r="W305" i="174"/>
  <c r="W306" i="174"/>
  <c r="W307" i="174"/>
  <c r="W308" i="174"/>
  <c r="W309" i="174"/>
  <c r="W310" i="174"/>
  <c r="W311" i="174"/>
  <c r="W312" i="174"/>
  <c r="W314" i="174"/>
  <c r="W315" i="174"/>
  <c r="W339" i="174"/>
  <c r="AM70" i="124"/>
  <c r="AM70" i="174" s="1"/>
  <c r="AK70" i="174"/>
  <c r="AR70" i="174" s="1"/>
  <c r="AM72" i="124"/>
  <c r="AM72" i="174" s="1"/>
  <c r="AK72" i="174"/>
  <c r="AR72" i="174" s="1"/>
  <c r="R158" i="124"/>
  <c r="R158" i="174" s="1"/>
  <c r="R33" i="174"/>
  <c r="U255" i="174"/>
  <c r="U256" i="174" s="1"/>
  <c r="U253" i="174"/>
  <c r="U254" i="174" s="1"/>
  <c r="Q255" i="174"/>
  <c r="Q256" i="174" s="1"/>
  <c r="Q253" i="174"/>
  <c r="Q254" i="174" s="1"/>
  <c r="P255" i="174"/>
  <c r="P256" i="174" s="1"/>
  <c r="P253" i="174"/>
  <c r="P254" i="174" s="1"/>
  <c r="R255" i="174"/>
  <c r="R256" i="174" s="1"/>
  <c r="R253" i="174"/>
  <c r="R254" i="174" s="1"/>
  <c r="N255" i="174"/>
  <c r="N256" i="174" s="1"/>
  <c r="N253" i="174"/>
  <c r="N254" i="174" s="1"/>
  <c r="L255" i="174"/>
  <c r="L256" i="174" s="1"/>
  <c r="L253" i="174"/>
  <c r="L254" i="174" s="1"/>
  <c r="O255" i="174"/>
  <c r="O256" i="174" s="1"/>
  <c r="O253" i="174"/>
  <c r="O254" i="174" s="1"/>
  <c r="K255" i="174"/>
  <c r="K256" i="174" s="1"/>
  <c r="K253" i="174"/>
  <c r="K254" i="174" s="1"/>
  <c r="S255" i="174"/>
  <c r="S256" i="174" s="1"/>
  <c r="S253" i="174"/>
  <c r="S254" i="174" s="1"/>
  <c r="M255" i="174"/>
  <c r="M256" i="174" s="1"/>
  <c r="M253" i="174"/>
  <c r="M254" i="174" s="1"/>
  <c r="J255" i="174"/>
  <c r="J256" i="174" s="1"/>
  <c r="J253" i="174"/>
  <c r="J254" i="174" s="1"/>
  <c r="Q43" i="124"/>
  <c r="Q43" i="174" s="1"/>
  <c r="Q158" i="124"/>
  <c r="Q158" i="174" s="1"/>
  <c r="L43" i="124"/>
  <c r="L43" i="174" s="1"/>
  <c r="L158" i="124"/>
  <c r="L158" i="174" s="1"/>
  <c r="U157" i="124"/>
  <c r="U157" i="174" s="1"/>
  <c r="U156" i="124"/>
  <c r="U156" i="174" s="1"/>
  <c r="N43" i="124"/>
  <c r="N43" i="174" s="1"/>
  <c r="N158" i="124"/>
  <c r="N158" i="174" s="1"/>
  <c r="S43" i="174"/>
  <c r="S158" i="124"/>
  <c r="S158" i="174" s="1"/>
  <c r="P156" i="124"/>
  <c r="P156" i="174" s="1"/>
  <c r="P157" i="124"/>
  <c r="P157" i="174" s="1"/>
  <c r="R156" i="124"/>
  <c r="R156" i="174" s="1"/>
  <c r="R157" i="124"/>
  <c r="R157" i="174" s="1"/>
  <c r="O43" i="124"/>
  <c r="O43" i="174" s="1"/>
  <c r="O158" i="124"/>
  <c r="O158" i="174" s="1"/>
  <c r="U43" i="174"/>
  <c r="U158" i="124"/>
  <c r="U158" i="174" s="1"/>
  <c r="J43" i="124"/>
  <c r="J43" i="174" s="1"/>
  <c r="J158" i="124"/>
  <c r="J158" i="174" s="1"/>
  <c r="N157" i="124"/>
  <c r="N157" i="174" s="1"/>
  <c r="N156" i="124"/>
  <c r="N156" i="174" s="1"/>
  <c r="L157" i="124"/>
  <c r="L157" i="174" s="1"/>
  <c r="L156" i="124"/>
  <c r="L156" i="174" s="1"/>
  <c r="M43" i="124"/>
  <c r="M43" i="174" s="1"/>
  <c r="M158" i="124"/>
  <c r="M158" i="174" s="1"/>
  <c r="T43" i="174"/>
  <c r="K43" i="124"/>
  <c r="K43" i="174" s="1"/>
  <c r="K158" i="124"/>
  <c r="K158" i="174" s="1"/>
  <c r="P158" i="124"/>
  <c r="P158" i="174" s="1"/>
  <c r="Q156" i="124"/>
  <c r="Q156" i="174" s="1"/>
  <c r="Q157" i="124"/>
  <c r="Q157" i="174" s="1"/>
  <c r="W135" i="124"/>
  <c r="W135" i="174" s="1"/>
  <c r="W134" i="124"/>
  <c r="W134" i="174" s="1"/>
  <c r="W133" i="124"/>
  <c r="W133" i="174" s="1"/>
  <c r="W132" i="124"/>
  <c r="W132" i="174" s="1"/>
  <c r="W131" i="124"/>
  <c r="W131" i="174" s="1"/>
  <c r="W130" i="124"/>
  <c r="W130" i="174" s="1"/>
  <c r="W129" i="124"/>
  <c r="W129" i="174" s="1"/>
  <c r="W128" i="124"/>
  <c r="W128" i="174" s="1"/>
  <c r="W127" i="124"/>
  <c r="W127" i="174" s="1"/>
  <c r="W126" i="124"/>
  <c r="W126" i="174" s="1"/>
  <c r="W125" i="124"/>
  <c r="W125" i="174" s="1"/>
  <c r="W124" i="124"/>
  <c r="W124" i="174" s="1"/>
  <c r="W123" i="124"/>
  <c r="W123" i="174" s="1"/>
  <c r="W122" i="124"/>
  <c r="W122" i="174" s="1"/>
  <c r="W121" i="124"/>
  <c r="W121" i="174" s="1"/>
  <c r="W120" i="124"/>
  <c r="W120" i="174" s="1"/>
  <c r="W119" i="124"/>
  <c r="W119" i="174" s="1"/>
  <c r="W32" i="124"/>
  <c r="W32" i="174" s="1"/>
  <c r="W31" i="124"/>
  <c r="W31" i="174" s="1"/>
  <c r="W30" i="124"/>
  <c r="W30" i="174" s="1"/>
  <c r="W29" i="124"/>
  <c r="W29" i="174" s="1"/>
  <c r="W28" i="124"/>
  <c r="W28" i="174" s="1"/>
  <c r="W27" i="124"/>
  <c r="W27" i="174" s="1"/>
  <c r="W26" i="124"/>
  <c r="W26" i="174" s="1"/>
  <c r="W25" i="124"/>
  <c r="W25" i="174" s="1"/>
  <c r="W24" i="124"/>
  <c r="W24" i="174" s="1"/>
  <c r="W23" i="124"/>
  <c r="W23" i="174" s="1"/>
  <c r="W22" i="124"/>
  <c r="W22" i="174" s="1"/>
  <c r="W21" i="124"/>
  <c r="W21" i="174" s="1"/>
  <c r="W20" i="124"/>
  <c r="W20" i="174" s="1"/>
  <c r="W19" i="124"/>
  <c r="W19" i="174" s="1"/>
  <c r="Z111" i="124"/>
  <c r="Z111" i="174" s="1"/>
  <c r="R43" i="174"/>
  <c r="P43" i="124"/>
  <c r="P43" i="174" s="1"/>
  <c r="Z106" i="174"/>
  <c r="Y90" i="174"/>
  <c r="Z90" i="174"/>
  <c r="AK11" i="124"/>
  <c r="AK11" i="174" s="1"/>
  <c r="W144" i="124"/>
  <c r="W144" i="174" s="1"/>
  <c r="W63" i="124"/>
  <c r="W63" i="174" s="1"/>
  <c r="W68" i="124"/>
  <c r="W68" i="174" s="1"/>
  <c r="W66" i="124"/>
  <c r="W66" i="174" s="1"/>
  <c r="W95" i="174"/>
  <c r="W61" i="124"/>
  <c r="W61" i="174" s="1"/>
  <c r="W98" i="174"/>
  <c r="W17" i="124"/>
  <c r="W17" i="174" s="1"/>
  <c r="W13" i="124"/>
  <c r="W13" i="174" s="1"/>
  <c r="W12" i="124"/>
  <c r="W12" i="174" s="1"/>
  <c r="W104" i="174"/>
  <c r="W137" i="124"/>
  <c r="W137" i="174" s="1"/>
  <c r="W72" i="124"/>
  <c r="W72" i="174" s="1"/>
  <c r="W146" i="124"/>
  <c r="W146" i="174" s="1"/>
  <c r="W107" i="124"/>
  <c r="W107" i="174" s="1"/>
  <c r="W9" i="124"/>
  <c r="W9" i="174" s="1"/>
  <c r="W62" i="124"/>
  <c r="W62" i="174" s="1"/>
  <c r="W106" i="174"/>
  <c r="W145" i="124"/>
  <c r="W145" i="174" s="1"/>
  <c r="W110" i="124"/>
  <c r="W110" i="174" s="1"/>
  <c r="W139" i="124"/>
  <c r="W139" i="174" s="1"/>
  <c r="W54" i="124"/>
  <c r="W54" i="174" s="1"/>
  <c r="W142" i="124"/>
  <c r="W142" i="174" s="1"/>
  <c r="W136" i="124"/>
  <c r="W136" i="174" s="1"/>
  <c r="W57" i="124"/>
  <c r="W57" i="174" s="1"/>
  <c r="W59" i="124"/>
  <c r="W59" i="174" s="1"/>
  <c r="W148" i="124"/>
  <c r="W148" i="174" s="1"/>
  <c r="W108" i="124"/>
  <c r="W108" i="174" s="1"/>
  <c r="W51" i="124"/>
  <c r="W51" i="174" s="1"/>
  <c r="W14" i="124"/>
  <c r="W14" i="174" s="1"/>
  <c r="W87" i="124"/>
  <c r="W87" i="174" s="1"/>
  <c r="W91" i="174"/>
  <c r="W92" i="174"/>
  <c r="W112" i="124"/>
  <c r="W112" i="174" s="1"/>
  <c r="W10" i="124"/>
  <c r="W10" i="174" s="1"/>
  <c r="W105" i="174"/>
  <c r="W140" i="124"/>
  <c r="W140" i="174" s="1"/>
  <c r="W116" i="124"/>
  <c r="W116" i="174" s="1"/>
  <c r="W113" i="124"/>
  <c r="W113" i="174" s="1"/>
  <c r="W153" i="124"/>
  <c r="W153" i="174" s="1"/>
  <c r="W7" i="124"/>
  <c r="W7" i="174" s="1"/>
  <c r="W65" i="124"/>
  <c r="W65" i="174" s="1"/>
  <c r="W11" i="124"/>
  <c r="W11" i="174" s="1"/>
  <c r="W52" i="124"/>
  <c r="W52" i="174" s="1"/>
  <c r="W15" i="124"/>
  <c r="W15" i="174" s="1"/>
  <c r="W89" i="124"/>
  <c r="W89" i="174" s="1"/>
  <c r="W69" i="124"/>
  <c r="W69" i="174" s="1"/>
  <c r="W60" i="124"/>
  <c r="W60" i="174" s="1"/>
  <c r="W149" i="124"/>
  <c r="W149" i="174" s="1"/>
  <c r="W138" i="124"/>
  <c r="W138" i="174" s="1"/>
  <c r="W50" i="124"/>
  <c r="W50" i="174" s="1"/>
  <c r="W90" i="174"/>
  <c r="W150" i="124"/>
  <c r="W150" i="174" s="1"/>
  <c r="W143" i="124"/>
  <c r="W143" i="174" s="1"/>
  <c r="W86" i="124"/>
  <c r="W86" i="174" s="1"/>
  <c r="W56" i="124"/>
  <c r="W56" i="174" s="1"/>
  <c r="W58" i="124"/>
  <c r="W58" i="174" s="1"/>
  <c r="W46" i="124"/>
  <c r="W46" i="174" s="1"/>
  <c r="W147" i="124"/>
  <c r="W147" i="174" s="1"/>
  <c r="W109" i="124"/>
  <c r="W109" i="174" s="1"/>
  <c r="W99" i="174"/>
  <c r="W97" i="174"/>
  <c r="W64" i="124"/>
  <c r="W64" i="174" s="1"/>
  <c r="W18" i="124"/>
  <c r="W18" i="174" s="1"/>
  <c r="W94" i="174"/>
  <c r="W67" i="124"/>
  <c r="W67" i="174" s="1"/>
  <c r="W8" i="124"/>
  <c r="W8" i="174" s="1"/>
  <c r="W103" i="174"/>
  <c r="W141" i="124"/>
  <c r="W141" i="174" s="1"/>
  <c r="W118" i="124"/>
  <c r="W118" i="174" s="1"/>
  <c r="W55" i="124"/>
  <c r="W55" i="174" s="1"/>
  <c r="W71" i="124"/>
  <c r="W71" i="174" s="1"/>
  <c r="W44" i="124"/>
  <c r="W44" i="174" s="1"/>
  <c r="W115" i="124"/>
  <c r="W115" i="174" s="1"/>
  <c r="W73" i="124"/>
  <c r="W73" i="174" s="1"/>
  <c r="W114" i="124"/>
  <c r="W114" i="174" s="1"/>
  <c r="W53" i="124"/>
  <c r="W53" i="174" s="1"/>
  <c r="W100" i="174"/>
  <c r="W88" i="124"/>
  <c r="W88" i="174" s="1"/>
  <c r="W45" i="124"/>
  <c r="W45" i="174" s="1"/>
  <c r="V33" i="124"/>
  <c r="V43" i="124" s="1"/>
  <c r="W6" i="124"/>
  <c r="W6" i="174" s="1"/>
  <c r="W102" i="174"/>
  <c r="W70" i="124"/>
  <c r="W70" i="174" s="1"/>
  <c r="W151" i="124"/>
  <c r="W151" i="174" s="1"/>
  <c r="W93" i="174"/>
  <c r="W16" i="124"/>
  <c r="W16" i="174" s="1"/>
  <c r="W152" i="124"/>
  <c r="W152" i="174" s="1"/>
  <c r="W101" i="174"/>
  <c r="W96" i="174"/>
  <c r="W74" i="124"/>
  <c r="W74" i="174" s="1"/>
  <c r="AM69" i="124"/>
  <c r="AM69" i="174" s="1"/>
  <c r="V43" i="174" l="1"/>
  <c r="V33" i="174"/>
  <c r="V252" i="174" s="1"/>
  <c r="W252" i="174" s="1"/>
  <c r="AA111" i="124"/>
  <c r="AA111" i="174" s="1"/>
  <c r="AA106" i="174"/>
  <c r="AA90" i="174"/>
  <c r="AM11" i="124"/>
  <c r="AM11" i="174" s="1"/>
  <c r="W33" i="124"/>
  <c r="W33" i="174" s="1"/>
  <c r="AB111" i="124" l="1"/>
  <c r="AB111" i="174" s="1"/>
  <c r="AB90" i="174"/>
  <c r="AB106" i="174"/>
  <c r="W43" i="124"/>
  <c r="W43" i="174" s="1"/>
  <c r="AC111" i="124" l="1"/>
  <c r="AC111" i="174" s="1"/>
  <c r="AC106" i="174"/>
  <c r="AC90" i="174"/>
  <c r="AD111" i="124" l="1"/>
  <c r="AD111" i="174" s="1"/>
  <c r="AD106" i="174"/>
  <c r="AD90" i="174"/>
  <c r="AE111" i="124" l="1"/>
  <c r="AE111" i="174" s="1"/>
  <c r="AE106" i="174"/>
  <c r="AE90" i="174"/>
  <c r="AF111" i="124" l="1"/>
  <c r="AF111" i="174" s="1"/>
  <c r="AF106" i="174"/>
  <c r="AF90" i="174"/>
  <c r="AG111" i="124" l="1"/>
  <c r="AG111" i="174" s="1"/>
  <c r="AG90" i="174"/>
  <c r="AG106" i="174"/>
  <c r="AH111" i="124" l="1"/>
  <c r="AH111" i="174" s="1"/>
  <c r="AH106" i="174"/>
  <c r="AH90" i="174"/>
  <c r="AK1" i="87"/>
  <c r="AI111" i="124" l="1"/>
  <c r="AI111" i="174" s="1"/>
  <c r="AK113" i="124"/>
  <c r="AK146" i="124"/>
  <c r="AI106" i="174"/>
  <c r="AI90" i="174"/>
  <c r="AM146" i="124" l="1"/>
  <c r="AM146" i="174" s="1"/>
  <c r="AK146" i="174"/>
  <c r="AR146" i="174" s="1"/>
  <c r="AM113" i="124"/>
  <c r="AM113" i="174" s="1"/>
  <c r="AK113" i="174"/>
  <c r="AR113" i="174" s="1"/>
  <c r="AJ111" i="124"/>
  <c r="AJ111" i="174" s="1"/>
  <c r="AK142" i="124"/>
  <c r="AK114" i="124"/>
  <c r="AK107" i="124"/>
  <c r="AJ106" i="174"/>
  <c r="AK65" i="124"/>
  <c r="AK103" i="174"/>
  <c r="AK95" i="174"/>
  <c r="AK96" i="174"/>
  <c r="AK100" i="174"/>
  <c r="AK57" i="124"/>
  <c r="AK102" i="174"/>
  <c r="AK139" i="124"/>
  <c r="AJ90" i="174"/>
  <c r="AK110" i="124"/>
  <c r="AK67" i="124"/>
  <c r="AK104" i="174"/>
  <c r="AK141" i="124"/>
  <c r="AK116" i="124"/>
  <c r="AK140" i="124"/>
  <c r="AK105" i="174"/>
  <c r="AK138" i="124"/>
  <c r="AK117" i="124"/>
  <c r="AK108" i="124"/>
  <c r="AK98" i="174"/>
  <c r="AK59" i="124"/>
  <c r="AK97" i="174"/>
  <c r="AK118" i="124"/>
  <c r="AK115" i="124"/>
  <c r="AK92" i="174"/>
  <c r="AK93" i="174"/>
  <c r="AK94" i="174"/>
  <c r="AK101" i="174"/>
  <c r="AK109" i="124"/>
  <c r="AK99" i="174"/>
  <c r="AK112" i="124"/>
  <c r="AK106" i="124" l="1"/>
  <c r="AM106" i="124" s="1"/>
  <c r="AK112" i="174"/>
  <c r="AR112" i="174" s="1"/>
  <c r="AK117" i="174"/>
  <c r="AR117" i="174" s="1"/>
  <c r="AM99" i="174"/>
  <c r="AR99" i="174"/>
  <c r="AM109" i="124"/>
  <c r="AM109" i="174" s="1"/>
  <c r="AK109" i="174"/>
  <c r="AR109" i="174" s="1"/>
  <c r="AM101" i="174"/>
  <c r="AR101" i="174"/>
  <c r="AM94" i="174"/>
  <c r="AR94" i="174"/>
  <c r="AM93" i="174"/>
  <c r="AR93" i="174"/>
  <c r="AM92" i="174"/>
  <c r="AR92" i="174"/>
  <c r="AM115" i="124"/>
  <c r="AM115" i="174" s="1"/>
  <c r="AK115" i="174"/>
  <c r="AR115" i="174" s="1"/>
  <c r="AM118" i="124"/>
  <c r="AM118" i="174" s="1"/>
  <c r="AK118" i="174"/>
  <c r="AR118" i="174" s="1"/>
  <c r="AM97" i="174"/>
  <c r="AR97" i="174"/>
  <c r="AM59" i="124"/>
  <c r="AM59" i="174" s="1"/>
  <c r="AK59" i="174"/>
  <c r="AR59" i="174" s="1"/>
  <c r="AM98" i="174"/>
  <c r="AR98" i="174"/>
  <c r="AM108" i="124"/>
  <c r="AM108" i="174" s="1"/>
  <c r="AK108" i="174"/>
  <c r="AR108" i="174" s="1"/>
  <c r="AM138" i="124"/>
  <c r="AM138" i="174" s="1"/>
  <c r="AK138" i="174"/>
  <c r="AR138" i="174" s="1"/>
  <c r="AM105" i="174"/>
  <c r="AM140" i="124"/>
  <c r="AM140" i="174" s="1"/>
  <c r="AK140" i="174"/>
  <c r="AR140" i="174" s="1"/>
  <c r="AM116" i="124"/>
  <c r="AM116" i="174" s="1"/>
  <c r="AK116" i="174"/>
  <c r="AR116" i="174" s="1"/>
  <c r="AM141" i="124"/>
  <c r="AM141" i="174" s="1"/>
  <c r="AK141" i="174"/>
  <c r="AR141" i="174" s="1"/>
  <c r="AM104" i="174"/>
  <c r="AM67" i="124"/>
  <c r="AM67" i="174" s="1"/>
  <c r="AK67" i="174"/>
  <c r="AR67" i="174" s="1"/>
  <c r="AM110" i="124"/>
  <c r="AM110" i="174" s="1"/>
  <c r="AK110" i="174"/>
  <c r="AR110" i="174" s="1"/>
  <c r="AM139" i="124"/>
  <c r="AM139" i="174" s="1"/>
  <c r="AK139" i="174"/>
  <c r="AR139" i="174" s="1"/>
  <c r="AM102" i="174"/>
  <c r="AR102" i="174"/>
  <c r="AM57" i="124"/>
  <c r="AM57" i="174" s="1"/>
  <c r="AK57" i="174"/>
  <c r="AR57" i="174" s="1"/>
  <c r="AM100" i="174"/>
  <c r="AR100" i="174"/>
  <c r="AM96" i="174"/>
  <c r="AR96" i="174"/>
  <c r="AM95" i="174"/>
  <c r="AR95" i="174"/>
  <c r="AM103" i="174"/>
  <c r="AS103" i="174"/>
  <c r="AM65" i="124"/>
  <c r="AM65" i="174" s="1"/>
  <c r="AK65" i="174"/>
  <c r="AR65" i="174" s="1"/>
  <c r="AM107" i="124"/>
  <c r="AM107" i="174" s="1"/>
  <c r="AK107" i="174"/>
  <c r="AR107" i="174" s="1"/>
  <c r="AM114" i="124"/>
  <c r="AM114" i="174" s="1"/>
  <c r="AK114" i="174"/>
  <c r="AR114" i="174" s="1"/>
  <c r="AM142" i="124"/>
  <c r="AM142" i="174" s="1"/>
  <c r="AK142" i="174"/>
  <c r="AR142" i="174" s="1"/>
  <c r="AK54" i="124"/>
  <c r="AK56" i="124"/>
  <c r="AK52" i="124"/>
  <c r="AM112" i="124"/>
  <c r="AM112" i="174" s="1"/>
  <c r="AM91" i="174"/>
  <c r="AK90" i="174"/>
  <c r="AM90" i="174" s="1"/>
  <c r="AK106" i="174" l="1"/>
  <c r="AR90" i="174"/>
  <c r="AM51" i="124"/>
  <c r="AM51" i="174" s="1"/>
  <c r="AK51" i="174"/>
  <c r="AR51" i="174" s="1"/>
  <c r="AM52" i="124"/>
  <c r="AM52" i="174" s="1"/>
  <c r="AK52" i="174"/>
  <c r="AR52" i="174" s="1"/>
  <c r="AM56" i="124"/>
  <c r="AM56" i="174" s="1"/>
  <c r="AK56" i="174"/>
  <c r="AM54" i="124"/>
  <c r="AM54" i="174" s="1"/>
  <c r="AK54" i="174"/>
  <c r="AR54" i="174" s="1"/>
  <c r="AK53" i="124"/>
  <c r="AM106" i="174" l="1"/>
  <c r="AR106" i="174"/>
  <c r="AR56" i="174"/>
  <c r="AU56" i="174"/>
  <c r="AV56" i="174" s="1"/>
  <c r="AW56" i="174" s="1"/>
  <c r="AM53" i="124"/>
  <c r="AM53" i="174" s="1"/>
  <c r="AK53" i="174"/>
  <c r="AR53" i="174" s="1"/>
  <c r="AK37" i="124"/>
  <c r="AK37" i="174" s="1"/>
  <c r="AM37" i="124" l="1"/>
  <c r="AM37" i="174" s="1"/>
  <c r="AK58" i="124" l="1"/>
  <c r="AK58" i="174" s="1"/>
  <c r="AR58" i="174" s="1"/>
  <c r="AM58" i="124" l="1"/>
  <c r="AM58" i="174" s="1"/>
  <c r="AK68" i="124" l="1"/>
  <c r="AK68" i="174" s="1"/>
  <c r="AR68" i="174" s="1"/>
  <c r="AM68" i="124" l="1"/>
  <c r="AM68" i="174" s="1"/>
  <c r="AK143" i="124" l="1"/>
  <c r="AK143" i="174" s="1"/>
  <c r="AR143" i="174" s="1"/>
  <c r="AK144" i="124"/>
  <c r="AK144" i="174" s="1"/>
  <c r="AR144" i="174" s="1"/>
  <c r="AK145" i="124"/>
  <c r="AK145" i="174" l="1"/>
  <c r="AR145" i="174" s="1"/>
  <c r="AM143" i="124"/>
  <c r="AM143" i="174" s="1"/>
  <c r="AM144" i="124"/>
  <c r="AM144" i="174" s="1"/>
  <c r="AM145" i="124"/>
  <c r="AM145" i="174" s="1"/>
  <c r="AD50" i="124" l="1"/>
  <c r="AD50" i="174" s="1"/>
  <c r="AE50" i="124" l="1"/>
  <c r="AE50" i="174" s="1"/>
  <c r="AI50" i="124" l="1"/>
  <c r="AI50" i="174" s="1"/>
  <c r="AC50" i="124"/>
  <c r="AC50" i="174" s="1"/>
  <c r="AB50" i="124"/>
  <c r="AB50" i="174" s="1"/>
  <c r="AJ50" i="124"/>
  <c r="AJ50" i="174" s="1"/>
  <c r="AA50" i="124"/>
  <c r="AA50" i="174" s="1"/>
  <c r="AG50" i="124"/>
  <c r="AG50" i="174" s="1"/>
  <c r="AF50" i="124"/>
  <c r="AF50" i="174" s="1"/>
  <c r="AH50" i="124"/>
  <c r="AH50" i="174" s="1"/>
  <c r="Z50" i="124"/>
  <c r="Z50" i="174" s="1"/>
  <c r="Y50" i="124" l="1"/>
  <c r="Y50" i="174" s="1"/>
  <c r="AK50" i="124" l="1"/>
  <c r="AK50" i="174" s="1"/>
  <c r="AT50" i="174" s="1"/>
  <c r="AK55" i="174"/>
  <c r="AR55" i="174" s="1"/>
  <c r="AK111" i="124"/>
  <c r="AK111" i="174" s="1"/>
  <c r="AM55" i="124"/>
  <c r="AM55" i="174" s="1"/>
  <c r="AR50" i="174" l="1"/>
  <c r="AM50" i="174"/>
  <c r="AM50" i="124"/>
  <c r="AM152" i="124" l="1"/>
  <c r="AM152" i="174" s="1"/>
  <c r="AM148" i="124"/>
  <c r="AM148" i="174" s="1"/>
  <c r="AM151" i="124"/>
  <c r="AM151" i="174" s="1"/>
  <c r="AM153" i="124"/>
  <c r="AM153" i="174" s="1"/>
  <c r="AM149" i="124"/>
  <c r="AM149" i="174" s="1"/>
  <c r="AM150" i="124" l="1"/>
  <c r="AM150" i="174" s="1"/>
  <c r="AK147" i="124"/>
  <c r="AK155" i="124" s="1"/>
  <c r="AK155" i="174" s="1"/>
  <c r="AK147" i="174" l="1"/>
  <c r="AM147" i="124"/>
  <c r="AR147" i="174" l="1"/>
  <c r="AM147" i="174"/>
  <c r="T111" i="124"/>
  <c r="T155" i="124" s="1"/>
  <c r="T155" i="174" s="1"/>
  <c r="AM117" i="124"/>
  <c r="AM117" i="174" s="1"/>
  <c r="T111" i="174" l="1"/>
  <c r="T156" i="124"/>
  <c r="T156" i="174" s="1"/>
  <c r="T157" i="124"/>
  <c r="T157" i="174" s="1"/>
  <c r="T158" i="124"/>
  <c r="T158" i="174" s="1"/>
  <c r="V111" i="124"/>
  <c r="V155" i="124" s="1"/>
  <c r="V155" i="174" s="1"/>
  <c r="W117" i="124"/>
  <c r="W117" i="174" s="1"/>
  <c r="W155" i="124" l="1"/>
  <c r="AM155" i="124"/>
  <c r="V111" i="174"/>
  <c r="T255" i="174"/>
  <c r="T256" i="174" s="1"/>
  <c r="T253" i="174"/>
  <c r="T254" i="174" s="1"/>
  <c r="W155" i="174"/>
  <c r="V156" i="124"/>
  <c r="V157" i="124"/>
  <c r="V158" i="124"/>
  <c r="V158" i="174" s="1"/>
  <c r="W111" i="124"/>
  <c r="W111" i="174" s="1"/>
  <c r="AM111" i="124"/>
  <c r="AR111" i="174" l="1"/>
  <c r="AM111" i="174"/>
  <c r="V255" i="174"/>
  <c r="V253" i="174"/>
  <c r="V254" i="174" s="1"/>
  <c r="W158" i="124"/>
  <c r="W158" i="174" s="1"/>
  <c r="W157" i="124"/>
  <c r="W157" i="174" s="1"/>
  <c r="V157" i="174"/>
  <c r="W156" i="124"/>
  <c r="W156" i="174" s="1"/>
  <c r="V156" i="174"/>
  <c r="AK19" i="68"/>
  <c r="AK21" i="68"/>
  <c r="AK24" i="68"/>
  <c r="AM155" i="174" l="1"/>
  <c r="AR155" i="174"/>
  <c r="V256" i="174"/>
  <c r="V257" i="174"/>
  <c r="AC43" i="68"/>
  <c r="AM19" i="68"/>
  <c r="AD43" i="68"/>
  <c r="AM24" i="68"/>
  <c r="AJ43" i="68"/>
  <c r="AI43" i="68"/>
  <c r="AH43" i="68"/>
  <c r="Z43" i="68"/>
  <c r="AG43" i="68"/>
  <c r="AF43" i="68"/>
  <c r="AM21" i="68"/>
  <c r="AE43" i="68"/>
  <c r="AA43" i="68"/>
  <c r="AB43" i="68"/>
  <c r="V290" i="174" l="1"/>
  <c r="V259" i="174"/>
  <c r="V258" i="174"/>
  <c r="W258" i="174" s="1"/>
  <c r="W257" i="174"/>
  <c r="W256" i="174"/>
  <c r="W254" i="174"/>
  <c r="AM18" i="124"/>
  <c r="AM18" i="174" s="1"/>
  <c r="AK20" i="68"/>
  <c r="AM23" i="124"/>
  <c r="AM23" i="174" s="1"/>
  <c r="AK25" i="68"/>
  <c r="AK22" i="68"/>
  <c r="V260" i="174" l="1"/>
  <c r="W260" i="174" s="1"/>
  <c r="W259" i="174"/>
  <c r="AM290" i="174"/>
  <c r="V337" i="174"/>
  <c r="W290" i="174"/>
  <c r="AM20" i="68"/>
  <c r="AM25" i="68"/>
  <c r="AM22" i="68"/>
  <c r="V340" i="174" l="1"/>
  <c r="W340" i="174" s="1"/>
  <c r="W337" i="174"/>
  <c r="AM24" i="124"/>
  <c r="AM24" i="174" s="1"/>
  <c r="AM21" i="124"/>
  <c r="AM21" i="174" s="1"/>
  <c r="AM32" i="124" l="1"/>
  <c r="AM32" i="174" s="1"/>
  <c r="AB40" i="87" l="1"/>
  <c r="AB7" i="87" s="1"/>
  <c r="AC40" i="87"/>
  <c r="AC7" i="87" s="1"/>
  <c r="AD40" i="87"/>
  <c r="AD7" i="87" s="1"/>
  <c r="AE40" i="87"/>
  <c r="AE7" i="87" s="1"/>
  <c r="AF40" i="87"/>
  <c r="AF7" i="87" s="1"/>
  <c r="AG40" i="87"/>
  <c r="AG7" i="87" s="1"/>
  <c r="AH40" i="87"/>
  <c r="AH7" i="87" s="1"/>
  <c r="AI40" i="87"/>
  <c r="AI7" i="87" s="1"/>
  <c r="AJ40" i="87"/>
  <c r="AJ7" i="87" s="1"/>
  <c r="Y40" i="87"/>
  <c r="Y7" i="87" s="1"/>
  <c r="Z40" i="87"/>
  <c r="Z7" i="87" s="1"/>
  <c r="AA40" i="87"/>
  <c r="AA7" i="87" s="1"/>
  <c r="Y40" i="68"/>
  <c r="Y7" i="68" s="1"/>
  <c r="Z40" i="68"/>
  <c r="Z7" i="68" s="1"/>
  <c r="AA40" i="68"/>
  <c r="AA7" i="68" s="1"/>
  <c r="AB40" i="68"/>
  <c r="AB7" i="68" s="1"/>
  <c r="AC40" i="68"/>
  <c r="AC7" i="68" s="1"/>
  <c r="AD40" i="68"/>
  <c r="AD7" i="68" s="1"/>
  <c r="AE40" i="68"/>
  <c r="AE7" i="68" s="1"/>
  <c r="AF40" i="68"/>
  <c r="AF7" i="68" s="1"/>
  <c r="AG40" i="68"/>
  <c r="AG7" i="68" s="1"/>
  <c r="AH40" i="68"/>
  <c r="AH7" i="68" s="1"/>
  <c r="AI7" i="68"/>
  <c r="AJ40" i="68"/>
  <c r="AJ7" i="68" s="1"/>
  <c r="AJ42" i="87"/>
  <c r="AJ9" i="87" s="1"/>
  <c r="AI42" i="87"/>
  <c r="AI9" i="87" s="1"/>
  <c r="AH42" i="87"/>
  <c r="AH9" i="87" s="1"/>
  <c r="AG42" i="87"/>
  <c r="AG9" i="87" s="1"/>
  <c r="AF42" i="87"/>
  <c r="AF9" i="87" s="1"/>
  <c r="AE42" i="87"/>
  <c r="AE9" i="87" s="1"/>
  <c r="AD42" i="87"/>
  <c r="AD9" i="87" s="1"/>
  <c r="AC42" i="87"/>
  <c r="AC9" i="87" s="1"/>
  <c r="AB42" i="87"/>
  <c r="AB9" i="87" s="1"/>
  <c r="AA42" i="87"/>
  <c r="AA9" i="87" s="1"/>
  <c r="Z42" i="87"/>
  <c r="Z9" i="87" s="1"/>
  <c r="Y42" i="87"/>
  <c r="Y9" i="87" s="1"/>
  <c r="AD40" i="124" l="1"/>
  <c r="AD40" i="174" s="1"/>
  <c r="AC40" i="124"/>
  <c r="AC40" i="174" s="1"/>
  <c r="AB40" i="124"/>
  <c r="AB40" i="174" s="1"/>
  <c r="AI40" i="124"/>
  <c r="AI40" i="174" s="1"/>
  <c r="AA40" i="124"/>
  <c r="AA40" i="174" s="1"/>
  <c r="Z40" i="124"/>
  <c r="Z40" i="174" s="1"/>
  <c r="AH40" i="124"/>
  <c r="AH40" i="174" s="1"/>
  <c r="AJ40" i="124"/>
  <c r="AJ40" i="174" s="1"/>
  <c r="AG40" i="124"/>
  <c r="AG40" i="174" s="1"/>
  <c r="Y40" i="124"/>
  <c r="Y40" i="174" s="1"/>
  <c r="AF40" i="124"/>
  <c r="AF40" i="174" s="1"/>
  <c r="AE40" i="124"/>
  <c r="AE40" i="174" s="1"/>
  <c r="AK42" i="87"/>
  <c r="Y36" i="87"/>
  <c r="AA34" i="68"/>
  <c r="AC19" i="87"/>
  <c r="AC19" i="124" s="1"/>
  <c r="AC19" i="174" s="1"/>
  <c r="AC34" i="87"/>
  <c r="AB34" i="87"/>
  <c r="AB19" i="87"/>
  <c r="AB19" i="124" s="1"/>
  <c r="AB19" i="174" s="1"/>
  <c r="AA19" i="87"/>
  <c r="AA19" i="124" s="1"/>
  <c r="AA19" i="174" s="1"/>
  <c r="AA34" i="87"/>
  <c r="AA34" i="124" s="1"/>
  <c r="AA34" i="174" s="1"/>
  <c r="AA7" i="124"/>
  <c r="AA7" i="174" s="1"/>
  <c r="AG36" i="87"/>
  <c r="Z34" i="87"/>
  <c r="Z19" i="87"/>
  <c r="Z19" i="124" s="1"/>
  <c r="Z19" i="174" s="1"/>
  <c r="AK40" i="87"/>
  <c r="Y34" i="87"/>
  <c r="Y13" i="87" s="1"/>
  <c r="Y19" i="87"/>
  <c r="Y19" i="124" s="1"/>
  <c r="Y19" i="174" s="1"/>
  <c r="AG34" i="68"/>
  <c r="AI34" i="87"/>
  <c r="AI19" i="87"/>
  <c r="AI19" i="124" s="1"/>
  <c r="AI19" i="174" s="1"/>
  <c r="AC36" i="87"/>
  <c r="AE34" i="68"/>
  <c r="AH34" i="87"/>
  <c r="AH19" i="87"/>
  <c r="AH19" i="124" s="1"/>
  <c r="AH19" i="174" s="1"/>
  <c r="AD36" i="87"/>
  <c r="AK40" i="68"/>
  <c r="Y34" i="68"/>
  <c r="AI36" i="87"/>
  <c r="Z36" i="87"/>
  <c r="AF34" i="68"/>
  <c r="AD34" i="68"/>
  <c r="AA36" i="87"/>
  <c r="AC34" i="68"/>
  <c r="AF34" i="87"/>
  <c r="AF19" i="87"/>
  <c r="AF19" i="124" s="1"/>
  <c r="AF19" i="174" s="1"/>
  <c r="AD7" i="124"/>
  <c r="AD7" i="174" s="1"/>
  <c r="AD34" i="87"/>
  <c r="AD34" i="124" s="1"/>
  <c r="AD34" i="174" s="1"/>
  <c r="AD19" i="87"/>
  <c r="AD19" i="124" s="1"/>
  <c r="AD19" i="174" s="1"/>
  <c r="Z34" i="68"/>
  <c r="AB36" i="87"/>
  <c r="AJ34" i="68"/>
  <c r="AI34" i="68"/>
  <c r="AH34" i="68"/>
  <c r="AE36" i="87"/>
  <c r="AJ34" i="87"/>
  <c r="AJ19" i="87"/>
  <c r="AJ19" i="124" s="1"/>
  <c r="AJ19" i="174" s="1"/>
  <c r="AJ36" i="87"/>
  <c r="AH36" i="87"/>
  <c r="AG7" i="124"/>
  <c r="AG7" i="174" s="1"/>
  <c r="AG34" i="87"/>
  <c r="AG34" i="124" s="1"/>
  <c r="AG34" i="174" s="1"/>
  <c r="AG19" i="87"/>
  <c r="AG19" i="124" s="1"/>
  <c r="AG19" i="174" s="1"/>
  <c r="AF36" i="87"/>
  <c r="AB34" i="68"/>
  <c r="AE34" i="87"/>
  <c r="AE34" i="124" s="1"/>
  <c r="AE34" i="174" s="1"/>
  <c r="AE7" i="124"/>
  <c r="AE7" i="174" s="1"/>
  <c r="AE19" i="87"/>
  <c r="AE19" i="124" s="1"/>
  <c r="AE19" i="174" s="1"/>
  <c r="Y41" i="87"/>
  <c r="Y8" i="87" s="1"/>
  <c r="Z41" i="87"/>
  <c r="AA41" i="87"/>
  <c r="AA8" i="87" s="1"/>
  <c r="AB41" i="87"/>
  <c r="AB8" i="87" s="1"/>
  <c r="AC41" i="87"/>
  <c r="AC8" i="87" s="1"/>
  <c r="AD41" i="87"/>
  <c r="AD8" i="87" s="1"/>
  <c r="AE41" i="87"/>
  <c r="AE8" i="87" s="1"/>
  <c r="AF41" i="87"/>
  <c r="AF8" i="87" s="1"/>
  <c r="AG41" i="87"/>
  <c r="AG8" i="87" s="1"/>
  <c r="AH41" i="87"/>
  <c r="AH8" i="87" s="1"/>
  <c r="AI41" i="87"/>
  <c r="AI8" i="87" s="1"/>
  <c r="AJ41" i="87"/>
  <c r="AJ8" i="87" s="1"/>
  <c r="Y42" i="68"/>
  <c r="Y9" i="68" s="1"/>
  <c r="Z42" i="68"/>
  <c r="Z9" i="68" s="1"/>
  <c r="AA42" i="68"/>
  <c r="AA9" i="68" s="1"/>
  <c r="AB42" i="68"/>
  <c r="AB9" i="68" s="1"/>
  <c r="AC42" i="68"/>
  <c r="AC9" i="68" s="1"/>
  <c r="AD42" i="68"/>
  <c r="AD9" i="68" s="1"/>
  <c r="AE42" i="68"/>
  <c r="AE9" i="68" s="1"/>
  <c r="AF42" i="68"/>
  <c r="AF9" i="68" s="1"/>
  <c r="AG42" i="68"/>
  <c r="AG9" i="68" s="1"/>
  <c r="AH42" i="68"/>
  <c r="AH9" i="68" s="1"/>
  <c r="AI42" i="68"/>
  <c r="AJ42" i="68"/>
  <c r="AJ9" i="68" s="1"/>
  <c r="Z8" i="87" l="1"/>
  <c r="Z35" i="87"/>
  <c r="AI9" i="68"/>
  <c r="AI39" i="68"/>
  <c r="Y42" i="124"/>
  <c r="Y42" i="174" s="1"/>
  <c r="AC42" i="124"/>
  <c r="AC42" i="174" s="1"/>
  <c r="AE42" i="124"/>
  <c r="AE42" i="174" s="1"/>
  <c r="AF42" i="124"/>
  <c r="AF42" i="174" s="1"/>
  <c r="AG42" i="124"/>
  <c r="AG42" i="174" s="1"/>
  <c r="AH42" i="124"/>
  <c r="AH42" i="174" s="1"/>
  <c r="AI42" i="124"/>
  <c r="AI42" i="174" s="1"/>
  <c r="AG39" i="87"/>
  <c r="AH39" i="87"/>
  <c r="AJ39" i="87"/>
  <c r="AJ42" i="124"/>
  <c r="AJ42" i="174" s="1"/>
  <c r="AH7" i="124"/>
  <c r="AH7" i="174" s="1"/>
  <c r="AH34" i="124"/>
  <c r="AH34" i="174" s="1"/>
  <c r="AI7" i="124"/>
  <c r="AI7" i="174" s="1"/>
  <c r="AI34" i="124"/>
  <c r="AI34" i="174" s="1"/>
  <c r="Y7" i="124"/>
  <c r="Y7" i="174" s="1"/>
  <c r="Z7" i="124"/>
  <c r="Z7" i="174" s="1"/>
  <c r="AB7" i="124"/>
  <c r="AB7" i="174" s="1"/>
  <c r="AB34" i="124"/>
  <c r="AB34" i="174" s="1"/>
  <c r="AD39" i="87"/>
  <c r="AJ34" i="124"/>
  <c r="AJ34" i="174" s="1"/>
  <c r="AC34" i="124"/>
  <c r="AC34" i="174" s="1"/>
  <c r="AA42" i="124"/>
  <c r="AA42" i="174" s="1"/>
  <c r="Y39" i="87"/>
  <c r="AF34" i="124"/>
  <c r="AF34" i="174" s="1"/>
  <c r="Z34" i="124"/>
  <c r="Z34" i="174" s="1"/>
  <c r="AI39" i="87"/>
  <c r="AI156" i="87" s="1"/>
  <c r="AE39" i="87"/>
  <c r="AE156" i="87" s="1"/>
  <c r="Y34" i="124"/>
  <c r="Y34" i="174" s="1"/>
  <c r="AD42" i="124"/>
  <c r="AD42" i="174" s="1"/>
  <c r="AB42" i="124"/>
  <c r="AB42" i="174" s="1"/>
  <c r="AF7" i="124"/>
  <c r="AF7" i="174" s="1"/>
  <c r="AC7" i="124"/>
  <c r="AC7" i="174" s="1"/>
  <c r="AF39" i="87"/>
  <c r="AJ7" i="124"/>
  <c r="AJ7" i="174" s="1"/>
  <c r="AB39" i="87"/>
  <c r="AB156" i="87" s="1"/>
  <c r="Z42" i="124"/>
  <c r="Z42" i="174" s="1"/>
  <c r="AD156" i="87"/>
  <c r="AF156" i="87"/>
  <c r="AD15" i="87"/>
  <c r="AA20" i="87"/>
  <c r="AA20" i="124" s="1"/>
  <c r="AA20" i="174" s="1"/>
  <c r="AA35" i="87"/>
  <c r="AJ15" i="87"/>
  <c r="AH156" i="87"/>
  <c r="AG9" i="124"/>
  <c r="AG9" i="174" s="1"/>
  <c r="AG36" i="68"/>
  <c r="AG15" i="68" s="1"/>
  <c r="AA36" i="68"/>
  <c r="AA36" i="124" s="1"/>
  <c r="AA36" i="174" s="1"/>
  <c r="Z20" i="87"/>
  <c r="Z20" i="124" s="1"/>
  <c r="Z20" i="174" s="1"/>
  <c r="AG13" i="87"/>
  <c r="AK7" i="87"/>
  <c r="AA13" i="68"/>
  <c r="AJ13" i="87"/>
  <c r="AD13" i="68"/>
  <c r="AF36" i="68"/>
  <c r="AF15" i="68" s="1"/>
  <c r="AI13" i="68"/>
  <c r="AC35" i="87"/>
  <c r="AC20" i="87"/>
  <c r="AC20" i="124" s="1"/>
  <c r="AC20" i="174" s="1"/>
  <c r="AM40" i="68"/>
  <c r="AM40" i="87"/>
  <c r="AB13" i="87"/>
  <c r="AE36" i="68"/>
  <c r="AE15" i="68" s="1"/>
  <c r="Y36" i="68"/>
  <c r="AK42" i="68"/>
  <c r="AH15" i="87"/>
  <c r="AC13" i="68"/>
  <c r="AF13" i="68"/>
  <c r="AK7" i="68"/>
  <c r="AI13" i="87"/>
  <c r="AI13" i="124" s="1"/>
  <c r="AI13" i="174" s="1"/>
  <c r="AG15" i="87"/>
  <c r="AG15" i="124" s="1"/>
  <c r="AG15" i="174" s="1"/>
  <c r="AK36" i="87"/>
  <c r="AK46" i="87" s="1"/>
  <c r="AO46" i="87" s="1"/>
  <c r="AC9" i="124"/>
  <c r="AC9" i="174" s="1"/>
  <c r="AC36" i="68"/>
  <c r="AC36" i="124" s="1"/>
  <c r="AC36" i="174" s="1"/>
  <c r="Z13" i="87"/>
  <c r="AE20" i="87"/>
  <c r="AE20" i="124" s="1"/>
  <c r="AE20" i="174" s="1"/>
  <c r="AE35" i="87"/>
  <c r="AE6" i="87"/>
  <c r="AK19" i="87"/>
  <c r="Y156" i="87"/>
  <c r="Y6" i="87"/>
  <c r="Y20" i="87"/>
  <c r="Y20" i="124" s="1"/>
  <c r="Y20" i="174" s="1"/>
  <c r="Y35" i="87"/>
  <c r="AK41" i="87"/>
  <c r="AF15" i="87"/>
  <c r="AF15" i="124" s="1"/>
  <c r="AF15" i="174" s="1"/>
  <c r="AK40" i="124"/>
  <c r="AA39" i="87"/>
  <c r="AC39" i="87"/>
  <c r="Y15" i="87"/>
  <c r="AK9" i="87"/>
  <c r="AA15" i="87"/>
  <c r="AG13" i="68"/>
  <c r="AI20" i="87"/>
  <c r="AI20" i="124" s="1"/>
  <c r="AI20" i="174" s="1"/>
  <c r="AI35" i="87"/>
  <c r="AH9" i="124"/>
  <c r="AH9" i="174" s="1"/>
  <c r="AH36" i="68"/>
  <c r="AH36" i="124" s="1"/>
  <c r="AH36" i="174" s="1"/>
  <c r="AD35" i="87"/>
  <c r="AD20" i="87"/>
  <c r="AD20" i="124" s="1"/>
  <c r="AD20" i="174" s="1"/>
  <c r="AJ156" i="87"/>
  <c r="AF13" i="87"/>
  <c r="AF13" i="124" s="1"/>
  <c r="AF13" i="174" s="1"/>
  <c r="Y13" i="68"/>
  <c r="AK34" i="68"/>
  <c r="AK34" i="87"/>
  <c r="AJ9" i="124"/>
  <c r="AJ9" i="174" s="1"/>
  <c r="AJ36" i="68"/>
  <c r="AJ36" i="124" s="1"/>
  <c r="AJ36" i="174" s="1"/>
  <c r="AJ35" i="87"/>
  <c r="AJ20" i="87"/>
  <c r="AJ20" i="124" s="1"/>
  <c r="AJ20" i="174" s="1"/>
  <c r="AF35" i="87"/>
  <c r="AF20" i="87"/>
  <c r="AF20" i="124" s="1"/>
  <c r="AF20" i="174" s="1"/>
  <c r="AB20" i="87"/>
  <c r="AB20" i="124" s="1"/>
  <c r="AB20" i="174" s="1"/>
  <c r="AB6" i="87"/>
  <c r="AB35" i="87"/>
  <c r="AJ13" i="68"/>
  <c r="AE13" i="68"/>
  <c r="AA13" i="87"/>
  <c r="AC13" i="87"/>
  <c r="AC13" i="124" s="1"/>
  <c r="AC13" i="174" s="1"/>
  <c r="AI36" i="68"/>
  <c r="AG156" i="87"/>
  <c r="Z15" i="87"/>
  <c r="AB15" i="87"/>
  <c r="AC15" i="87"/>
  <c r="AB36" i="68"/>
  <c r="Z13" i="68"/>
  <c r="AH35" i="87"/>
  <c r="AH6" i="87"/>
  <c r="AH20" i="87"/>
  <c r="AH20" i="124" s="1"/>
  <c r="AH20" i="174" s="1"/>
  <c r="AB13" i="68"/>
  <c r="AH13" i="68"/>
  <c r="AI15" i="87"/>
  <c r="AH13" i="87"/>
  <c r="Z36" i="68"/>
  <c r="Z15" i="68" s="1"/>
  <c r="AG35" i="87"/>
  <c r="AG20" i="87"/>
  <c r="AG20" i="124" s="1"/>
  <c r="AG20" i="174" s="1"/>
  <c r="AD36" i="68"/>
  <c r="AE13" i="87"/>
  <c r="AE15" i="87"/>
  <c r="AD13" i="87"/>
  <c r="AD13" i="124" s="1"/>
  <c r="AD6" i="87"/>
  <c r="Z39" i="87"/>
  <c r="AM42" i="87"/>
  <c r="AJ41" i="68"/>
  <c r="AJ8" i="68" s="1"/>
  <c r="AI8" i="68"/>
  <c r="AH41" i="68"/>
  <c r="AH8" i="68" s="1"/>
  <c r="AG41" i="68"/>
  <c r="AG8" i="68" s="1"/>
  <c r="AF41" i="68"/>
  <c r="AF8" i="68" s="1"/>
  <c r="AE41" i="68"/>
  <c r="AE8" i="68" s="1"/>
  <c r="AD41" i="68"/>
  <c r="AD8" i="68" s="1"/>
  <c r="AC41" i="68"/>
  <c r="AC8" i="68" s="1"/>
  <c r="AB41" i="68"/>
  <c r="AB8" i="68" s="1"/>
  <c r="AA41" i="68"/>
  <c r="AA8" i="68" s="1"/>
  <c r="Z41" i="68"/>
  <c r="Z8" i="68" s="1"/>
  <c r="Y41" i="68"/>
  <c r="Y8" i="68" s="1"/>
  <c r="AD44" i="124" l="1"/>
  <c r="AD44" i="174" s="1"/>
  <c r="AD13" i="174"/>
  <c r="AK40" i="174"/>
  <c r="AA41" i="124"/>
  <c r="AA41" i="174" s="1"/>
  <c r="AD41" i="124"/>
  <c r="AD41" i="174" s="1"/>
  <c r="AF41" i="124"/>
  <c r="AF41" i="174" s="1"/>
  <c r="AH41" i="124"/>
  <c r="AH41" i="174" s="1"/>
  <c r="AI41" i="124"/>
  <c r="AI41" i="174" s="1"/>
  <c r="AG46" i="124"/>
  <c r="AG46" i="174" s="1"/>
  <c r="AC44" i="124"/>
  <c r="AC44" i="174" s="1"/>
  <c r="AF44" i="124"/>
  <c r="AF44" i="174" s="1"/>
  <c r="AI44" i="124"/>
  <c r="AI44" i="174" s="1"/>
  <c r="Y41" i="124"/>
  <c r="Y41" i="174" s="1"/>
  <c r="Z41" i="124"/>
  <c r="Z41" i="174" s="1"/>
  <c r="AE41" i="124"/>
  <c r="AE41" i="174" s="1"/>
  <c r="AG41" i="124"/>
  <c r="AG41" i="174" s="1"/>
  <c r="AJ41" i="124"/>
  <c r="AJ41" i="174" s="1"/>
  <c r="AD9" i="124"/>
  <c r="AD9" i="174" s="1"/>
  <c r="AB9" i="124"/>
  <c r="AB9" i="174" s="1"/>
  <c r="AI9" i="124"/>
  <c r="AI9" i="174" s="1"/>
  <c r="AK9" i="68"/>
  <c r="AF9" i="124"/>
  <c r="AA9" i="124"/>
  <c r="AA9" i="174" s="1"/>
  <c r="AK42" i="124"/>
  <c r="AK42" i="174" s="1"/>
  <c r="Y9" i="124"/>
  <c r="Y9" i="174" s="1"/>
  <c r="AB13" i="124"/>
  <c r="AC41" i="124"/>
  <c r="AC41" i="174" s="1"/>
  <c r="Z13" i="124"/>
  <c r="Z36" i="124"/>
  <c r="Z36" i="174" s="1"/>
  <c r="Z9" i="124"/>
  <c r="Z9" i="174" s="1"/>
  <c r="AE36" i="124"/>
  <c r="AE36" i="174" s="1"/>
  <c r="AE13" i="124"/>
  <c r="AB15" i="68"/>
  <c r="AI15" i="68"/>
  <c r="AH15" i="68"/>
  <c r="AK39" i="87"/>
  <c r="AL36" i="87" s="1"/>
  <c r="AG13" i="124"/>
  <c r="AB36" i="124"/>
  <c r="AB36" i="174" s="1"/>
  <c r="AI36" i="124"/>
  <c r="AI36" i="174" s="1"/>
  <c r="Y36" i="124"/>
  <c r="Y36" i="174" s="1"/>
  <c r="Z15" i="124"/>
  <c r="Z15" i="174" s="1"/>
  <c r="AH15" i="124"/>
  <c r="AE9" i="124"/>
  <c r="AE9" i="174" s="1"/>
  <c r="AI15" i="124"/>
  <c r="AI15" i="174" s="1"/>
  <c r="AB15" i="124"/>
  <c r="AB15" i="174" s="1"/>
  <c r="AA13" i="124"/>
  <c r="AG36" i="124"/>
  <c r="AG36" i="174" s="1"/>
  <c r="Z6" i="87"/>
  <c r="AD15" i="68"/>
  <c r="AD15" i="124" s="1"/>
  <c r="AD15" i="174" s="1"/>
  <c r="AH13" i="124"/>
  <c r="AI6" i="87"/>
  <c r="AD36" i="124"/>
  <c r="AD36" i="174" s="1"/>
  <c r="Y13" i="124"/>
  <c r="Y13" i="174" s="1"/>
  <c r="AE15" i="124"/>
  <c r="AE15" i="174" s="1"/>
  <c r="AC6" i="87"/>
  <c r="AF6" i="87"/>
  <c r="AJ13" i="124"/>
  <c r="AF36" i="124"/>
  <c r="AF36" i="174" s="1"/>
  <c r="AB41" i="124"/>
  <c r="AB41" i="174" s="1"/>
  <c r="AM39" i="87"/>
  <c r="AK157" i="87"/>
  <c r="AL42" i="87"/>
  <c r="AL40" i="87"/>
  <c r="AM42" i="124"/>
  <c r="AM42" i="174" s="1"/>
  <c r="AM36" i="87"/>
  <c r="AB157" i="87"/>
  <c r="AM19" i="87"/>
  <c r="AA14" i="87"/>
  <c r="AD14" i="87"/>
  <c r="AD157" i="87"/>
  <c r="AK20" i="87"/>
  <c r="AK13" i="87"/>
  <c r="AG14" i="87"/>
  <c r="AA6" i="87"/>
  <c r="Y14" i="87"/>
  <c r="AK8" i="87"/>
  <c r="AK6" i="87" s="1"/>
  <c r="AL154" i="87" s="1"/>
  <c r="AC15" i="68"/>
  <c r="AC15" i="124" s="1"/>
  <c r="AC14" i="87"/>
  <c r="AA15" i="68"/>
  <c r="AH157" i="87"/>
  <c r="AA6" i="68"/>
  <c r="AA35" i="68"/>
  <c r="AA14" i="68" s="1"/>
  <c r="AA39" i="68"/>
  <c r="AA156" i="68" s="1"/>
  <c r="AF14" i="87"/>
  <c r="AF157" i="87"/>
  <c r="AH8" i="124"/>
  <c r="AH8" i="174" s="1"/>
  <c r="AH35" i="68"/>
  <c r="AH35" i="124" s="1"/>
  <c r="AH35" i="174" s="1"/>
  <c r="AH39" i="68"/>
  <c r="AA156" i="87"/>
  <c r="AJ14" i="87"/>
  <c r="AI35" i="68"/>
  <c r="AJ8" i="124"/>
  <c r="AJ8" i="174" s="1"/>
  <c r="AJ35" i="68"/>
  <c r="AJ39" i="68"/>
  <c r="AE8" i="124"/>
  <c r="AE8" i="174" s="1"/>
  <c r="AE35" i="68"/>
  <c r="AE35" i="124" s="1"/>
  <c r="AE35" i="174" s="1"/>
  <c r="AE39" i="68"/>
  <c r="AE157" i="87"/>
  <c r="AB8" i="124"/>
  <c r="AB8" i="174" s="1"/>
  <c r="AB35" i="68"/>
  <c r="AB39" i="68"/>
  <c r="AM46" i="87"/>
  <c r="AL46" i="87"/>
  <c r="Y157" i="87"/>
  <c r="AM40" i="124"/>
  <c r="AM40" i="174" s="1"/>
  <c r="AC8" i="124"/>
  <c r="AC8" i="174" s="1"/>
  <c r="AC35" i="68"/>
  <c r="AC39" i="68"/>
  <c r="AC156" i="68" s="1"/>
  <c r="AK7" i="124"/>
  <c r="Z156" i="87"/>
  <c r="AD8" i="124"/>
  <c r="AD8" i="174" s="1"/>
  <c r="AD35" i="68"/>
  <c r="AD39" i="68"/>
  <c r="Y44" i="124"/>
  <c r="Y44" i="174" s="1"/>
  <c r="AK13" i="68"/>
  <c r="Z14" i="87"/>
  <c r="AK41" i="68"/>
  <c r="Y35" i="68"/>
  <c r="Y39" i="68"/>
  <c r="AJ15" i="68"/>
  <c r="AM9" i="87"/>
  <c r="AM42" i="68"/>
  <c r="AK46" i="68"/>
  <c r="AO46" i="68" s="1"/>
  <c r="AJ6" i="87"/>
  <c r="AG157" i="87"/>
  <c r="AI14" i="87"/>
  <c r="AM9" i="68"/>
  <c r="AG6" i="68"/>
  <c r="AG35" i="68"/>
  <c r="AG14" i="68" s="1"/>
  <c r="AG12" i="68" s="1"/>
  <c r="AG33" i="68" s="1"/>
  <c r="AG158" i="68" s="1"/>
  <c r="AG39" i="68"/>
  <c r="AM34" i="87"/>
  <c r="AK44" i="87"/>
  <c r="AO44" i="87" s="1"/>
  <c r="AJ157" i="87"/>
  <c r="AC156" i="87"/>
  <c r="AH14" i="87"/>
  <c r="AM41" i="87"/>
  <c r="AL41" i="87"/>
  <c r="AM34" i="68"/>
  <c r="AK44" i="68"/>
  <c r="AO44" i="68" s="1"/>
  <c r="AK19" i="124"/>
  <c r="AK19" i="174" s="1"/>
  <c r="AM7" i="87"/>
  <c r="AB14" i="87"/>
  <c r="AK35" i="87"/>
  <c r="Z6" i="68"/>
  <c r="Z35" i="68"/>
  <c r="Z39" i="68"/>
  <c r="AF35" i="68"/>
  <c r="AF35" i="124" s="1"/>
  <c r="AF35" i="174" s="1"/>
  <c r="AF39" i="68"/>
  <c r="AK15" i="87"/>
  <c r="AE14" i="87"/>
  <c r="AM7" i="68"/>
  <c r="Y15" i="68"/>
  <c r="Y15" i="124" s="1"/>
  <c r="Y15" i="174" s="1"/>
  <c r="AK36" i="68"/>
  <c r="AG6" i="87"/>
  <c r="AI157" i="87"/>
  <c r="AK7" i="174" l="1"/>
  <c r="AG159" i="68"/>
  <c r="AC46" i="124"/>
  <c r="AC46" i="174" s="1"/>
  <c r="AC15" i="174"/>
  <c r="AJ44" i="124"/>
  <c r="AJ44" i="174" s="1"/>
  <c r="AJ13" i="174"/>
  <c r="AH44" i="124"/>
  <c r="AH44" i="174" s="1"/>
  <c r="AH13" i="174"/>
  <c r="AA44" i="124"/>
  <c r="AA44" i="174" s="1"/>
  <c r="AA13" i="174"/>
  <c r="AH46" i="124"/>
  <c r="AH46" i="174" s="1"/>
  <c r="AH15" i="174"/>
  <c r="AG44" i="124"/>
  <c r="AG44" i="174" s="1"/>
  <c r="AG13" i="174"/>
  <c r="AE44" i="124"/>
  <c r="AE44" i="174" s="1"/>
  <c r="AE13" i="174"/>
  <c r="Z44" i="124"/>
  <c r="Z44" i="174" s="1"/>
  <c r="Z13" i="174"/>
  <c r="AB44" i="124"/>
  <c r="AB44" i="174" s="1"/>
  <c r="AB13" i="174"/>
  <c r="AF46" i="124"/>
  <c r="AF46" i="174" s="1"/>
  <c r="AF9" i="174"/>
  <c r="AH6" i="124"/>
  <c r="AH6" i="174" s="1"/>
  <c r="AE46" i="124"/>
  <c r="AE46" i="174" s="1"/>
  <c r="Z46" i="124"/>
  <c r="Z46" i="174" s="1"/>
  <c r="Y46" i="124"/>
  <c r="Y46" i="174" s="1"/>
  <c r="AI46" i="124"/>
  <c r="AI46" i="174" s="1"/>
  <c r="AB46" i="124"/>
  <c r="AB46" i="174" s="1"/>
  <c r="AD46" i="124"/>
  <c r="AD46" i="174" s="1"/>
  <c r="AF8" i="124"/>
  <c r="AF8" i="174" s="1"/>
  <c r="Z156" i="68"/>
  <c r="Z39" i="124"/>
  <c r="Z35" i="124"/>
  <c r="Z35" i="174" s="1"/>
  <c r="Y35" i="124"/>
  <c r="Y35" i="174" s="1"/>
  <c r="Y8" i="124"/>
  <c r="Y8" i="174" s="1"/>
  <c r="AD35" i="124"/>
  <c r="AD35" i="174" s="1"/>
  <c r="AJ35" i="124"/>
  <c r="AJ35" i="174" s="1"/>
  <c r="AI35" i="124"/>
  <c r="AI35" i="174" s="1"/>
  <c r="AI6" i="68"/>
  <c r="AI8" i="124"/>
  <c r="AI8" i="174" s="1"/>
  <c r="AK41" i="124"/>
  <c r="AK41" i="174" s="1"/>
  <c r="AE6" i="124"/>
  <c r="AE6" i="174" s="1"/>
  <c r="AK36" i="124"/>
  <c r="AK36" i="174" s="1"/>
  <c r="AL19" i="87"/>
  <c r="AL7" i="87"/>
  <c r="AL38" i="87"/>
  <c r="AA8" i="124"/>
  <c r="AA8" i="174" s="1"/>
  <c r="AK15" i="68"/>
  <c r="AM15" i="68" s="1"/>
  <c r="AG14" i="124"/>
  <c r="AG14" i="174" s="1"/>
  <c r="AL39" i="87"/>
  <c r="Z8" i="124"/>
  <c r="Z8" i="174" s="1"/>
  <c r="AL34" i="87"/>
  <c r="AK156" i="87"/>
  <c r="AB35" i="124"/>
  <c r="AB35" i="174" s="1"/>
  <c r="AA15" i="124"/>
  <c r="AA14" i="124"/>
  <c r="AA35" i="124"/>
  <c r="AA35" i="174" s="1"/>
  <c r="AG35" i="124"/>
  <c r="AG35" i="174" s="1"/>
  <c r="AA39" i="124"/>
  <c r="AJ15" i="124"/>
  <c r="AG8" i="124"/>
  <c r="AG8" i="174" s="1"/>
  <c r="AC35" i="124"/>
  <c r="AC35" i="174" s="1"/>
  <c r="AC6" i="124"/>
  <c r="AC6" i="174" s="1"/>
  <c r="AM36" i="68"/>
  <c r="AD14" i="68"/>
  <c r="AD14" i="124" s="1"/>
  <c r="AD6" i="68"/>
  <c r="AJ12" i="87"/>
  <c r="AB156" i="68"/>
  <c r="AB39" i="124"/>
  <c r="AF12" i="87"/>
  <c r="AD12" i="87"/>
  <c r="AE12" i="87"/>
  <c r="AH14" i="68"/>
  <c r="AH14" i="124" s="1"/>
  <c r="AH6" i="68"/>
  <c r="AC157" i="87"/>
  <c r="AC147" i="124"/>
  <c r="AC155" i="124" s="1"/>
  <c r="AC155" i="174" s="1"/>
  <c r="AM41" i="68"/>
  <c r="AL8" i="87"/>
  <c r="AM8" i="87"/>
  <c r="AL157" i="87"/>
  <c r="AM157" i="87"/>
  <c r="AB14" i="68"/>
  <c r="AB12" i="68" s="1"/>
  <c r="AB6" i="68"/>
  <c r="AJ14" i="68"/>
  <c r="AJ14" i="124" s="1"/>
  <c r="AJ6" i="68"/>
  <c r="Z157" i="87"/>
  <c r="Z147" i="124"/>
  <c r="Z155" i="124" s="1"/>
  <c r="Z155" i="174" s="1"/>
  <c r="AE156" i="68"/>
  <c r="AE39" i="124"/>
  <c r="AA12" i="68"/>
  <c r="AA33" i="68" s="1"/>
  <c r="AA157" i="68"/>
  <c r="AK9" i="124"/>
  <c r="AK9" i="174" s="1"/>
  <c r="AD156" i="68"/>
  <c r="AD39" i="124"/>
  <c r="AM46" i="68"/>
  <c r="AC39" i="124"/>
  <c r="AL32" i="87"/>
  <c r="AL149" i="87"/>
  <c r="AL142" i="87"/>
  <c r="AL22" i="87"/>
  <c r="AL134" i="87"/>
  <c r="AL117" i="87"/>
  <c r="AL78" i="87"/>
  <c r="AL52" i="87"/>
  <c r="AL113" i="87"/>
  <c r="AL77" i="87"/>
  <c r="AL10" i="87"/>
  <c r="AL60" i="87"/>
  <c r="AL133" i="87"/>
  <c r="AL138" i="87"/>
  <c r="AL86" i="87"/>
  <c r="AL84" i="87"/>
  <c r="AL73" i="87"/>
  <c r="AL53" i="87"/>
  <c r="AL115" i="87"/>
  <c r="AL85" i="87"/>
  <c r="AL56" i="87"/>
  <c r="AL110" i="87"/>
  <c r="AL123" i="87"/>
  <c r="AL129" i="87"/>
  <c r="AL28" i="87"/>
  <c r="AL75" i="87"/>
  <c r="AL124" i="87"/>
  <c r="AL132" i="87"/>
  <c r="AL121" i="87"/>
  <c r="AL146" i="87"/>
  <c r="AL98" i="87"/>
  <c r="AL111" i="87"/>
  <c r="AL91" i="87"/>
  <c r="AL118" i="87"/>
  <c r="AL70" i="87"/>
  <c r="AL93" i="87"/>
  <c r="AL122" i="87"/>
  <c r="AL61" i="87"/>
  <c r="AL127" i="87"/>
  <c r="AL144" i="87"/>
  <c r="AL116" i="87"/>
  <c r="AL82" i="87"/>
  <c r="AL16" i="87"/>
  <c r="AL26" i="87"/>
  <c r="AL148" i="87"/>
  <c r="AL74" i="87"/>
  <c r="AL30" i="87"/>
  <c r="AL94" i="87"/>
  <c r="AL90" i="87"/>
  <c r="AL151" i="87"/>
  <c r="AL125" i="87"/>
  <c r="AL109" i="87"/>
  <c r="AL87" i="87"/>
  <c r="AL145" i="87"/>
  <c r="AL131" i="87"/>
  <c r="AL152" i="87"/>
  <c r="AL126" i="87"/>
  <c r="AL128" i="87"/>
  <c r="AL54" i="87"/>
  <c r="AL114" i="87"/>
  <c r="AL31" i="87"/>
  <c r="AL65" i="87"/>
  <c r="AL80" i="87"/>
  <c r="AL107" i="87"/>
  <c r="AL106" i="87"/>
  <c r="AL25" i="87"/>
  <c r="AL150" i="87"/>
  <c r="AL76" i="87"/>
  <c r="AL99" i="87"/>
  <c r="AL18" i="87"/>
  <c r="AL102" i="87"/>
  <c r="AL92" i="87"/>
  <c r="AL147" i="87"/>
  <c r="AL155" i="87"/>
  <c r="AL57" i="87"/>
  <c r="AL69" i="87"/>
  <c r="AL21" i="87"/>
  <c r="AL62" i="87"/>
  <c r="AL141" i="87"/>
  <c r="AL72" i="87"/>
  <c r="AL68" i="87"/>
  <c r="AL100" i="87"/>
  <c r="AL112" i="87"/>
  <c r="AL97" i="87"/>
  <c r="AL6" i="87"/>
  <c r="AL153" i="87"/>
  <c r="AL24" i="87"/>
  <c r="AL96" i="87"/>
  <c r="AL71" i="87"/>
  <c r="AL105" i="87"/>
  <c r="AL130" i="87"/>
  <c r="AL58" i="87"/>
  <c r="AL66" i="87"/>
  <c r="AM6" i="87"/>
  <c r="AL137" i="87"/>
  <c r="AL140" i="87"/>
  <c r="AL108" i="87"/>
  <c r="AL135" i="87"/>
  <c r="AL63" i="87"/>
  <c r="AL81" i="87"/>
  <c r="AL51" i="87"/>
  <c r="AL55" i="87"/>
  <c r="AL88" i="87"/>
  <c r="AL89" i="87"/>
  <c r="AL11" i="87"/>
  <c r="AL64" i="87"/>
  <c r="AL95" i="87"/>
  <c r="AL103" i="87"/>
  <c r="AL29" i="87"/>
  <c r="AL83" i="87"/>
  <c r="AL139" i="87"/>
  <c r="AL143" i="87"/>
  <c r="AL27" i="87"/>
  <c r="AL23" i="87"/>
  <c r="AL119" i="87"/>
  <c r="AL79" i="87"/>
  <c r="AL50" i="87"/>
  <c r="AL59" i="87"/>
  <c r="AL120" i="87"/>
  <c r="AL17" i="87"/>
  <c r="AL136" i="87"/>
  <c r="AL101" i="87"/>
  <c r="AL67" i="87"/>
  <c r="AL104" i="87"/>
  <c r="Y14" i="68"/>
  <c r="Y14" i="124" s="1"/>
  <c r="Y14" i="174" s="1"/>
  <c r="AK35" i="68"/>
  <c r="AA157" i="87"/>
  <c r="AA147" i="124"/>
  <c r="AA155" i="124" s="1"/>
  <c r="AA155" i="174" s="1"/>
  <c r="AG156" i="68"/>
  <c r="AG39" i="124"/>
  <c r="AH156" i="68"/>
  <c r="AH39" i="124"/>
  <c r="AG12" i="87"/>
  <c r="AG12" i="124"/>
  <c r="AG12" i="174" s="1"/>
  <c r="Z12" i="87"/>
  <c r="Y12" i="87"/>
  <c r="AK14" i="87"/>
  <c r="AF156" i="68"/>
  <c r="AF39" i="124"/>
  <c r="AF14" i="68"/>
  <c r="AF14" i="124" s="1"/>
  <c r="AF14" i="174" s="1"/>
  <c r="AF6" i="68"/>
  <c r="AB12" i="87"/>
  <c r="AM19" i="124"/>
  <c r="AM19" i="174" s="1"/>
  <c r="Y6" i="124"/>
  <c r="Y6" i="174" s="1"/>
  <c r="AC12" i="87"/>
  <c r="AK34" i="124"/>
  <c r="AM156" i="87"/>
  <c r="AL156" i="87"/>
  <c r="Y39" i="124"/>
  <c r="Y39" i="174" s="1"/>
  <c r="Y156" i="68"/>
  <c r="AK39" i="68"/>
  <c r="AM41" i="124"/>
  <c r="AM41" i="174" s="1"/>
  <c r="AL44" i="87"/>
  <c r="AM44" i="87"/>
  <c r="AI12" i="87"/>
  <c r="AK45" i="87"/>
  <c r="AO45" i="87" s="1"/>
  <c r="AM35" i="87"/>
  <c r="AL35" i="87"/>
  <c r="AL9" i="87"/>
  <c r="AK20" i="124"/>
  <c r="AK20" i="174" s="1"/>
  <c r="AG33" i="87"/>
  <c r="Z157" i="68"/>
  <c r="AM44" i="68"/>
  <c r="AJ33" i="87"/>
  <c r="AM13" i="68"/>
  <c r="AE14" i="68"/>
  <c r="AE6" i="68"/>
  <c r="AI156" i="68"/>
  <c r="AI39" i="124"/>
  <c r="AM13" i="87"/>
  <c r="AK12" i="87"/>
  <c r="AK33" i="87" s="1"/>
  <c r="AL13" i="87"/>
  <c r="AC157" i="68"/>
  <c r="AM20" i="87"/>
  <c r="AL20" i="87"/>
  <c r="AC14" i="68"/>
  <c r="AC6" i="68"/>
  <c r="AA12" i="87"/>
  <c r="AA33" i="87" s="1"/>
  <c r="AK8" i="68"/>
  <c r="Y6" i="68"/>
  <c r="AJ156" i="68"/>
  <c r="AJ39" i="124"/>
  <c r="AJ6" i="124"/>
  <c r="AJ6" i="174" s="1"/>
  <c r="AM15" i="87"/>
  <c r="AL15" i="87"/>
  <c r="Z14" i="68"/>
  <c r="AH12" i="87"/>
  <c r="AK13" i="124"/>
  <c r="AK13" i="174" s="1"/>
  <c r="AM7" i="124"/>
  <c r="AM7" i="174" s="1"/>
  <c r="AI14" i="68"/>
  <c r="AJ39" i="174" l="1"/>
  <c r="AI39" i="174"/>
  <c r="AF39" i="174"/>
  <c r="AH39" i="174"/>
  <c r="AG39" i="174"/>
  <c r="AC39" i="174"/>
  <c r="AD39" i="174"/>
  <c r="AE39" i="174"/>
  <c r="AJ45" i="124"/>
  <c r="AJ45" i="174" s="1"/>
  <c r="AJ14" i="174"/>
  <c r="AH45" i="124"/>
  <c r="AH45" i="174" s="1"/>
  <c r="AH14" i="174"/>
  <c r="AB39" i="174"/>
  <c r="AD45" i="124"/>
  <c r="AD45" i="174" s="1"/>
  <c r="AD14" i="174"/>
  <c r="AJ46" i="124"/>
  <c r="AJ46" i="174" s="1"/>
  <c r="AJ15" i="174"/>
  <c r="AA39" i="174"/>
  <c r="AA12" i="124"/>
  <c r="AA12" i="174" s="1"/>
  <c r="AA14" i="174"/>
  <c r="AA46" i="124"/>
  <c r="AA46" i="174" s="1"/>
  <c r="AA15" i="174"/>
  <c r="Z39" i="174"/>
  <c r="AK44" i="124"/>
  <c r="AK44" i="174" s="1"/>
  <c r="AK34" i="174"/>
  <c r="AA147" i="174"/>
  <c r="Z147" i="174"/>
  <c r="AC147" i="174"/>
  <c r="AJ161" i="173"/>
  <c r="AJ250" i="173" s="1"/>
  <c r="AJ253" i="173" s="1"/>
  <c r="AJ290" i="173" s="1"/>
  <c r="AJ352" i="173" s="1"/>
  <c r="AJ355" i="173" s="1"/>
  <c r="AJ162" i="174"/>
  <c r="AJ251" i="174" s="1"/>
  <c r="AI161" i="173"/>
  <c r="AI250" i="173" s="1"/>
  <c r="AI253" i="173" s="1"/>
  <c r="AI290" i="173" s="1"/>
  <c r="AI352" i="173" s="1"/>
  <c r="AI355" i="173" s="1"/>
  <c r="AI162" i="174"/>
  <c r="AI251" i="174" s="1"/>
  <c r="AF161" i="173"/>
  <c r="AF250" i="173" s="1"/>
  <c r="AF253" i="173" s="1"/>
  <c r="AF290" i="173" s="1"/>
  <c r="AF352" i="173" s="1"/>
  <c r="AF355" i="173" s="1"/>
  <c r="AF162" i="174"/>
  <c r="AF251" i="174" s="1"/>
  <c r="AH161" i="173"/>
  <c r="AH250" i="173" s="1"/>
  <c r="AH253" i="173" s="1"/>
  <c r="AH290" i="173" s="1"/>
  <c r="AH352" i="173" s="1"/>
  <c r="AH355" i="173" s="1"/>
  <c r="AH162" i="174"/>
  <c r="AH251" i="174" s="1"/>
  <c r="AG161" i="173"/>
  <c r="AG250" i="173" s="1"/>
  <c r="AG253" i="173" s="1"/>
  <c r="AG290" i="173" s="1"/>
  <c r="AG352" i="173" s="1"/>
  <c r="AG355" i="173" s="1"/>
  <c r="AG162" i="174"/>
  <c r="AG251" i="174" s="1"/>
  <c r="AC161" i="173"/>
  <c r="AC250" i="173" s="1"/>
  <c r="AC253" i="173" s="1"/>
  <c r="AC290" i="173" s="1"/>
  <c r="AC352" i="173" s="1"/>
  <c r="AC355" i="173" s="1"/>
  <c r="AD161" i="173"/>
  <c r="AD250" i="173" s="1"/>
  <c r="AD253" i="173" s="1"/>
  <c r="AD290" i="173" s="1"/>
  <c r="AD352" i="173" s="1"/>
  <c r="AD355" i="173" s="1"/>
  <c r="AD162" i="174"/>
  <c r="AD251" i="174" s="1"/>
  <c r="AE161" i="173"/>
  <c r="AE250" i="173" s="1"/>
  <c r="AE253" i="173" s="1"/>
  <c r="AE290" i="173" s="1"/>
  <c r="AE352" i="173" s="1"/>
  <c r="AE355" i="173" s="1"/>
  <c r="AE162" i="174"/>
  <c r="AE251" i="174" s="1"/>
  <c r="AB161" i="173"/>
  <c r="AB250" i="173" s="1"/>
  <c r="AB253" i="173" s="1"/>
  <c r="AB290" i="173" s="1"/>
  <c r="AB352" i="173" s="1"/>
  <c r="AB355" i="173" s="1"/>
  <c r="AB162" i="174"/>
  <c r="AB251" i="174" s="1"/>
  <c r="AA161" i="173"/>
  <c r="AA250" i="173" s="1"/>
  <c r="AA253" i="173" s="1"/>
  <c r="AA290" i="173" s="1"/>
  <c r="AA352" i="173" s="1"/>
  <c r="AA355" i="173" s="1"/>
  <c r="Z161" i="173"/>
  <c r="Z250" i="173" s="1"/>
  <c r="Z253" i="173" s="1"/>
  <c r="Z290" i="173" s="1"/>
  <c r="Z352" i="173" s="1"/>
  <c r="Z355" i="173" s="1"/>
  <c r="AM36" i="124"/>
  <c r="AM36" i="174" s="1"/>
  <c r="AK46" i="124"/>
  <c r="AK46" i="174" s="1"/>
  <c r="AG6" i="124"/>
  <c r="AG6" i="174" s="1"/>
  <c r="AG45" i="124"/>
  <c r="AG45" i="174" s="1"/>
  <c r="AA6" i="124"/>
  <c r="AA6" i="174" s="1"/>
  <c r="AA45" i="124"/>
  <c r="AA45" i="174" s="1"/>
  <c r="Y45" i="124"/>
  <c r="Y45" i="174" s="1"/>
  <c r="AF6" i="124"/>
  <c r="AF6" i="174" s="1"/>
  <c r="AF45" i="124"/>
  <c r="AF45" i="174" s="1"/>
  <c r="AI12" i="68"/>
  <c r="AI33" i="68" s="1"/>
  <c r="AI158" i="68" s="1"/>
  <c r="AI159" i="68" s="1"/>
  <c r="AI14" i="124"/>
  <c r="AI14" i="174" s="1"/>
  <c r="Z12" i="68"/>
  <c r="Z33" i="68" s="1"/>
  <c r="Z158" i="68" s="1"/>
  <c r="Z159" i="68" s="1"/>
  <c r="Z14" i="124"/>
  <c r="Z14" i="174" s="1"/>
  <c r="AC14" i="124"/>
  <c r="AE14" i="124"/>
  <c r="AL46" i="68"/>
  <c r="AL36" i="68"/>
  <c r="AG33" i="124"/>
  <c r="AG33" i="174" s="1"/>
  <c r="AC156" i="124"/>
  <c r="AC156" i="174" s="1"/>
  <c r="Z156" i="124"/>
  <c r="Z156" i="174" s="1"/>
  <c r="AA156" i="124"/>
  <c r="AA156" i="174" s="1"/>
  <c r="AA33" i="124"/>
  <c r="AK35" i="124"/>
  <c r="AK35" i="174" s="1"/>
  <c r="AB14" i="124"/>
  <c r="AB14" i="174" s="1"/>
  <c r="AL41" i="68"/>
  <c r="AL44" i="68"/>
  <c r="AB33" i="68"/>
  <c r="AB158" i="68" s="1"/>
  <c r="AB159" i="68" s="1"/>
  <c r="AM34" i="124"/>
  <c r="AM34" i="174" s="1"/>
  <c r="AA158" i="87"/>
  <c r="AA159" i="87" s="1"/>
  <c r="AJ158" i="87"/>
  <c r="AJ159" i="87" s="1"/>
  <c r="Y33" i="87"/>
  <c r="AA158" i="68"/>
  <c r="AA159" i="68" s="1"/>
  <c r="AC33" i="87"/>
  <c r="AH33" i="87"/>
  <c r="Z6" i="124"/>
  <c r="Z6" i="174" s="1"/>
  <c r="AG43" i="124"/>
  <c r="AG43" i="174" s="1"/>
  <c r="AE12" i="68"/>
  <c r="AE33" i="68" s="1"/>
  <c r="AE158" i="68" s="1"/>
  <c r="AE159" i="68" s="1"/>
  <c r="AJ12" i="68"/>
  <c r="AJ33" i="68" s="1"/>
  <c r="AB157" i="68"/>
  <c r="AB147" i="124"/>
  <c r="AB155" i="124" s="1"/>
  <c r="AB155" i="174" s="1"/>
  <c r="AK39" i="124"/>
  <c r="AG157" i="68"/>
  <c r="AG147" i="124"/>
  <c r="AG155" i="124" s="1"/>
  <c r="AG155" i="174" s="1"/>
  <c r="AD157" i="68"/>
  <c r="AD147" i="124"/>
  <c r="AD155" i="124" s="1"/>
  <c r="AD155" i="174" s="1"/>
  <c r="AM12" i="87"/>
  <c r="AL12" i="87"/>
  <c r="AL45" i="87"/>
  <c r="AM45" i="87"/>
  <c r="AM9" i="124"/>
  <c r="AM9" i="174" s="1"/>
  <c r="Y12" i="124"/>
  <c r="AK15" i="124"/>
  <c r="AK15" i="174" s="1"/>
  <c r="AI157" i="68"/>
  <c r="AI147" i="124"/>
  <c r="AI155" i="124" s="1"/>
  <c r="AI155" i="174" s="1"/>
  <c r="AA43" i="124"/>
  <c r="AA43" i="174" s="1"/>
  <c r="Z33" i="87"/>
  <c r="AB6" i="124"/>
  <c r="AB6" i="174" s="1"/>
  <c r="AI33" i="87"/>
  <c r="AF33" i="87"/>
  <c r="AG158" i="87"/>
  <c r="AG159" i="87" s="1"/>
  <c r="AF157" i="68"/>
  <c r="AF147" i="124"/>
  <c r="AF155" i="124" s="1"/>
  <c r="AF155" i="174" s="1"/>
  <c r="AM20" i="124"/>
  <c r="AM20" i="174" s="1"/>
  <c r="AD6" i="124"/>
  <c r="AD6" i="174" s="1"/>
  <c r="AK8" i="124"/>
  <c r="AM13" i="124"/>
  <c r="AM13" i="174" s="1"/>
  <c r="AC12" i="68"/>
  <c r="AF12" i="68"/>
  <c r="AE33" i="87"/>
  <c r="AJ157" i="68"/>
  <c r="AJ147" i="124"/>
  <c r="AJ155" i="124" s="1"/>
  <c r="AJ155" i="174" s="1"/>
  <c r="AD33" i="87"/>
  <c r="AM8" i="68"/>
  <c r="AK6" i="68"/>
  <c r="AK156" i="68"/>
  <c r="AM39" i="68"/>
  <c r="AL39" i="68"/>
  <c r="AL38" i="68"/>
  <c r="AK157" i="68"/>
  <c r="AL40" i="68"/>
  <c r="AL34" i="68"/>
  <c r="AL42" i="68"/>
  <c r="AM14" i="87"/>
  <c r="AL14" i="87"/>
  <c r="AH157" i="68"/>
  <c r="AH147" i="124"/>
  <c r="AH155" i="124" s="1"/>
  <c r="AH155" i="174" s="1"/>
  <c r="AK45" i="68"/>
  <c r="AO45" i="68" s="1"/>
  <c r="AL35" i="68"/>
  <c r="AM35" i="68"/>
  <c r="AE157" i="68"/>
  <c r="AE147" i="124"/>
  <c r="AE155" i="124" s="1"/>
  <c r="AE155" i="174" s="1"/>
  <c r="AM44" i="124"/>
  <c r="AM44" i="174" s="1"/>
  <c r="AI6" i="124"/>
  <c r="AI6" i="174" s="1"/>
  <c r="Y157" i="68"/>
  <c r="Y147" i="124"/>
  <c r="Y155" i="124" s="1"/>
  <c r="Y155" i="174" s="1"/>
  <c r="AB33" i="87"/>
  <c r="AK14" i="68"/>
  <c r="Y12" i="68"/>
  <c r="Y33" i="68" s="1"/>
  <c r="Y158" i="68" s="1"/>
  <c r="Y159" i="68" s="1"/>
  <c r="AH12" i="68"/>
  <c r="AD12" i="124"/>
  <c r="AD12" i="174" s="1"/>
  <c r="AD12" i="68"/>
  <c r="AD33" i="68" s="1"/>
  <c r="AD158" i="68" s="1"/>
  <c r="AD159" i="68" s="1"/>
  <c r="AL8" i="68" l="1"/>
  <c r="AL154" i="68"/>
  <c r="AL155" i="68"/>
  <c r="AB252" i="174"/>
  <c r="AE252" i="174"/>
  <c r="AD252" i="174"/>
  <c r="AG252" i="174"/>
  <c r="AH252" i="174"/>
  <c r="AF252" i="174"/>
  <c r="AI252" i="174"/>
  <c r="AJ252" i="174"/>
  <c r="AK8" i="174"/>
  <c r="AK6" i="124"/>
  <c r="Z162" i="174"/>
  <c r="Z251" i="174" s="1"/>
  <c r="Z252" i="174" s="1"/>
  <c r="AA162" i="174"/>
  <c r="AA251" i="174" s="1"/>
  <c r="AA252" i="174" s="1"/>
  <c r="AC162" i="174"/>
  <c r="AC251" i="174" s="1"/>
  <c r="AC252" i="174" s="1"/>
  <c r="AK157" i="124"/>
  <c r="AK157" i="174"/>
  <c r="AM157" i="124"/>
  <c r="AM157" i="174" s="1"/>
  <c r="AC157" i="124"/>
  <c r="AC157" i="174" s="1"/>
  <c r="Z157" i="124"/>
  <c r="Z157" i="174" s="1"/>
  <c r="AA157" i="124"/>
  <c r="AA157" i="174" s="1"/>
  <c r="AK39" i="174"/>
  <c r="AR39" i="174" s="1"/>
  <c r="AE45" i="124"/>
  <c r="AE45" i="174" s="1"/>
  <c r="AE14" i="174"/>
  <c r="AC45" i="124"/>
  <c r="AC45" i="174" s="1"/>
  <c r="AC14" i="174"/>
  <c r="Y147" i="174"/>
  <c r="AE147" i="174"/>
  <c r="AH147" i="174"/>
  <c r="AJ147" i="174"/>
  <c r="AF147" i="174"/>
  <c r="AI147" i="174"/>
  <c r="Y33" i="124"/>
  <c r="Y33" i="174" s="1"/>
  <c r="Y12" i="174"/>
  <c r="AD147" i="174"/>
  <c r="AG147" i="174"/>
  <c r="AB147" i="174"/>
  <c r="AA158" i="124"/>
  <c r="AA158" i="174" s="1"/>
  <c r="AA33" i="174"/>
  <c r="Z255" i="174"/>
  <c r="Z253" i="174"/>
  <c r="Z254" i="174" s="1"/>
  <c r="AA255" i="174"/>
  <c r="AA253" i="174"/>
  <c r="AA254" i="174" s="1"/>
  <c r="AC255" i="174"/>
  <c r="AC253" i="174"/>
  <c r="AC254" i="174" s="1"/>
  <c r="Z257" i="174"/>
  <c r="AA257" i="174"/>
  <c r="AB257" i="174"/>
  <c r="AE257" i="174"/>
  <c r="AD257" i="174"/>
  <c r="AC257" i="174"/>
  <c r="AG257" i="174"/>
  <c r="AH257" i="174"/>
  <c r="AF257" i="174"/>
  <c r="AI257" i="174"/>
  <c r="AJ257" i="174"/>
  <c r="AM35" i="124"/>
  <c r="AM35" i="174" s="1"/>
  <c r="AK45" i="124"/>
  <c r="AK45" i="174" s="1"/>
  <c r="AB12" i="124"/>
  <c r="AB12" i="174" s="1"/>
  <c r="AB45" i="124"/>
  <c r="AB45" i="174" s="1"/>
  <c r="Z12" i="124"/>
  <c r="Z45" i="124"/>
  <c r="Z45" i="174" s="1"/>
  <c r="AI12" i="124"/>
  <c r="AI45" i="124"/>
  <c r="AI45" i="174" s="1"/>
  <c r="Y158" i="124"/>
  <c r="Y158" i="174" s="1"/>
  <c r="AJ156" i="124"/>
  <c r="AJ156" i="174" s="1"/>
  <c r="AH156" i="124"/>
  <c r="AH156" i="174" s="1"/>
  <c r="AI156" i="124"/>
  <c r="AI156" i="174" s="1"/>
  <c r="AF156" i="124"/>
  <c r="AF156" i="174" s="1"/>
  <c r="AE156" i="124"/>
  <c r="AE156" i="174" s="1"/>
  <c r="AL38" i="124"/>
  <c r="AL38" i="174" s="1"/>
  <c r="AK156" i="124"/>
  <c r="AK156" i="174" s="1"/>
  <c r="AB156" i="124"/>
  <c r="AB156" i="174" s="1"/>
  <c r="AD156" i="124"/>
  <c r="AD156" i="174" s="1"/>
  <c r="Y156" i="124"/>
  <c r="Y156" i="174" s="1"/>
  <c r="AG156" i="124"/>
  <c r="AG156" i="174" s="1"/>
  <c r="AG158" i="124"/>
  <c r="AG158" i="174" s="1"/>
  <c r="AH33" i="68"/>
  <c r="AH158" i="68" s="1"/>
  <c r="AH159" i="68" s="1"/>
  <c r="AB33" i="124"/>
  <c r="AF33" i="68"/>
  <c r="AF158" i="68" s="1"/>
  <c r="AF159" i="68" s="1"/>
  <c r="Y158" i="87"/>
  <c r="Y159" i="87" s="1"/>
  <c r="AM15" i="124"/>
  <c r="AM15" i="174" s="1"/>
  <c r="Y43" i="124"/>
  <c r="Y43" i="174" s="1"/>
  <c r="AG258" i="174"/>
  <c r="AJ12" i="124"/>
  <c r="AL156" i="68"/>
  <c r="AM156" i="68"/>
  <c r="AC12" i="124"/>
  <c r="Y161" i="173"/>
  <c r="AK162" i="173"/>
  <c r="AJ258" i="174"/>
  <c r="AL99" i="68"/>
  <c r="AL54" i="68"/>
  <c r="AL59" i="68"/>
  <c r="AL130" i="68"/>
  <c r="AL18" i="68"/>
  <c r="AL86" i="68"/>
  <c r="AL29" i="68"/>
  <c r="AL101" i="68"/>
  <c r="AL68" i="68"/>
  <c r="AL85" i="68"/>
  <c r="AL81" i="68"/>
  <c r="AL80" i="68"/>
  <c r="AL126" i="68"/>
  <c r="AL62" i="68"/>
  <c r="AL93" i="68"/>
  <c r="AL23" i="68"/>
  <c r="AL141" i="68"/>
  <c r="AL53" i="68"/>
  <c r="AL146" i="68"/>
  <c r="AL116" i="68"/>
  <c r="AL66" i="68"/>
  <c r="AL152" i="68"/>
  <c r="AL88" i="68"/>
  <c r="AL96" i="68"/>
  <c r="AL31" i="68"/>
  <c r="AL6" i="68"/>
  <c r="AL135" i="68"/>
  <c r="AL27" i="68"/>
  <c r="AL113" i="68"/>
  <c r="AL127" i="68"/>
  <c r="AL103" i="68"/>
  <c r="AL61" i="68"/>
  <c r="AL32" i="68"/>
  <c r="AL56" i="68"/>
  <c r="AL55" i="68"/>
  <c r="AL129" i="68"/>
  <c r="AL108" i="68"/>
  <c r="AL84" i="68"/>
  <c r="AL145" i="68"/>
  <c r="AL114" i="68"/>
  <c r="AL91" i="68"/>
  <c r="AL128" i="68"/>
  <c r="AL104" i="68"/>
  <c r="AL139" i="68"/>
  <c r="AL58" i="68"/>
  <c r="AM6" i="68"/>
  <c r="AL77" i="68"/>
  <c r="AL151" i="68"/>
  <c r="AL75" i="68"/>
  <c r="AL133" i="68"/>
  <c r="AL123" i="68"/>
  <c r="AL136" i="68"/>
  <c r="AL117" i="68"/>
  <c r="AL70" i="68"/>
  <c r="AL120" i="68"/>
  <c r="AL17" i="68"/>
  <c r="AL74" i="68"/>
  <c r="AL109" i="68"/>
  <c r="AL124" i="68"/>
  <c r="AL50" i="68"/>
  <c r="AL63" i="68"/>
  <c r="AL118" i="68"/>
  <c r="AL121" i="68"/>
  <c r="AL132" i="68"/>
  <c r="AL83" i="68"/>
  <c r="AL105" i="68"/>
  <c r="AL149" i="68"/>
  <c r="AL28" i="68"/>
  <c r="AL72" i="68"/>
  <c r="AL65" i="68"/>
  <c r="AL20" i="68"/>
  <c r="AL134" i="68"/>
  <c r="AL60" i="68"/>
  <c r="AL95" i="68"/>
  <c r="AL67" i="68"/>
  <c r="AL21" i="68"/>
  <c r="AL112" i="68"/>
  <c r="AL10" i="68"/>
  <c r="AL142" i="68"/>
  <c r="AL98" i="68"/>
  <c r="AL110" i="68"/>
  <c r="AL107" i="68"/>
  <c r="AL11" i="68"/>
  <c r="AL30" i="68"/>
  <c r="AL24" i="68"/>
  <c r="AL137" i="68"/>
  <c r="AL143" i="68"/>
  <c r="AL153" i="68"/>
  <c r="AL100" i="68"/>
  <c r="AL82" i="68"/>
  <c r="AL87" i="68"/>
  <c r="AL140" i="68"/>
  <c r="AL89" i="68"/>
  <c r="AL52" i="68"/>
  <c r="AL76" i="68"/>
  <c r="AL115" i="68"/>
  <c r="AL26" i="68"/>
  <c r="AL144" i="68"/>
  <c r="AL19" i="68"/>
  <c r="AL148" i="68"/>
  <c r="AL90" i="68"/>
  <c r="AL92" i="68"/>
  <c r="AL94" i="68"/>
  <c r="AL71" i="68"/>
  <c r="AL147" i="68"/>
  <c r="AL106" i="68"/>
  <c r="AL119" i="68"/>
  <c r="AL69" i="68"/>
  <c r="AL57" i="68"/>
  <c r="AL150" i="68"/>
  <c r="AL111" i="68"/>
  <c r="AL25" i="68"/>
  <c r="AL16" i="68"/>
  <c r="AL79" i="68"/>
  <c r="AL125" i="68"/>
  <c r="AL131" i="68"/>
  <c r="AL138" i="68"/>
  <c r="AL22" i="68"/>
  <c r="AL97" i="68"/>
  <c r="AL73" i="68"/>
  <c r="AL78" i="68"/>
  <c r="AL102" i="68"/>
  <c r="AL122" i="68"/>
  <c r="AL51" i="68"/>
  <c r="AL64" i="68"/>
  <c r="AL7" i="68"/>
  <c r="AL9" i="68"/>
  <c r="AL15" i="68"/>
  <c r="AL13" i="68"/>
  <c r="AC33" i="68"/>
  <c r="AC158" i="68" s="1"/>
  <c r="AC159" i="68" s="1"/>
  <c r="AJ158" i="68"/>
  <c r="AJ159" i="68" s="1"/>
  <c r="AH12" i="124"/>
  <c r="AM45" i="68"/>
  <c r="AL45" i="68"/>
  <c r="AM157" i="68"/>
  <c r="AL157" i="68"/>
  <c r="AE158" i="87"/>
  <c r="AE159" i="87" s="1"/>
  <c r="AA258" i="174"/>
  <c r="AL36" i="124"/>
  <c r="AL36" i="174" s="1"/>
  <c r="AL37" i="124"/>
  <c r="AL37" i="174" s="1"/>
  <c r="AM39" i="124"/>
  <c r="AM39" i="174" s="1"/>
  <c r="AL39" i="124"/>
  <c r="AL39" i="174" s="1"/>
  <c r="AL40" i="124"/>
  <c r="AL40" i="174" s="1"/>
  <c r="AL42" i="124"/>
  <c r="AL42" i="174" s="1"/>
  <c r="AL35" i="124"/>
  <c r="AL35" i="174" s="1"/>
  <c r="AL41" i="124"/>
  <c r="AL41" i="174" s="1"/>
  <c r="AD158" i="87"/>
  <c r="AD159" i="87" s="1"/>
  <c r="AM8" i="124"/>
  <c r="AM8" i="174" s="1"/>
  <c r="AM6" i="124"/>
  <c r="AE12" i="124"/>
  <c r="AC158" i="87"/>
  <c r="AC159" i="87" s="1"/>
  <c r="AI158" i="87"/>
  <c r="AI159" i="87" s="1"/>
  <c r="AB158" i="87"/>
  <c r="AB159" i="87" s="1"/>
  <c r="AM14" i="68"/>
  <c r="AL14" i="68"/>
  <c r="AK12" i="68"/>
  <c r="AD33" i="124"/>
  <c r="AF158" i="87"/>
  <c r="AF159" i="87" s="1"/>
  <c r="AL34" i="124"/>
  <c r="AL34" i="174" s="1"/>
  <c r="AK14" i="124"/>
  <c r="AK14" i="174" s="1"/>
  <c r="Z158" i="87"/>
  <c r="Z159" i="87" s="1"/>
  <c r="AH158" i="87"/>
  <c r="AH159" i="87" s="1"/>
  <c r="AL44" i="124"/>
  <c r="AL44" i="174" s="1"/>
  <c r="AF12" i="124"/>
  <c r="AM33" i="87"/>
  <c r="AK43" i="87"/>
  <c r="AO43" i="87" s="1"/>
  <c r="AK158" i="87"/>
  <c r="AL33" i="87"/>
  <c r="AL154" i="124" l="1"/>
  <c r="AL155" i="124"/>
  <c r="AL91" i="124"/>
  <c r="AL92" i="124"/>
  <c r="AL93" i="124"/>
  <c r="AL94" i="124"/>
  <c r="AL95" i="124"/>
  <c r="AL96" i="124"/>
  <c r="AL97" i="124"/>
  <c r="AL98" i="124"/>
  <c r="AL99" i="124"/>
  <c r="AL100" i="124"/>
  <c r="AL101" i="124"/>
  <c r="AL102" i="124"/>
  <c r="AL103" i="124"/>
  <c r="AL104" i="124"/>
  <c r="AL105" i="124"/>
  <c r="AL106" i="124"/>
  <c r="AL90" i="124"/>
  <c r="AK12" i="124"/>
  <c r="Y250" i="173"/>
  <c r="Y253" i="173" s="1"/>
  <c r="Y290" i="173" s="1"/>
  <c r="Y352" i="173" s="1"/>
  <c r="Y355" i="173" s="1"/>
  <c r="AK163" i="174"/>
  <c r="Y162" i="174"/>
  <c r="AB157" i="124"/>
  <c r="AB157" i="174" s="1"/>
  <c r="AG157" i="124"/>
  <c r="AG157" i="174" s="1"/>
  <c r="AD157" i="124"/>
  <c r="AD157" i="174" s="1"/>
  <c r="AI157" i="124"/>
  <c r="AI157" i="174" s="1"/>
  <c r="AF157" i="124"/>
  <c r="AF157" i="174" s="1"/>
  <c r="AJ157" i="124"/>
  <c r="AJ157" i="174" s="1"/>
  <c r="AH157" i="124"/>
  <c r="AH157" i="174" s="1"/>
  <c r="AE157" i="124"/>
  <c r="AE157" i="174" s="1"/>
  <c r="Y157" i="124"/>
  <c r="Y157" i="174" s="1"/>
  <c r="AF33" i="124"/>
  <c r="AF12" i="174"/>
  <c r="AD158" i="124"/>
  <c r="AD158" i="174" s="1"/>
  <c r="AD33" i="174"/>
  <c r="AE33" i="124"/>
  <c r="AE12" i="174"/>
  <c r="AL8" i="124"/>
  <c r="AL8" i="174" s="1"/>
  <c r="AK6" i="174"/>
  <c r="AH33" i="124"/>
  <c r="AH12" i="174"/>
  <c r="AC33" i="124"/>
  <c r="AC12" i="174"/>
  <c r="AJ33" i="124"/>
  <c r="AJ12" i="174"/>
  <c r="AB158" i="124"/>
  <c r="AB158" i="174" s="1"/>
  <c r="AB33" i="174"/>
  <c r="AI33" i="124"/>
  <c r="AI12" i="174"/>
  <c r="Z33" i="124"/>
  <c r="Z12" i="174"/>
  <c r="AJ337" i="174"/>
  <c r="AJ340" i="174" s="1"/>
  <c r="AJ259" i="174"/>
  <c r="AJ260" i="174" s="1"/>
  <c r="AI337" i="174"/>
  <c r="AI340" i="174" s="1"/>
  <c r="AI259" i="174"/>
  <c r="AF259" i="174"/>
  <c r="AF337" i="174"/>
  <c r="AF340" i="174" s="1"/>
  <c r="AH337" i="174"/>
  <c r="AH340" i="174" s="1"/>
  <c r="AH259" i="174"/>
  <c r="AG337" i="174"/>
  <c r="AG340" i="174" s="1"/>
  <c r="AG259" i="174"/>
  <c r="AG260" i="174" s="1"/>
  <c r="AC337" i="174"/>
  <c r="AC340" i="174" s="1"/>
  <c r="AC259" i="174"/>
  <c r="AD259" i="174"/>
  <c r="AD337" i="174"/>
  <c r="AD340" i="174" s="1"/>
  <c r="AE337" i="174"/>
  <c r="AE340" i="174" s="1"/>
  <c r="AE259" i="174"/>
  <c r="AB259" i="174"/>
  <c r="AB337" i="174"/>
  <c r="AB340" i="174" s="1"/>
  <c r="AA259" i="174"/>
  <c r="AA260" i="174" s="1"/>
  <c r="AA337" i="174"/>
  <c r="AA340" i="174" s="1"/>
  <c r="Z337" i="174"/>
  <c r="Z340" i="174" s="1"/>
  <c r="Z259" i="174"/>
  <c r="Y337" i="174"/>
  <c r="Y340" i="174" s="1"/>
  <c r="AL156" i="124"/>
  <c r="AL156" i="174" s="1"/>
  <c r="AM156" i="124"/>
  <c r="AM156" i="174" s="1"/>
  <c r="AL15" i="124"/>
  <c r="AL15" i="174" s="1"/>
  <c r="AL155" i="174"/>
  <c r="AL157" i="124"/>
  <c r="AL157" i="174" s="1"/>
  <c r="AB43" i="124"/>
  <c r="AB43" i="174" s="1"/>
  <c r="AM45" i="124"/>
  <c r="AM45" i="174" s="1"/>
  <c r="AL45" i="124"/>
  <c r="AL45" i="174" s="1"/>
  <c r="AD258" i="174"/>
  <c r="AD260" i="174"/>
  <c r="AM14" i="124"/>
  <c r="AM14" i="174" s="1"/>
  <c r="AL14" i="124"/>
  <c r="AL14" i="174" s="1"/>
  <c r="AD43" i="124"/>
  <c r="AD43" i="174" s="1"/>
  <c r="AC43" i="124"/>
  <c r="AC43" i="174" s="1"/>
  <c r="AK12" i="174"/>
  <c r="AE43" i="124"/>
  <c r="AE43" i="174" s="1"/>
  <c r="AL158" i="87"/>
  <c r="AM158" i="87"/>
  <c r="AK159" i="87"/>
  <c r="AH43" i="124"/>
  <c r="AH43" i="174" s="1"/>
  <c r="AJ43" i="124"/>
  <c r="AJ43" i="174" s="1"/>
  <c r="AM43" i="87"/>
  <c r="AL43" i="87"/>
  <c r="AB260" i="174"/>
  <c r="AB258" i="174"/>
  <c r="AI260" i="174"/>
  <c r="AI258" i="174"/>
  <c r="AM46" i="124"/>
  <c r="AM46" i="174" s="1"/>
  <c r="AL46" i="124"/>
  <c r="AL46" i="174" s="1"/>
  <c r="AC258" i="174"/>
  <c r="AC260" i="174"/>
  <c r="AE258" i="174"/>
  <c r="AE260" i="174"/>
  <c r="AK161" i="173"/>
  <c r="AM162" i="173"/>
  <c r="AL162" i="173"/>
  <c r="AF43" i="124"/>
  <c r="AF43" i="174" s="1"/>
  <c r="AK33" i="68"/>
  <c r="AL12" i="68"/>
  <c r="AM12" i="68"/>
  <c r="AH258" i="174"/>
  <c r="AH260" i="174"/>
  <c r="Z260" i="174"/>
  <c r="Z258" i="174"/>
  <c r="AL52" i="124"/>
  <c r="AL52" i="174" s="1"/>
  <c r="AL117" i="124"/>
  <c r="AL117" i="174" s="1"/>
  <c r="AL125" i="124"/>
  <c r="AL125" i="174" s="1"/>
  <c r="AL120" i="124"/>
  <c r="AL120" i="174" s="1"/>
  <c r="AL85" i="124"/>
  <c r="AL85" i="174" s="1"/>
  <c r="AL143" i="124"/>
  <c r="AL143" i="174" s="1"/>
  <c r="AL149" i="124"/>
  <c r="AL149" i="174" s="1"/>
  <c r="AL24" i="124"/>
  <c r="AL24" i="174" s="1"/>
  <c r="AL103" i="174"/>
  <c r="AL144" i="124"/>
  <c r="AL144" i="174" s="1"/>
  <c r="AL87" i="124"/>
  <c r="AL87" i="174" s="1"/>
  <c r="AL108" i="124"/>
  <c r="AL108" i="174" s="1"/>
  <c r="AL150" i="124"/>
  <c r="AL150" i="174" s="1"/>
  <c r="AL73" i="124"/>
  <c r="AL73" i="174" s="1"/>
  <c r="AL92" i="174"/>
  <c r="AL111" i="124"/>
  <c r="AL111" i="174" s="1"/>
  <c r="AL84" i="124"/>
  <c r="AL84" i="174" s="1"/>
  <c r="AL67" i="124"/>
  <c r="AL67" i="174" s="1"/>
  <c r="AL6" i="124"/>
  <c r="AL6" i="174" s="1"/>
  <c r="AL99" i="174"/>
  <c r="AL96" i="174"/>
  <c r="AL110" i="124"/>
  <c r="AL110" i="174" s="1"/>
  <c r="AL118" i="124"/>
  <c r="AL118" i="174" s="1"/>
  <c r="AL152" i="124"/>
  <c r="AL152" i="174" s="1"/>
  <c r="AL107" i="124"/>
  <c r="AL107" i="174" s="1"/>
  <c r="AL59" i="124"/>
  <c r="AL59" i="174" s="1"/>
  <c r="AM6" i="174"/>
  <c r="AL16" i="124"/>
  <c r="AL16" i="174" s="1"/>
  <c r="AL83" i="124"/>
  <c r="AL83" i="174" s="1"/>
  <c r="AL129" i="124"/>
  <c r="AL129" i="174" s="1"/>
  <c r="AL80" i="124"/>
  <c r="AL80" i="174" s="1"/>
  <c r="AL76" i="124"/>
  <c r="AL76" i="174" s="1"/>
  <c r="AL131" i="124"/>
  <c r="AL131" i="174" s="1"/>
  <c r="AL126" i="124"/>
  <c r="AL126" i="174" s="1"/>
  <c r="AL31" i="124"/>
  <c r="AL31" i="174" s="1"/>
  <c r="AL75" i="124"/>
  <c r="AL75" i="174" s="1"/>
  <c r="AL112" i="124"/>
  <c r="AL112" i="174" s="1"/>
  <c r="AL153" i="124"/>
  <c r="AL153" i="174" s="1"/>
  <c r="AL25" i="124"/>
  <c r="AL25" i="174" s="1"/>
  <c r="AL72" i="124"/>
  <c r="AL72" i="174" s="1"/>
  <c r="AL77" i="124"/>
  <c r="AL77" i="174" s="1"/>
  <c r="AL89" i="124"/>
  <c r="AL89" i="174" s="1"/>
  <c r="AL147" i="124"/>
  <c r="AL147" i="174" s="1"/>
  <c r="AL53" i="124"/>
  <c r="AL53" i="174" s="1"/>
  <c r="AL115" i="124"/>
  <c r="AL115" i="174" s="1"/>
  <c r="AL123" i="124"/>
  <c r="AL123" i="174" s="1"/>
  <c r="AL130" i="124"/>
  <c r="AL130" i="174" s="1"/>
  <c r="AL148" i="124"/>
  <c r="AL148" i="174" s="1"/>
  <c r="AL62" i="124"/>
  <c r="AL62" i="174" s="1"/>
  <c r="AL32" i="124"/>
  <c r="AL32" i="174" s="1"/>
  <c r="AL71" i="124"/>
  <c r="AL71" i="174" s="1"/>
  <c r="AL27" i="124"/>
  <c r="AL27" i="174" s="1"/>
  <c r="AL106" i="174"/>
  <c r="AL114" i="124"/>
  <c r="AL114" i="174" s="1"/>
  <c r="AL64" i="124"/>
  <c r="AL64" i="174" s="1"/>
  <c r="AL78" i="124"/>
  <c r="AL78" i="174" s="1"/>
  <c r="AL68" i="124"/>
  <c r="AL68" i="174" s="1"/>
  <c r="AL69" i="124"/>
  <c r="AL69" i="174" s="1"/>
  <c r="AL54" i="124"/>
  <c r="AL54" i="174" s="1"/>
  <c r="AL90" i="174"/>
  <c r="AL93" i="174"/>
  <c r="AL60" i="124"/>
  <c r="AL60" i="174" s="1"/>
  <c r="AL132" i="124"/>
  <c r="AL132" i="174" s="1"/>
  <c r="AL29" i="124"/>
  <c r="AL29" i="174" s="1"/>
  <c r="AL82" i="124"/>
  <c r="AL82" i="174" s="1"/>
  <c r="AL128" i="124"/>
  <c r="AL128" i="174" s="1"/>
  <c r="AL51" i="124"/>
  <c r="AL51" i="174" s="1"/>
  <c r="AL104" i="174"/>
  <c r="AL138" i="124"/>
  <c r="AL138" i="174" s="1"/>
  <c r="AL26" i="124"/>
  <c r="AL26" i="174" s="1"/>
  <c r="AL134" i="124"/>
  <c r="AL134" i="174" s="1"/>
  <c r="AL23" i="124"/>
  <c r="AL23" i="174" s="1"/>
  <c r="AL30" i="124"/>
  <c r="AL30" i="174" s="1"/>
  <c r="AL105" i="174"/>
  <c r="AL135" i="124"/>
  <c r="AL135" i="174" s="1"/>
  <c r="AL66" i="124"/>
  <c r="AL66" i="174" s="1"/>
  <c r="AL100" i="174"/>
  <c r="AL140" i="124"/>
  <c r="AL140" i="174" s="1"/>
  <c r="AL145" i="124"/>
  <c r="AL145" i="174" s="1"/>
  <c r="AL116" i="124"/>
  <c r="AL116" i="174" s="1"/>
  <c r="AL119" i="124"/>
  <c r="AL119" i="174" s="1"/>
  <c r="AL136" i="124"/>
  <c r="AL136" i="174" s="1"/>
  <c r="AL97" i="174"/>
  <c r="AL70" i="124"/>
  <c r="AL70" i="174" s="1"/>
  <c r="AL141" i="124"/>
  <c r="AL141" i="174" s="1"/>
  <c r="AL58" i="124"/>
  <c r="AL58" i="174" s="1"/>
  <c r="AL74" i="124"/>
  <c r="AL74" i="174" s="1"/>
  <c r="AL137" i="124"/>
  <c r="AL137" i="174" s="1"/>
  <c r="AL133" i="124"/>
  <c r="AL133" i="174" s="1"/>
  <c r="AL28" i="124"/>
  <c r="AL28" i="174" s="1"/>
  <c r="AL22" i="124"/>
  <c r="AL22" i="174" s="1"/>
  <c r="AK33" i="124"/>
  <c r="AL95" i="174"/>
  <c r="AL50" i="124"/>
  <c r="AL50" i="174" s="1"/>
  <c r="AL86" i="124"/>
  <c r="AL86" i="174" s="1"/>
  <c r="AL139" i="124"/>
  <c r="AL139" i="174" s="1"/>
  <c r="AL81" i="124"/>
  <c r="AL81" i="174" s="1"/>
  <c r="AL91" i="174"/>
  <c r="AL63" i="124"/>
  <c r="AL63" i="174" s="1"/>
  <c r="AL113" i="124"/>
  <c r="AL113" i="174" s="1"/>
  <c r="AL11" i="124"/>
  <c r="AL11" i="174" s="1"/>
  <c r="AL121" i="124"/>
  <c r="AL121" i="174" s="1"/>
  <c r="AL17" i="124"/>
  <c r="AL17" i="174" s="1"/>
  <c r="AL55" i="124"/>
  <c r="AL55" i="174" s="1"/>
  <c r="AL101" i="174"/>
  <c r="AL61" i="124"/>
  <c r="AL61" i="174" s="1"/>
  <c r="AL102" i="174"/>
  <c r="AL109" i="124"/>
  <c r="AL109" i="174" s="1"/>
  <c r="AL127" i="124"/>
  <c r="AL127" i="174" s="1"/>
  <c r="AL79" i="124"/>
  <c r="AL79" i="174" s="1"/>
  <c r="AL98" i="174"/>
  <c r="AL88" i="124"/>
  <c r="AL88" i="174" s="1"/>
  <c r="AL57" i="124"/>
  <c r="AL57" i="174" s="1"/>
  <c r="AL146" i="124"/>
  <c r="AL146" i="174" s="1"/>
  <c r="AL124" i="124"/>
  <c r="AL124" i="174" s="1"/>
  <c r="AL56" i="124"/>
  <c r="AL56" i="174" s="1"/>
  <c r="AL10" i="124"/>
  <c r="AL10" i="174" s="1"/>
  <c r="AL18" i="124"/>
  <c r="AL18" i="174" s="1"/>
  <c r="AL65" i="124"/>
  <c r="AL65" i="174" s="1"/>
  <c r="AL94" i="174"/>
  <c r="AL21" i="124"/>
  <c r="AL21" i="174" s="1"/>
  <c r="AL142" i="124"/>
  <c r="AL142" i="174" s="1"/>
  <c r="AL151" i="124"/>
  <c r="AL151" i="174" s="1"/>
  <c r="AL122" i="124"/>
  <c r="AL122" i="174" s="1"/>
  <c r="AL7" i="124"/>
  <c r="AL7" i="174" s="1"/>
  <c r="AL19" i="124"/>
  <c r="AL19" i="174" s="1"/>
  <c r="AL20" i="124"/>
  <c r="AL20" i="174" s="1"/>
  <c r="AL9" i="124"/>
  <c r="AL9" i="174" s="1"/>
  <c r="AL13" i="124"/>
  <c r="AL13" i="174" s="1"/>
  <c r="AL154" i="174" l="1"/>
  <c r="AR47" i="174"/>
  <c r="AL343" i="174"/>
  <c r="AL344" i="174"/>
  <c r="AL345" i="174"/>
  <c r="AL346" i="174"/>
  <c r="AL347" i="174"/>
  <c r="AL348" i="174"/>
  <c r="AL349" i="174"/>
  <c r="AL350" i="174"/>
  <c r="AL351" i="174"/>
  <c r="AL352" i="174"/>
  <c r="AL353" i="174"/>
  <c r="AL354" i="174"/>
  <c r="AL355" i="174"/>
  <c r="AL356" i="174"/>
  <c r="AL357" i="174"/>
  <c r="AL359" i="174"/>
  <c r="AL360" i="174"/>
  <c r="AL361" i="174"/>
  <c r="AL362" i="174"/>
  <c r="AL363" i="174"/>
  <c r="AL364" i="174"/>
  <c r="AL366" i="174"/>
  <c r="AL367" i="174"/>
  <c r="AL368" i="174"/>
  <c r="AL369" i="174"/>
  <c r="AL370" i="174"/>
  <c r="AL371" i="174"/>
  <c r="AL372" i="174"/>
  <c r="AL373" i="174"/>
  <c r="AM163" i="174"/>
  <c r="AK162" i="174"/>
  <c r="Y251" i="174"/>
  <c r="Y252" i="174" s="1"/>
  <c r="AK251" i="174"/>
  <c r="Y255" i="174"/>
  <c r="Y253" i="174"/>
  <c r="Y254" i="174" s="1"/>
  <c r="AE255" i="174"/>
  <c r="AE253" i="174"/>
  <c r="AE254" i="174" s="1"/>
  <c r="AH255" i="174"/>
  <c r="AH253" i="174"/>
  <c r="AH254" i="174" s="1"/>
  <c r="AJ255" i="174"/>
  <c r="AJ253" i="174"/>
  <c r="AJ254" i="174" s="1"/>
  <c r="AF255" i="174"/>
  <c r="AF253" i="174"/>
  <c r="AF254" i="174" s="1"/>
  <c r="AI255" i="174"/>
  <c r="AI253" i="174"/>
  <c r="AI254" i="174" s="1"/>
  <c r="AD255" i="174"/>
  <c r="AD253" i="174"/>
  <c r="AD254" i="174" s="1"/>
  <c r="AG255" i="174"/>
  <c r="AG253" i="174"/>
  <c r="AG254" i="174" s="1"/>
  <c r="AB255" i="174"/>
  <c r="AB253" i="174"/>
  <c r="AB254" i="174" s="1"/>
  <c r="AK158" i="124"/>
  <c r="AK158" i="174" s="1"/>
  <c r="AK33" i="174"/>
  <c r="AR33" i="174" s="1"/>
  <c r="Z158" i="124"/>
  <c r="Z158" i="174" s="1"/>
  <c r="Z33" i="174"/>
  <c r="Z43" i="124"/>
  <c r="Z43" i="174" s="1"/>
  <c r="AI33" i="174"/>
  <c r="AI158" i="124"/>
  <c r="AI158" i="174" s="1"/>
  <c r="AI43" i="124"/>
  <c r="AI43" i="174" s="1"/>
  <c r="AJ158" i="124"/>
  <c r="AJ158" i="174" s="1"/>
  <c r="AJ33" i="174"/>
  <c r="AC158" i="124"/>
  <c r="AC158" i="174" s="1"/>
  <c r="AC33" i="174"/>
  <c r="AH158" i="124"/>
  <c r="AH158" i="174" s="1"/>
  <c r="AH33" i="174"/>
  <c r="AL261" i="174"/>
  <c r="AL251" i="174"/>
  <c r="AL244" i="174"/>
  <c r="AL163" i="174"/>
  <c r="AL211" i="174"/>
  <c r="AL210" i="174"/>
  <c r="AL209" i="174"/>
  <c r="AL208" i="174"/>
  <c r="AL207" i="174"/>
  <c r="AL206" i="174"/>
  <c r="AL205" i="174"/>
  <c r="AL204" i="174"/>
  <c r="AL203" i="174"/>
  <c r="AL202" i="174"/>
  <c r="AL201" i="174"/>
  <c r="AL200" i="174"/>
  <c r="AL199" i="174"/>
  <c r="AL198" i="174"/>
  <c r="AL197" i="174"/>
  <c r="AL196" i="174"/>
  <c r="AL195" i="174"/>
  <c r="AL194" i="174"/>
  <c r="AL193" i="174"/>
  <c r="AL192" i="174"/>
  <c r="AL191" i="174"/>
  <c r="AL190" i="174"/>
  <c r="AL189" i="174"/>
  <c r="AL188" i="174"/>
  <c r="AL187" i="174"/>
  <c r="AL186" i="174"/>
  <c r="AL185" i="174"/>
  <c r="AL184" i="174"/>
  <c r="AL183" i="174"/>
  <c r="AL182" i="174"/>
  <c r="AL181" i="174"/>
  <c r="AL180" i="174"/>
  <c r="AL179" i="174"/>
  <c r="AL178" i="174"/>
  <c r="AL177" i="174"/>
  <c r="AL176" i="174"/>
  <c r="AL175" i="174"/>
  <c r="AL174" i="174"/>
  <c r="AL173" i="174"/>
  <c r="AL172" i="174"/>
  <c r="AL171" i="174"/>
  <c r="AL170" i="174"/>
  <c r="AL169" i="174"/>
  <c r="AL168" i="174"/>
  <c r="AL167" i="174"/>
  <c r="AL166" i="174"/>
  <c r="AL165" i="174"/>
  <c r="AL164" i="174"/>
  <c r="AL213" i="174"/>
  <c r="AL228" i="174"/>
  <c r="AL227" i="174"/>
  <c r="AL226" i="174"/>
  <c r="AL225" i="174"/>
  <c r="AL224" i="174"/>
  <c r="AL223" i="174"/>
  <c r="AL222" i="174"/>
  <c r="AL221" i="174"/>
  <c r="AL220" i="174"/>
  <c r="AL219" i="174"/>
  <c r="AL218" i="174"/>
  <c r="AL217" i="174"/>
  <c r="AL216" i="174"/>
  <c r="AL215" i="174"/>
  <c r="AL214" i="174"/>
  <c r="AL230" i="174"/>
  <c r="AL233" i="174"/>
  <c r="AL232" i="174"/>
  <c r="AL231" i="174"/>
  <c r="AL234" i="174"/>
  <c r="AL235" i="174"/>
  <c r="AL243" i="174"/>
  <c r="AL242" i="174"/>
  <c r="AL241" i="174"/>
  <c r="AL240" i="174"/>
  <c r="AL239" i="174"/>
  <c r="AL238" i="174"/>
  <c r="AL237" i="174"/>
  <c r="AL236" i="174"/>
  <c r="AL245" i="174"/>
  <c r="AL250" i="174"/>
  <c r="AL249" i="174"/>
  <c r="AL248" i="174"/>
  <c r="AL247" i="174"/>
  <c r="AL246" i="174"/>
  <c r="AL262" i="174"/>
  <c r="AL336" i="174"/>
  <c r="AL335" i="174"/>
  <c r="AL334" i="174"/>
  <c r="AL333" i="174"/>
  <c r="AL332" i="174"/>
  <c r="AL331" i="174"/>
  <c r="AL330" i="174"/>
  <c r="AL329" i="174"/>
  <c r="AL328" i="174"/>
  <c r="AL327" i="174"/>
  <c r="AL326" i="174"/>
  <c r="AL325" i="174"/>
  <c r="AL324" i="174"/>
  <c r="AL323" i="174"/>
  <c r="AL322" i="174"/>
  <c r="AL321" i="174"/>
  <c r="AL320" i="174"/>
  <c r="AL319" i="174"/>
  <c r="AL318" i="174"/>
  <c r="AL317" i="174"/>
  <c r="AL316" i="174"/>
  <c r="AL315" i="174"/>
  <c r="AL314" i="174"/>
  <c r="AL313" i="174"/>
  <c r="AL312" i="174"/>
  <c r="AL311" i="174"/>
  <c r="AL310" i="174"/>
  <c r="AL309" i="174"/>
  <c r="AL308" i="174"/>
  <c r="AL307" i="174"/>
  <c r="AL306" i="174"/>
  <c r="AL305" i="174"/>
  <c r="AL304" i="174"/>
  <c r="AL303" i="174"/>
  <c r="AL302" i="174"/>
  <c r="AL301" i="174"/>
  <c r="AL300" i="174"/>
  <c r="AL299" i="174"/>
  <c r="AL298" i="174"/>
  <c r="AL297" i="174"/>
  <c r="AL296" i="174"/>
  <c r="AL295" i="174"/>
  <c r="AL294" i="174"/>
  <c r="AL293" i="174"/>
  <c r="AL292" i="174"/>
  <c r="AL291" i="174"/>
  <c r="AL290" i="174"/>
  <c r="AL289" i="174"/>
  <c r="AL288" i="174"/>
  <c r="AL287" i="174"/>
  <c r="AL286" i="174"/>
  <c r="AL285" i="174"/>
  <c r="AL284" i="174"/>
  <c r="AL283" i="174"/>
  <c r="AL282" i="174"/>
  <c r="AL281" i="174"/>
  <c r="AL280" i="174"/>
  <c r="AL279" i="174"/>
  <c r="AL278" i="174"/>
  <c r="AL277" i="174"/>
  <c r="AL276" i="174"/>
  <c r="AL275" i="174"/>
  <c r="AL274" i="174"/>
  <c r="AL273" i="174"/>
  <c r="AL272" i="174"/>
  <c r="AL271" i="174"/>
  <c r="AL270" i="174"/>
  <c r="AL269" i="174"/>
  <c r="AL268" i="174"/>
  <c r="AL267" i="174"/>
  <c r="AL266" i="174"/>
  <c r="AL265" i="174"/>
  <c r="AL264" i="174"/>
  <c r="AL263" i="174"/>
  <c r="AL229" i="174"/>
  <c r="AL212" i="174"/>
  <c r="AE158" i="124"/>
  <c r="AE158" i="174" s="1"/>
  <c r="AE33" i="174"/>
  <c r="AF158" i="124"/>
  <c r="AF158" i="174" s="1"/>
  <c r="AF33" i="174"/>
  <c r="AF260" i="174"/>
  <c r="AM158" i="124"/>
  <c r="AM158" i="174" s="1"/>
  <c r="AL158" i="124"/>
  <c r="AL158" i="174" s="1"/>
  <c r="AF258" i="174"/>
  <c r="AL159" i="87"/>
  <c r="AM159" i="87"/>
  <c r="AM12" i="124"/>
  <c r="AM12" i="174" s="1"/>
  <c r="AL12" i="124"/>
  <c r="AL12" i="174" s="1"/>
  <c r="AK250" i="173"/>
  <c r="AM161" i="173"/>
  <c r="AL161" i="173"/>
  <c r="AK158" i="68"/>
  <c r="AK159" i="68" s="1"/>
  <c r="AM33" i="68"/>
  <c r="AL33" i="68"/>
  <c r="AK43" i="68"/>
  <c r="AO43" i="68" s="1"/>
  <c r="AL33" i="124"/>
  <c r="AL33" i="174" s="1"/>
  <c r="AK43" i="124"/>
  <c r="AM33" i="124"/>
  <c r="AM33" i="174" s="1"/>
  <c r="AK43" i="174" l="1"/>
  <c r="AK252" i="174"/>
  <c r="AK253" i="174"/>
  <c r="AK254" i="174" s="1"/>
  <c r="AM251" i="174"/>
  <c r="AK255" i="174"/>
  <c r="AR255" i="174" s="1"/>
  <c r="Y257" i="174"/>
  <c r="AM43" i="124"/>
  <c r="AM43" i="174" s="1"/>
  <c r="AL43" i="124"/>
  <c r="AL43" i="174" s="1"/>
  <c r="AL43" i="68"/>
  <c r="AM43" i="68"/>
  <c r="AL158" i="68"/>
  <c r="AM158" i="68"/>
  <c r="AL250" i="173"/>
  <c r="AK253" i="173"/>
  <c r="AM250" i="173"/>
  <c r="AK252" i="173"/>
  <c r="AM254" i="174" l="1"/>
  <c r="AL254" i="174"/>
  <c r="AM252" i="174"/>
  <c r="AL252" i="174"/>
  <c r="AK257" i="174"/>
  <c r="AR257" i="174" s="1"/>
  <c r="AK256" i="174"/>
  <c r="Y259" i="174"/>
  <c r="Y260" i="174" s="1"/>
  <c r="Y258" i="174"/>
  <c r="AM253" i="174"/>
  <c r="AL253" i="174"/>
  <c r="AM255" i="174"/>
  <c r="AL255" i="174"/>
  <c r="AL252" i="173"/>
  <c r="AK254" i="173"/>
  <c r="AM252" i="173"/>
  <c r="AL159" i="68"/>
  <c r="AM159" i="68"/>
  <c r="AL253" i="173"/>
  <c r="AK290" i="173"/>
  <c r="AK255" i="173"/>
  <c r="AM253" i="173"/>
  <c r="AM256" i="174" l="1"/>
  <c r="AL256" i="174"/>
  <c r="AK259" i="174"/>
  <c r="AK375" i="174" s="1"/>
  <c r="AK258" i="174"/>
  <c r="AM257" i="174"/>
  <c r="AL257" i="174"/>
  <c r="AL255" i="173"/>
  <c r="AK257" i="173"/>
  <c r="AM255" i="173"/>
  <c r="AM290" i="173"/>
  <c r="AK352" i="173"/>
  <c r="AL290" i="173"/>
  <c r="AL254" i="173"/>
  <c r="AK256" i="173"/>
  <c r="AM254" i="173"/>
  <c r="AM375" i="174" l="1"/>
  <c r="AL375" i="174"/>
  <c r="AM258" i="174"/>
  <c r="AL258" i="174"/>
  <c r="AK260" i="174"/>
  <c r="AM259" i="174"/>
  <c r="AL259" i="174"/>
  <c r="AK258" i="173"/>
  <c r="AM256" i="173"/>
  <c r="AL256" i="173"/>
  <c r="AK355" i="173"/>
  <c r="AL352" i="173"/>
  <c r="AM352" i="173"/>
  <c r="AM257" i="173"/>
  <c r="AL257" i="173"/>
  <c r="AM260" i="174" l="1"/>
  <c r="AL260" i="174"/>
  <c r="AL355" i="173"/>
  <c r="AM355" i="173"/>
  <c r="AL258" i="173"/>
  <c r="AM258" i="173"/>
</calcChain>
</file>

<file path=xl/sharedStrings.xml><?xml version="1.0" encoding="utf-8"?>
<sst xmlns="http://schemas.openxmlformats.org/spreadsheetml/2006/main" count="3714" uniqueCount="449">
  <si>
    <t>ESTIMULO FISCAL</t>
  </si>
  <si>
    <t>IEPS</t>
  </si>
  <si>
    <t>REGULAR</t>
  </si>
  <si>
    <t>*Aumento en los ingresos en proporcion minima a la inflacion</t>
  </si>
  <si>
    <t>PREMIUM</t>
  </si>
  <si>
    <t>DIESEL</t>
  </si>
  <si>
    <t>Precio de venta sin IVA</t>
  </si>
  <si>
    <t>PRECIO DE VENTA sin IVA por LITRO</t>
  </si>
  <si>
    <t>Juarez</t>
  </si>
  <si>
    <t>P.V.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</si>
  <si>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</si>
  <si>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</si>
  <si>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</si>
  <si>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</si>
  <si>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</si>
  <si>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</si>
  <si>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</si>
  <si>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</si>
  <si>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</si>
  <si>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</si>
  <si>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</si>
  <si>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</si>
  <si>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MAXIMA</t>
  </si>
  <si>
    <t>SUPER</t>
  </si>
  <si>
    <t>MARGEN estimado por litro</t>
  </si>
  <si>
    <t>Margen comercial  ( precio - costo según factura )</t>
  </si>
  <si>
    <t>Porcentaje</t>
  </si>
  <si>
    <t>CENTAVOS POR LITRO (FLETE)</t>
  </si>
  <si>
    <t>DESCUENTOS</t>
  </si>
  <si>
    <t>PRECIO REGULAR</t>
  </si>
  <si>
    <t>HERMANOS ESCOBAR</t>
  </si>
  <si>
    <t>LERDO</t>
  </si>
  <si>
    <t>TECNOLOGICO</t>
  </si>
  <si>
    <t>DELICIAS</t>
  </si>
  <si>
    <t>PARRAL</t>
  </si>
  <si>
    <t>LOPEZ</t>
  </si>
  <si>
    <t>GEMELA CH</t>
  </si>
  <si>
    <t>GEMELA G</t>
  </si>
  <si>
    <t>MUNICIPIO</t>
  </si>
  <si>
    <t>MISIONES</t>
  </si>
  <si>
    <t>P PALOS</t>
  </si>
  <si>
    <t>M MADRID</t>
  </si>
  <si>
    <t>AZTECAS</t>
  </si>
  <si>
    <t>PERMUTA</t>
  </si>
  <si>
    <t>ELECTROLUX</t>
  </si>
  <si>
    <t>AERONAUTICA</t>
  </si>
  <si>
    <t>CUSTODIA</t>
  </si>
  <si>
    <t>ANAPRA</t>
  </si>
  <si>
    <t>PLUTARCO</t>
  </si>
  <si>
    <t>AGUASCALIENTES</t>
  </si>
  <si>
    <t>KM 30</t>
  </si>
  <si>
    <t>AHUMADA</t>
  </si>
  <si>
    <t>CASTAÑO</t>
  </si>
  <si>
    <t>PICACHOS</t>
  </si>
  <si>
    <t>VENTANAS</t>
  </si>
  <si>
    <t>PRAXEDIS</t>
  </si>
  <si>
    <t>PRECIO PREMIUM</t>
  </si>
  <si>
    <t>PRECIO DIESEL</t>
  </si>
  <si>
    <t>WINDSTAR- REGULAR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</si>
  <si>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</si>
  <si>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</si>
  <si>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</si>
  <si>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</si>
  <si>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</si>
  <si>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</si>
  <si>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</si>
  <si>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</si>
  <si>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</si>
  <si>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</si>
  <si>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</si>
  <si>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</si>
  <si>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MALECON</t>
  </si>
  <si>
    <t>LA 79</t>
  </si>
  <si>
    <t>LA 88</t>
  </si>
  <si>
    <t>HERBANO</t>
  </si>
  <si>
    <t>PALOS</t>
  </si>
  <si>
    <t>MADRID</t>
  </si>
  <si>
    <t>INDEPENDENCIA</t>
  </si>
  <si>
    <t xml:space="preserve">AGUAS C.  </t>
  </si>
  <si>
    <t>WINDSTAR- PREMIUM</t>
  </si>
  <si>
    <t>WINDSTAR- DIESEL</t>
  </si>
  <si>
    <t>Mantenimiento de Imagen</t>
  </si>
  <si>
    <t xml:space="preserve">TOTAL ANUAL </t>
  </si>
  <si>
    <t>% Part</t>
  </si>
  <si>
    <t>Var vs AA%</t>
  </si>
  <si>
    <t>INGRESOS</t>
  </si>
  <si>
    <t>A - INGRESOS</t>
  </si>
  <si>
    <t>( mas )</t>
  </si>
  <si>
    <t xml:space="preserve">A - INGRESOS </t>
  </si>
  <si>
    <t>estaciones</t>
  </si>
  <si>
    <t>INGRESOS MAGNA</t>
  </si>
  <si>
    <t>INGRESOS FORANEOS MAGNA</t>
  </si>
  <si>
    <t>T-MAXIMA REGULAR</t>
  </si>
  <si>
    <t>INGRESOS PREMIUM</t>
  </si>
  <si>
    <t>INGRESOS FORANEOS PREMIUM</t>
  </si>
  <si>
    <t>T-SUPER PREMIUM</t>
  </si>
  <si>
    <t>INGRESOS DIESEL</t>
  </si>
  <si>
    <t>INGRESOS FORANEOS DIESEL</t>
  </si>
  <si>
    <t>DIESEL AUTOMOTRIZ</t>
  </si>
  <si>
    <t>INGRESOS ADITIVOS</t>
  </si>
  <si>
    <t>INGRESOS ESPECIALES</t>
  </si>
  <si>
    <t>INGRESOS FORANEOS ADITIVOS</t>
  </si>
  <si>
    <t>INGRESOS FORANEOS ESPECIALES</t>
  </si>
  <si>
    <t>INGRESOS FORANEOS LUBRICANTES</t>
  </si>
  <si>
    <t>INGRESOS LUBRICANTES</t>
  </si>
  <si>
    <t>INGRESOS ACEITES Y LUBRICANTES</t>
  </si>
  <si>
    <t>SOBRANTE COMBUSTIBLES</t>
  </si>
  <si>
    <t>B - COSTO DE VENTA</t>
  </si>
  <si>
    <t>( menos )</t>
  </si>
  <si>
    <t xml:space="preserve">B - COSTO DE VENTA </t>
  </si>
  <si>
    <t>COSTO MAGNA</t>
  </si>
  <si>
    <t>COSTO FORANEO MAGNA</t>
  </si>
  <si>
    <t>GASOLINA REGULAR</t>
  </si>
  <si>
    <t>COSTO PREMIUM</t>
  </si>
  <si>
    <t>COSTO FORANEO PREMIUM</t>
  </si>
  <si>
    <t>GASOLINA PREMIUM</t>
  </si>
  <si>
    <t>COSTO DIESEL</t>
  </si>
  <si>
    <t>COSTO FORANEO DIESEL</t>
  </si>
  <si>
    <t>Merma Magna</t>
  </si>
  <si>
    <t>MERMA GASOLINA REGULAR</t>
  </si>
  <si>
    <t>Merma Premium</t>
  </si>
  <si>
    <t>MERMA GASOLINA PREMIUM</t>
  </si>
  <si>
    <t>Merma Diesel</t>
  </si>
  <si>
    <t>MERMA DIESEL</t>
  </si>
  <si>
    <t>ADITIVO PARA GASOLINA TMAXIMA (REGULAR)</t>
  </si>
  <si>
    <t>ADITIVO PARA GASOLINA TMAXIMA( REGULAR)</t>
  </si>
  <si>
    <t>ADITIVO TOTAL POWER GASOLINA REG</t>
  </si>
  <si>
    <t>ADITIVO PARA GASOLINA TSUPER (PREMIUM)</t>
  </si>
  <si>
    <t>ADITIVO TOTAL POWER GASOLINA PREM</t>
  </si>
  <si>
    <t>FLETE MAGNA</t>
  </si>
  <si>
    <t>FLETE GASOLINA REGULAR</t>
  </si>
  <si>
    <t>FLETE PREMIUM</t>
  </si>
  <si>
    <t>FLETE GASOLINA PREMIUM</t>
  </si>
  <si>
    <t>FLETE DIESEL</t>
  </si>
  <si>
    <t>Estimulo IEPS Magna</t>
  </si>
  <si>
    <t>ESTIMULO REGULAR</t>
  </si>
  <si>
    <t>Estimulo IEPS Premium</t>
  </si>
  <si>
    <t>ESTIMULO PREMIUM</t>
  </si>
  <si>
    <t>SOBRANTE MAGNA</t>
  </si>
  <si>
    <t>SOBRANTE PREMIUM</t>
  </si>
  <si>
    <t>SOBRANTE DIESEL</t>
  </si>
  <si>
    <t>COSTO ACEITES Y LUBRICANTES</t>
  </si>
  <si>
    <t>BONIFICACION COMPRA DE COMBUSTIBLE MAGNA</t>
  </si>
  <si>
    <t>BONIFICACION COMPRA DE COMBUSTIBLE PREMIUM</t>
  </si>
  <si>
    <t>BONIFICACION COMPRA DE COMBUSTIBLE DIESEL</t>
  </si>
  <si>
    <t>MARGEN DE UTILIDAD</t>
  </si>
  <si>
    <t>Regular</t>
  </si>
  <si>
    <t>Premium</t>
  </si>
  <si>
    <t>Diesel</t>
  </si>
  <si>
    <t>*Otros Conceptos</t>
  </si>
  <si>
    <t>* Aceites y Lubricantes</t>
  </si>
  <si>
    <t>Litros vendidos</t>
  </si>
  <si>
    <t>Margen de utilidad por litro</t>
  </si>
  <si>
    <t>GASTO ESTACIONES</t>
  </si>
  <si>
    <t>E - GASTOS DE OPERACIÓN</t>
  </si>
  <si>
    <t xml:space="preserve">E - GASTOS DE OPERACIÓN </t>
  </si>
  <si>
    <t>Servicios Administrativos</t>
  </si>
  <si>
    <t>Traslado de Valores</t>
  </si>
  <si>
    <t>Otros Gastos</t>
  </si>
  <si>
    <t>Otros impuestos y derechos</t>
  </si>
  <si>
    <t>Costo Marketing</t>
  </si>
  <si>
    <t>Limpieza</t>
  </si>
  <si>
    <t>Propaganda y publicidad</t>
  </si>
  <si>
    <t>Capacitación al personal</t>
  </si>
  <si>
    <t>Honorarios Fiscales P.M.</t>
  </si>
  <si>
    <t>Honorarios Administrativos P.M.</t>
  </si>
  <si>
    <t>Asistencia técnica</t>
  </si>
  <si>
    <t>Gastos no deducibles (sin requisitos fiscales)</t>
  </si>
  <si>
    <t>Papelería y artículos de oficina</t>
  </si>
  <si>
    <t>Faltantes</t>
  </si>
  <si>
    <t>Licencias y Permisos</t>
  </si>
  <si>
    <t>Licencias, Software, Antivirus</t>
  </si>
  <si>
    <t>Fletes Combustible</t>
  </si>
  <si>
    <t>Viáticos y gastos de viaje</t>
  </si>
  <si>
    <t>Recolección de Basura</t>
  </si>
  <si>
    <t>Honorarios de Consultoria</t>
  </si>
  <si>
    <t>Agua para consumo</t>
  </si>
  <si>
    <t>Fletes Mensajeria</t>
  </si>
  <si>
    <t>Honorarios Administrativos P.F.</t>
  </si>
  <si>
    <t>Consumos Propios Combustibles</t>
  </si>
  <si>
    <t>Renta Equipo de Sistemas</t>
  </si>
  <si>
    <t>Timbrado Facturas</t>
  </si>
  <si>
    <t>Uniformes</t>
  </si>
  <si>
    <t>Contratacion Empleados</t>
  </si>
  <si>
    <t>Seguros y fianzas</t>
  </si>
  <si>
    <t>Honorarios Legales P.F.</t>
  </si>
  <si>
    <t>Prediales</t>
  </si>
  <si>
    <t>Certificado para el cumplimiento SAT anexo 30 y 31</t>
  </si>
  <si>
    <t xml:space="preserve">Arrendamiento Tecnologico </t>
  </si>
  <si>
    <t>Asesoría en sistemas</t>
  </si>
  <si>
    <t>Combustibles Reembolsos</t>
  </si>
  <si>
    <t>Honorarios Admvos P.F.</t>
  </si>
  <si>
    <t>Capacitacion al personal</t>
  </si>
  <si>
    <t>Recargos Fiscales</t>
  </si>
  <si>
    <t>Eventos</t>
  </si>
  <si>
    <t>Vigilancia y seguridad</t>
  </si>
  <si>
    <t>C - NOMINA</t>
  </si>
  <si>
    <t xml:space="preserve">C - NOMINA </t>
  </si>
  <si>
    <t>Aguinaldo</t>
  </si>
  <si>
    <t>Compensaciones</t>
  </si>
  <si>
    <t>Días festivos</t>
  </si>
  <si>
    <t>Fondo de ahorro</t>
  </si>
  <si>
    <t>Indemnizaciones</t>
  </si>
  <si>
    <t>Premios de asistencia</t>
  </si>
  <si>
    <t>Premios de puntualidad</t>
  </si>
  <si>
    <t>Previsión social</t>
  </si>
  <si>
    <t>Prima dominical</t>
  </si>
  <si>
    <t>Prima vacacional</t>
  </si>
  <si>
    <t>Primas de antigüedad</t>
  </si>
  <si>
    <t>PTU</t>
  </si>
  <si>
    <t>Sueldos y salarios</t>
  </si>
  <si>
    <t>Tiempos extras</t>
  </si>
  <si>
    <t>Vacaciones</t>
  </si>
  <si>
    <t>D - COSTO SOCIAL</t>
  </si>
  <si>
    <t xml:space="preserve">D - COSTO SOCIAL </t>
  </si>
  <si>
    <t>Aportaciones al infonavit</t>
  </si>
  <si>
    <t>Aportaciones al SAR</t>
  </si>
  <si>
    <t>Cuotas al IMSS</t>
  </si>
  <si>
    <t>Impuesto Estatal</t>
  </si>
  <si>
    <t>F - MANTENIMIENTO</t>
  </si>
  <si>
    <t xml:space="preserve">F - MANTENIMIENTO </t>
  </si>
  <si>
    <t>Mantenimiento de Equipo de Computo</t>
  </si>
  <si>
    <t>Certificacion SASISOPA</t>
  </si>
  <si>
    <t>Protección Civil, Bomberos y Municipales</t>
  </si>
  <si>
    <t>Dictamen de Operación y Mantenimiento NOM-005-ASEA-2026</t>
  </si>
  <si>
    <t>Gastos CRE</t>
  </si>
  <si>
    <t>Mantenimiento General</t>
  </si>
  <si>
    <t>Extintores</t>
  </si>
  <si>
    <t>Cedula de Operación Anual (COA)</t>
  </si>
  <si>
    <t>Analisis de la Calidad de Combustible NOM-016-CRE-2016</t>
  </si>
  <si>
    <t>Limpieza faldon, totem, baños</t>
  </si>
  <si>
    <t>Plomeria y ferreteria</t>
  </si>
  <si>
    <t>Calibraciones</t>
  </si>
  <si>
    <t>Pinturas y Acabados</t>
  </si>
  <si>
    <t>Pruebas hermeticidad</t>
  </si>
  <si>
    <t>Dictamen Instalacion Electricas NOM-001-SEDE-2012</t>
  </si>
  <si>
    <t>Jardineria</t>
  </si>
  <si>
    <t>Fumigación</t>
  </si>
  <si>
    <t>Limpieza Ecologica</t>
  </si>
  <si>
    <t>Recolección de residuos peligrosos</t>
  </si>
  <si>
    <t>Basura y Recolección</t>
  </si>
  <si>
    <t>Calcamonias y senalamientos</t>
  </si>
  <si>
    <t xml:space="preserve">Verificaciones Profeco </t>
  </si>
  <si>
    <t>Dictamen de Calidad de los Petroliferos NOM-016-CRE-2016</t>
  </si>
  <si>
    <t>Mantenimiento de Vehiculos</t>
  </si>
  <si>
    <t>Seguridad e Higiene Ambiental</t>
  </si>
  <si>
    <t>Certificacion Asea</t>
  </si>
  <si>
    <t>gastos ASEA</t>
  </si>
  <si>
    <t>Refacciones dispensarios</t>
  </si>
  <si>
    <t>Mantenimiento eléctrico</t>
  </si>
  <si>
    <t>Mantenimiento equipo de estación</t>
  </si>
  <si>
    <t>Mantenimiento de edificio</t>
  </si>
  <si>
    <t>Limpieza de baños</t>
  </si>
  <si>
    <t>Herramientas de trabajo</t>
  </si>
  <si>
    <t>Mantenimiento Equipo de computo</t>
  </si>
  <si>
    <t>Mantenimiento de Estaciones</t>
  </si>
  <si>
    <t>H - GASTOS FIJOS</t>
  </si>
  <si>
    <t xml:space="preserve">H - GASTOS FIJOS </t>
  </si>
  <si>
    <t>Arrendamiento Extranjeros</t>
  </si>
  <si>
    <t>Arrendamiento a personas morales resid nal</t>
  </si>
  <si>
    <t>Energía eléctrica</t>
  </si>
  <si>
    <t>Arrendamiento a personas físicas resid nal</t>
  </si>
  <si>
    <t>Agua (Servicio)</t>
  </si>
  <si>
    <t>Agua Servicio</t>
  </si>
  <si>
    <t>Teléfono, internet</t>
  </si>
  <si>
    <t>TOTAL GASTO DE ESTACION</t>
  </si>
  <si>
    <t>Gasto en estación por litro</t>
  </si>
  <si>
    <t>Gasto en estación por litro sin rentas Ext</t>
  </si>
  <si>
    <t>UTILIDAD DE ESTACIONES</t>
  </si>
  <si>
    <t>GASTO STAFF</t>
  </si>
  <si>
    <t>staff</t>
  </si>
  <si>
    <t>Responsabilidad social</t>
  </si>
  <si>
    <t>Reconocimiento al cliente</t>
  </si>
  <si>
    <t>Mantenimiento de cartera</t>
  </si>
  <si>
    <t>Honorarios Legales P.M.</t>
  </si>
  <si>
    <t>Honorarios Fiscales P.F.</t>
  </si>
  <si>
    <t>Gastos Extranjeros</t>
  </si>
  <si>
    <t>Multas y Recargos</t>
  </si>
  <si>
    <t>Donativos y ayudas</t>
  </si>
  <si>
    <t>Servicio médico</t>
  </si>
  <si>
    <t>Contingencia Covid</t>
  </si>
  <si>
    <t>Cuotas y suscripciones</t>
  </si>
  <si>
    <t>Recoleccion de Basura</t>
  </si>
  <si>
    <t>Gastos de Representacion</t>
  </si>
  <si>
    <t>Gas Natural</t>
  </si>
  <si>
    <t>Comisiones por tarjetas de crédito</t>
  </si>
  <si>
    <t>Gratificaciones</t>
  </si>
  <si>
    <t>Impuesto estatal</t>
  </si>
  <si>
    <t>Analisis de combustible</t>
  </si>
  <si>
    <t>Verificaciones de estaciones</t>
  </si>
  <si>
    <t>Protección Cívil, Bomberos y Municipales</t>
  </si>
  <si>
    <t>Arrendamiento</t>
  </si>
  <si>
    <t>Arrendamiento a residentes en el extranjero</t>
  </si>
  <si>
    <t>Arrendamiento Vehiculos</t>
  </si>
  <si>
    <t>TOTAL GASTO STAFF</t>
  </si>
  <si>
    <t>TOTAL GASTO</t>
  </si>
  <si>
    <t>UTILIDAD DE OPERACIÓN</t>
  </si>
  <si>
    <t>Gasto total por litro ( estaciones +  staff )</t>
  </si>
  <si>
    <t>Utilidad de operación por litro</t>
  </si>
  <si>
    <t>UTILIDAD DE OPERACIÓN sin rentas Ext</t>
  </si>
  <si>
    <t>Gasto total por litro ( estaciones +  staff ) sin rentas Ext</t>
  </si>
  <si>
    <t>Utilidad de operación por litro sin rentas Ext</t>
  </si>
  <si>
    <t>I - INGRESOS NO OPERATIVOS</t>
  </si>
  <si>
    <t xml:space="preserve">I - INGRESOS NO OPERATIVOS </t>
  </si>
  <si>
    <t>Utilidad cambiaria</t>
  </si>
  <si>
    <t>Otros Ingresos</t>
  </si>
  <si>
    <t>Sobrantes</t>
  </si>
  <si>
    <t>Intereses a favor bancarios nacional</t>
  </si>
  <si>
    <t>Intereses a favor por inversiones</t>
  </si>
  <si>
    <t>Ingresos por Rentas</t>
  </si>
  <si>
    <t>Ingresos por servicios admin Alianza Comercial</t>
  </si>
  <si>
    <t>Ganancia en vta y/o baja de autom autob camion</t>
  </si>
  <si>
    <t>Actualización en Devolución de IVA SAT</t>
  </si>
  <si>
    <t xml:space="preserve">Ingresos por servicios Intercompañias </t>
  </si>
  <si>
    <t>Otros ingresos propios</t>
  </si>
  <si>
    <t>Indemnizaciones de Seguro No acumuables</t>
  </si>
  <si>
    <t>Ingresos por Uniformes</t>
  </si>
  <si>
    <t>K - CIF</t>
  </si>
  <si>
    <t xml:space="preserve">K - CIF </t>
  </si>
  <si>
    <t>Pérdida cambiaria</t>
  </si>
  <si>
    <t>Intereses a cargo bancario nacional</t>
  </si>
  <si>
    <t>Pérdida en vta y/o baja de autom autob camion</t>
  </si>
  <si>
    <t>Comisiones bancarias</t>
  </si>
  <si>
    <t>Intereses a cargo de personas morales nacional</t>
  </si>
  <si>
    <t>J - DEPRECIACIONES Y AMORTIZACIONES</t>
  </si>
  <si>
    <t>Depr de autom, autob, camiones, tractoc</t>
  </si>
  <si>
    <t>Depreciación de adaptaciones y mejoras</t>
  </si>
  <si>
    <t>Depreciación de edificios</t>
  </si>
  <si>
    <t>Depreciación de equipo de cómputo</t>
  </si>
  <si>
    <t>Depreciación de maquinaria y equipo</t>
  </si>
  <si>
    <t>Depreciación de mobiliario y eq de ofic</t>
  </si>
  <si>
    <t>UTILIDAD NETA DE OPERACIÓN</t>
  </si>
  <si>
    <t>UAFIRDA (sin rentas extranjeras)</t>
  </si>
  <si>
    <t>L - PARTIDAS EXTRAORDINARIAS TOTAL 2.0</t>
  </si>
  <si>
    <t>Aeronautica</t>
  </si>
  <si>
    <t>Anapra</t>
  </si>
  <si>
    <t>Aztecas</t>
  </si>
  <si>
    <t>Custodia</t>
  </si>
  <si>
    <t>Electrolux</t>
  </si>
  <si>
    <t>Hermanos Escobar</t>
  </si>
  <si>
    <t>Estacion Custodia</t>
  </si>
  <si>
    <t>Estacion Delicias</t>
  </si>
  <si>
    <t>Gemela Chica</t>
  </si>
  <si>
    <t>Gemela Grande</t>
  </si>
  <si>
    <t>Lerdo</t>
  </si>
  <si>
    <t>Lopez Mateos</t>
  </si>
  <si>
    <t>Malecon</t>
  </si>
  <si>
    <t>Miguel de la Madrid</t>
  </si>
  <si>
    <t>Misiones</t>
  </si>
  <si>
    <t>Municipio Libre</t>
  </si>
  <si>
    <t>Parral</t>
  </si>
  <si>
    <t>Permuta</t>
  </si>
  <si>
    <t>Plutarco</t>
  </si>
  <si>
    <t>Puerto de Palos</t>
  </si>
  <si>
    <t>Tecnologico</t>
  </si>
  <si>
    <t>Operativo</t>
  </si>
  <si>
    <t>Ventas</t>
  </si>
  <si>
    <t>Expansión</t>
  </si>
  <si>
    <t>Administración</t>
  </si>
  <si>
    <t>M - OTROS PROYECTOS</t>
  </si>
  <si>
    <t>Estación Hermanos Escobar</t>
  </si>
  <si>
    <t>Gasomex</t>
  </si>
  <si>
    <t>TOP TIER</t>
  </si>
  <si>
    <t>Kilometro 30</t>
  </si>
  <si>
    <t>Bodega de Aditivo</t>
  </si>
  <si>
    <t>Praxedis</t>
  </si>
  <si>
    <t>Petrotal</t>
  </si>
  <si>
    <t>Aduana</t>
  </si>
  <si>
    <t>Expansión 22-26</t>
  </si>
  <si>
    <t xml:space="preserve">San Miguel de Allende </t>
  </si>
  <si>
    <t>Zona Bajio</t>
  </si>
  <si>
    <t>Estación Km 30</t>
  </si>
  <si>
    <t>Fletes Mexico</t>
  </si>
  <si>
    <t>Total Gas de Juárez</t>
  </si>
  <si>
    <t>Estación Praxedis</t>
  </si>
  <si>
    <t>Proyecto 6947</t>
  </si>
  <si>
    <t>Estación Aduana</t>
  </si>
  <si>
    <t>Sistema de documentación y procesos web</t>
  </si>
  <si>
    <t>Proyecto 2 Estaciones en San Miguel Allende</t>
  </si>
  <si>
    <t>Paneles solares</t>
  </si>
  <si>
    <t>Facturacion 4.0</t>
  </si>
  <si>
    <t>Proyecto Oficinas</t>
  </si>
  <si>
    <t xml:space="preserve">casa de cambio </t>
  </si>
  <si>
    <t>NFC</t>
  </si>
  <si>
    <t>Estandarización de Procesos</t>
  </si>
  <si>
    <t>OMA Aeropuerto</t>
  </si>
  <si>
    <t>Fletes México</t>
  </si>
  <si>
    <t>Santiago Troncoso</t>
  </si>
  <si>
    <t>El castaño</t>
  </si>
  <si>
    <t>Assesment</t>
  </si>
  <si>
    <t>Proyecto Vallas Publicitarias</t>
  </si>
  <si>
    <t>One Goal</t>
  </si>
  <si>
    <t>Autolavado Tecnológico</t>
  </si>
  <si>
    <t>Estacion Tijuana</t>
  </si>
  <si>
    <t>Villa Ahumada</t>
  </si>
  <si>
    <t>UTILIDAD DESPUES DE TOTAL 2.0</t>
  </si>
  <si>
    <t>Corporativo</t>
  </si>
  <si>
    <t>GASTO CORPORATIVO</t>
  </si>
  <si>
    <t>UTILIDAD DESPUES GASTO CORPORATIVO</t>
  </si>
  <si>
    <t>PPTO ANUAL MISMAS EST</t>
  </si>
  <si>
    <t>PPTO ANUAL TODAS ES</t>
  </si>
  <si>
    <t>*Regular</t>
  </si>
  <si>
    <t>*Premium</t>
  </si>
  <si>
    <t>*Diesel</t>
  </si>
  <si>
    <t>AUMENTOEN VTA GOMEZ A 1,365M</t>
  </si>
  <si>
    <t>Maxima</t>
  </si>
  <si>
    <t>Super</t>
  </si>
  <si>
    <t>Margen de utilidad por combustible</t>
  </si>
  <si>
    <t>Listo</t>
  </si>
  <si>
    <t>Son Licencias que no se pagaban en 2025</t>
  </si>
  <si>
    <t>Contabilidad / Puede que sea Viaticos</t>
  </si>
  <si>
    <t>Diana</t>
  </si>
  <si>
    <t>Impuesto estatal sobre nóminas</t>
  </si>
  <si>
    <t>VER CON SISTEMAS ($86K) Y AUDITORIA ($62K) ajustas 3.75%</t>
  </si>
  <si>
    <t>El año pasado no se metieron tramites, por eso no se ejercio SALMA</t>
  </si>
  <si>
    <t>Listo visto con Robert</t>
  </si>
  <si>
    <t>Listo visto con Oliver</t>
  </si>
  <si>
    <t>Incrementó porque hay estaciones que no tenian la LAU o IP y que para el 2026 si tendrán este requisito para la COA. Oliver</t>
  </si>
  <si>
    <t>Listo en PPTO 2025 eran $26K para Op. SALMA / ($26.5K OP) ($330K AUD)</t>
  </si>
  <si>
    <t>Ya se Reviso con Heber pero sigue Alto</t>
  </si>
  <si>
    <t>El Año pasado no se ejercio porque se trabajo con el Material que ya contaban la Estaciones</t>
  </si>
  <si>
    <t>Listo, De acuerdo SALMA</t>
  </si>
  <si>
    <t>Pedido de Matto</t>
  </si>
  <si>
    <t>Falto Ejercer $10K Ene 2025, se meten 4 al año SALMA</t>
  </si>
  <si>
    <t>Falto Ejercer $15K Ene 2025, se meten 4 al año SALMA</t>
  </si>
  <si>
    <t>Ya se reviso con Jonathan va a reducir el Gasto</t>
  </si>
  <si>
    <t>Agua Servicio (Terceros)</t>
  </si>
  <si>
    <t xml:space="preserve">I - COMISIONES BANCARIAS </t>
  </si>
  <si>
    <t>Gasto en staff por litro</t>
  </si>
  <si>
    <t>TOTAL GASTO (estaciones + staff)</t>
  </si>
  <si>
    <t>TOTAL GASTO (sin rentas ext)</t>
  </si>
  <si>
    <t>Ajustar el Gasto 3.75%</t>
  </si>
  <si>
    <t>Gasto total por litro ( estaciones +  staff sin rentas ext)</t>
  </si>
  <si>
    <t>informativo</t>
  </si>
  <si>
    <t>UTILIDAD DE OPERACIÓN sin rtas Ext</t>
  </si>
  <si>
    <t>Utilidad de operación por litro sin rtas ext</t>
  </si>
  <si>
    <t>Actualización en Devolución SAT</t>
  </si>
  <si>
    <t>Otros gastos financieros</t>
  </si>
  <si>
    <t>Amortización contable</t>
  </si>
  <si>
    <t>SOBRANTE COMBUSTIBLE</t>
  </si>
  <si>
    <t>x</t>
  </si>
  <si>
    <t>TI</t>
  </si>
  <si>
    <t>OK</t>
  </si>
  <si>
    <t>Picachos</t>
  </si>
  <si>
    <t xml:space="preserve"> (Verificaciones de estaciones)</t>
  </si>
  <si>
    <t>Verificación eléctrica</t>
  </si>
  <si>
    <t>Centavos por litro utilidad</t>
  </si>
  <si>
    <t>Ventanas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</si>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</sst>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%"/>
    <numFmt numFmtId="168" formatCode="[$$-80A]#,##0.00;\-[$$-80A]#,##0.00;[$$-80A]#,##0.00;@"/>
    <numFmt numFmtId="169" formatCode="#,##0_ ;[Red]\-#,##0\ "/>
    <numFmt numFmtId="170" formatCode="_-* #,##0_-;\-* #,##0_-;_-* &quot;-&quot;??_-;_-@_-"/>
    <numFmt numFmtId="171" formatCode="_-[$€-2]* #,##0.00_-;\-[$€-2]* #,##0.00_-;_-[$€-2]* &quot;-&quot;??_-"/>
    <numFmt numFmtId="172" formatCode="0.00_)"/>
    <numFmt numFmtId="173" formatCode="_-* #,##0.000_-;\-* #,##0.000_-;_-* &quot;-&quot;??_-;_-@_-"/>
    <numFmt numFmtId="174" formatCode="_-* #,##0.0000_-;\-* #,##0.0000_-;_-* &quot;-&quot;??_-;_-@_-"/>
    <numFmt numFmtId="175" formatCode="#,##0.00_ ;[Red]\-#,##0.00\ "/>
    <numFmt numFmtId="176" formatCode="_-&quot;$&quot;* #,##0_-;\-&quot;$&quot;* #,##0_-;_-&quot;$&quot;* &quot;-&quot;??_-;_-@_-"/>
    <numFmt numFmtId="177" formatCode="0.000"/>
    <numFmt numFmtId="178" formatCode="#,##0.000_ ;[Red]\-#,##0.000\ "/>
    <numFmt numFmtId="179" formatCode="_(* #,##0_);_(* \(#,##0\);_(* &quot;-&quot;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Narrow"/>
      <family val="2"/>
    </font>
    <font>
      <sz val="8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Arial Narrow"/>
      <family val="2"/>
    </font>
    <font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 Narrow"/>
      <family val="2"/>
    </font>
    <font>
      <sz val="8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Arial Narrow"/>
      <family val="2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6"/>
      <name val="Helv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7E7A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7E7A3"/>
        <bgColor rgb="FF000000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thick">
        <color theme="1"/>
      </bottom>
      <diagonal/>
    </border>
    <border>
      <left/>
      <right style="hair">
        <color theme="0" tint="-4.9989318521683403E-2"/>
      </right>
      <top style="thin">
        <color indexed="64"/>
      </top>
      <bottom style="thick">
        <color theme="1"/>
      </bottom>
      <diagonal/>
    </border>
    <border>
      <left/>
      <right style="hair">
        <color theme="0" tint="-4.9989318521683403E-2"/>
      </right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double">
        <color indexed="64"/>
      </bottom>
      <diagonal/>
    </border>
    <border>
      <left/>
      <right style="hair">
        <color theme="0" tint="-4.9989318521683403E-2"/>
      </right>
      <top style="thin">
        <color indexed="64"/>
      </top>
      <bottom style="double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/>
      <diagonal/>
    </border>
    <border>
      <left/>
      <right style="hair">
        <color theme="0" tint="-0.14996795556505021"/>
      </right>
      <top/>
      <bottom/>
      <diagonal/>
    </border>
    <border>
      <left/>
      <right style="hair">
        <color theme="0" tint="-0.14996795556505021"/>
      </right>
      <top style="hair">
        <color theme="0" tint="-0.14996795556505021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thin">
        <color indexed="64"/>
      </top>
      <bottom style="double">
        <color indexed="64"/>
      </bottom>
      <diagonal/>
    </border>
    <border>
      <left style="hair">
        <color theme="0" tint="-4.9989318521683403E-2"/>
      </left>
      <right/>
      <top/>
      <bottom style="hair">
        <color theme="0" tint="-4.9989318521683403E-2"/>
      </bottom>
      <diagonal/>
    </border>
    <border>
      <left style="hair">
        <color theme="0" tint="-4.9989318521683403E-2"/>
      </left>
      <right/>
      <top/>
      <bottom/>
      <diagonal/>
    </border>
    <border>
      <left style="hair">
        <color theme="0" tint="-4.9989318521683403E-2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D9D9D9"/>
      </right>
      <top style="hair">
        <color rgb="FFD9D9D9"/>
      </top>
      <bottom/>
      <diagonal/>
    </border>
    <border>
      <left/>
      <right style="hair">
        <color rgb="FFD9D9D9"/>
      </right>
      <top/>
      <bottom/>
      <diagonal/>
    </border>
    <border>
      <left/>
      <right style="hair">
        <color rgb="FFF2F2F2"/>
      </right>
      <top style="hair">
        <color rgb="FFF2F2F2"/>
      </top>
      <bottom style="hair">
        <color rgb="FFF2F2F2"/>
      </bottom>
      <diagonal/>
    </border>
    <border>
      <left/>
      <right style="hair">
        <color rgb="FFF2F2F2"/>
      </right>
      <top style="thin">
        <color indexed="64"/>
      </top>
      <bottom style="double">
        <color indexed="64"/>
      </bottom>
      <diagonal/>
    </border>
    <border>
      <left style="hair">
        <color rgb="FFF2F2F2"/>
      </left>
      <right style="hair">
        <color rgb="FFF2F2F2"/>
      </right>
      <top style="hair">
        <color rgb="FFF2F2F2"/>
      </top>
      <bottom style="hair">
        <color rgb="FFF2F2F2"/>
      </bottom>
      <diagonal/>
    </border>
    <border>
      <left style="hair">
        <color rgb="FFF2F2F2"/>
      </left>
      <right style="hair">
        <color rgb="FFF2F2F2"/>
      </right>
      <top/>
      <bottom style="hair">
        <color rgb="FFF2F2F2"/>
      </bottom>
      <diagonal/>
    </border>
    <border>
      <left/>
      <right style="hair">
        <color rgb="FFF2F2F2"/>
      </right>
      <top/>
      <bottom style="hair">
        <color rgb="FFF2F2F2"/>
      </bottom>
      <diagonal/>
    </border>
    <border>
      <left style="hair">
        <color rgb="FFF2F2F2"/>
      </left>
      <right style="hair">
        <color rgb="FFF2F2F2"/>
      </right>
      <top style="thin">
        <color indexed="64"/>
      </top>
      <bottom style="double">
        <color indexed="64"/>
      </bottom>
      <diagonal/>
    </border>
  </borders>
  <cellStyleXfs count="69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34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" fillId="0" borderId="0"/>
    <xf numFmtId="0" fontId="40" fillId="17" borderId="0" applyNumberFormat="0" applyBorder="0" applyAlignment="0" applyProtection="0"/>
  </cellStyleXfs>
  <cellXfs count="311">
    <xf numFmtId="0" fontId="0" fillId="0" borderId="0" xfId="0"/>
    <xf numFmtId="0" fontId="0" fillId="0" borderId="1" xfId="0" applyBorder="1"/>
    <xf numFmtId="167" fontId="6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0" xfId="0" applyFont="1"/>
    <xf numFmtId="0" fontId="3" fillId="0" borderId="0" xfId="0" applyFont="1"/>
    <xf numFmtId="0" fontId="2" fillId="0" borderId="0" xfId="0" applyFont="1"/>
    <xf numFmtId="169" fontId="0" fillId="0" borderId="1" xfId="0" applyNumberFormat="1" applyBorder="1"/>
    <xf numFmtId="167" fontId="6" fillId="3" borderId="1" xfId="3" applyNumberFormat="1" applyFont="1" applyFill="1" applyBorder="1" applyAlignment="1">
      <alignment horizontal="center" vertical="center"/>
    </xf>
    <xf numFmtId="169" fontId="10" fillId="4" borderId="1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7" fontId="6" fillId="0" borderId="1" xfId="3" applyNumberFormat="1" applyFont="1" applyBorder="1" applyAlignment="1">
      <alignment horizontal="center" vertical="center"/>
    </xf>
    <xf numFmtId="167" fontId="6" fillId="4" borderId="1" xfId="3" applyNumberFormat="1" applyFont="1" applyFill="1" applyBorder="1" applyAlignment="1">
      <alignment horizontal="center" vertical="center"/>
    </xf>
    <xf numFmtId="169" fontId="0" fillId="3" borderId="1" xfId="2" applyNumberFormat="1" applyFont="1" applyFill="1" applyBorder="1" applyAlignment="1">
      <alignment vertical="center"/>
    </xf>
    <xf numFmtId="167" fontId="15" fillId="6" borderId="1" xfId="3" applyNumberFormat="1" applyFont="1" applyFill="1" applyBorder="1" applyAlignment="1">
      <alignment horizontal="center" vertical="center"/>
    </xf>
    <xf numFmtId="166" fontId="17" fillId="6" borderId="1" xfId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 indent="5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8" fontId="2" fillId="0" borderId="0" xfId="0" applyNumberFormat="1" applyFont="1" applyAlignment="1">
      <alignment vertical="center"/>
    </xf>
    <xf numFmtId="168" fontId="19" fillId="0" borderId="0" xfId="0" applyNumberFormat="1" applyFont="1" applyAlignment="1">
      <alignment vertical="center"/>
    </xf>
    <xf numFmtId="167" fontId="8" fillId="9" borderId="1" xfId="3" applyNumberFormat="1" applyFont="1" applyFill="1" applyBorder="1" applyAlignment="1">
      <alignment horizontal="center" vertical="center"/>
    </xf>
    <xf numFmtId="169" fontId="9" fillId="9" borderId="1" xfId="2" applyNumberFormat="1" applyFont="1" applyFill="1" applyBorder="1" applyAlignment="1">
      <alignment vertical="center"/>
    </xf>
    <xf numFmtId="0" fontId="20" fillId="9" borderId="2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 indent="5"/>
    </xf>
    <xf numFmtId="169" fontId="0" fillId="3" borderId="2" xfId="2" applyNumberFormat="1" applyFont="1" applyFill="1" applyBorder="1" applyAlignment="1">
      <alignment vertical="center"/>
    </xf>
    <xf numFmtId="0" fontId="14" fillId="3" borderId="0" xfId="0" applyFont="1" applyFill="1" applyAlignment="1">
      <alignment horizontal="left" vertical="center"/>
    </xf>
    <xf numFmtId="167" fontId="15" fillId="10" borderId="1" xfId="3" applyNumberFormat="1" applyFont="1" applyFill="1" applyBorder="1" applyAlignment="1">
      <alignment horizontal="center" vertical="center"/>
    </xf>
    <xf numFmtId="166" fontId="17" fillId="10" borderId="1" xfId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center" indent="8"/>
    </xf>
    <xf numFmtId="170" fontId="17" fillId="10" borderId="1" xfId="1" applyNumberFormat="1" applyFont="1" applyFill="1" applyBorder="1" applyAlignment="1">
      <alignment horizontal="center" vertical="center"/>
    </xf>
    <xf numFmtId="170" fontId="17" fillId="6" borderId="1" xfId="1" applyNumberFormat="1" applyFont="1" applyFill="1" applyBorder="1" applyAlignment="1">
      <alignment horizontal="center" vertical="center"/>
    </xf>
    <xf numFmtId="167" fontId="8" fillId="11" borderId="1" xfId="3" applyNumberFormat="1" applyFont="1" applyFill="1" applyBorder="1" applyAlignment="1">
      <alignment horizontal="center" vertical="center"/>
    </xf>
    <xf numFmtId="169" fontId="9" fillId="11" borderId="1" xfId="2" applyNumberFormat="1" applyFont="1" applyFill="1" applyBorder="1" applyAlignment="1">
      <alignment vertical="center"/>
    </xf>
    <xf numFmtId="0" fontId="20" fillId="11" borderId="2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7" fontId="6" fillId="0" borderId="1" xfId="0" applyNumberFormat="1" applyFont="1" applyBorder="1"/>
    <xf numFmtId="0" fontId="0" fillId="0" borderId="2" xfId="0" applyBorder="1"/>
    <xf numFmtId="0" fontId="19" fillId="0" borderId="0" xfId="0" applyFont="1"/>
    <xf numFmtId="0" fontId="4" fillId="0" borderId="2" xfId="0" applyFont="1" applyBorder="1"/>
    <xf numFmtId="0" fontId="0" fillId="0" borderId="1" xfId="0" applyBorder="1" applyAlignment="1">
      <alignment horizontal="center"/>
    </xf>
    <xf numFmtId="167" fontId="24" fillId="12" borderId="1" xfId="0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/>
    </xf>
    <xf numFmtId="0" fontId="25" fillId="8" borderId="2" xfId="0" applyFont="1" applyFill="1" applyBorder="1" applyAlignment="1">
      <alignment horizontal="center"/>
    </xf>
    <xf numFmtId="0" fontId="27" fillId="8" borderId="2" xfId="0" applyFont="1" applyFill="1" applyBorder="1" applyAlignment="1">
      <alignment horizontal="center"/>
    </xf>
    <xf numFmtId="0" fontId="25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9" fillId="0" borderId="1" xfId="0" applyFont="1" applyBorder="1"/>
    <xf numFmtId="167" fontId="24" fillId="13" borderId="1" xfId="0" applyNumberFormat="1" applyFont="1" applyFill="1" applyBorder="1" applyAlignment="1">
      <alignment vertical="center"/>
    </xf>
    <xf numFmtId="0" fontId="30" fillId="7" borderId="2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5" fillId="0" borderId="1" xfId="0" applyFont="1" applyBorder="1"/>
    <xf numFmtId="167" fontId="2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68" fontId="30" fillId="7" borderId="15" xfId="0" applyNumberFormat="1" applyFont="1" applyFill="1" applyBorder="1" applyAlignment="1">
      <alignment horizontal="center" vertical="center"/>
    </xf>
    <xf numFmtId="168" fontId="30" fillId="7" borderId="2" xfId="0" applyNumberFormat="1" applyFont="1" applyFill="1" applyBorder="1" applyAlignment="1">
      <alignment horizontal="center" vertical="center"/>
    </xf>
    <xf numFmtId="168" fontId="30" fillId="7" borderId="16" xfId="0" applyNumberFormat="1" applyFont="1" applyFill="1" applyBorder="1" applyAlignment="1">
      <alignment horizontal="center" vertical="center"/>
    </xf>
    <xf numFmtId="0" fontId="30" fillId="7" borderId="15" xfId="0" applyFont="1" applyFill="1" applyBorder="1" applyAlignment="1">
      <alignment horizontal="center" vertical="center"/>
    </xf>
    <xf numFmtId="166" fontId="10" fillId="4" borderId="1" xfId="1" applyFont="1" applyFill="1" applyBorder="1" applyAlignment="1">
      <alignment vertical="center"/>
    </xf>
    <xf numFmtId="166" fontId="18" fillId="4" borderId="1" xfId="1" applyFont="1" applyFill="1" applyBorder="1" applyAlignment="1">
      <alignment vertical="center"/>
    </xf>
    <xf numFmtId="166" fontId="10" fillId="4" borderId="2" xfId="1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12" borderId="15" xfId="0" applyFont="1" applyFill="1" applyBorder="1" applyAlignment="1">
      <alignment horizontal="center"/>
    </xf>
    <xf numFmtId="169" fontId="7" fillId="0" borderId="16" xfId="0" applyNumberFormat="1" applyFont="1" applyBorder="1"/>
    <xf numFmtId="169" fontId="7" fillId="3" borderId="16" xfId="2" applyNumberFormat="1" applyFont="1" applyFill="1" applyBorder="1" applyAlignment="1">
      <alignment vertical="center"/>
    </xf>
    <xf numFmtId="167" fontId="7" fillId="3" borderId="16" xfId="3" applyNumberFormat="1" applyFont="1" applyFill="1" applyBorder="1" applyAlignment="1">
      <alignment horizontal="center" vertical="center"/>
    </xf>
    <xf numFmtId="167" fontId="7" fillId="6" borderId="16" xfId="3" applyNumberFormat="1" applyFont="1" applyFill="1" applyBorder="1" applyAlignment="1">
      <alignment horizontal="center" vertical="center"/>
    </xf>
    <xf numFmtId="167" fontId="16" fillId="6" borderId="16" xfId="3" applyNumberFormat="1" applyFont="1" applyFill="1" applyBorder="1" applyAlignment="1">
      <alignment horizontal="center" vertical="center"/>
    </xf>
    <xf numFmtId="167" fontId="7" fillId="0" borderId="16" xfId="3" applyNumberFormat="1" applyFont="1" applyBorder="1" applyAlignment="1">
      <alignment horizontal="center" vertical="center"/>
    </xf>
    <xf numFmtId="167" fontId="7" fillId="3" borderId="15" xfId="3" applyNumberFormat="1" applyFont="1" applyFill="1" applyBorder="1" applyAlignment="1">
      <alignment horizontal="center" vertical="center"/>
    </xf>
    <xf numFmtId="167" fontId="7" fillId="9" borderId="16" xfId="3" applyNumberFormat="1" applyFont="1" applyFill="1" applyBorder="1" applyAlignment="1">
      <alignment horizontal="center" vertical="center"/>
    </xf>
    <xf numFmtId="167" fontId="7" fillId="0" borderId="18" xfId="3" applyNumberFormat="1" applyFont="1" applyBorder="1" applyAlignment="1">
      <alignment horizontal="center" vertical="center"/>
    </xf>
    <xf numFmtId="167" fontId="7" fillId="3" borderId="19" xfId="3" applyNumberFormat="1" applyFont="1" applyFill="1" applyBorder="1" applyAlignment="1">
      <alignment horizontal="center" vertical="center"/>
    </xf>
    <xf numFmtId="167" fontId="7" fillId="5" borderId="17" xfId="3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169" fontId="7" fillId="0" borderId="16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2" fillId="14" borderId="0" xfId="0" applyFont="1" applyFill="1" applyAlignment="1">
      <alignment vertical="center"/>
    </xf>
    <xf numFmtId="168" fontId="30" fillId="14" borderId="0" xfId="0" applyNumberFormat="1" applyFont="1" applyFill="1" applyAlignment="1">
      <alignment vertical="center"/>
    </xf>
    <xf numFmtId="0" fontId="12" fillId="14" borderId="0" xfId="0" applyFont="1" applyFill="1" applyAlignment="1">
      <alignment horizontal="center"/>
    </xf>
    <xf numFmtId="169" fontId="7" fillId="14" borderId="0" xfId="0" applyNumberFormat="1" applyFont="1" applyFill="1"/>
    <xf numFmtId="169" fontId="7" fillId="14" borderId="0" xfId="2" applyNumberFormat="1" applyFont="1" applyFill="1" applyBorder="1" applyAlignment="1">
      <alignment vertical="center"/>
    </xf>
    <xf numFmtId="167" fontId="7" fillId="14" borderId="0" xfId="3" applyNumberFormat="1" applyFont="1" applyFill="1" applyBorder="1" applyAlignment="1">
      <alignment horizontal="center" vertical="center"/>
    </xf>
    <xf numFmtId="167" fontId="16" fillId="14" borderId="0" xfId="3" applyNumberFormat="1" applyFont="1" applyFill="1" applyBorder="1" applyAlignment="1">
      <alignment horizontal="center" vertical="center"/>
    </xf>
    <xf numFmtId="167" fontId="12" fillId="14" borderId="0" xfId="3" applyNumberFormat="1" applyFont="1" applyFill="1" applyBorder="1" applyAlignment="1">
      <alignment horizontal="center" vertical="center"/>
    </xf>
    <xf numFmtId="167" fontId="7" fillId="14" borderId="0" xfId="3" applyNumberFormat="1" applyFont="1" applyFill="1" applyBorder="1" applyAlignment="1">
      <alignment horizontal="center"/>
    </xf>
    <xf numFmtId="0" fontId="7" fillId="14" borderId="0" xfId="0" applyFont="1" applyFill="1" applyAlignment="1">
      <alignment vertical="center"/>
    </xf>
    <xf numFmtId="169" fontId="7" fillId="14" borderId="0" xfId="0" applyNumberFormat="1" applyFont="1" applyFill="1" applyAlignment="1">
      <alignment vertical="center"/>
    </xf>
    <xf numFmtId="166" fontId="0" fillId="0" borderId="0" xfId="1" applyFont="1"/>
    <xf numFmtId="174" fontId="0" fillId="0" borderId="0" xfId="1" applyNumberFormat="1" applyFont="1"/>
    <xf numFmtId="174" fontId="0" fillId="0" borderId="0" xfId="0" applyNumberFormat="1"/>
    <xf numFmtId="166" fontId="0" fillId="0" borderId="0" xfId="1" applyFont="1" applyFill="1" applyBorder="1"/>
    <xf numFmtId="0" fontId="5" fillId="14" borderId="0" xfId="0" applyFont="1" applyFill="1"/>
    <xf numFmtId="0" fontId="2" fillId="14" borderId="0" xfId="0" applyFont="1" applyFill="1"/>
    <xf numFmtId="0" fontId="35" fillId="15" borderId="0" xfId="0" applyFont="1" applyFill="1"/>
    <xf numFmtId="2" fontId="5" fillId="14" borderId="0" xfId="0" applyNumberFormat="1" applyFont="1" applyFill="1"/>
    <xf numFmtId="9" fontId="0" fillId="0" borderId="0" xfId="3" applyFont="1"/>
    <xf numFmtId="0" fontId="35" fillId="15" borderId="21" xfId="0" applyFont="1" applyFill="1" applyBorder="1"/>
    <xf numFmtId="0" fontId="0" fillId="0" borderId="21" xfId="0" applyBorder="1"/>
    <xf numFmtId="2" fontId="0" fillId="0" borderId="21" xfId="0" applyNumberFormat="1" applyBorder="1"/>
    <xf numFmtId="10" fontId="0" fillId="0" borderId="21" xfId="3" applyNumberFormat="1" applyFont="1" applyBorder="1"/>
    <xf numFmtId="10" fontId="36" fillId="0" borderId="0" xfId="3" applyNumberFormat="1" applyFont="1" applyBorder="1"/>
    <xf numFmtId="10" fontId="0" fillId="0" borderId="0" xfId="3" applyNumberFormat="1" applyFont="1" applyBorder="1"/>
    <xf numFmtId="173" fontId="0" fillId="0" borderId="0" xfId="1" applyNumberFormat="1" applyFont="1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166" fontId="0" fillId="0" borderId="0" xfId="1" applyFont="1" applyBorder="1"/>
    <xf numFmtId="10" fontId="37" fillId="0" borderId="0" xfId="3" applyNumberFormat="1" applyFont="1" applyFill="1" applyBorder="1"/>
    <xf numFmtId="9" fontId="0" fillId="0" borderId="0" xfId="3" applyFont="1" applyFill="1" applyBorder="1"/>
    <xf numFmtId="0" fontId="23" fillId="0" borderId="2" xfId="0" applyFont="1" applyBorder="1" applyAlignment="1">
      <alignment horizontal="left" vertical="center" indent="5"/>
    </xf>
    <xf numFmtId="2" fontId="0" fillId="0" borderId="0" xfId="0" applyNumberFormat="1"/>
    <xf numFmtId="0" fontId="14" fillId="0" borderId="13" xfId="0" applyFont="1" applyBorder="1" applyAlignment="1">
      <alignment horizontal="left" vertical="center" indent="3"/>
    </xf>
    <xf numFmtId="0" fontId="14" fillId="0" borderId="7" xfId="0" applyFont="1" applyBorder="1" applyAlignment="1">
      <alignment horizontal="left" vertical="center" indent="3"/>
    </xf>
    <xf numFmtId="0" fontId="14" fillId="0" borderId="4" xfId="0" applyFont="1" applyBorder="1" applyAlignment="1">
      <alignment horizontal="left" vertical="center" indent="3"/>
    </xf>
    <xf numFmtId="167" fontId="6" fillId="0" borderId="1" xfId="3" applyNumberFormat="1" applyFont="1" applyFill="1" applyBorder="1" applyAlignment="1">
      <alignment horizontal="center" vertical="center"/>
    </xf>
    <xf numFmtId="170" fontId="10" fillId="4" borderId="1" xfId="1" applyNumberFormat="1" applyFont="1" applyFill="1" applyBorder="1" applyAlignment="1">
      <alignment vertical="center"/>
    </xf>
    <xf numFmtId="173" fontId="0" fillId="0" borderId="0" xfId="1" applyNumberFormat="1" applyFont="1" applyFill="1" applyBorder="1"/>
    <xf numFmtId="0" fontId="14" fillId="0" borderId="12" xfId="0" applyFont="1" applyBorder="1" applyAlignment="1">
      <alignment horizontal="left" vertical="center" indent="3"/>
    </xf>
    <xf numFmtId="0" fontId="14" fillId="0" borderId="11" xfId="0" applyFont="1" applyBorder="1" applyAlignment="1">
      <alignment horizontal="left" vertical="center" indent="3"/>
    </xf>
    <xf numFmtId="0" fontId="3" fillId="16" borderId="0" xfId="0" applyFont="1" applyFill="1"/>
    <xf numFmtId="0" fontId="14" fillId="0" borderId="4" xfId="0" applyFont="1" applyBorder="1" applyAlignment="1">
      <alignment horizontal="left" vertical="center"/>
    </xf>
    <xf numFmtId="173" fontId="0" fillId="0" borderId="1" xfId="0" applyNumberFormat="1" applyBorder="1"/>
    <xf numFmtId="177" fontId="0" fillId="0" borderId="0" xfId="0" applyNumberFormat="1"/>
    <xf numFmtId="0" fontId="30" fillId="7" borderId="15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8" fontId="0" fillId="0" borderId="3" xfId="0" applyNumberFormat="1" applyBorder="1" applyAlignment="1">
      <alignment vertical="center"/>
    </xf>
    <xf numFmtId="169" fontId="13" fillId="7" borderId="8" xfId="0" applyNumberFormat="1" applyFont="1" applyFill="1" applyBorder="1" applyAlignment="1">
      <alignment vertical="center"/>
    </xf>
    <xf numFmtId="169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 vertical="center" indent="3"/>
    </xf>
    <xf numFmtId="168" fontId="4" fillId="0" borderId="2" xfId="0" applyNumberFormat="1" applyFont="1" applyBorder="1" applyAlignment="1">
      <alignment vertical="center"/>
    </xf>
    <xf numFmtId="0" fontId="13" fillId="7" borderId="9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2" xfId="0" applyFont="1" applyBorder="1" applyAlignment="1">
      <alignment horizontal="left" vertical="center" indent="3"/>
    </xf>
    <xf numFmtId="0" fontId="0" fillId="0" borderId="7" xfId="0" applyBorder="1" applyAlignment="1">
      <alignment vertical="center"/>
    </xf>
    <xf numFmtId="0" fontId="14" fillId="3" borderId="2" xfId="0" applyFont="1" applyFill="1" applyBorder="1" applyAlignment="1">
      <alignment horizontal="left" vertical="center" indent="3"/>
    </xf>
    <xf numFmtId="0" fontId="23" fillId="3" borderId="2" xfId="0" applyFont="1" applyFill="1" applyBorder="1" applyAlignment="1">
      <alignment horizontal="left" vertical="center" indent="5"/>
    </xf>
    <xf numFmtId="0" fontId="4" fillId="0" borderId="4" xfId="0" applyFont="1" applyBorder="1" applyAlignment="1">
      <alignment horizontal="left" vertical="center" indent="3"/>
    </xf>
    <xf numFmtId="0" fontId="14" fillId="3" borderId="14" xfId="0" applyFont="1" applyFill="1" applyBorder="1" applyAlignment="1">
      <alignment horizontal="left" vertical="center" indent="3"/>
    </xf>
    <xf numFmtId="0" fontId="14" fillId="3" borderId="13" xfId="0" applyFont="1" applyFill="1" applyBorder="1" applyAlignment="1">
      <alignment horizontal="left" vertical="center" indent="3"/>
    </xf>
    <xf numFmtId="0" fontId="14" fillId="3" borderId="12" xfId="0" applyFont="1" applyFill="1" applyBorder="1" applyAlignment="1">
      <alignment horizontal="left" vertical="center" indent="3"/>
    </xf>
    <xf numFmtId="0" fontId="14" fillId="3" borderId="11" xfId="0" applyFont="1" applyFill="1" applyBorder="1" applyAlignment="1">
      <alignment horizontal="left" vertical="center" indent="3"/>
    </xf>
    <xf numFmtId="0" fontId="9" fillId="5" borderId="9" xfId="0" applyFont="1" applyFill="1" applyBorder="1" applyAlignment="1">
      <alignment vertical="center"/>
    </xf>
    <xf numFmtId="169" fontId="9" fillId="5" borderId="8" xfId="0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169" fontId="9" fillId="2" borderId="5" xfId="0" applyNumberFormat="1" applyFont="1" applyFill="1" applyBorder="1" applyAlignment="1">
      <alignment vertical="center"/>
    </xf>
    <xf numFmtId="167" fontId="11" fillId="7" borderId="8" xfId="3" applyNumberFormat="1" applyFont="1" applyFill="1" applyBorder="1" applyAlignment="1">
      <alignment horizontal="center" vertical="center"/>
    </xf>
    <xf numFmtId="167" fontId="6" fillId="0" borderId="3" xfId="3" applyNumberFormat="1" applyFont="1" applyBorder="1" applyAlignment="1">
      <alignment horizontal="center" vertical="center"/>
    </xf>
    <xf numFmtId="167" fontId="6" fillId="0" borderId="0" xfId="3" applyNumberFormat="1" applyFont="1" applyBorder="1" applyAlignment="1">
      <alignment horizontal="center"/>
    </xf>
    <xf numFmtId="167" fontId="6" fillId="0" borderId="0" xfId="3" applyNumberFormat="1" applyFont="1" applyBorder="1" applyAlignment="1">
      <alignment horizontal="center" vertical="center"/>
    </xf>
    <xf numFmtId="167" fontId="6" fillId="4" borderId="10" xfId="3" applyNumberFormat="1" applyFont="1" applyFill="1" applyBorder="1" applyAlignment="1">
      <alignment horizontal="center" vertical="center"/>
    </xf>
    <xf numFmtId="167" fontId="6" fillId="3" borderId="10" xfId="3" applyNumberFormat="1" applyFont="1" applyFill="1" applyBorder="1" applyAlignment="1">
      <alignment horizontal="center" vertical="center"/>
    </xf>
    <xf numFmtId="167" fontId="8" fillId="5" borderId="8" xfId="3" applyNumberFormat="1" applyFont="1" applyFill="1" applyBorder="1" applyAlignment="1">
      <alignment horizontal="center" vertical="center"/>
    </xf>
    <xf numFmtId="167" fontId="8" fillId="2" borderId="5" xfId="3" applyNumberFormat="1" applyFont="1" applyFill="1" applyBorder="1" applyAlignment="1">
      <alignment horizontal="center" vertical="center"/>
    </xf>
    <xf numFmtId="167" fontId="6" fillId="0" borderId="3" xfId="0" applyNumberFormat="1" applyFont="1" applyBorder="1" applyAlignment="1">
      <alignment vertical="center"/>
    </xf>
    <xf numFmtId="167" fontId="7" fillId="0" borderId="0" xfId="3" applyNumberFormat="1" applyFont="1" applyBorder="1" applyAlignment="1">
      <alignment horizontal="center"/>
    </xf>
    <xf numFmtId="167" fontId="7" fillId="0" borderId="0" xfId="3" applyNumberFormat="1" applyFont="1" applyBorder="1" applyAlignment="1">
      <alignment horizontal="center" vertical="center"/>
    </xf>
    <xf numFmtId="169" fontId="0" fillId="0" borderId="0" xfId="0" applyNumberFormat="1" applyAlignment="1">
      <alignment vertical="center"/>
    </xf>
    <xf numFmtId="0" fontId="14" fillId="0" borderId="14" xfId="0" applyFont="1" applyBorder="1" applyAlignment="1">
      <alignment horizontal="left" vertical="center" indent="3"/>
    </xf>
    <xf numFmtId="0" fontId="14" fillId="0" borderId="2" xfId="0" applyFont="1" applyBorder="1" applyAlignment="1">
      <alignment horizontal="left" vertical="center" indent="3"/>
    </xf>
    <xf numFmtId="167" fontId="12" fillId="7" borderId="17" xfId="3" applyNumberFormat="1" applyFont="1" applyFill="1" applyBorder="1" applyAlignment="1">
      <alignment horizontal="center" vertical="center"/>
    </xf>
    <xf numFmtId="167" fontId="7" fillId="4" borderId="15" xfId="3" applyNumberFormat="1" applyFont="1" applyFill="1" applyBorder="1" applyAlignment="1">
      <alignment horizontal="center" vertical="center"/>
    </xf>
    <xf numFmtId="167" fontId="7" fillId="2" borderId="20" xfId="3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 indent="3"/>
    </xf>
    <xf numFmtId="0" fontId="21" fillId="0" borderId="2" xfId="0" applyFont="1" applyBorder="1" applyAlignment="1">
      <alignment horizontal="left" vertical="center" indent="3"/>
    </xf>
    <xf numFmtId="167" fontId="6" fillId="0" borderId="16" xfId="3" applyNumberFormat="1" applyFont="1" applyBorder="1" applyAlignment="1">
      <alignment horizontal="center" vertical="center"/>
    </xf>
    <xf numFmtId="167" fontId="6" fillId="3" borderId="16" xfId="3" applyNumberFormat="1" applyFont="1" applyFill="1" applyBorder="1" applyAlignment="1">
      <alignment horizontal="center" vertical="center"/>
    </xf>
    <xf numFmtId="167" fontId="6" fillId="4" borderId="16" xfId="3" applyNumberFormat="1" applyFont="1" applyFill="1" applyBorder="1" applyAlignment="1">
      <alignment horizontal="center" vertical="center"/>
    </xf>
    <xf numFmtId="167" fontId="15" fillId="6" borderId="16" xfId="3" applyNumberFormat="1" applyFont="1" applyFill="1" applyBorder="1" applyAlignment="1">
      <alignment horizontal="center" vertical="center"/>
    </xf>
    <xf numFmtId="167" fontId="8" fillId="9" borderId="16" xfId="3" applyNumberFormat="1" applyFont="1" applyFill="1" applyBorder="1" applyAlignment="1">
      <alignment horizontal="center" vertical="center"/>
    </xf>
    <xf numFmtId="167" fontId="8" fillId="11" borderId="16" xfId="3" applyNumberFormat="1" applyFont="1" applyFill="1" applyBorder="1" applyAlignment="1">
      <alignment horizontal="center" vertical="center"/>
    </xf>
    <xf numFmtId="167" fontId="15" fillId="10" borderId="16" xfId="3" applyNumberFormat="1" applyFont="1" applyFill="1" applyBorder="1" applyAlignment="1">
      <alignment horizontal="center" vertical="center"/>
    </xf>
    <xf numFmtId="167" fontId="6" fillId="0" borderId="16" xfId="3" applyNumberFormat="1" applyFont="1" applyFill="1" applyBorder="1" applyAlignment="1">
      <alignment horizontal="center" vertical="center"/>
    </xf>
    <xf numFmtId="10" fontId="36" fillId="0" borderId="0" xfId="3" applyNumberFormat="1" applyFont="1" applyFill="1" applyBorder="1"/>
    <xf numFmtId="165" fontId="36" fillId="0" borderId="0" xfId="2" applyFont="1" applyFill="1" applyBorder="1"/>
    <xf numFmtId="165" fontId="0" fillId="0" borderId="0" xfId="0" applyNumberFormat="1"/>
    <xf numFmtId="165" fontId="0" fillId="0" borderId="0" xfId="2" applyFont="1" applyFill="1"/>
    <xf numFmtId="0" fontId="7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8" fillId="0" borderId="0" xfId="0" applyFont="1"/>
    <xf numFmtId="0" fontId="38" fillId="7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/>
    </xf>
    <xf numFmtId="0" fontId="38" fillId="0" borderId="0" xfId="0" applyFont="1"/>
    <xf numFmtId="0" fontId="18" fillId="0" borderId="0" xfId="0" applyFont="1" applyAlignment="1">
      <alignment vertical="center"/>
    </xf>
    <xf numFmtId="168" fontId="38" fillId="0" borderId="0" xfId="0" applyNumberFormat="1" applyFont="1" applyAlignment="1">
      <alignment vertical="center"/>
    </xf>
    <xf numFmtId="0" fontId="18" fillId="16" borderId="0" xfId="0" applyFont="1" applyFill="1"/>
    <xf numFmtId="0" fontId="39" fillId="6" borderId="2" xfId="0" applyFont="1" applyFill="1" applyBorder="1" applyAlignment="1">
      <alignment horizontal="left" vertical="center" indent="2"/>
    </xf>
    <xf numFmtId="0" fontId="39" fillId="6" borderId="0" xfId="0" applyFont="1" applyFill="1" applyAlignment="1">
      <alignment horizontal="left" vertical="center" indent="2"/>
    </xf>
    <xf numFmtId="167" fontId="7" fillId="0" borderId="16" xfId="3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0" fillId="17" borderId="0" xfId="68"/>
    <xf numFmtId="0" fontId="0" fillId="0" borderId="0" xfId="0" applyAlignment="1">
      <alignment horizontal="center" vertical="center"/>
    </xf>
    <xf numFmtId="166" fontId="1" fillId="0" borderId="0" xfId="1" applyFont="1" applyBorder="1"/>
    <xf numFmtId="9" fontId="1" fillId="0" borderId="0" xfId="3" applyFont="1" applyFill="1" applyBorder="1"/>
    <xf numFmtId="10" fontId="4" fillId="0" borderId="0" xfId="3" applyNumberFormat="1" applyFont="1" applyFill="1" applyBorder="1"/>
    <xf numFmtId="10" fontId="4" fillId="0" borderId="0" xfId="3" applyNumberFormat="1" applyFont="1" applyFill="1"/>
    <xf numFmtId="10" fontId="4" fillId="0" borderId="0" xfId="3" applyNumberFormat="1" applyFont="1"/>
    <xf numFmtId="10" fontId="4" fillId="0" borderId="0" xfId="3" applyNumberFormat="1" applyFont="1" applyBorder="1"/>
    <xf numFmtId="10" fontId="0" fillId="0" borderId="0" xfId="0" applyNumberFormat="1"/>
    <xf numFmtId="0" fontId="41" fillId="3" borderId="2" xfId="0" applyFont="1" applyFill="1" applyBorder="1" applyAlignment="1">
      <alignment horizontal="left" vertical="center" indent="3"/>
    </xf>
    <xf numFmtId="167" fontId="7" fillId="6" borderId="0" xfId="3" applyNumberFormat="1" applyFont="1" applyFill="1" applyBorder="1" applyAlignment="1">
      <alignment horizontal="center" vertical="center"/>
    </xf>
    <xf numFmtId="167" fontId="6" fillId="4" borderId="0" xfId="3" applyNumberFormat="1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3" fillId="5" borderId="9" xfId="0" applyFont="1" applyFill="1" applyBorder="1" applyAlignment="1">
      <alignment vertical="center"/>
    </xf>
    <xf numFmtId="0" fontId="44" fillId="0" borderId="0" xfId="0" applyFont="1"/>
    <xf numFmtId="169" fontId="45" fillId="5" borderId="8" xfId="0" applyNumberFormat="1" applyFont="1" applyFill="1" applyBorder="1" applyAlignment="1">
      <alignment vertical="center"/>
    </xf>
    <xf numFmtId="167" fontId="46" fillId="5" borderId="8" xfId="3" applyNumberFormat="1" applyFont="1" applyFill="1" applyBorder="1" applyAlignment="1">
      <alignment horizontal="center" vertical="center"/>
    </xf>
    <xf numFmtId="167" fontId="8" fillId="0" borderId="8" xfId="3" applyNumberFormat="1" applyFont="1" applyFill="1" applyBorder="1" applyAlignment="1">
      <alignment horizontal="center" vertical="center"/>
    </xf>
    <xf numFmtId="0" fontId="46" fillId="0" borderId="1" xfId="0" applyFont="1" applyBorder="1"/>
    <xf numFmtId="0" fontId="43" fillId="0" borderId="4" xfId="0" applyFont="1" applyBorder="1" applyAlignment="1">
      <alignment horizontal="left" vertical="center" indent="3"/>
    </xf>
    <xf numFmtId="0" fontId="41" fillId="0" borderId="0" xfId="0" applyFont="1"/>
    <xf numFmtId="0" fontId="47" fillId="10" borderId="2" xfId="0" applyFont="1" applyFill="1" applyBorder="1" applyAlignment="1">
      <alignment horizontal="left" vertical="center" indent="8"/>
    </xf>
    <xf numFmtId="0" fontId="23" fillId="3" borderId="0" xfId="0" applyFont="1" applyFill="1"/>
    <xf numFmtId="0" fontId="23" fillId="3" borderId="0" xfId="0" applyFont="1" applyFill="1" applyAlignment="1">
      <alignment vertical="center"/>
    </xf>
    <xf numFmtId="0" fontId="23" fillId="3" borderId="0" xfId="0" applyFont="1" applyFill="1" applyAlignment="1">
      <alignment horizontal="left" vertical="center" indent="5"/>
    </xf>
    <xf numFmtId="0" fontId="23" fillId="0" borderId="0" xfId="0" applyFont="1"/>
    <xf numFmtId="2" fontId="17" fillId="6" borderId="1" xfId="1" applyNumberFormat="1" applyFont="1" applyFill="1" applyBorder="1" applyAlignment="1">
      <alignment horizontal="center" vertical="center"/>
    </xf>
    <xf numFmtId="10" fontId="15" fillId="6" borderId="16" xfId="3" applyNumberFormat="1" applyFont="1" applyFill="1" applyBorder="1" applyAlignment="1">
      <alignment horizontal="center" vertical="center"/>
    </xf>
    <xf numFmtId="10" fontId="15" fillId="10" borderId="16" xfId="3" applyNumberFormat="1" applyFont="1" applyFill="1" applyBorder="1" applyAlignment="1">
      <alignment horizontal="center" vertical="center"/>
    </xf>
    <xf numFmtId="10" fontId="15" fillId="10" borderId="1" xfId="3" applyNumberFormat="1" applyFont="1" applyFill="1" applyBorder="1" applyAlignment="1">
      <alignment horizontal="center" vertical="center"/>
    </xf>
    <xf numFmtId="169" fontId="0" fillId="3" borderId="1" xfId="45" applyNumberFormat="1" applyFont="1" applyFill="1" applyBorder="1" applyAlignment="1">
      <alignment vertical="center"/>
    </xf>
    <xf numFmtId="169" fontId="7" fillId="3" borderId="16" xfId="45" applyNumberFormat="1" applyFont="1" applyFill="1" applyBorder="1" applyAlignment="1">
      <alignment vertical="center"/>
    </xf>
    <xf numFmtId="169" fontId="7" fillId="14" borderId="0" xfId="45" applyNumberFormat="1" applyFont="1" applyFill="1" applyBorder="1" applyAlignment="1">
      <alignment vertical="center"/>
    </xf>
    <xf numFmtId="43" fontId="10" fillId="4" borderId="1" xfId="65" applyFont="1" applyFill="1" applyBorder="1" applyAlignment="1">
      <alignment vertical="center"/>
    </xf>
    <xf numFmtId="169" fontId="10" fillId="4" borderId="1" xfId="45" applyNumberFormat="1" applyFont="1" applyFill="1" applyBorder="1" applyAlignment="1">
      <alignment vertical="center"/>
    </xf>
    <xf numFmtId="43" fontId="18" fillId="4" borderId="1" xfId="65" applyFont="1" applyFill="1" applyBorder="1" applyAlignment="1">
      <alignment vertical="center"/>
    </xf>
    <xf numFmtId="169" fontId="9" fillId="11" borderId="1" xfId="45" applyNumberFormat="1" applyFont="1" applyFill="1" applyBorder="1" applyAlignment="1">
      <alignment vertical="center"/>
    </xf>
    <xf numFmtId="43" fontId="17" fillId="10" borderId="1" xfId="65" applyFont="1" applyFill="1" applyBorder="1" applyAlignment="1">
      <alignment horizontal="center" vertical="center"/>
    </xf>
    <xf numFmtId="170" fontId="17" fillId="10" borderId="1" xfId="65" applyNumberFormat="1" applyFont="1" applyFill="1" applyBorder="1" applyAlignment="1">
      <alignment horizontal="center" vertical="center"/>
    </xf>
    <xf numFmtId="170" fontId="17" fillId="6" borderId="1" xfId="65" applyNumberFormat="1" applyFont="1" applyFill="1" applyBorder="1" applyAlignment="1">
      <alignment horizontal="center" vertical="center"/>
    </xf>
    <xf numFmtId="43" fontId="17" fillId="6" borderId="1" xfId="65" applyFont="1" applyFill="1" applyBorder="1" applyAlignment="1">
      <alignment horizontal="center" vertical="center"/>
    </xf>
    <xf numFmtId="43" fontId="10" fillId="4" borderId="2" xfId="65" applyFont="1" applyFill="1" applyBorder="1" applyAlignment="1">
      <alignment vertical="center"/>
    </xf>
    <xf numFmtId="169" fontId="0" fillId="3" borderId="2" xfId="45" applyNumberFormat="1" applyFont="1" applyFill="1" applyBorder="1" applyAlignment="1">
      <alignment vertical="center"/>
    </xf>
    <xf numFmtId="169" fontId="9" fillId="9" borderId="1" xfId="45" applyNumberFormat="1" applyFont="1" applyFill="1" applyBorder="1" applyAlignment="1">
      <alignment vertical="center"/>
    </xf>
    <xf numFmtId="164" fontId="10" fillId="4" borderId="1" xfId="65" applyNumberFormat="1" applyFont="1" applyFill="1" applyBorder="1" applyAlignment="1">
      <alignment vertical="center"/>
    </xf>
    <xf numFmtId="169" fontId="10" fillId="4" borderId="2" xfId="45" applyNumberFormat="1" applyFont="1" applyFill="1" applyBorder="1" applyAlignment="1">
      <alignment vertical="center"/>
    </xf>
    <xf numFmtId="43" fontId="10" fillId="4" borderId="0" xfId="65" applyFont="1" applyFill="1" applyBorder="1" applyAlignment="1">
      <alignment vertical="center"/>
    </xf>
    <xf numFmtId="169" fontId="10" fillId="4" borderId="0" xfId="45" applyNumberFormat="1" applyFont="1" applyFill="1" applyBorder="1" applyAlignment="1">
      <alignment vertical="center"/>
    </xf>
    <xf numFmtId="43" fontId="44" fillId="0" borderId="0" xfId="65" applyFont="1" applyFill="1" applyBorder="1" applyAlignment="1"/>
    <xf numFmtId="43" fontId="46" fillId="0" borderId="0" xfId="65" applyFont="1"/>
    <xf numFmtId="169" fontId="1" fillId="3" borderId="1" xfId="45" applyNumberFormat="1" applyFont="1" applyFill="1" applyBorder="1" applyAlignment="1">
      <alignment vertical="center"/>
    </xf>
    <xf numFmtId="169" fontId="1" fillId="3" borderId="10" xfId="45" applyNumberFormat="1" applyFont="1" applyFill="1" applyBorder="1" applyAlignment="1">
      <alignment vertical="center"/>
    </xf>
    <xf numFmtId="169" fontId="0" fillId="0" borderId="1" xfId="45" applyNumberFormat="1" applyFont="1" applyFill="1" applyBorder="1" applyAlignment="1">
      <alignment vertical="center"/>
    </xf>
    <xf numFmtId="43" fontId="10" fillId="0" borderId="1" xfId="65" applyFont="1" applyFill="1" applyBorder="1" applyAlignment="1">
      <alignment vertical="center"/>
    </xf>
    <xf numFmtId="169" fontId="10" fillId="0" borderId="1" xfId="45" applyNumberFormat="1" applyFont="1" applyFill="1" applyBorder="1" applyAlignment="1">
      <alignment vertical="center"/>
    </xf>
    <xf numFmtId="43" fontId="17" fillId="6" borderId="10" xfId="65" applyFont="1" applyFill="1" applyBorder="1" applyAlignment="1">
      <alignment horizontal="center" vertical="center"/>
    </xf>
    <xf numFmtId="44" fontId="0" fillId="0" borderId="1" xfId="45" applyFont="1" applyBorder="1" applyAlignment="1">
      <alignment vertical="center"/>
    </xf>
    <xf numFmtId="175" fontId="0" fillId="0" borderId="1" xfId="45" applyNumberFormat="1" applyFont="1" applyBorder="1" applyAlignment="1">
      <alignment vertical="center"/>
    </xf>
    <xf numFmtId="0" fontId="48" fillId="0" borderId="0" xfId="0" applyFont="1"/>
    <xf numFmtId="9" fontId="4" fillId="0" borderId="0" xfId="0" applyNumberFormat="1" applyFont="1"/>
    <xf numFmtId="0" fontId="49" fillId="0" borderId="0" xfId="0" applyFont="1"/>
    <xf numFmtId="0" fontId="23" fillId="0" borderId="0" xfId="0" applyFont="1" applyAlignment="1">
      <alignment vertical="center"/>
    </xf>
    <xf numFmtId="0" fontId="48" fillId="16" borderId="0" xfId="0" applyFont="1" applyFill="1"/>
    <xf numFmtId="166" fontId="17" fillId="6" borderId="1" xfId="1" applyFont="1" applyFill="1" applyBorder="1" applyAlignment="1">
      <alignment horizontal="left" vertical="center"/>
    </xf>
    <xf numFmtId="10" fontId="0" fillId="0" borderId="1" xfId="0" applyNumberFormat="1" applyBorder="1" applyAlignment="1">
      <alignment vertical="center"/>
    </xf>
    <xf numFmtId="10" fontId="6" fillId="3" borderId="1" xfId="3" applyNumberFormat="1" applyFont="1" applyFill="1" applyBorder="1" applyAlignment="1">
      <alignment horizontal="center" vertical="center"/>
    </xf>
    <xf numFmtId="0" fontId="50" fillId="18" borderId="22" xfId="0" applyFont="1" applyFill="1" applyBorder="1"/>
    <xf numFmtId="0" fontId="48" fillId="18" borderId="0" xfId="0" applyFont="1" applyFill="1"/>
    <xf numFmtId="0" fontId="32" fillId="0" borderId="0" xfId="0" applyFont="1"/>
    <xf numFmtId="0" fontId="50" fillId="18" borderId="23" xfId="0" applyFont="1" applyFill="1" applyBorder="1"/>
    <xf numFmtId="0" fontId="51" fillId="0" borderId="24" xfId="0" applyFont="1" applyBorder="1"/>
    <xf numFmtId="0" fontId="52" fillId="19" borderId="25" xfId="0" applyFont="1" applyFill="1" applyBorder="1"/>
    <xf numFmtId="3" fontId="51" fillId="18" borderId="26" xfId="0" applyNumberFormat="1" applyFont="1" applyFill="1" applyBorder="1"/>
    <xf numFmtId="0" fontId="53" fillId="20" borderId="27" xfId="0" applyFont="1" applyFill="1" applyBorder="1"/>
    <xf numFmtId="3" fontId="53" fillId="20" borderId="27" xfId="0" applyNumberFormat="1" applyFont="1" applyFill="1" applyBorder="1"/>
    <xf numFmtId="0" fontId="51" fillId="0" borderId="0" xfId="0" applyFont="1"/>
    <xf numFmtId="0" fontId="53" fillId="20" borderId="28" xfId="0" applyFont="1" applyFill="1" applyBorder="1"/>
    <xf numFmtId="3" fontId="53" fillId="20" borderId="28" xfId="0" applyNumberFormat="1" applyFont="1" applyFill="1" applyBorder="1"/>
    <xf numFmtId="3" fontId="51" fillId="0" borderId="0" xfId="0" applyNumberFormat="1" applyFont="1"/>
    <xf numFmtId="0" fontId="53" fillId="20" borderId="24" xfId="0" applyFont="1" applyFill="1" applyBorder="1"/>
    <xf numFmtId="3" fontId="54" fillId="19" borderId="29" xfId="0" applyNumberFormat="1" applyFont="1" applyFill="1" applyBorder="1"/>
    <xf numFmtId="0" fontId="53" fillId="20" borderId="26" xfId="0" applyFont="1" applyFill="1" applyBorder="1"/>
    <xf numFmtId="3" fontId="55" fillId="19" borderId="29" xfId="0" applyNumberFormat="1" applyFont="1" applyFill="1" applyBorder="1"/>
    <xf numFmtId="175" fontId="0" fillId="0" borderId="1" xfId="0" applyNumberFormat="1" applyBorder="1"/>
    <xf numFmtId="43" fontId="15" fillId="16" borderId="1" xfId="3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165" fontId="0" fillId="0" borderId="1" xfId="2" applyFont="1" applyFill="1" applyBorder="1"/>
    <xf numFmtId="10" fontId="0" fillId="0" borderId="1" xfId="3" applyNumberFormat="1" applyFont="1" applyFill="1" applyBorder="1"/>
    <xf numFmtId="178" fontId="0" fillId="0" borderId="1" xfId="0" applyNumberFormat="1" applyBorder="1"/>
    <xf numFmtId="170" fontId="0" fillId="0" borderId="1" xfId="0" applyNumberFormat="1" applyBorder="1"/>
    <xf numFmtId="43" fontId="0" fillId="0" borderId="1" xfId="0" applyNumberFormat="1" applyBorder="1"/>
    <xf numFmtId="169" fontId="19" fillId="0" borderId="1" xfId="0" applyNumberFormat="1" applyFont="1" applyBorder="1"/>
    <xf numFmtId="0" fontId="19" fillId="0" borderId="1" xfId="0" applyFont="1" applyBorder="1"/>
    <xf numFmtId="9" fontId="0" fillId="0" borderId="1" xfId="3" applyFont="1" applyFill="1" applyBorder="1"/>
    <xf numFmtId="169" fontId="0" fillId="16" borderId="1" xfId="0" applyNumberFormat="1" applyFill="1" applyBorder="1"/>
    <xf numFmtId="169" fontId="0" fillId="21" borderId="1" xfId="0" applyNumberFormat="1" applyFill="1" applyBorder="1"/>
    <xf numFmtId="166" fontId="10" fillId="16" borderId="1" xfId="1" applyFont="1" applyFill="1" applyBorder="1" applyAlignment="1">
      <alignment vertical="center"/>
    </xf>
    <xf numFmtId="179" fontId="0" fillId="0" borderId="1" xfId="0" applyNumberFormat="1" applyBorder="1"/>
    <xf numFmtId="10" fontId="0" fillId="0" borderId="1" xfId="0" applyNumberFormat="1" applyBorder="1"/>
    <xf numFmtId="0" fontId="30" fillId="7" borderId="16" xfId="0" applyFont="1" applyFill="1" applyBorder="1" applyAlignment="1">
      <alignment horizontal="center" vertical="center" wrapText="1"/>
    </xf>
    <xf numFmtId="0" fontId="30" fillId="7" borderId="15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168" fontId="30" fillId="13" borderId="16" xfId="0" applyNumberFormat="1" applyFont="1" applyFill="1" applyBorder="1" applyAlignment="1">
      <alignment horizontal="center" vertical="center"/>
    </xf>
    <xf numFmtId="168" fontId="30" fillId="13" borderId="15" xfId="0" applyNumberFormat="1" applyFont="1" applyFill="1" applyBorder="1" applyAlignment="1">
      <alignment horizontal="center" vertical="center"/>
    </xf>
    <xf numFmtId="168" fontId="30" fillId="13" borderId="2" xfId="0" applyNumberFormat="1" applyFont="1" applyFill="1" applyBorder="1" applyAlignment="1">
      <alignment horizontal="center" vertical="center"/>
    </xf>
    <xf numFmtId="10" fontId="37" fillId="0" borderId="0" xfId="3" applyNumberFormat="1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10" fontId="37" fillId="0" borderId="0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8" fillId="14" borderId="0" xfId="0" applyFont="1" applyFill="1" applyAlignment="1">
      <alignment horizontal="center"/>
    </xf>
  </cellXfs>
  <cellStyles count="69">
    <cellStyle name="Euro" xfId="4" xr:uid="{00000000-0005-0000-0000-000001000000}"/>
    <cellStyle name="Millares" xfId="1" builtinId="3"/>
    <cellStyle name="Millares 11 2 4" xfId="5" xr:uid="{00000000-0005-0000-0000-000004000000}"/>
    <cellStyle name="Millares 11 2 4 2" xfId="6" xr:uid="{00000000-0005-0000-0000-000005000000}"/>
    <cellStyle name="Millares 12 3" xfId="7" xr:uid="{00000000-0005-0000-0000-000006000000}"/>
    <cellStyle name="Millares 12 3 2" xfId="8" xr:uid="{00000000-0005-0000-0000-000007000000}"/>
    <cellStyle name="Millares 12 3 3" xfId="9" xr:uid="{00000000-0005-0000-0000-000008000000}"/>
    <cellStyle name="Millares 2" xfId="10" xr:uid="{00000000-0005-0000-0000-000009000000}"/>
    <cellStyle name="Millares 2 2" xfId="11" xr:uid="{00000000-0005-0000-0000-00000A000000}"/>
    <cellStyle name="Millares 2 3" xfId="12" xr:uid="{00000000-0005-0000-0000-00000B000000}"/>
    <cellStyle name="Millares 2 4" xfId="66" xr:uid="{00000000-0005-0000-0000-00000C000000}"/>
    <cellStyle name="Millares 20" xfId="47" xr:uid="{00000000-0005-0000-0000-00000D000000}"/>
    <cellStyle name="Millares 3" xfId="13" xr:uid="{00000000-0005-0000-0000-00000E000000}"/>
    <cellStyle name="Millares 3 2" xfId="43" xr:uid="{00000000-0005-0000-0000-00000F000000}"/>
    <cellStyle name="Millares 4" xfId="14" xr:uid="{00000000-0005-0000-0000-000010000000}"/>
    <cellStyle name="Millares 5" xfId="65" xr:uid="{00000000-0005-0000-0000-000011000000}"/>
    <cellStyle name="Moneda" xfId="2" builtinId="4"/>
    <cellStyle name="Moneda 2" xfId="15" xr:uid="{00000000-0005-0000-0000-000013000000}"/>
    <cellStyle name="Moneda 2 2" xfId="16" xr:uid="{00000000-0005-0000-0000-000014000000}"/>
    <cellStyle name="Moneda 2 3" xfId="17" xr:uid="{00000000-0005-0000-0000-000015000000}"/>
    <cellStyle name="Moneda 3" xfId="18" xr:uid="{00000000-0005-0000-0000-000016000000}"/>
    <cellStyle name="Moneda 3 2" xfId="44" xr:uid="{00000000-0005-0000-0000-000017000000}"/>
    <cellStyle name="Moneda 4" xfId="19" xr:uid="{00000000-0005-0000-0000-000018000000}"/>
    <cellStyle name="Moneda 5" xfId="20" xr:uid="{00000000-0005-0000-0000-000019000000}"/>
    <cellStyle name="Moneda 6" xfId="45" xr:uid="{00000000-0005-0000-0000-00001A000000}"/>
    <cellStyle name="Neutral" xfId="68" builtinId="28"/>
    <cellStyle name="Normal" xfId="0" builtinId="0"/>
    <cellStyle name="Normal - Style1" xfId="21" xr:uid="{00000000-0005-0000-0000-00001D000000}"/>
    <cellStyle name="Normal 10" xfId="22" xr:uid="{00000000-0005-0000-0000-00001E000000}"/>
    <cellStyle name="Normal 11" xfId="23" xr:uid="{00000000-0005-0000-0000-00001F000000}"/>
    <cellStyle name="Normal 12" xfId="48" xr:uid="{00000000-0005-0000-0000-000020000000}"/>
    <cellStyle name="Normal 15" xfId="50" xr:uid="{00000000-0005-0000-0000-000021000000}"/>
    <cellStyle name="Normal 16 2" xfId="24" xr:uid="{00000000-0005-0000-0000-000022000000}"/>
    <cellStyle name="Normal 17" xfId="55" xr:uid="{00000000-0005-0000-0000-000023000000}"/>
    <cellStyle name="Normal 19" xfId="59" xr:uid="{00000000-0005-0000-0000-000024000000}"/>
    <cellStyle name="Normal 2" xfId="25" xr:uid="{00000000-0005-0000-0000-000025000000}"/>
    <cellStyle name="Normal 2 2" xfId="26" xr:uid="{00000000-0005-0000-0000-000026000000}"/>
    <cellStyle name="Normal 21" xfId="61" xr:uid="{00000000-0005-0000-0000-000027000000}"/>
    <cellStyle name="Normal 23" xfId="62" xr:uid="{00000000-0005-0000-0000-000028000000}"/>
    <cellStyle name="Normal 25" xfId="54" xr:uid="{00000000-0005-0000-0000-000029000000}"/>
    <cellStyle name="Normal 27" xfId="60" xr:uid="{00000000-0005-0000-0000-00002A000000}"/>
    <cellStyle name="Normal 28 2" xfId="46" xr:uid="{00000000-0005-0000-0000-00002B000000}"/>
    <cellStyle name="Normal 29" xfId="64" xr:uid="{00000000-0005-0000-0000-00002C000000}"/>
    <cellStyle name="Normal 3" xfId="27" xr:uid="{00000000-0005-0000-0000-00002D000000}"/>
    <cellStyle name="Normal 3 2" xfId="40" xr:uid="{00000000-0005-0000-0000-00002E000000}"/>
    <cellStyle name="Normal 31" xfId="57" xr:uid="{00000000-0005-0000-0000-00002F000000}"/>
    <cellStyle name="Normal 33" xfId="58" xr:uid="{00000000-0005-0000-0000-000030000000}"/>
    <cellStyle name="Normal 36" xfId="56" xr:uid="{00000000-0005-0000-0000-000031000000}"/>
    <cellStyle name="Normal 38" xfId="53" xr:uid="{00000000-0005-0000-0000-000032000000}"/>
    <cellStyle name="Normal 4" xfId="28" xr:uid="{00000000-0005-0000-0000-000033000000}"/>
    <cellStyle name="Normal 4 2" xfId="41" xr:uid="{00000000-0005-0000-0000-000034000000}"/>
    <cellStyle name="Normal 4 2 2" xfId="67" xr:uid="{00000000-0005-0000-0000-000035000000}"/>
    <cellStyle name="Normal 40" xfId="52" xr:uid="{00000000-0005-0000-0000-000036000000}"/>
    <cellStyle name="Normal 42" xfId="49" xr:uid="{00000000-0005-0000-0000-000037000000}"/>
    <cellStyle name="Normal 44" xfId="51" xr:uid="{00000000-0005-0000-0000-000038000000}"/>
    <cellStyle name="Normal 46" xfId="63" xr:uid="{00000000-0005-0000-0000-000039000000}"/>
    <cellStyle name="Normal 48" xfId="29" xr:uid="{00000000-0005-0000-0000-00003A000000}"/>
    <cellStyle name="Normal 5" xfId="30" xr:uid="{00000000-0005-0000-0000-00003B000000}"/>
    <cellStyle name="Normal 5 2" xfId="42" xr:uid="{00000000-0005-0000-0000-00003C000000}"/>
    <cellStyle name="Normal 6" xfId="31" xr:uid="{00000000-0005-0000-0000-00003D000000}"/>
    <cellStyle name="Normal 7" xfId="32" xr:uid="{00000000-0005-0000-0000-00003E000000}"/>
    <cellStyle name="Normal 8" xfId="33" xr:uid="{00000000-0005-0000-0000-00003F000000}"/>
    <cellStyle name="Normal 9" xfId="34" xr:uid="{00000000-0005-0000-0000-000040000000}"/>
    <cellStyle name="Porcentaje" xfId="3" builtinId="5"/>
    <cellStyle name="Porcentaje 2" xfId="35" xr:uid="{00000000-0005-0000-0000-000042000000}"/>
    <cellStyle name="Porcentaje 2 2" xfId="36" xr:uid="{00000000-0005-0000-0000-000043000000}"/>
    <cellStyle name="Porcentaje 2 3" xfId="37" xr:uid="{00000000-0005-0000-0000-000044000000}"/>
    <cellStyle name="Porcentaje 5" xfId="38" xr:uid="{00000000-0005-0000-0000-000045000000}"/>
    <cellStyle name="Standard_NEGS" xfId="39" xr:uid="{00000000-0005-0000-0000-000046000000}"/>
  </cellStyles>
  <dxfs count="4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personal/veronicaolvera_totalgasgroup_onmicrosoft_com/Documents/Presupuesto%202025/DGA/Presupuesto%20Anual%202025%20DGA.xlsx" TargetMode="External"/><Relationship Id="rId2" Type="http://schemas.openxmlformats.org/officeDocument/2006/relationships/externalLinkPath" Target="https://totalgasgroup-my.sharepoint.com/personal/veronicaolvera_totalgasgroup_onmicrosoft_com/Documents/Presupuesto%202025/DGA/Presupuesto%20Anual%202025%20DGA.xlsx" TargetMode="External"/><Relationship Id="rId1" Type="http://schemas.openxmlformats.org/officeDocument/2006/relationships/externalLinkPath" Target="/personal/veronicaolvera_totalgasgroup_onmicrosoft_com/Documents/Presupuesto%202025/DGA/Presupuesto%20Anual%202025%20DG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Abastos/Parametros%20Margen%20por%20Litro.xlsx" TargetMode="External"/><Relationship Id="rId1" Type="http://schemas.openxmlformats.org/officeDocument/2006/relationships/externalLinkPath" Target="Abastos/Parametros%20Margen%20por%20Litr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Contabilidad/Honorarios.xlsx" TargetMode="External"/><Relationship Id="rId1" Type="http://schemas.openxmlformats.org/officeDocument/2006/relationships/externalLinkPath" Target="Contabilidad/Honorari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Mantenimiento%20y%20Operaciones/Ventas.xlsx" TargetMode="External"/><Relationship Id="rId1" Type="http://schemas.openxmlformats.org/officeDocument/2006/relationships/externalLinkPath" Target="Mantenimiento%20y%20Operaciones/Venta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Ingresos/E_TRASLADOVALORES25%20(1).xlsx" TargetMode="External"/><Relationship Id="rId1" Type="http://schemas.openxmlformats.org/officeDocument/2006/relationships/externalLinkPath" Target="Ingresos/E_TRASLADOVALORES25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Auditoria/Gastos%20Auditoria%20Operaciones.xlsx" TargetMode="External"/><Relationship Id="rId1" Type="http://schemas.openxmlformats.org/officeDocument/2006/relationships/externalLinkPath" Target="Auditoria/Gastos%20Auditoria%20Operacione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Mantenimiento%20y%20Operaciones/Otros%20Gastos%20Operaciones.xlsx" TargetMode="External"/><Relationship Id="rId1" Type="http://schemas.microsoft.com/office/2019/04/relationships/externalLinkLongPath" Target="Mantenimiento%20y%20Operaciones/Otros%20Gastos%20Operacione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Administracion/Gastos%20Admin%20Operaciones.xlsx" TargetMode="External"/><Relationship Id="rId1" Type="http://schemas.openxmlformats.org/officeDocument/2006/relationships/externalLinkPath" Target="Administracion/Gastos%20Admin%20Operacion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Mantenimiento%20y%20Operaciones/Operaciones-Mantenimiento%20Varios.xlsx" TargetMode="External"/><Relationship Id="rId1" Type="http://schemas.microsoft.com/office/2019/04/relationships/externalLinkLongPath" Target="Mantenimiento%20y%20Operaciones/Operaciones-Mantenimiento%20Vario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Mkt/Propaganda%20y%20Publicidad.xlsx" TargetMode="External"/><Relationship Id="rId1" Type="http://schemas.openxmlformats.org/officeDocument/2006/relationships/externalLinkPath" Target="Mkt/Propaganda%20y%20Publicida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Capital%20Humano/Capacitacion%20Operaciones.xlsx" TargetMode="External"/><Relationship Id="rId1" Type="http://schemas.openxmlformats.org/officeDocument/2006/relationships/externalLinkPath" Target="Capital%20Humano/Capacitacion%20Operacion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Sistemas/Licencias,%20Software,%20Antivirus.xlsx" TargetMode="External"/><Relationship Id="rId1" Type="http://schemas.openxmlformats.org/officeDocument/2006/relationships/externalLinkPath" Target="Sistemas/Licencias,%20Software,%20Antiviru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Sistemas/Renta%20Equipos%20(Impresoras).xlsx" TargetMode="External"/><Relationship Id="rId1" Type="http://schemas.openxmlformats.org/officeDocument/2006/relationships/externalLinkPath" Target="Sistemas/Renta%20Equipos%20(Impresoras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Administracion/Timbrado%20de%20Facturas.xlsx" TargetMode="External"/><Relationship Id="rId1" Type="http://schemas.openxmlformats.org/officeDocument/2006/relationships/externalLinkPath" Target="Administracion/Timbrado%20de%20Factura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Capital%20Humano/Uniformes.xlsx" TargetMode="External"/><Relationship Id="rId1" Type="http://schemas.openxmlformats.org/officeDocument/2006/relationships/externalLinkPath" Target="Capital%20Humano/Uniforme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Capital%20Humano/Contratacion%20Empleados.xlsx" TargetMode="External"/><Relationship Id="rId1" Type="http://schemas.openxmlformats.org/officeDocument/2006/relationships/externalLinkPath" Target="Capital%20Humano/Contratacion%20Empleado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Administracion/Seguros%20y%20Fianzas.xlsx" TargetMode="External"/><Relationship Id="rId1" Type="http://schemas.openxmlformats.org/officeDocument/2006/relationships/externalLinkPath" Target="Administracion/Seguros%20y%20Fianza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Capital%20Humano/Eventos%20Operaciones.xlsx" TargetMode="External"/><Relationship Id="rId1" Type="http://schemas.openxmlformats.org/officeDocument/2006/relationships/externalLinkPath" Target="Capital%20Humano/Eventos%20Operacione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Nominas/PPTO%20NOMINA%20Y%20COSTO%20SOCIAL%20SMA.xlsx" TargetMode="External"/><Relationship Id="rId1" Type="http://schemas.openxmlformats.org/officeDocument/2006/relationships/externalLinkPath" Target="Nominas/PPTO%20NOMINA%20Y%20COSTO%20SOCIAL%20SMA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Sistemas/Mantenimiento%20Equipo%20de%20Computo.xlsx" TargetMode="External"/><Relationship Id="rId1" Type="http://schemas.openxmlformats.org/officeDocument/2006/relationships/externalLinkPath" Target="Sistemas/Mantenimiento%20Equipo%20de%20Computo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Administracion/Arrendamientos.xlsx" TargetMode="External"/><Relationship Id="rId1" Type="http://schemas.openxmlformats.org/officeDocument/2006/relationships/externalLinkPath" Target="Administracion/Arrendamiento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SMA/Sistemas/Telefono%20e%20Internet.xlsx" TargetMode="External"/><Relationship Id="rId1" Type="http://schemas.openxmlformats.org/officeDocument/2006/relationships/externalLinkPath" Target="Sistemas/Telefono%20e%20Intern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SLFGVNNAL66BGL5N3GANH7HKEC">
      <xxl21:absoluteUrl r:id="rId2"/>
      <xxl21:relativeUrl r:id="rId3"/>
    </xxl21:alternateUrls>
    <sheetNames>
      <sheetName val="Parametros JRZ"/>
      <sheetName val="Parametros AGS"/>
      <sheetName val="Parametros PAR"/>
      <sheetName val="Parametros DEL"/>
      <sheetName val="Parametros VILLA"/>
      <sheetName val="Parametros PRAXEDIS"/>
      <sheetName val="Parametros SMA"/>
      <sheetName val="EDO RESULTADOS MISMAS EST"/>
      <sheetName val="S"/>
      <sheetName val="ADMINISTRATIVO-FINANZAS"/>
      <sheetName val="CONTABILIDAD-FISCAL"/>
      <sheetName val="INGRESOS"/>
      <sheetName val="SISTEMAS"/>
      <sheetName val="1G"/>
      <sheetName val="MANTENIMIENTO-OPERACIONES"/>
      <sheetName val="COMERCIAL-MKT"/>
      <sheetName val="CAPITAL HUMANO"/>
      <sheetName val="PROYECTOS"/>
      <sheetName val="DIRECCION"/>
      <sheetName val="LOGISTICA"/>
      <sheetName val="Z"/>
      <sheetName val="EXPANSION"/>
      <sheetName val="AUDITORIA CORP"/>
      <sheetName val="CORP"/>
      <sheetName val="Y"/>
      <sheetName val="EDO RESULTADOS COMP 24-25"/>
      <sheetName val="EDO RESULTADOS COMP SIN TSA XZ"/>
      <sheetName val="EDO RESULTADOS COMP SIN TSA"/>
      <sheetName val="EDO RESULTADOS COMPARATIVO"/>
      <sheetName val="EDO RESULTADOS TOTAL EST"/>
      <sheetName val="TOTAL ESTACIONES"/>
      <sheetName val="A"/>
      <sheetName val="Lerdo"/>
      <sheetName val="Lopez Mateos"/>
      <sheetName val="Tecnologico"/>
      <sheetName val="Gemela Chica"/>
      <sheetName val="Gemela Grande"/>
      <sheetName val="M libre"/>
      <sheetName val="Aztecas"/>
      <sheetName val="Misiones"/>
      <sheetName val="P Palos"/>
      <sheetName val="M Madrid"/>
      <sheetName val="Permuta"/>
      <sheetName val="Electrolux"/>
      <sheetName val="Aeronautica"/>
      <sheetName val="Anapra"/>
      <sheetName val="H Escobar"/>
      <sheetName val="Custodia"/>
      <sheetName val="Plutarco"/>
      <sheetName val="Parral"/>
      <sheetName val="Ahumada"/>
      <sheetName val="Delicias"/>
      <sheetName val="Castaño"/>
      <sheetName val="Aguascalientes"/>
      <sheetName val="Travel Center"/>
      <sheetName val="B"/>
      <sheetName val="Praxedis"/>
      <sheetName val="ANOTACIONES"/>
      <sheetName val="ER ACUMUL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82"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</row>
        <row r="244"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PFUXZ56PNE5GIYP4EWRUE5VHF">
      <xxl21:absoluteUrl r:id="rId2"/>
    </xxl21:alternateUrls>
    <sheetNames>
      <sheetName val="Parametros SMA"/>
      <sheetName val="Parametros Ags"/>
      <sheetName val="Parametros Villa"/>
    </sheetNames>
    <sheetDataSet>
      <sheetData sheetId="0">
        <row r="2">
          <cell r="B2">
            <v>0</v>
          </cell>
          <cell r="E2">
            <v>0.52247900000000003</v>
          </cell>
        </row>
        <row r="3">
          <cell r="B3">
            <v>0</v>
          </cell>
          <cell r="E3">
            <v>0.63752200000000003</v>
          </cell>
        </row>
        <row r="4">
          <cell r="B4">
            <v>0</v>
          </cell>
          <cell r="E4">
            <v>0.43362600000000001</v>
          </cell>
        </row>
        <row r="6">
          <cell r="A6" t="str">
            <v>Precio final al 04 de sep 2024</v>
          </cell>
        </row>
        <row r="7">
          <cell r="B7">
            <v>24.33</v>
          </cell>
        </row>
        <row r="8">
          <cell r="B8">
            <v>26.69</v>
          </cell>
        </row>
        <row r="9">
          <cell r="B9">
            <v>25.69</v>
          </cell>
        </row>
        <row r="12">
          <cell r="B12">
            <v>5.0000000000000001E-3</v>
          </cell>
          <cell r="C12">
            <v>5.0000000000000001E-3</v>
          </cell>
          <cell r="D12">
            <v>5.0000000000000001E-3</v>
          </cell>
          <cell r="E12">
            <v>5.0000000000000001E-3</v>
          </cell>
          <cell r="F12">
            <v>5.0000000000000001E-3</v>
          </cell>
          <cell r="G12">
            <v>5.0000000000000001E-3</v>
          </cell>
          <cell r="H12">
            <v>5.0000000000000001E-3</v>
          </cell>
          <cell r="I12">
            <v>5.0000000000000001E-3</v>
          </cell>
          <cell r="J12">
            <v>5.0000000000000001E-3</v>
          </cell>
          <cell r="K12">
            <v>5.0000000000000001E-3</v>
          </cell>
          <cell r="L12">
            <v>5.0000000000000001E-3</v>
          </cell>
          <cell r="M12">
            <v>5.0000000000000001E-3</v>
          </cell>
        </row>
        <row r="14">
          <cell r="B14">
            <v>20.974137931034484</v>
          </cell>
          <cell r="C14">
            <v>21.079008620689653</v>
          </cell>
          <cell r="D14">
            <v>21.184403663793098</v>
          </cell>
          <cell r="E14">
            <v>21.290325682112062</v>
          </cell>
          <cell r="F14">
            <v>21.396777310522619</v>
          </cell>
          <cell r="G14">
            <v>21.503761197075232</v>
          </cell>
          <cell r="H14">
            <v>21.611280003060607</v>
          </cell>
          <cell r="I14">
            <v>21.719336403075907</v>
          </cell>
          <cell r="J14">
            <v>21.827933085091285</v>
          </cell>
          <cell r="K14">
            <v>21.937072750516737</v>
          </cell>
          <cell r="L14">
            <v>22.04675811426932</v>
          </cell>
          <cell r="M14">
            <v>22.156991904840662</v>
          </cell>
        </row>
        <row r="15">
          <cell r="B15">
            <v>23.008620689655174</v>
          </cell>
          <cell r="C15">
            <v>23.123663793103447</v>
          </cell>
          <cell r="D15">
            <v>23.23928211206896</v>
          </cell>
          <cell r="E15">
            <v>23.355478522629301</v>
          </cell>
          <cell r="F15">
            <v>23.472255915242446</v>
          </cell>
          <cell r="G15">
            <v>23.589617194818654</v>
          </cell>
          <cell r="H15">
            <v>23.707565280792746</v>
          </cell>
          <cell r="I15">
            <v>23.826103107196708</v>
          </cell>
          <cell r="J15">
            <v>23.94523362273269</v>
          </cell>
          <cell r="K15">
            <v>24.064959790846352</v>
          </cell>
          <cell r="L15">
            <v>24.185284589800581</v>
          </cell>
          <cell r="M15">
            <v>24.306211012749582</v>
          </cell>
        </row>
        <row r="16">
          <cell r="B16">
            <v>22.146551724137932</v>
          </cell>
          <cell r="C16">
            <v>22.257284482758621</v>
          </cell>
          <cell r="D16">
            <v>22.368570905172412</v>
          </cell>
          <cell r="E16">
            <v>22.480413759698273</v>
          </cell>
          <cell r="F16">
            <v>22.592815828496761</v>
          </cell>
          <cell r="G16">
            <v>22.705779907639243</v>
          </cell>
          <cell r="H16">
            <v>22.819308807177439</v>
          </cell>
          <cell r="I16">
            <v>22.933405351213324</v>
          </cell>
          <cell r="J16">
            <v>23.048072377969387</v>
          </cell>
          <cell r="K16">
            <v>23.163312739859233</v>
          </cell>
          <cell r="L16">
            <v>23.279129303558527</v>
          </cell>
          <cell r="M16">
            <v>23.395524950076318</v>
          </cell>
        </row>
        <row r="18">
          <cell r="A18" t="str">
            <v>Inflacion</v>
          </cell>
          <cell r="B18">
            <v>7.0000000000000007E-2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</row>
        <row r="25"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</row>
        <row r="28">
          <cell r="B28" t="str">
            <v>Margen por contrato de volumen con PETROTAMPS</v>
          </cell>
        </row>
        <row r="34">
          <cell r="B34" t="str">
            <v>Margen por contrato de volumen con ALLIOTH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</row>
        <row r="38"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</row>
        <row r="40">
          <cell r="B40" t="str">
            <v>Margen por contrato de volumen MGC</v>
          </cell>
        </row>
        <row r="42">
          <cell r="B42"/>
          <cell r="C42">
            <v>1.22</v>
          </cell>
          <cell r="D42">
            <v>0.51</v>
          </cell>
          <cell r="E42">
            <v>0.48</v>
          </cell>
          <cell r="F42">
            <v>1.34</v>
          </cell>
          <cell r="G42">
            <v>1.19</v>
          </cell>
          <cell r="H42">
            <v>1.25</v>
          </cell>
          <cell r="I42">
            <v>1.19</v>
          </cell>
          <cell r="J42"/>
          <cell r="K42"/>
          <cell r="L42"/>
          <cell r="M42"/>
          <cell r="N42">
            <v>1</v>
          </cell>
        </row>
        <row r="43">
          <cell r="B43"/>
          <cell r="C43">
            <v>1.47</v>
          </cell>
          <cell r="D43">
            <v>1.21</v>
          </cell>
          <cell r="E43">
            <v>1.55</v>
          </cell>
          <cell r="F43">
            <v>3.41</v>
          </cell>
          <cell r="G43">
            <v>3.06</v>
          </cell>
          <cell r="H43">
            <v>2.73</v>
          </cell>
          <cell r="I43">
            <v>2.67</v>
          </cell>
          <cell r="J43">
            <v>1</v>
          </cell>
          <cell r="K43"/>
          <cell r="L43"/>
          <cell r="M43"/>
          <cell r="N43">
            <v>1</v>
          </cell>
        </row>
        <row r="44">
          <cell r="B44">
            <v>1.1200000000000001</v>
          </cell>
          <cell r="C44">
            <v>1.18</v>
          </cell>
          <cell r="D44">
            <v>1.44</v>
          </cell>
          <cell r="E44">
            <v>2.34</v>
          </cell>
          <cell r="F44">
            <v>1.43</v>
          </cell>
          <cell r="G44">
            <v>1.56</v>
          </cell>
          <cell r="H44"/>
          <cell r="I44"/>
          <cell r="J44"/>
          <cell r="K44"/>
          <cell r="L44"/>
          <cell r="M44"/>
          <cell r="N44">
            <v>1</v>
          </cell>
        </row>
        <row r="46">
          <cell r="B46" t="str">
            <v>Margen por contrato de volumen OTROS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</row>
        <row r="52">
          <cell r="B52" t="str">
            <v>Margen por contrato de volumen PETRODIESEL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</row>
        <row r="58">
          <cell r="N58">
            <v>1</v>
          </cell>
        </row>
        <row r="59">
          <cell r="B59">
            <v>0</v>
          </cell>
          <cell r="N59">
            <v>1</v>
          </cell>
        </row>
        <row r="60">
          <cell r="B60">
            <v>0</v>
          </cell>
          <cell r="N60">
            <v>1</v>
          </cell>
        </row>
        <row r="61">
          <cell r="B61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0.1</v>
          </cell>
          <cell r="D91">
            <v>0.1</v>
          </cell>
          <cell r="E91">
            <v>0.1</v>
          </cell>
          <cell r="F91">
            <v>0.1</v>
          </cell>
          <cell r="G91">
            <v>0.1</v>
          </cell>
          <cell r="H91">
            <v>0.1</v>
          </cell>
          <cell r="I91">
            <v>0.1</v>
          </cell>
          <cell r="J91">
            <v>0.1</v>
          </cell>
          <cell r="K91">
            <v>0.1</v>
          </cell>
          <cell r="L91">
            <v>0.1</v>
          </cell>
          <cell r="M91">
            <v>0.1</v>
          </cell>
          <cell r="N91">
            <v>0.1</v>
          </cell>
        </row>
        <row r="92">
          <cell r="C92">
            <v>0.14000000000000001</v>
          </cell>
          <cell r="D92">
            <v>0.14000000000000001</v>
          </cell>
          <cell r="E92">
            <v>0.14000000000000001</v>
          </cell>
          <cell r="F92">
            <v>0.14000000000000001</v>
          </cell>
          <cell r="G92">
            <v>0.14000000000000001</v>
          </cell>
          <cell r="H92">
            <v>0.14000000000000001</v>
          </cell>
          <cell r="I92">
            <v>0.14000000000000001</v>
          </cell>
          <cell r="J92">
            <v>0.14000000000000001</v>
          </cell>
          <cell r="K92">
            <v>0.14000000000000001</v>
          </cell>
          <cell r="L92">
            <v>0.14000000000000001</v>
          </cell>
          <cell r="M92">
            <v>0.14000000000000001</v>
          </cell>
          <cell r="N92">
            <v>0.14000000000000001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WYODP64RWH65EYHNTM2DN4MSYB">
      <xxl21:absoluteUrl r:id="rId2"/>
    </xxl21:alternateUrls>
    <sheetNames>
      <sheetName val="Resumen"/>
      <sheetName val="Detalle"/>
      <sheetName val="Evidencias"/>
      <sheetName val="Hoja1"/>
    </sheetNames>
    <sheetDataSet>
      <sheetData sheetId="0">
        <row r="8">
          <cell r="T8" t="str">
            <v>Honorarios Administrativos P.M.</v>
          </cell>
          <cell r="U8">
            <v>51975</v>
          </cell>
          <cell r="V8">
            <v>0</v>
          </cell>
          <cell r="W8">
            <v>0</v>
          </cell>
          <cell r="X8">
            <v>51975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209505.6642</v>
          </cell>
          <cell r="AE8">
            <v>0</v>
          </cell>
          <cell r="AF8">
            <v>0</v>
          </cell>
        </row>
        <row r="9">
          <cell r="T9" t="str">
            <v>Honorarios Administrativos P.F.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</row>
        <row r="10">
          <cell r="T10" t="str">
            <v>Honorarios Legales P.M.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</row>
        <row r="11">
          <cell r="T11" t="str">
            <v>Honorarios Legales P.F.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2">
          <cell r="T12" t="str">
            <v>Honorarios Fiscales P.M.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T13" t="str">
            <v>Honorarios Fiscales P.F.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G2TBPJED2G5HLC7KGWYZ67GUN">
      <xxl21:absoluteUrl r:id="rId2"/>
    </xxl21:alternateUrls>
    <sheetNames>
      <sheetName val="Resumen Ventas"/>
      <sheetName val="Resumen Margen ($)"/>
      <sheetName val="Combustibles (Ltr)"/>
      <sheetName val="Margen Ctvs-Ltr"/>
      <sheetName val="Margen ($)"/>
      <sheetName val="Aceites"/>
      <sheetName val="Resumen x Tipo Combustible"/>
      <sheetName val="Margen"/>
    </sheetNames>
    <sheetDataSet>
      <sheetData sheetId="0"/>
      <sheetData sheetId="1"/>
      <sheetData sheetId="2"/>
      <sheetData sheetId="3">
        <row r="10">
          <cell r="J10" t="str">
            <v>Ene</v>
          </cell>
          <cell r="K10">
            <v>1.91</v>
          </cell>
          <cell r="L10">
            <v>3.2432432432432323E-2</v>
          </cell>
          <cell r="M10">
            <v>3.07</v>
          </cell>
          <cell r="N10">
            <v>0</v>
          </cell>
          <cell r="O10">
            <v>2.1</v>
          </cell>
        </row>
        <row r="11">
          <cell r="J11" t="str">
            <v>Feb</v>
          </cell>
          <cell r="K11">
            <v>1.78</v>
          </cell>
          <cell r="L11">
            <v>-0.19819819819819828</v>
          </cell>
          <cell r="M11">
            <v>2.98</v>
          </cell>
          <cell r="N11">
            <v>-1.6501650165016479E-2</v>
          </cell>
          <cell r="O11">
            <v>2.17</v>
          </cell>
        </row>
        <row r="12">
          <cell r="J12" t="str">
            <v>Mar</v>
          </cell>
          <cell r="K12">
            <v>1.99</v>
          </cell>
          <cell r="L12">
            <v>-8.2949308755760343E-2</v>
          </cell>
          <cell r="M12">
            <v>3.2</v>
          </cell>
          <cell r="N12">
            <v>3.1347962382446415E-3</v>
          </cell>
          <cell r="O12">
            <v>2.23</v>
          </cell>
        </row>
        <row r="13">
          <cell r="J13" t="str">
            <v>Abr</v>
          </cell>
          <cell r="K13">
            <v>1.93</v>
          </cell>
          <cell r="L13">
            <v>-2.0304568527918843E-2</v>
          </cell>
          <cell r="M13">
            <v>3.05</v>
          </cell>
          <cell r="N13">
            <v>-7.854984894259831E-2</v>
          </cell>
          <cell r="O13">
            <v>2.19</v>
          </cell>
          <cell r="W13">
            <v>21.284482758620694</v>
          </cell>
          <cell r="X13">
            <v>21.307895689655179</v>
          </cell>
          <cell r="Y13">
            <v>21.331334374913801</v>
          </cell>
          <cell r="Z13">
            <v>21.354798842726208</v>
          </cell>
          <cell r="AA13">
            <v>21.378289121453207</v>
          </cell>
          <cell r="AB13">
            <v>21.401805239486809</v>
          </cell>
          <cell r="AC13">
            <v>21.425347225250245</v>
          </cell>
          <cell r="AD13">
            <v>21.448915107198022</v>
          </cell>
          <cell r="AE13">
            <v>21.472508913815943</v>
          </cell>
          <cell r="AF13">
            <v>21.496128673621143</v>
          </cell>
          <cell r="AG13">
            <v>21.519774415162129</v>
          </cell>
          <cell r="AH13">
            <v>21.543446167018811</v>
          </cell>
        </row>
        <row r="14">
          <cell r="J14" t="str">
            <v>May</v>
          </cell>
          <cell r="K14">
            <v>1.91</v>
          </cell>
          <cell r="L14">
            <v>-8.6124401913875603E-2</v>
          </cell>
          <cell r="M14">
            <v>3.2</v>
          </cell>
          <cell r="N14">
            <v>-0.13513513513513509</v>
          </cell>
          <cell r="O14">
            <v>1.98</v>
          </cell>
          <cell r="W14">
            <v>23.008620689655174</v>
          </cell>
          <cell r="X14">
            <v>23.033930172413797</v>
          </cell>
          <cell r="Y14">
            <v>23.059267495603454</v>
          </cell>
          <cell r="Z14">
            <v>23.084632689848618</v>
          </cell>
          <cell r="AA14">
            <v>23.110025785807455</v>
          </cell>
          <cell r="AB14">
            <v>23.135446814171846</v>
          </cell>
          <cell r="AC14">
            <v>23.160895805667437</v>
          </cell>
          <cell r="AD14">
            <v>23.186372791053675</v>
          </cell>
          <cell r="AE14">
            <v>23.211877801123837</v>
          </cell>
          <cell r="AF14">
            <v>23.237410866705076</v>
          </cell>
          <cell r="AG14">
            <v>23.262972018658456</v>
          </cell>
          <cell r="AH14">
            <v>23.288561287878981</v>
          </cell>
        </row>
        <row r="15">
          <cell r="J15" t="str">
            <v>Jun</v>
          </cell>
          <cell r="K15">
            <v>1.89</v>
          </cell>
          <cell r="L15">
            <v>-2.5773195876288679E-2</v>
          </cell>
          <cell r="M15">
            <v>2.97</v>
          </cell>
          <cell r="N15">
            <v>-0.15384615384615374</v>
          </cell>
          <cell r="O15">
            <v>2.14</v>
          </cell>
          <cell r="W15">
            <v>22.146551724137932</v>
          </cell>
          <cell r="X15">
            <v>22.170912931034486</v>
          </cell>
          <cell r="Y15">
            <v>22.195300935258626</v>
          </cell>
          <cell r="Z15">
            <v>22.219715766287411</v>
          </cell>
          <cell r="AA15">
            <v>22.244157453630329</v>
          </cell>
          <cell r="AB15">
            <v>22.268626026829324</v>
          </cell>
          <cell r="AC15">
            <v>22.293121515458839</v>
          </cell>
          <cell r="AD15">
            <v>22.317643949125845</v>
          </cell>
          <cell r="AE15">
            <v>22.342193357469885</v>
          </cell>
          <cell r="AF15">
            <v>22.366769770163103</v>
          </cell>
          <cell r="AG15">
            <v>22.391373216910285</v>
          </cell>
          <cell r="AH15">
            <v>22.416003727448889</v>
          </cell>
        </row>
        <row r="16">
          <cell r="J16" t="str">
            <v>Jul</v>
          </cell>
          <cell r="K16">
            <v>1.98</v>
          </cell>
          <cell r="L16">
            <v>3.125E-2</v>
          </cell>
          <cell r="M16">
            <v>3.15</v>
          </cell>
          <cell r="N16">
            <v>0.125</v>
          </cell>
          <cell r="O16">
            <v>2.21</v>
          </cell>
        </row>
        <row r="17">
          <cell r="J17" t="str">
            <v>Ago</v>
          </cell>
          <cell r="K17">
            <v>1.91</v>
          </cell>
          <cell r="L17">
            <v>-1.4654844495865293E-2</v>
          </cell>
          <cell r="M17">
            <v>3.12</v>
          </cell>
          <cell r="N17">
            <v>0.25165586033476117</v>
          </cell>
          <cell r="O17">
            <v>2.0099999999999998</v>
          </cell>
        </row>
        <row r="18">
          <cell r="J18" t="str">
            <v>Sep</v>
          </cell>
          <cell r="K18">
            <v>1.9</v>
          </cell>
          <cell r="L18">
            <v>-5.9405940594059459E-2</v>
          </cell>
          <cell r="M18">
            <v>3.02</v>
          </cell>
          <cell r="N18">
            <v>0.15708812260536398</v>
          </cell>
          <cell r="O18">
            <v>2.16</v>
          </cell>
        </row>
        <row r="19">
          <cell r="J19" t="str">
            <v>Oct</v>
          </cell>
          <cell r="K19">
            <v>1.98</v>
          </cell>
          <cell r="L19">
            <v>8.2065765236617683E-2</v>
          </cell>
          <cell r="M19">
            <v>3.13</v>
          </cell>
          <cell r="N19">
            <v>0.25396992397449103</v>
          </cell>
          <cell r="O19">
            <v>2.15</v>
          </cell>
        </row>
        <row r="20">
          <cell r="J20" t="str">
            <v>Nov</v>
          </cell>
          <cell r="K20">
            <v>1.89</v>
          </cell>
          <cell r="L20">
            <v>9.3931712462522743E-3</v>
          </cell>
          <cell r="M20">
            <v>3.06</v>
          </cell>
          <cell r="N20">
            <v>0.22903625090449897</v>
          </cell>
          <cell r="O20">
            <v>2.0099999999999998</v>
          </cell>
        </row>
        <row r="21">
          <cell r="J21" t="str">
            <v>Dic</v>
          </cell>
          <cell r="K21">
            <v>1.89</v>
          </cell>
          <cell r="L21">
            <v>-1.4462962896398479E-2</v>
          </cell>
          <cell r="M21">
            <v>3.06</v>
          </cell>
          <cell r="N21">
            <v>0.20260110857294533</v>
          </cell>
          <cell r="O21">
            <v>2.0499999999999998</v>
          </cell>
        </row>
        <row r="28">
          <cell r="J28" t="str">
            <v>Ene</v>
          </cell>
          <cell r="K28">
            <v>1.91</v>
          </cell>
          <cell r="L28">
            <v>0.11046511627906974</v>
          </cell>
          <cell r="M28">
            <v>2.97</v>
          </cell>
          <cell r="N28">
            <v>0.15116279069767447</v>
          </cell>
          <cell r="O28"/>
        </row>
        <row r="29">
          <cell r="J29" t="str">
            <v>Feb</v>
          </cell>
          <cell r="K29">
            <v>1.9</v>
          </cell>
          <cell r="L29">
            <v>-7.3170731707317027E-2</v>
          </cell>
          <cell r="M29">
            <v>2.95</v>
          </cell>
          <cell r="N29">
            <v>0.17063492063492069</v>
          </cell>
          <cell r="O29"/>
        </row>
        <row r="30">
          <cell r="J30" t="str">
            <v>Mar</v>
          </cell>
          <cell r="K30">
            <v>1.99</v>
          </cell>
          <cell r="L30">
            <v>9.9447513812154664E-2</v>
          </cell>
          <cell r="M30">
            <v>3.11</v>
          </cell>
          <cell r="N30">
            <v>0.11469534050179209</v>
          </cell>
          <cell r="O30"/>
        </row>
        <row r="31">
          <cell r="J31" t="str">
            <v>Abr</v>
          </cell>
          <cell r="K31">
            <v>1.81</v>
          </cell>
          <cell r="L31">
            <v>-0.17351598173515981</v>
          </cell>
          <cell r="M31">
            <v>2.84</v>
          </cell>
          <cell r="N31">
            <v>0</v>
          </cell>
          <cell r="O31"/>
          <cell r="W31">
            <v>21.284482758620694</v>
          </cell>
          <cell r="X31">
            <v>21.307895689655179</v>
          </cell>
          <cell r="Y31">
            <v>21.331334374913801</v>
          </cell>
          <cell r="Z31">
            <v>21.354798842726208</v>
          </cell>
          <cell r="AA31">
            <v>21.378289121453207</v>
          </cell>
          <cell r="AB31">
            <v>21.401805239486809</v>
          </cell>
          <cell r="AC31">
            <v>21.425347225250245</v>
          </cell>
          <cell r="AD31">
            <v>21.448915107198022</v>
          </cell>
          <cell r="AE31">
            <v>21.472508913815943</v>
          </cell>
          <cell r="AF31">
            <v>21.496128673621143</v>
          </cell>
          <cell r="AG31">
            <v>21.519774415162129</v>
          </cell>
          <cell r="AH31">
            <v>21.543446167018811</v>
          </cell>
        </row>
        <row r="32">
          <cell r="J32" t="str">
            <v>May</v>
          </cell>
          <cell r="K32">
            <v>1.89</v>
          </cell>
          <cell r="L32">
            <v>-4.0609137055837574E-2</v>
          </cell>
          <cell r="M32">
            <v>3.12</v>
          </cell>
          <cell r="N32">
            <v>-0.10344827586206895</v>
          </cell>
          <cell r="O32"/>
          <cell r="W32">
            <v>23.008620689655174</v>
          </cell>
          <cell r="X32">
            <v>23.033930172413797</v>
          </cell>
          <cell r="Y32">
            <v>23.059267495603454</v>
          </cell>
          <cell r="Z32">
            <v>23.084632689848618</v>
          </cell>
          <cell r="AA32">
            <v>23.110025785807455</v>
          </cell>
          <cell r="AB32">
            <v>23.135446814171846</v>
          </cell>
          <cell r="AC32">
            <v>23.160895805667437</v>
          </cell>
          <cell r="AD32">
            <v>23.186372791053675</v>
          </cell>
          <cell r="AE32">
            <v>23.211877801123837</v>
          </cell>
          <cell r="AF32">
            <v>23.237410866705076</v>
          </cell>
          <cell r="AG32">
            <v>23.262972018658456</v>
          </cell>
          <cell r="AH32">
            <v>23.288561287878981</v>
          </cell>
        </row>
        <row r="33">
          <cell r="J33" t="str">
            <v>Jun</v>
          </cell>
          <cell r="K33">
            <v>1.91</v>
          </cell>
          <cell r="L33">
            <v>-2.5510204081632626E-2</v>
          </cell>
          <cell r="M33">
            <v>2.76</v>
          </cell>
          <cell r="N33">
            <v>-0.17611940298507467</v>
          </cell>
          <cell r="O33"/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J34" t="str">
            <v>Jul</v>
          </cell>
          <cell r="K34">
            <v>1.91</v>
          </cell>
          <cell r="L34">
            <v>-3.5353535353535359E-2</v>
          </cell>
          <cell r="M34">
            <v>2.98</v>
          </cell>
          <cell r="N34">
            <v>9.558823529411753E-2</v>
          </cell>
          <cell r="O34"/>
        </row>
        <row r="35">
          <cell r="J35" t="str">
            <v>Ago</v>
          </cell>
          <cell r="K35">
            <v>1.96</v>
          </cell>
          <cell r="L35">
            <v>-2.1868472916005022E-2</v>
          </cell>
          <cell r="M35">
            <v>3.07</v>
          </cell>
          <cell r="N35">
            <v>0.24533270520287775</v>
          </cell>
          <cell r="O35"/>
        </row>
        <row r="36">
          <cell r="J36" t="str">
            <v>Sep</v>
          </cell>
          <cell r="K36">
            <v>1.93</v>
          </cell>
          <cell r="L36">
            <v>-3.5000000000000031E-2</v>
          </cell>
          <cell r="M36">
            <v>3</v>
          </cell>
          <cell r="N36">
            <v>0.15830115830115843</v>
          </cell>
          <cell r="O36"/>
        </row>
        <row r="37">
          <cell r="J37" t="str">
            <v>Oct</v>
          </cell>
          <cell r="K37">
            <v>1.95</v>
          </cell>
          <cell r="L37">
            <v>7.5395297911150738E-2</v>
          </cell>
          <cell r="M37">
            <v>2.98</v>
          </cell>
          <cell r="N37">
            <v>0.24334723253218749</v>
          </cell>
          <cell r="O37"/>
        </row>
        <row r="38">
          <cell r="J38" t="str">
            <v>Nov</v>
          </cell>
          <cell r="K38">
            <v>1.89</v>
          </cell>
          <cell r="L38">
            <v>1.0841166065351571E-2</v>
          </cell>
          <cell r="M38">
            <v>2.96</v>
          </cell>
          <cell r="N38">
            <v>0.20581493138072138</v>
          </cell>
          <cell r="O38"/>
        </row>
        <row r="39">
          <cell r="J39" t="str">
            <v>Dic</v>
          </cell>
          <cell r="K39">
            <v>1.89</v>
          </cell>
          <cell r="L39">
            <v>-9.3493225500445032E-3</v>
          </cell>
          <cell r="M39">
            <v>2.95</v>
          </cell>
          <cell r="N39">
            <v>0.16495466618331123</v>
          </cell>
          <cell r="O39"/>
        </row>
      </sheetData>
      <sheetData sheetId="4"/>
      <sheetData sheetId="5"/>
      <sheetData sheetId="6">
        <row r="4">
          <cell r="C4" t="str">
            <v>Picachos</v>
          </cell>
          <cell r="D4">
            <v>483836.66666666669</v>
          </cell>
          <cell r="E4">
            <v>430192.66666666669</v>
          </cell>
          <cell r="F4">
            <v>472097.66666666698</v>
          </cell>
          <cell r="G4">
            <v>481098.66666666669</v>
          </cell>
          <cell r="H4">
            <v>485007.66666666669</v>
          </cell>
          <cell r="I4">
            <v>483483.66666666698</v>
          </cell>
          <cell r="J4">
            <v>515427.66666666669</v>
          </cell>
          <cell r="K4">
            <v>519434.66666666669</v>
          </cell>
          <cell r="L4">
            <v>515280.66666666669</v>
          </cell>
          <cell r="M4">
            <v>554353.66666666663</v>
          </cell>
          <cell r="N4">
            <v>546571.66666666663</v>
          </cell>
          <cell r="O4">
            <v>538091.66666666663</v>
          </cell>
        </row>
        <row r="5">
          <cell r="C5" t="str">
            <v>Ventanas</v>
          </cell>
          <cell r="D5">
            <v>459069</v>
          </cell>
          <cell r="E5">
            <v>455814</v>
          </cell>
          <cell r="F5">
            <v>498145</v>
          </cell>
          <cell r="G5">
            <v>454787</v>
          </cell>
          <cell r="H5">
            <v>449165</v>
          </cell>
          <cell r="I5">
            <v>450434</v>
          </cell>
          <cell r="J5">
            <v>452708</v>
          </cell>
          <cell r="K5">
            <v>477467</v>
          </cell>
          <cell r="L5">
            <v>487280</v>
          </cell>
          <cell r="M5">
            <v>511481</v>
          </cell>
          <cell r="N5">
            <v>504489</v>
          </cell>
          <cell r="O5">
            <v>496870</v>
          </cell>
        </row>
        <row r="6">
          <cell r="D6">
            <v>942905.66666666674</v>
          </cell>
          <cell r="E6">
            <v>886006.66666666674</v>
          </cell>
          <cell r="F6">
            <v>970242.66666666698</v>
          </cell>
          <cell r="G6">
            <v>935885.66666666674</v>
          </cell>
          <cell r="H6">
            <v>934172.66666666674</v>
          </cell>
          <cell r="I6">
            <v>933917.66666666698</v>
          </cell>
          <cell r="J6">
            <v>968135.66666666674</v>
          </cell>
          <cell r="K6">
            <v>996901.66666666674</v>
          </cell>
          <cell r="L6">
            <v>1002560.6666666667</v>
          </cell>
          <cell r="M6">
            <v>1065834.6666666665</v>
          </cell>
          <cell r="N6">
            <v>1051060.6666666665</v>
          </cell>
          <cell r="O6">
            <v>1034961.6666666666</v>
          </cell>
        </row>
        <row r="8"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</row>
        <row r="9">
          <cell r="C9" t="str">
            <v>Alias</v>
          </cell>
          <cell r="D9" t="str">
            <v>Ene</v>
          </cell>
          <cell r="E9" t="str">
            <v>Feb</v>
          </cell>
          <cell r="F9" t="str">
            <v>Mar</v>
          </cell>
          <cell r="G9" t="str">
            <v>Abr</v>
          </cell>
          <cell r="H9" t="str">
            <v>May</v>
          </cell>
          <cell r="I9" t="str">
            <v>Jun</v>
          </cell>
          <cell r="J9" t="str">
            <v>Jul</v>
          </cell>
          <cell r="K9" t="str">
            <v>Ago</v>
          </cell>
          <cell r="L9" t="str">
            <v>Sep</v>
          </cell>
          <cell r="M9" t="str">
            <v>Oct</v>
          </cell>
          <cell r="N9" t="str">
            <v>Nov</v>
          </cell>
          <cell r="O9" t="str">
            <v>Dic</v>
          </cell>
        </row>
        <row r="10">
          <cell r="C10" t="str">
            <v>Picachos</v>
          </cell>
          <cell r="D10">
            <v>122331</v>
          </cell>
          <cell r="E10">
            <v>112250</v>
          </cell>
          <cell r="F10">
            <v>128034</v>
          </cell>
          <cell r="G10">
            <v>124516</v>
          </cell>
          <cell r="H10">
            <v>142364</v>
          </cell>
          <cell r="I10">
            <v>128987</v>
          </cell>
          <cell r="J10">
            <v>139397</v>
          </cell>
          <cell r="K10">
            <v>146517</v>
          </cell>
          <cell r="L10">
            <v>138922</v>
          </cell>
          <cell r="M10">
            <v>147746</v>
          </cell>
          <cell r="N10">
            <v>145646</v>
          </cell>
          <cell r="O10">
            <v>143358</v>
          </cell>
        </row>
        <row r="11">
          <cell r="C11" t="str">
            <v>Ventanas</v>
          </cell>
          <cell r="D11">
            <v>126321</v>
          </cell>
          <cell r="E11">
            <v>124353</v>
          </cell>
          <cell r="F11">
            <v>144368</v>
          </cell>
          <cell r="G11">
            <v>127815</v>
          </cell>
          <cell r="H11">
            <v>150129</v>
          </cell>
          <cell r="I11">
            <v>124071</v>
          </cell>
          <cell r="J11">
            <v>125259</v>
          </cell>
          <cell r="K11">
            <v>139498</v>
          </cell>
          <cell r="L11">
            <v>143717</v>
          </cell>
          <cell r="M11">
            <v>145272</v>
          </cell>
          <cell r="N11">
            <v>143207</v>
          </cell>
          <cell r="O11">
            <v>140958</v>
          </cell>
        </row>
        <row r="15">
          <cell r="C15" t="str">
            <v>Alias</v>
          </cell>
          <cell r="D15" t="str">
            <v>Ene</v>
          </cell>
          <cell r="E15" t="str">
            <v>Feb</v>
          </cell>
          <cell r="F15" t="str">
            <v>Mar</v>
          </cell>
          <cell r="G15" t="str">
            <v>Abr</v>
          </cell>
          <cell r="H15" t="str">
            <v>May</v>
          </cell>
          <cell r="I15" t="str">
            <v>Jun</v>
          </cell>
          <cell r="J15" t="str">
            <v>Jul</v>
          </cell>
          <cell r="K15" t="str">
            <v>Ago</v>
          </cell>
          <cell r="L15" t="str">
            <v>Sep</v>
          </cell>
          <cell r="M15" t="str">
            <v>Oct</v>
          </cell>
          <cell r="N15" t="str">
            <v>Nov</v>
          </cell>
          <cell r="O15" t="str">
            <v>Dic</v>
          </cell>
        </row>
        <row r="16">
          <cell r="C16" t="str">
            <v>Picachos</v>
          </cell>
          <cell r="D16">
            <v>94880</v>
          </cell>
          <cell r="E16">
            <v>101349</v>
          </cell>
          <cell r="F16">
            <v>115619</v>
          </cell>
          <cell r="G16">
            <v>126134</v>
          </cell>
          <cell r="H16">
            <v>112676</v>
          </cell>
          <cell r="I16">
            <v>116970</v>
          </cell>
          <cell r="J16">
            <v>130885</v>
          </cell>
          <cell r="K16">
            <v>119858</v>
          </cell>
          <cell r="L16">
            <v>126651</v>
          </cell>
          <cell r="M16">
            <v>139889</v>
          </cell>
          <cell r="N16">
            <v>121539</v>
          </cell>
          <cell r="O16">
            <v>115504</v>
          </cell>
        </row>
        <row r="17">
          <cell r="C17" t="str">
            <v>Ventanas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>
            <v>94880</v>
          </cell>
          <cell r="E18">
            <v>101349</v>
          </cell>
          <cell r="F18">
            <v>115619</v>
          </cell>
          <cell r="G18">
            <v>126134</v>
          </cell>
          <cell r="H18">
            <v>112676</v>
          </cell>
          <cell r="I18">
            <v>116970</v>
          </cell>
          <cell r="J18">
            <v>130885</v>
          </cell>
          <cell r="K18">
            <v>119858</v>
          </cell>
          <cell r="L18">
            <v>126651</v>
          </cell>
          <cell r="M18">
            <v>139889</v>
          </cell>
          <cell r="N18">
            <v>121539</v>
          </cell>
          <cell r="O18">
            <v>115504</v>
          </cell>
        </row>
        <row r="20"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</row>
        <row r="21">
          <cell r="C21" t="str">
            <v>Alias</v>
          </cell>
          <cell r="D21" t="str">
            <v>Ene</v>
          </cell>
          <cell r="E21" t="str">
            <v>Feb</v>
          </cell>
          <cell r="F21" t="str">
            <v>Mar</v>
          </cell>
          <cell r="G21" t="str">
            <v>Abr</v>
          </cell>
          <cell r="H21" t="str">
            <v>May</v>
          </cell>
          <cell r="I21" t="str">
            <v>Jun</v>
          </cell>
          <cell r="J21" t="str">
            <v>Jul</v>
          </cell>
          <cell r="K21" t="str">
            <v>Ago</v>
          </cell>
          <cell r="L21" t="str">
            <v>Sep</v>
          </cell>
          <cell r="M21" t="str">
            <v>Oct</v>
          </cell>
          <cell r="N21" t="str">
            <v>Nov</v>
          </cell>
          <cell r="O21" t="str">
            <v>Dic</v>
          </cell>
        </row>
        <row r="35">
          <cell r="C35" t="str">
            <v>Picachos</v>
          </cell>
          <cell r="D35">
            <v>22500</v>
          </cell>
          <cell r="E35">
            <v>29220</v>
          </cell>
          <cell r="F35">
            <v>28380</v>
          </cell>
          <cell r="G35">
            <v>28440</v>
          </cell>
          <cell r="H35">
            <v>27840</v>
          </cell>
          <cell r="I35">
            <v>29520</v>
          </cell>
          <cell r="J35">
            <v>28200</v>
          </cell>
          <cell r="K35">
            <v>28680</v>
          </cell>
          <cell r="L35">
            <v>32880</v>
          </cell>
          <cell r="M35">
            <v>27360</v>
          </cell>
          <cell r="N35">
            <v>31560</v>
          </cell>
          <cell r="O35">
            <v>30180</v>
          </cell>
        </row>
        <row r="36">
          <cell r="C36" t="str">
            <v>Ventanas</v>
          </cell>
          <cell r="D36">
            <v>30780</v>
          </cell>
          <cell r="E36">
            <v>24720</v>
          </cell>
          <cell r="F36">
            <v>27240</v>
          </cell>
          <cell r="G36">
            <v>25560</v>
          </cell>
          <cell r="H36">
            <v>28740</v>
          </cell>
          <cell r="I36">
            <v>26460</v>
          </cell>
          <cell r="J36">
            <v>27720</v>
          </cell>
          <cell r="K36">
            <v>28620</v>
          </cell>
          <cell r="L36">
            <v>28020</v>
          </cell>
          <cell r="M36">
            <v>29520</v>
          </cell>
          <cell r="N36">
            <v>25800</v>
          </cell>
          <cell r="O36">
            <v>29700</v>
          </cell>
        </row>
      </sheetData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HHDXTFNVIPZDI7QNVDKZO2WH6">
      <xxl21:absoluteUrl r:id="rId2"/>
    </xxl21:alternateUrls>
    <sheetNames>
      <sheetName val="PPTO 2025"/>
      <sheetName val="TRASLADO VAL"/>
      <sheetName val="CALENDARIO 25"/>
      <sheetName val="E D"/>
      <sheetName val="F D"/>
      <sheetName val="M D"/>
      <sheetName val="A D"/>
      <sheetName val="MA D"/>
      <sheetName val="JN D"/>
      <sheetName val="JL D"/>
      <sheetName val="AG D"/>
      <sheetName val="SP D"/>
      <sheetName val="OC D"/>
      <sheetName val="N D"/>
      <sheetName val="E A"/>
      <sheetName val="F A"/>
      <sheetName val="M A"/>
      <sheetName val="A A"/>
      <sheetName val="MA A"/>
      <sheetName val="J A"/>
      <sheetName val="JL A"/>
      <sheetName val="AG A"/>
      <sheetName val="S A"/>
      <sheetName val="OC A"/>
      <sheetName val="N A"/>
      <sheetName val="E P "/>
      <sheetName val="F P"/>
      <sheetName val="M P"/>
      <sheetName val="A P"/>
      <sheetName val="MA P"/>
      <sheetName val="J P"/>
      <sheetName val="JL P"/>
      <sheetName val="AG P"/>
      <sheetName val="S P"/>
      <sheetName val="OC P"/>
      <sheetName val="N P"/>
    </sheetNames>
    <sheetDataSet>
      <sheetData sheetId="0">
        <row r="2">
          <cell r="C2" t="str">
            <v>Picachos</v>
          </cell>
          <cell r="D2">
            <v>26401.420620151093</v>
          </cell>
          <cell r="E2">
            <v>24216.953479850748</v>
          </cell>
          <cell r="F2">
            <v>26945.72239428863</v>
          </cell>
          <cell r="G2">
            <v>27392.185022061461</v>
          </cell>
          <cell r="H2">
            <v>27577.477049731722</v>
          </cell>
          <cell r="I2">
            <v>26958.620772578543</v>
          </cell>
          <cell r="J2">
            <v>28728.93550668559</v>
          </cell>
          <cell r="K2">
            <v>28886.265766275159</v>
          </cell>
          <cell r="L2">
            <v>28549.104007623082</v>
          </cell>
          <cell r="M2">
            <v>30141.507596031537</v>
          </cell>
          <cell r="N2">
            <v>29485.567048628258</v>
          </cell>
          <cell r="O2">
            <v>29225.797792354275</v>
          </cell>
          <cell r="P2">
            <v>334509.55705626006</v>
          </cell>
        </row>
        <row r="3">
          <cell r="C3" t="str">
            <v>Ventanas</v>
          </cell>
          <cell r="D3">
            <v>22780.505701971095</v>
          </cell>
          <cell r="E3">
            <v>26145.716071129264</v>
          </cell>
          <cell r="F3">
            <v>29249.844454454142</v>
          </cell>
          <cell r="G3">
            <v>27586.710538407435</v>
          </cell>
          <cell r="H3">
            <v>29928.84359724298</v>
          </cell>
          <cell r="I3">
            <v>29416.346525195182</v>
          </cell>
          <cell r="J3">
            <v>29348.064050508427</v>
          </cell>
          <cell r="K3">
            <v>29778.95860716137</v>
          </cell>
          <cell r="L3">
            <v>29736.034152704608</v>
          </cell>
          <cell r="M3">
            <v>30484.638153761214</v>
          </cell>
          <cell r="N3">
            <v>29886.315026178389</v>
          </cell>
          <cell r="O3">
            <v>28967.457937811854</v>
          </cell>
          <cell r="P3">
            <v>343309.4348165259</v>
          </cell>
        </row>
        <row r="4">
          <cell r="C4" t="str">
            <v>TOTAL</v>
          </cell>
          <cell r="D4">
            <v>49181.926322122192</v>
          </cell>
          <cell r="E4">
            <v>50362.669550980012</v>
          </cell>
          <cell r="F4">
            <v>56195.566848742776</v>
          </cell>
          <cell r="G4">
            <v>54978.895560468896</v>
          </cell>
          <cell r="H4">
            <v>57506.320646974702</v>
          </cell>
          <cell r="I4">
            <v>56374.967297773721</v>
          </cell>
          <cell r="J4">
            <v>58076.999557194016</v>
          </cell>
          <cell r="K4">
            <v>58665.224373436533</v>
          </cell>
          <cell r="L4">
            <v>58285.13816032769</v>
          </cell>
          <cell r="M4">
            <v>60626.145749792748</v>
          </cell>
          <cell r="N4">
            <v>59371.88207480665</v>
          </cell>
          <cell r="O4">
            <v>58193.255730166129</v>
          </cell>
          <cell r="P4">
            <v>677818.99187278596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K7YCARIIWY5C3MOADWQGQWJJS">
      <xxl21:absoluteUrl r:id="rId2"/>
    </xxl21:alternateUrls>
    <sheetNames>
      <sheetName val="Resumen"/>
      <sheetName val="Detalle"/>
      <sheetName val="Evidencias"/>
      <sheetName val="Presupues Vs Gasto Real 2024"/>
    </sheetNames>
    <sheetDataSet>
      <sheetData sheetId="0">
        <row r="9">
          <cell r="C9" t="str">
            <v>Picachos</v>
          </cell>
          <cell r="D9">
            <v>2100</v>
          </cell>
          <cell r="E9">
            <v>2100</v>
          </cell>
          <cell r="F9">
            <v>2100</v>
          </cell>
          <cell r="G9">
            <v>2100</v>
          </cell>
          <cell r="H9">
            <v>2100</v>
          </cell>
          <cell r="I9">
            <v>2100</v>
          </cell>
          <cell r="J9">
            <v>2100</v>
          </cell>
          <cell r="K9">
            <v>2100</v>
          </cell>
          <cell r="L9">
            <v>2100</v>
          </cell>
          <cell r="M9">
            <v>2100</v>
          </cell>
          <cell r="N9">
            <v>2100</v>
          </cell>
          <cell r="O9">
            <v>2100</v>
          </cell>
        </row>
        <row r="10">
          <cell r="C10" t="str">
            <v>Ventanas</v>
          </cell>
          <cell r="D10">
            <v>2100</v>
          </cell>
          <cell r="E10">
            <v>2100</v>
          </cell>
          <cell r="F10">
            <v>2100</v>
          </cell>
          <cell r="G10">
            <v>2100</v>
          </cell>
          <cell r="H10">
            <v>2100</v>
          </cell>
          <cell r="I10">
            <v>2100</v>
          </cell>
          <cell r="J10">
            <v>2100</v>
          </cell>
          <cell r="K10">
            <v>2100</v>
          </cell>
          <cell r="L10">
            <v>2100</v>
          </cell>
          <cell r="M10">
            <v>2100</v>
          </cell>
          <cell r="N10">
            <v>2100</v>
          </cell>
          <cell r="O10">
            <v>2100</v>
          </cell>
        </row>
        <row r="16">
          <cell r="C16" t="str">
            <v>Picachos</v>
          </cell>
          <cell r="D16">
            <v>0</v>
          </cell>
          <cell r="E16">
            <v>8000</v>
          </cell>
          <cell r="F16">
            <v>0</v>
          </cell>
          <cell r="G16">
            <v>0</v>
          </cell>
          <cell r="H16">
            <v>1600</v>
          </cell>
          <cell r="I16">
            <v>0</v>
          </cell>
          <cell r="J16">
            <v>0</v>
          </cell>
          <cell r="K16">
            <v>8000</v>
          </cell>
          <cell r="L16">
            <v>0</v>
          </cell>
          <cell r="M16">
            <v>0</v>
          </cell>
          <cell r="N16">
            <v>1600</v>
          </cell>
          <cell r="O16">
            <v>0</v>
          </cell>
        </row>
        <row r="17">
          <cell r="C17" t="str">
            <v>Ventanas</v>
          </cell>
          <cell r="D17">
            <v>0</v>
          </cell>
          <cell r="E17">
            <v>4800</v>
          </cell>
          <cell r="F17">
            <v>0</v>
          </cell>
          <cell r="G17">
            <v>0</v>
          </cell>
          <cell r="H17">
            <v>1600</v>
          </cell>
          <cell r="I17">
            <v>0</v>
          </cell>
          <cell r="J17">
            <v>0</v>
          </cell>
          <cell r="K17">
            <v>4800</v>
          </cell>
          <cell r="L17">
            <v>0</v>
          </cell>
          <cell r="M17">
            <v>0</v>
          </cell>
          <cell r="N17">
            <v>1600</v>
          </cell>
          <cell r="O17">
            <v>0</v>
          </cell>
        </row>
        <row r="23">
          <cell r="C23" t="str">
            <v>Picachos</v>
          </cell>
          <cell r="D23">
            <v>1500</v>
          </cell>
          <cell r="E23">
            <v>0</v>
          </cell>
          <cell r="F23">
            <v>1500</v>
          </cell>
          <cell r="G23">
            <v>0</v>
          </cell>
          <cell r="H23">
            <v>1500</v>
          </cell>
          <cell r="I23">
            <v>0</v>
          </cell>
          <cell r="J23">
            <v>1500</v>
          </cell>
          <cell r="K23">
            <v>0</v>
          </cell>
          <cell r="L23">
            <v>1500</v>
          </cell>
          <cell r="M23">
            <v>0</v>
          </cell>
          <cell r="N23">
            <v>1500</v>
          </cell>
          <cell r="O23">
            <v>1500</v>
          </cell>
        </row>
        <row r="24">
          <cell r="C24" t="str">
            <v>Ventanas</v>
          </cell>
          <cell r="D24">
            <v>1500</v>
          </cell>
          <cell r="E24">
            <v>0</v>
          </cell>
          <cell r="F24">
            <v>1500</v>
          </cell>
          <cell r="G24">
            <v>0</v>
          </cell>
          <cell r="H24">
            <v>1500</v>
          </cell>
          <cell r="I24">
            <v>0</v>
          </cell>
          <cell r="J24">
            <v>1500</v>
          </cell>
          <cell r="K24">
            <v>0</v>
          </cell>
          <cell r="L24">
            <v>1500</v>
          </cell>
          <cell r="M24">
            <v>0</v>
          </cell>
          <cell r="N24">
            <v>1500</v>
          </cell>
          <cell r="O24">
            <v>1500</v>
          </cell>
        </row>
        <row r="29">
          <cell r="C29" t="str">
            <v>Alias</v>
          </cell>
          <cell r="D29" t="str">
            <v>Ene</v>
          </cell>
          <cell r="E29" t="str">
            <v>Feb</v>
          </cell>
          <cell r="F29" t="str">
            <v>Mar</v>
          </cell>
          <cell r="G29" t="str">
            <v>Abr</v>
          </cell>
          <cell r="H29" t="str">
            <v>May</v>
          </cell>
          <cell r="I29" t="str">
            <v>Jun</v>
          </cell>
          <cell r="J29" t="str">
            <v>Jul</v>
          </cell>
          <cell r="K29" t="str">
            <v>Ago</v>
          </cell>
          <cell r="L29" t="str">
            <v>Sep</v>
          </cell>
          <cell r="M29" t="str">
            <v>Oct</v>
          </cell>
          <cell r="N29" t="str">
            <v>Nov</v>
          </cell>
          <cell r="O29" t="str">
            <v>Dic</v>
          </cell>
        </row>
        <row r="30">
          <cell r="C30" t="str">
            <v>Picachos</v>
          </cell>
          <cell r="D30">
            <v>9000</v>
          </cell>
          <cell r="E30">
            <v>0</v>
          </cell>
          <cell r="F30">
            <v>9000</v>
          </cell>
          <cell r="G30">
            <v>0</v>
          </cell>
          <cell r="H30">
            <v>9000</v>
          </cell>
          <cell r="I30">
            <v>0</v>
          </cell>
          <cell r="J30">
            <v>9000</v>
          </cell>
          <cell r="K30">
            <v>0</v>
          </cell>
          <cell r="L30">
            <v>9000</v>
          </cell>
          <cell r="M30">
            <v>0</v>
          </cell>
          <cell r="N30">
            <v>9000</v>
          </cell>
          <cell r="O30">
            <v>0</v>
          </cell>
          <cell r="P30">
            <v>54000</v>
          </cell>
        </row>
        <row r="31">
          <cell r="C31" t="str">
            <v>Ventanas</v>
          </cell>
          <cell r="D31">
            <v>6000</v>
          </cell>
          <cell r="E31">
            <v>0</v>
          </cell>
          <cell r="F31">
            <v>6000</v>
          </cell>
          <cell r="G31">
            <v>0</v>
          </cell>
          <cell r="H31">
            <v>6000</v>
          </cell>
          <cell r="I31">
            <v>0</v>
          </cell>
          <cell r="J31">
            <v>6000</v>
          </cell>
          <cell r="K31">
            <v>0</v>
          </cell>
          <cell r="L31">
            <v>6000</v>
          </cell>
          <cell r="M31">
            <v>0</v>
          </cell>
          <cell r="N31">
            <v>6000</v>
          </cell>
          <cell r="O31">
            <v>0</v>
          </cell>
          <cell r="P31">
            <v>36000</v>
          </cell>
        </row>
        <row r="32">
          <cell r="D32">
            <v>15000</v>
          </cell>
          <cell r="E32">
            <v>0</v>
          </cell>
          <cell r="F32">
            <v>15000</v>
          </cell>
          <cell r="G32">
            <v>0</v>
          </cell>
          <cell r="H32">
            <v>15000</v>
          </cell>
          <cell r="I32">
            <v>0</v>
          </cell>
          <cell r="J32">
            <v>15000</v>
          </cell>
          <cell r="K32">
            <v>0</v>
          </cell>
          <cell r="L32">
            <v>15000</v>
          </cell>
          <cell r="M32">
            <v>0</v>
          </cell>
          <cell r="N32">
            <v>15000</v>
          </cell>
          <cell r="O32">
            <v>0</v>
          </cell>
          <cell r="P32">
            <v>90000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SP6R3IWWCP4VFLKK4QRHFFCIN6">
      <xxl21:absoluteUrl r:id="rId2"/>
    </xxl21:alternateUrls>
    <sheetNames>
      <sheetName val="Resumen"/>
      <sheetName val="Detalle"/>
      <sheetName val="Evidencias"/>
    </sheetNames>
    <sheetDataSet>
      <sheetData sheetId="0">
        <row r="9">
          <cell r="C9" t="str">
            <v>Picachos</v>
          </cell>
          <cell r="D9">
            <v>520</v>
          </cell>
          <cell r="E9">
            <v>520</v>
          </cell>
          <cell r="F9">
            <v>520</v>
          </cell>
          <cell r="G9">
            <v>520</v>
          </cell>
          <cell r="H9">
            <v>520</v>
          </cell>
          <cell r="I9">
            <v>520</v>
          </cell>
          <cell r="J9">
            <v>520</v>
          </cell>
          <cell r="K9">
            <v>520</v>
          </cell>
          <cell r="L9">
            <v>520</v>
          </cell>
          <cell r="M9">
            <v>520</v>
          </cell>
          <cell r="N9">
            <v>520</v>
          </cell>
          <cell r="O9">
            <v>1768</v>
          </cell>
        </row>
        <row r="10">
          <cell r="C10" t="str">
            <v>Ventanas</v>
          </cell>
          <cell r="D10">
            <v>520</v>
          </cell>
          <cell r="E10">
            <v>520</v>
          </cell>
          <cell r="F10">
            <v>520</v>
          </cell>
          <cell r="G10">
            <v>520</v>
          </cell>
          <cell r="H10">
            <v>520</v>
          </cell>
          <cell r="I10">
            <v>520</v>
          </cell>
          <cell r="J10">
            <v>520</v>
          </cell>
          <cell r="K10">
            <v>520</v>
          </cell>
          <cell r="L10">
            <v>520</v>
          </cell>
          <cell r="M10">
            <v>520</v>
          </cell>
          <cell r="N10">
            <v>520</v>
          </cell>
          <cell r="O10">
            <v>1768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XH6ZCT6LWSZHY4UTNIMPKXK7A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>Ventanas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5">
          <cell r="V15" t="str">
            <v>Picachos</v>
          </cell>
          <cell r="W15">
            <v>865.28</v>
          </cell>
          <cell r="X15">
            <v>865.28</v>
          </cell>
          <cell r="Y15">
            <v>865.28</v>
          </cell>
          <cell r="Z15">
            <v>865.28</v>
          </cell>
          <cell r="AA15">
            <v>865.28</v>
          </cell>
          <cell r="AB15">
            <v>865.28</v>
          </cell>
          <cell r="AC15">
            <v>865.28</v>
          </cell>
          <cell r="AD15">
            <v>865.28</v>
          </cell>
          <cell r="AE15">
            <v>865.28</v>
          </cell>
          <cell r="AF15">
            <v>865.28</v>
          </cell>
          <cell r="AG15">
            <v>865.28</v>
          </cell>
          <cell r="AH15">
            <v>865.28</v>
          </cell>
        </row>
        <row r="16">
          <cell r="V16" t="str">
            <v>Ventanas</v>
          </cell>
          <cell r="W16">
            <v>865.28</v>
          </cell>
          <cell r="X16">
            <v>865.28</v>
          </cell>
          <cell r="Y16">
            <v>865.28</v>
          </cell>
          <cell r="Z16">
            <v>865.28</v>
          </cell>
          <cell r="AA16">
            <v>865.28</v>
          </cell>
          <cell r="AB16">
            <v>865.28</v>
          </cell>
          <cell r="AC16">
            <v>865.28</v>
          </cell>
          <cell r="AD16">
            <v>865.28</v>
          </cell>
          <cell r="AE16">
            <v>865.28</v>
          </cell>
          <cell r="AF16">
            <v>865.28</v>
          </cell>
          <cell r="AG16">
            <v>865.28</v>
          </cell>
          <cell r="AH16">
            <v>865.28</v>
          </cell>
        </row>
        <row r="22">
          <cell r="V22" t="str">
            <v>Picachos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V23" t="str">
            <v>Ventanas</v>
          </cell>
          <cell r="W23">
            <v>22251.84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9">
          <cell r="V29" t="str">
            <v>Picachos</v>
          </cell>
          <cell r="W29">
            <v>37515.919999999998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V30" t="str">
            <v>Ventanas</v>
          </cell>
          <cell r="W30">
            <v>37515.919999999998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6">
          <cell r="V36" t="str">
            <v>Picachos</v>
          </cell>
          <cell r="W36">
            <v>0</v>
          </cell>
          <cell r="X36">
            <v>0</v>
          </cell>
          <cell r="Y36">
            <v>3638.96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V37" t="str">
            <v>Ventanas</v>
          </cell>
          <cell r="W37">
            <v>0</v>
          </cell>
          <cell r="X37">
            <v>0</v>
          </cell>
          <cell r="Y37">
            <v>3638.96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43">
          <cell r="V43" t="str">
            <v>Picachos</v>
          </cell>
          <cell r="W43">
            <v>14000</v>
          </cell>
          <cell r="X43">
            <v>14000</v>
          </cell>
          <cell r="Y43">
            <v>14000</v>
          </cell>
          <cell r="Z43">
            <v>14000</v>
          </cell>
          <cell r="AA43">
            <v>14000</v>
          </cell>
          <cell r="AB43">
            <v>14000</v>
          </cell>
          <cell r="AC43">
            <v>14000</v>
          </cell>
          <cell r="AD43">
            <v>14000</v>
          </cell>
          <cell r="AE43">
            <v>14000</v>
          </cell>
          <cell r="AF43">
            <v>14000</v>
          </cell>
          <cell r="AG43">
            <v>14000</v>
          </cell>
          <cell r="AH43">
            <v>14000</v>
          </cell>
        </row>
        <row r="44">
          <cell r="V44" t="str">
            <v>Ventanas</v>
          </cell>
          <cell r="W44">
            <v>14000</v>
          </cell>
          <cell r="X44">
            <v>14000</v>
          </cell>
          <cell r="Y44">
            <v>14000</v>
          </cell>
          <cell r="Z44">
            <v>14000</v>
          </cell>
          <cell r="AA44">
            <v>14000</v>
          </cell>
          <cell r="AB44">
            <v>14000</v>
          </cell>
          <cell r="AC44">
            <v>14000</v>
          </cell>
          <cell r="AD44">
            <v>14000</v>
          </cell>
          <cell r="AE44">
            <v>14000</v>
          </cell>
          <cell r="AF44">
            <v>14000</v>
          </cell>
          <cell r="AG44">
            <v>14000</v>
          </cell>
          <cell r="AH44">
            <v>14000</v>
          </cell>
        </row>
        <row r="50">
          <cell r="V50" t="str">
            <v>Picachos</v>
          </cell>
          <cell r="W50">
            <v>19160.96</v>
          </cell>
          <cell r="X50">
            <v>17304.560000000001</v>
          </cell>
          <cell r="Y50">
            <v>18231.2</v>
          </cell>
          <cell r="Z50">
            <v>17953.52</v>
          </cell>
          <cell r="AA50">
            <v>21046.48</v>
          </cell>
          <cell r="AB50">
            <v>16932.240000000002</v>
          </cell>
          <cell r="AC50">
            <v>19898.32</v>
          </cell>
          <cell r="AD50">
            <v>18177.12</v>
          </cell>
          <cell r="AE50">
            <v>15020.720000000001</v>
          </cell>
          <cell r="AF50">
            <v>18011.760000000002</v>
          </cell>
          <cell r="AG50">
            <v>12028.640000000001</v>
          </cell>
          <cell r="AH50">
            <v>15020.720000000001</v>
          </cell>
        </row>
        <row r="51">
          <cell r="V51" t="str">
            <v>Ventanas</v>
          </cell>
          <cell r="W51">
            <v>14921.92</v>
          </cell>
          <cell r="X51">
            <v>18061.68</v>
          </cell>
          <cell r="Y51">
            <v>14178.32</v>
          </cell>
          <cell r="Z51">
            <v>17431.440000000002</v>
          </cell>
          <cell r="AA51">
            <v>18380.96</v>
          </cell>
          <cell r="AB51">
            <v>16971.760000000002</v>
          </cell>
          <cell r="AC51">
            <v>18553.600000000002</v>
          </cell>
          <cell r="AD51">
            <v>14540.24</v>
          </cell>
          <cell r="AE51">
            <v>12974</v>
          </cell>
          <cell r="AF51">
            <v>14282.32</v>
          </cell>
          <cell r="AG51">
            <v>11665.68</v>
          </cell>
          <cell r="AH51">
            <v>16898.96</v>
          </cell>
        </row>
        <row r="57">
          <cell r="V57" t="str">
            <v>Picachos</v>
          </cell>
          <cell r="W57">
            <v>7278.96</v>
          </cell>
          <cell r="X57">
            <v>7278.96</v>
          </cell>
          <cell r="Y57">
            <v>7278.96</v>
          </cell>
          <cell r="Z57">
            <v>7278.96</v>
          </cell>
          <cell r="AA57">
            <v>7278.96</v>
          </cell>
          <cell r="AB57">
            <v>7278.96</v>
          </cell>
          <cell r="AC57">
            <v>7278.96</v>
          </cell>
          <cell r="AD57">
            <v>7278.96</v>
          </cell>
          <cell r="AE57">
            <v>7278.96</v>
          </cell>
          <cell r="AF57">
            <v>7278.96</v>
          </cell>
          <cell r="AG57">
            <v>7278.96</v>
          </cell>
          <cell r="AH57">
            <v>7278.96</v>
          </cell>
        </row>
        <row r="58">
          <cell r="V58" t="str">
            <v>Ventanas</v>
          </cell>
          <cell r="W58">
            <v>5118.88</v>
          </cell>
          <cell r="X58">
            <v>5118.88</v>
          </cell>
          <cell r="Y58">
            <v>5118.88</v>
          </cell>
          <cell r="Z58">
            <v>5118.88</v>
          </cell>
          <cell r="AA58">
            <v>5118.88</v>
          </cell>
          <cell r="AB58">
            <v>5118.88</v>
          </cell>
          <cell r="AC58">
            <v>5118.88</v>
          </cell>
          <cell r="AD58">
            <v>5118.88</v>
          </cell>
          <cell r="AE58">
            <v>5118.88</v>
          </cell>
          <cell r="AF58">
            <v>5118.88</v>
          </cell>
          <cell r="AG58">
            <v>5118.88</v>
          </cell>
          <cell r="AH58">
            <v>5118.88</v>
          </cell>
        </row>
        <row r="64">
          <cell r="V64" t="str">
            <v>Picachos</v>
          </cell>
          <cell r="W64">
            <v>374.40000000000003</v>
          </cell>
          <cell r="X64">
            <v>374.40000000000003</v>
          </cell>
          <cell r="Y64">
            <v>374.40000000000003</v>
          </cell>
          <cell r="Z64">
            <v>374.40000000000003</v>
          </cell>
          <cell r="AA64">
            <v>374.40000000000003</v>
          </cell>
          <cell r="AB64">
            <v>374.40000000000003</v>
          </cell>
          <cell r="AC64">
            <v>374.40000000000003</v>
          </cell>
          <cell r="AD64">
            <v>374.40000000000003</v>
          </cell>
          <cell r="AE64">
            <v>374.40000000000003</v>
          </cell>
          <cell r="AF64">
            <v>374.40000000000003</v>
          </cell>
          <cell r="AG64">
            <v>374.40000000000003</v>
          </cell>
          <cell r="AH64">
            <v>374.40000000000003</v>
          </cell>
        </row>
        <row r="65">
          <cell r="V65" t="str">
            <v>Ventanas</v>
          </cell>
          <cell r="W65">
            <v>374.40000000000003</v>
          </cell>
          <cell r="X65">
            <v>374.40000000000003</v>
          </cell>
          <cell r="Y65">
            <v>374.40000000000003</v>
          </cell>
          <cell r="Z65">
            <v>374.40000000000003</v>
          </cell>
          <cell r="AA65">
            <v>374.40000000000003</v>
          </cell>
          <cell r="AB65">
            <v>374.40000000000003</v>
          </cell>
          <cell r="AC65">
            <v>374.40000000000003</v>
          </cell>
          <cell r="AD65">
            <v>374.40000000000003</v>
          </cell>
          <cell r="AE65">
            <v>374.40000000000003</v>
          </cell>
          <cell r="AF65">
            <v>374.40000000000003</v>
          </cell>
          <cell r="AG65">
            <v>374.40000000000003</v>
          </cell>
          <cell r="AH65">
            <v>374.40000000000003</v>
          </cell>
        </row>
        <row r="71">
          <cell r="V71" t="str">
            <v>Picachos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11948.560000000001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V72" t="str">
            <v>Ventanas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11948.560000000001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SIVGI2QIJANGKQLWSU4RRZG65">
      <xxl21:absoluteUrl r:id="rId2"/>
    </xxl21:alternateUrls>
    <sheetNames>
      <sheetName val="Resumen"/>
      <sheetName val="Detalle"/>
    </sheetNames>
    <sheetDataSet>
      <sheetData sheetId="0">
        <row r="10">
          <cell r="V10" t="str">
            <v>Picachos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18528.289999999997</v>
          </cell>
          <cell r="AF10">
            <v>0</v>
          </cell>
          <cell r="AG10">
            <v>0</v>
          </cell>
          <cell r="AH10">
            <v>0</v>
          </cell>
        </row>
        <row r="11">
          <cell r="V11" t="str">
            <v>Ventanas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18528.289999999997</v>
          </cell>
          <cell r="AF11">
            <v>0</v>
          </cell>
          <cell r="AG11">
            <v>0</v>
          </cell>
          <cell r="AH11">
            <v>0</v>
          </cell>
        </row>
        <row r="17">
          <cell r="V17" t="str">
            <v>Picachos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</row>
        <row r="18">
          <cell r="V18" t="str">
            <v>Ventanas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24">
          <cell r="V24" t="str">
            <v>Picachos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32605.649999999998</v>
          </cell>
          <cell r="AF24">
            <v>0</v>
          </cell>
          <cell r="AG24">
            <v>0</v>
          </cell>
          <cell r="AH24">
            <v>0</v>
          </cell>
        </row>
        <row r="25">
          <cell r="V25" t="str">
            <v>Ventanas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32605.649999999998</v>
          </cell>
          <cell r="AF25">
            <v>0</v>
          </cell>
          <cell r="AG25">
            <v>0</v>
          </cell>
          <cell r="AH25">
            <v>0</v>
          </cell>
        </row>
        <row r="31">
          <cell r="V31" t="str">
            <v>Picachos</v>
          </cell>
          <cell r="W31">
            <v>0</v>
          </cell>
          <cell r="X31">
            <v>0</v>
          </cell>
          <cell r="Y31">
            <v>7763.2499999999991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V32" t="str">
            <v>Ventanas</v>
          </cell>
          <cell r="W32">
            <v>0</v>
          </cell>
          <cell r="X32">
            <v>0</v>
          </cell>
          <cell r="Y32">
            <v>7763.2499999999991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8">
          <cell r="V38" t="str">
            <v>Picachos</v>
          </cell>
          <cell r="W38">
            <v>7683.3791666666666</v>
          </cell>
          <cell r="X38">
            <v>7683.3791666666666</v>
          </cell>
          <cell r="Y38">
            <v>7683.3791666666666</v>
          </cell>
          <cell r="Z38">
            <v>7683.3791666666666</v>
          </cell>
          <cell r="AA38">
            <v>7683.3791666666666</v>
          </cell>
          <cell r="AB38">
            <v>7683.3791666666666</v>
          </cell>
          <cell r="AC38">
            <v>7683.3791666666666</v>
          </cell>
          <cell r="AD38">
            <v>7683.3791666666666</v>
          </cell>
          <cell r="AE38">
            <v>7683.3791666666666</v>
          </cell>
          <cell r="AF38">
            <v>7683.3791666666666</v>
          </cell>
          <cell r="AG38">
            <v>7683.3791666666666</v>
          </cell>
          <cell r="AH38">
            <v>7683.3791666666666</v>
          </cell>
        </row>
        <row r="39">
          <cell r="V39" t="str">
            <v>Ventanas</v>
          </cell>
          <cell r="W39">
            <v>5038.9645833333334</v>
          </cell>
          <cell r="X39">
            <v>5038.9645833333334</v>
          </cell>
          <cell r="Y39">
            <v>5038.9645833333334</v>
          </cell>
          <cell r="Z39">
            <v>5038.9645833333334</v>
          </cell>
          <cell r="AA39">
            <v>5038.9645833333334</v>
          </cell>
          <cell r="AB39">
            <v>5038.9645833333334</v>
          </cell>
          <cell r="AC39">
            <v>5038.9645833333334</v>
          </cell>
          <cell r="AD39">
            <v>5038.9645833333334</v>
          </cell>
          <cell r="AE39">
            <v>5038.9645833333334</v>
          </cell>
          <cell r="AF39">
            <v>5038.9645833333334</v>
          </cell>
          <cell r="AG39">
            <v>5038.9645833333334</v>
          </cell>
          <cell r="AH39">
            <v>5038.9645833333334</v>
          </cell>
        </row>
        <row r="45">
          <cell r="V45" t="str">
            <v>Picachos</v>
          </cell>
          <cell r="W45">
            <v>0</v>
          </cell>
          <cell r="X45">
            <v>465.79499999999996</v>
          </cell>
          <cell r="Y45">
            <v>0</v>
          </cell>
          <cell r="Z45">
            <v>0</v>
          </cell>
          <cell r="AA45">
            <v>3931.59</v>
          </cell>
          <cell r="AB45">
            <v>0</v>
          </cell>
          <cell r="AC45">
            <v>465.79499999999996</v>
          </cell>
          <cell r="AD45">
            <v>1863.1799999999998</v>
          </cell>
          <cell r="AE45">
            <v>0</v>
          </cell>
          <cell r="AF45">
            <v>1863.1799999999998</v>
          </cell>
          <cell r="AG45">
            <v>0</v>
          </cell>
          <cell r="AH45">
            <v>0</v>
          </cell>
        </row>
        <row r="46">
          <cell r="V46" t="str">
            <v>Ventanas</v>
          </cell>
          <cell r="W46">
            <v>465.79499999999996</v>
          </cell>
          <cell r="X46">
            <v>0</v>
          </cell>
          <cell r="Y46">
            <v>0</v>
          </cell>
          <cell r="Z46">
            <v>0</v>
          </cell>
          <cell r="AA46">
            <v>3465.7950000000001</v>
          </cell>
          <cell r="AB46">
            <v>0</v>
          </cell>
          <cell r="AC46">
            <v>0</v>
          </cell>
          <cell r="AD46">
            <v>3726.3599999999997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52">
          <cell r="V52" t="str">
            <v>Picachos</v>
          </cell>
          <cell r="W52">
            <v>0</v>
          </cell>
          <cell r="X52">
            <v>0</v>
          </cell>
          <cell r="Y52">
            <v>7452.7199999999993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7452.7199999999993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V53" t="str">
            <v>Ventanas</v>
          </cell>
          <cell r="W53">
            <v>0</v>
          </cell>
          <cell r="X53">
            <v>0</v>
          </cell>
          <cell r="Y53">
            <v>4968.4799999999996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4968.4799999999996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9">
          <cell r="V59" t="str">
            <v>Picachos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V60" t="str">
            <v>Ventanas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6">
          <cell r="V66" t="str">
            <v>Picachos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</row>
        <row r="67">
          <cell r="V67" t="str">
            <v>Ventanas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73">
          <cell r="V73" t="str">
            <v>Picachos</v>
          </cell>
          <cell r="W73">
            <v>0</v>
          </cell>
          <cell r="X73">
            <v>0</v>
          </cell>
          <cell r="Y73">
            <v>1134.4695999999999</v>
          </cell>
          <cell r="Z73">
            <v>0</v>
          </cell>
          <cell r="AA73">
            <v>0</v>
          </cell>
          <cell r="AB73">
            <v>0</v>
          </cell>
          <cell r="AC73">
            <v>1134.4695999999999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1134.4695999999999</v>
          </cell>
        </row>
        <row r="74">
          <cell r="V74" t="str">
            <v>Ventanas</v>
          </cell>
          <cell r="W74">
            <v>0</v>
          </cell>
          <cell r="X74">
            <v>0</v>
          </cell>
          <cell r="Y74">
            <v>1134.4695999999999</v>
          </cell>
          <cell r="Z74">
            <v>0</v>
          </cell>
          <cell r="AA74">
            <v>0</v>
          </cell>
          <cell r="AB74">
            <v>0</v>
          </cell>
          <cell r="AC74">
            <v>1134.4695999999999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1134.4695999999999</v>
          </cell>
        </row>
        <row r="80">
          <cell r="V80" t="str">
            <v>Picachos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67281.5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V81" t="str">
            <v>Ventanas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62105.999999999993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7">
          <cell r="V87" t="str">
            <v>Picachos</v>
          </cell>
          <cell r="W87">
            <v>0</v>
          </cell>
          <cell r="X87">
            <v>0</v>
          </cell>
          <cell r="Y87">
            <v>9160.6349999999984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V88" t="str">
            <v>Ventanas</v>
          </cell>
          <cell r="W88">
            <v>0</v>
          </cell>
          <cell r="X88">
            <v>0</v>
          </cell>
          <cell r="Y88">
            <v>6107.0899999999992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94">
          <cell r="V94" t="str">
            <v>Picachos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V95" t="str">
            <v>Ventanas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101">
          <cell r="V101" t="str">
            <v>Picachos</v>
          </cell>
          <cell r="W101">
            <v>3105.2999999999997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3105.2999999999997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3105.2999999999997</v>
          </cell>
          <cell r="AH101">
            <v>0</v>
          </cell>
        </row>
        <row r="102">
          <cell r="V102" t="str">
            <v>Ventanas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8">
          <cell r="V108" t="str">
            <v>Picachos</v>
          </cell>
          <cell r="W108">
            <v>0</v>
          </cell>
          <cell r="X108">
            <v>5848.3149999999996</v>
          </cell>
          <cell r="Y108">
            <v>0</v>
          </cell>
          <cell r="Z108">
            <v>0</v>
          </cell>
          <cell r="AA108">
            <v>5848.3149999999996</v>
          </cell>
          <cell r="AB108">
            <v>0</v>
          </cell>
          <cell r="AC108">
            <v>0</v>
          </cell>
          <cell r="AD108">
            <v>5848.3149999999996</v>
          </cell>
          <cell r="AE108">
            <v>0</v>
          </cell>
          <cell r="AF108">
            <v>0</v>
          </cell>
          <cell r="AG108">
            <v>5848.3149999999996</v>
          </cell>
          <cell r="AH108">
            <v>0</v>
          </cell>
        </row>
        <row r="109">
          <cell r="V109" t="str">
            <v>Ventanas</v>
          </cell>
          <cell r="W109">
            <v>0</v>
          </cell>
          <cell r="X109">
            <v>5848.3149999999996</v>
          </cell>
          <cell r="Y109">
            <v>0</v>
          </cell>
          <cell r="Z109">
            <v>0</v>
          </cell>
          <cell r="AA109">
            <v>5848.3149999999996</v>
          </cell>
          <cell r="AB109">
            <v>0</v>
          </cell>
          <cell r="AC109">
            <v>0</v>
          </cell>
          <cell r="AD109">
            <v>5848.3149999999996</v>
          </cell>
          <cell r="AE109">
            <v>0</v>
          </cell>
          <cell r="AF109">
            <v>0</v>
          </cell>
          <cell r="AG109">
            <v>5848.3149999999996</v>
          </cell>
          <cell r="AH109">
            <v>0</v>
          </cell>
        </row>
        <row r="115">
          <cell r="V115" t="str">
            <v>Picachos</v>
          </cell>
          <cell r="W115">
            <v>0</v>
          </cell>
          <cell r="X115">
            <v>7742.5479999999989</v>
          </cell>
          <cell r="Y115">
            <v>0</v>
          </cell>
          <cell r="Z115">
            <v>0</v>
          </cell>
          <cell r="AA115">
            <v>7742.5479999999989</v>
          </cell>
          <cell r="AB115">
            <v>0</v>
          </cell>
          <cell r="AC115">
            <v>0</v>
          </cell>
          <cell r="AD115">
            <v>7742.5479999999989</v>
          </cell>
          <cell r="AE115">
            <v>0</v>
          </cell>
          <cell r="AF115">
            <v>0</v>
          </cell>
          <cell r="AG115">
            <v>7742.5479999999989</v>
          </cell>
          <cell r="AH115">
            <v>0</v>
          </cell>
        </row>
        <row r="116">
          <cell r="V116" t="str">
            <v>Ventanas</v>
          </cell>
          <cell r="W116">
            <v>0</v>
          </cell>
          <cell r="X116">
            <v>7742.5479999999989</v>
          </cell>
          <cell r="Y116">
            <v>0</v>
          </cell>
          <cell r="Z116">
            <v>0</v>
          </cell>
          <cell r="AA116">
            <v>7742.5479999999989</v>
          </cell>
          <cell r="AB116">
            <v>0</v>
          </cell>
          <cell r="AC116">
            <v>0</v>
          </cell>
          <cell r="AD116">
            <v>7742.5479999999989</v>
          </cell>
          <cell r="AE116">
            <v>0</v>
          </cell>
          <cell r="AF116">
            <v>0</v>
          </cell>
          <cell r="AG116">
            <v>7742.5479999999989</v>
          </cell>
          <cell r="AH116">
            <v>0</v>
          </cell>
        </row>
        <row r="122">
          <cell r="V122" t="str">
            <v>Picachos</v>
          </cell>
          <cell r="W122">
            <v>0</v>
          </cell>
          <cell r="X122">
            <v>0</v>
          </cell>
          <cell r="Y122">
            <v>0</v>
          </cell>
          <cell r="Z122">
            <v>517.54999999999995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517.54999999999995</v>
          </cell>
          <cell r="AF122">
            <v>0</v>
          </cell>
          <cell r="AG122">
            <v>0</v>
          </cell>
          <cell r="AH122">
            <v>0</v>
          </cell>
        </row>
        <row r="123">
          <cell r="V123" t="str">
            <v>Ventanas</v>
          </cell>
          <cell r="W123">
            <v>0</v>
          </cell>
          <cell r="X123">
            <v>0</v>
          </cell>
          <cell r="Y123">
            <v>0</v>
          </cell>
          <cell r="Z123">
            <v>517.54999999999995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517.54999999999995</v>
          </cell>
          <cell r="AF123">
            <v>0</v>
          </cell>
          <cell r="AG123">
            <v>0</v>
          </cell>
          <cell r="AH123">
            <v>0</v>
          </cell>
        </row>
        <row r="129">
          <cell r="V129" t="str">
            <v>Picachos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3208.8099999999995</v>
          </cell>
        </row>
        <row r="130">
          <cell r="V130" t="str">
            <v>Ventanas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3208.8099999999995</v>
          </cell>
        </row>
        <row r="136">
          <cell r="V136" t="str">
            <v>Picachos</v>
          </cell>
          <cell r="W136">
            <v>2173.71</v>
          </cell>
          <cell r="X136">
            <v>2173.71</v>
          </cell>
          <cell r="Y136">
            <v>2173.71</v>
          </cell>
          <cell r="Z136">
            <v>2173.71</v>
          </cell>
          <cell r="AA136">
            <v>2173.71</v>
          </cell>
          <cell r="AB136">
            <v>2173.71</v>
          </cell>
          <cell r="AC136">
            <v>2173.71</v>
          </cell>
          <cell r="AD136">
            <v>2173.71</v>
          </cell>
          <cell r="AE136">
            <v>2173.71</v>
          </cell>
          <cell r="AF136">
            <v>2173.71</v>
          </cell>
          <cell r="AG136">
            <v>2173.71</v>
          </cell>
          <cell r="AH136">
            <v>2173.71</v>
          </cell>
        </row>
        <row r="137">
          <cell r="V137" t="str">
            <v>Ventanas</v>
          </cell>
          <cell r="W137">
            <v>1449.1399999999999</v>
          </cell>
          <cell r="X137">
            <v>1449.1399999999999</v>
          </cell>
          <cell r="Y137">
            <v>1449.1399999999999</v>
          </cell>
          <cell r="Z137">
            <v>1449.1399999999999</v>
          </cell>
          <cell r="AA137">
            <v>1449.1399999999999</v>
          </cell>
          <cell r="AB137">
            <v>1449.1399999999999</v>
          </cell>
          <cell r="AC137">
            <v>1449.1399999999999</v>
          </cell>
          <cell r="AD137">
            <v>1449.1399999999999</v>
          </cell>
          <cell r="AE137">
            <v>1449.1399999999999</v>
          </cell>
          <cell r="AF137">
            <v>1449.1399999999999</v>
          </cell>
          <cell r="AG137">
            <v>1449.1399999999999</v>
          </cell>
          <cell r="AH137">
            <v>1449.1399999999999</v>
          </cell>
        </row>
        <row r="143">
          <cell r="V143" t="str">
            <v>Picachos</v>
          </cell>
          <cell r="W143">
            <v>3131.1774999999998</v>
          </cell>
          <cell r="X143">
            <v>3131.1774999999998</v>
          </cell>
          <cell r="Y143">
            <v>3131.1774999999998</v>
          </cell>
          <cell r="Z143">
            <v>3131.1774999999998</v>
          </cell>
          <cell r="AA143">
            <v>3131.1774999999998</v>
          </cell>
          <cell r="AB143">
            <v>3131.1774999999998</v>
          </cell>
          <cell r="AC143">
            <v>3131.1774999999998</v>
          </cell>
          <cell r="AD143">
            <v>3131.1774999999998</v>
          </cell>
          <cell r="AE143">
            <v>3131.1774999999998</v>
          </cell>
          <cell r="AF143">
            <v>3131.1774999999998</v>
          </cell>
          <cell r="AG143">
            <v>3131.1774999999998</v>
          </cell>
          <cell r="AH143">
            <v>3131.1774999999998</v>
          </cell>
        </row>
        <row r="144">
          <cell r="V144" t="str">
            <v>Ventanas</v>
          </cell>
          <cell r="W144">
            <v>2618.8029999999999</v>
          </cell>
          <cell r="X144">
            <v>2618.8029999999999</v>
          </cell>
          <cell r="Y144">
            <v>2618.8029999999999</v>
          </cell>
          <cell r="Z144">
            <v>2618.8029999999999</v>
          </cell>
          <cell r="AA144">
            <v>2618.8029999999999</v>
          </cell>
          <cell r="AB144">
            <v>2618.8029999999999</v>
          </cell>
          <cell r="AC144">
            <v>2618.8029999999999</v>
          </cell>
          <cell r="AD144">
            <v>2618.8029999999999</v>
          </cell>
          <cell r="AE144">
            <v>2618.8029999999999</v>
          </cell>
          <cell r="AF144">
            <v>2618.8029999999999</v>
          </cell>
          <cell r="AG144">
            <v>2618.8029999999999</v>
          </cell>
          <cell r="AH144">
            <v>2618.8029999999999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VVFZ6OBICFJ5DYQTSBD77LY23A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24780.293999999998</v>
          </cell>
          <cell r="X8">
            <v>22296.053999999996</v>
          </cell>
          <cell r="Y8">
            <v>46103.353999999999</v>
          </cell>
          <cell r="Z8">
            <v>17845.124</v>
          </cell>
          <cell r="AA8">
            <v>63286.013999999996</v>
          </cell>
          <cell r="AB8">
            <v>2629.1539999999995</v>
          </cell>
          <cell r="AC8">
            <v>14325.784</v>
          </cell>
          <cell r="AD8">
            <v>26436.453999999998</v>
          </cell>
          <cell r="AE8">
            <v>25815.393999999997</v>
          </cell>
          <cell r="AF8">
            <v>39892.753999999994</v>
          </cell>
          <cell r="AG8">
            <v>15878.433999999999</v>
          </cell>
          <cell r="AH8">
            <v>30990.893999999997</v>
          </cell>
        </row>
        <row r="9">
          <cell r="V9" t="str">
            <v>Ventanas</v>
          </cell>
          <cell r="W9">
            <v>24780.293999999998</v>
          </cell>
          <cell r="X9">
            <v>22296.053999999996</v>
          </cell>
          <cell r="Y9">
            <v>41238.383999999998</v>
          </cell>
          <cell r="Z9">
            <v>17845.124</v>
          </cell>
          <cell r="AA9">
            <v>58421.043999999994</v>
          </cell>
          <cell r="AB9">
            <v>2629.1539999999995</v>
          </cell>
          <cell r="AC9">
            <v>13083.663999999999</v>
          </cell>
          <cell r="AD9">
            <v>22813.603999999999</v>
          </cell>
          <cell r="AE9">
            <v>25815.393999999997</v>
          </cell>
          <cell r="AF9">
            <v>39892.753999999994</v>
          </cell>
          <cell r="AG9">
            <v>14636.313999999998</v>
          </cell>
          <cell r="AH9">
            <v>27368.043999999998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FXPXDP7DMSJHI3PXRBE3DCGOU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0</v>
          </cell>
          <cell r="X8">
            <v>3383.9807692307691</v>
          </cell>
          <cell r="Y8">
            <v>634.49639423076906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>Ventanas</v>
          </cell>
          <cell r="W9">
            <v>0</v>
          </cell>
          <cell r="X9">
            <v>3184.9230769230767</v>
          </cell>
          <cell r="Y9">
            <v>597.17307692307691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UBKQ5IQOH3NEL42GR5CMDKNPZ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5834.8586999999998</v>
          </cell>
          <cell r="X8">
            <v>5834.8586999999998</v>
          </cell>
          <cell r="Y8">
            <v>5834.8586999999998</v>
          </cell>
          <cell r="Z8">
            <v>5834.8586999999998</v>
          </cell>
          <cell r="AA8">
            <v>5834.8586999999998</v>
          </cell>
          <cell r="AB8">
            <v>5834.8586999999998</v>
          </cell>
          <cell r="AC8">
            <v>5834.8586999999998</v>
          </cell>
          <cell r="AD8">
            <v>5834.8586999999998</v>
          </cell>
          <cell r="AE8">
            <v>5834.8586999999998</v>
          </cell>
          <cell r="AF8">
            <v>5834.8586999999998</v>
          </cell>
          <cell r="AG8">
            <v>5834.8586999999998</v>
          </cell>
          <cell r="AH8">
            <v>5834.8586999999998</v>
          </cell>
        </row>
        <row r="9">
          <cell r="V9" t="str">
            <v>Ventanas</v>
          </cell>
          <cell r="W9">
            <v>5834.8586999999998</v>
          </cell>
          <cell r="X9">
            <v>5834.8586999999998</v>
          </cell>
          <cell r="Y9">
            <v>5834.8586999999998</v>
          </cell>
          <cell r="Z9">
            <v>5834.8586999999998</v>
          </cell>
          <cell r="AA9">
            <v>5834.8586999999998</v>
          </cell>
          <cell r="AB9">
            <v>5834.8586999999998</v>
          </cell>
          <cell r="AC9">
            <v>5834.8586999999998</v>
          </cell>
          <cell r="AD9">
            <v>5834.8586999999998</v>
          </cell>
          <cell r="AE9">
            <v>5834.8586999999998</v>
          </cell>
          <cell r="AF9">
            <v>5834.8586999999998</v>
          </cell>
          <cell r="AG9">
            <v>5834.8586999999998</v>
          </cell>
          <cell r="AH9">
            <v>5834.8586999999998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TZZZI2YCRPXNCYYBFTRQWHEFTF">
      <xxl21:absoluteUrl r:id="rId2"/>
    </xxl21:alternateUrls>
    <sheetNames>
      <sheetName val="Resumen"/>
      <sheetName val="Detalle"/>
      <sheetName val="Evidencias"/>
    </sheetNames>
    <sheetDataSet>
      <sheetData sheetId="0">
        <row r="10">
          <cell r="V10" t="str">
            <v>Picachos</v>
          </cell>
          <cell r="W10">
            <v>1138.6099999999999</v>
          </cell>
          <cell r="X10">
            <v>1138.6099999999999</v>
          </cell>
          <cell r="Y10">
            <v>1138.6099999999999</v>
          </cell>
          <cell r="Z10">
            <v>1138.6099999999999</v>
          </cell>
          <cell r="AA10">
            <v>1138.6099999999999</v>
          </cell>
          <cell r="AB10">
            <v>1138.6099999999999</v>
          </cell>
          <cell r="AC10">
            <v>1138.6099999999999</v>
          </cell>
          <cell r="AD10">
            <v>1138.6099999999999</v>
          </cell>
          <cell r="AE10">
            <v>1138.6099999999999</v>
          </cell>
          <cell r="AF10">
            <v>1138.6099999999999</v>
          </cell>
          <cell r="AG10">
            <v>1138.6099999999999</v>
          </cell>
          <cell r="AH10">
            <v>1138.6099999999999</v>
          </cell>
        </row>
        <row r="11">
          <cell r="V11" t="str">
            <v>Ventanas</v>
          </cell>
          <cell r="W11">
            <v>1035.0999999999999</v>
          </cell>
          <cell r="X11">
            <v>1035.0999999999999</v>
          </cell>
          <cell r="Y11">
            <v>1035.0999999999999</v>
          </cell>
          <cell r="Z11">
            <v>1035.0999999999999</v>
          </cell>
          <cell r="AA11">
            <v>1035.0999999999999</v>
          </cell>
          <cell r="AB11">
            <v>1035.0999999999999</v>
          </cell>
          <cell r="AC11">
            <v>1035.0999999999999</v>
          </cell>
          <cell r="AD11">
            <v>1035.0999999999999</v>
          </cell>
          <cell r="AE11">
            <v>1035.0999999999999</v>
          </cell>
          <cell r="AF11">
            <v>1035.0999999999999</v>
          </cell>
          <cell r="AG11">
            <v>1035.0999999999999</v>
          </cell>
          <cell r="AH11">
            <v>1035.0999999999999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WSQXKMONC5RBJXXIEYULLY4DD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2637.4086575342467</v>
          </cell>
          <cell r="X8">
            <v>2382.1755616438359</v>
          </cell>
          <cell r="Y8">
            <v>2637.4086575342467</v>
          </cell>
          <cell r="Z8">
            <v>2552.3309589041096</v>
          </cell>
          <cell r="AA8">
            <v>2637.4086575342467</v>
          </cell>
          <cell r="AB8">
            <v>2552.3309589041096</v>
          </cell>
          <cell r="AC8">
            <v>2637.4086575342467</v>
          </cell>
          <cell r="AD8">
            <v>2637.4086575342467</v>
          </cell>
          <cell r="AE8">
            <v>2552.3309589041096</v>
          </cell>
          <cell r="AF8">
            <v>2637.4086575342467</v>
          </cell>
          <cell r="AG8">
            <v>2552.3309589041096</v>
          </cell>
          <cell r="AH8">
            <v>2637.4086575342467</v>
          </cell>
        </row>
        <row r="9">
          <cell r="V9" t="str">
            <v>Ventanas</v>
          </cell>
          <cell r="W9">
            <v>678.5415890410959</v>
          </cell>
          <cell r="X9">
            <v>612.8762739726028</v>
          </cell>
          <cell r="Y9">
            <v>678.5415890410959</v>
          </cell>
          <cell r="Z9">
            <v>656.65315068493157</v>
          </cell>
          <cell r="AA9">
            <v>678.5415890410959</v>
          </cell>
          <cell r="AB9">
            <v>656.65315068493157</v>
          </cell>
          <cell r="AC9">
            <v>678.5415890410959</v>
          </cell>
          <cell r="AD9">
            <v>678.5415890410959</v>
          </cell>
          <cell r="AE9">
            <v>656.65315068493157</v>
          </cell>
          <cell r="AF9">
            <v>678.5415890410959</v>
          </cell>
          <cell r="AG9">
            <v>656.65315068493157</v>
          </cell>
          <cell r="AH9">
            <v>678.5415890410959</v>
          </cell>
        </row>
      </sheetData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XL2C7CCRX6C5BYZHL464DOYJQH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5719.9211959999993</v>
          </cell>
          <cell r="X8">
            <v>0</v>
          </cell>
          <cell r="Y8">
            <v>5719.9211959999993</v>
          </cell>
          <cell r="Z8">
            <v>8579.881793999999</v>
          </cell>
          <cell r="AA8">
            <v>5719.9211959999993</v>
          </cell>
          <cell r="AB8">
            <v>14299.802989999998</v>
          </cell>
          <cell r="AC8">
            <v>11439.842391999999</v>
          </cell>
          <cell r="AD8">
            <v>0</v>
          </cell>
          <cell r="AE8">
            <v>0</v>
          </cell>
          <cell r="AF8">
            <v>32071.973141999995</v>
          </cell>
          <cell r="AG8">
            <v>0</v>
          </cell>
          <cell r="AH8">
            <v>11439.842391999999</v>
          </cell>
        </row>
        <row r="9">
          <cell r="V9" t="str">
            <v>Ventanas</v>
          </cell>
          <cell r="W9">
            <v>0</v>
          </cell>
          <cell r="X9">
            <v>5719.9211959999993</v>
          </cell>
          <cell r="Y9">
            <v>0</v>
          </cell>
          <cell r="Z9">
            <v>2859.9605979999997</v>
          </cell>
          <cell r="AA9">
            <v>8579.8817939999972</v>
          </cell>
          <cell r="AB9">
            <v>14299.802989999998</v>
          </cell>
          <cell r="AC9">
            <v>2859.9605979999997</v>
          </cell>
          <cell r="AD9">
            <v>8579.8817939999972</v>
          </cell>
          <cell r="AE9">
            <v>8579.881793999999</v>
          </cell>
          <cell r="AF9">
            <v>22278.436597999997</v>
          </cell>
          <cell r="AG9">
            <v>0</v>
          </cell>
          <cell r="AH9">
            <v>11439.842391999999</v>
          </cell>
        </row>
      </sheetData>
      <sheetData sheetId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6LFMHFU6MZVBZNYS6ZZRUOHE7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0</v>
          </cell>
          <cell r="X8">
            <v>0</v>
          </cell>
          <cell r="Y8">
            <v>0</v>
          </cell>
          <cell r="Z8">
            <v>1055.8019999999999</v>
          </cell>
          <cell r="AA8">
            <v>0</v>
          </cell>
          <cell r="AB8">
            <v>1055.8019999999999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>Ventanas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1055.8019999999999</v>
          </cell>
          <cell r="AD9">
            <v>3167.4059999999999</v>
          </cell>
          <cell r="AE9">
            <v>2111.6039999999998</v>
          </cell>
          <cell r="AF9">
            <v>0</v>
          </cell>
          <cell r="AG9">
            <v>0</v>
          </cell>
          <cell r="AH9">
            <v>0</v>
          </cell>
        </row>
      </sheetData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V3JMRFNTAHZA3GJFLJK2IUSTX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934.5440000000001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>Ventanas</v>
          </cell>
          <cell r="W9">
            <v>946.98239999999998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B4IV6PJPKYBFL76NW6IMVABM4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2903.4554999999996</v>
          </cell>
          <cell r="AB8">
            <v>3255.3894999999998</v>
          </cell>
          <cell r="AC8">
            <v>0</v>
          </cell>
          <cell r="AD8">
            <v>2991.4389999999999</v>
          </cell>
          <cell r="AE8">
            <v>0</v>
          </cell>
          <cell r="AF8">
            <v>1407.7359999999999</v>
          </cell>
          <cell r="AG8">
            <v>879.83499999999992</v>
          </cell>
          <cell r="AH8">
            <v>29914.389999999996</v>
          </cell>
        </row>
        <row r="9">
          <cell r="V9" t="str">
            <v>Ventanas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2732.6639999999998</v>
          </cell>
          <cell r="AB9">
            <v>3063.8959999999997</v>
          </cell>
          <cell r="AC9">
            <v>0</v>
          </cell>
          <cell r="AD9">
            <v>2815.4719999999998</v>
          </cell>
          <cell r="AE9">
            <v>0</v>
          </cell>
          <cell r="AF9">
            <v>1324.9279999999999</v>
          </cell>
          <cell r="AG9">
            <v>828.07999999999993</v>
          </cell>
          <cell r="AH9">
            <v>28154.719999999998</v>
          </cell>
        </row>
      </sheetData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VRDFMUBR6TZVD3MU36Q7JNK4JO">
      <xxl21:absoluteUrl r:id="rId2"/>
    </xxl21:alternateUrls>
    <sheetNames>
      <sheetName val="Gasto Real Vs Presupuesto 2026"/>
      <sheetName val="Resumen OPE"/>
      <sheetName val="EJEMPLO"/>
      <sheetName val="Hoja1"/>
      <sheetName val="EJERCICIO ENE"/>
      <sheetName val="EJERCICIO ENE PRUEBv2"/>
      <sheetName val="Puestos"/>
      <sheetName val="Calculadora de Variables DG"/>
      <sheetName val="STAFF ENE24"/>
      <sheetName val="OPE ENE26"/>
      <sheetName val="OPE FEB26"/>
      <sheetName val="OPE MAR26"/>
      <sheetName val="OPE ABR26"/>
      <sheetName val="OPE MAY26"/>
      <sheetName val="OPE JUN26"/>
      <sheetName val="OPE JUL26"/>
      <sheetName val="OPE AGO26"/>
      <sheetName val="OPE SEPT26"/>
      <sheetName val="OPE OCT26"/>
      <sheetName val="OPE NOV26"/>
      <sheetName val="OPE DIC26"/>
      <sheetName val="Tabla de bonos ope"/>
      <sheetName val="Festivos26"/>
      <sheetName val="Hoja3"/>
      <sheetName val="SALARIOS 2026"/>
      <sheetName val="Parametros"/>
      <sheetName val="Gasto Real Vs Presupuesto 2025"/>
      <sheetName val="OPE ENE25"/>
      <sheetName val="OPE FEB25"/>
      <sheetName val="OPE MAR25"/>
      <sheetName val="OPE ABR25"/>
      <sheetName val="OPE MAY25"/>
      <sheetName val="OPE JUN25"/>
      <sheetName val="OPE JUL25"/>
      <sheetName val="OPE AGO25"/>
      <sheetName val="OPE SEPT25"/>
      <sheetName val="OPE OCT25"/>
      <sheetName val="OPE NOV25"/>
      <sheetName val="OPE DIC25"/>
      <sheetName val="Festivos25"/>
      <sheetName val="SALARIOS 2025"/>
    </sheetNames>
    <sheetDataSet>
      <sheetData sheetId="0">
        <row r="7">
          <cell r="A7" t="str">
            <v>Aguinaldo</v>
          </cell>
          <cell r="B7">
            <v>7404.903544068492</v>
          </cell>
          <cell r="C7">
            <v>6688.2999752876703</v>
          </cell>
          <cell r="D7">
            <v>7404.903544068492</v>
          </cell>
          <cell r="E7">
            <v>7166.0356878082175</v>
          </cell>
          <cell r="F7">
            <v>7404.903544068492</v>
          </cell>
          <cell r="G7">
            <v>7166.0356878082175</v>
          </cell>
          <cell r="H7">
            <v>7404.903544068492</v>
          </cell>
          <cell r="I7">
            <v>7404.903544068492</v>
          </cell>
          <cell r="J7">
            <v>7166.0356878082175</v>
          </cell>
          <cell r="K7">
            <v>7404.903544068492</v>
          </cell>
          <cell r="L7">
            <v>7166.0356878082175</v>
          </cell>
          <cell r="M7">
            <v>7404.903544068492</v>
          </cell>
        </row>
        <row r="8">
          <cell r="A8" t="str">
            <v>Compensaciones</v>
          </cell>
          <cell r="B8">
            <v>23682.709080000001</v>
          </cell>
          <cell r="C8">
            <v>23682.709080000001</v>
          </cell>
          <cell r="D8">
            <v>23682.709080000001</v>
          </cell>
          <cell r="E8">
            <v>23682.709080000001</v>
          </cell>
          <cell r="F8">
            <v>23682.709080000001</v>
          </cell>
          <cell r="G8">
            <v>23682.709080000001</v>
          </cell>
          <cell r="H8">
            <v>23682.709080000001</v>
          </cell>
          <cell r="I8">
            <v>23682.709080000001</v>
          </cell>
          <cell r="J8">
            <v>23682.709080000001</v>
          </cell>
          <cell r="K8">
            <v>23682.709080000001</v>
          </cell>
          <cell r="L8">
            <v>23682.709080000001</v>
          </cell>
          <cell r="M8">
            <v>23682.709080000001</v>
          </cell>
        </row>
        <row r="9">
          <cell r="A9" t="str">
            <v>Días festivos</v>
          </cell>
          <cell r="B9">
            <v>6974.9414027999992</v>
          </cell>
          <cell r="C9">
            <v>6974.9414027999992</v>
          </cell>
          <cell r="D9">
            <v>6974.9414027999992</v>
          </cell>
          <cell r="E9">
            <v>0</v>
          </cell>
          <cell r="F9">
            <v>6974.9414027999992</v>
          </cell>
          <cell r="G9">
            <v>0</v>
          </cell>
          <cell r="H9">
            <v>0</v>
          </cell>
          <cell r="I9">
            <v>0</v>
          </cell>
          <cell r="J9">
            <v>6974.9414027999992</v>
          </cell>
          <cell r="K9">
            <v>0</v>
          </cell>
          <cell r="L9">
            <v>6974.9414027999992</v>
          </cell>
          <cell r="M9">
            <v>6974.9414027999992</v>
          </cell>
        </row>
        <row r="10">
          <cell r="A10" t="str">
            <v>Fondo de ahorro</v>
          </cell>
          <cell r="B10">
            <v>9730.0432569059994</v>
          </cell>
          <cell r="C10">
            <v>8788.4261675279995</v>
          </cell>
          <cell r="D10">
            <v>9730.0432569059994</v>
          </cell>
          <cell r="E10">
            <v>9416.1708937799995</v>
          </cell>
          <cell r="F10">
            <v>9730.0432569059994</v>
          </cell>
          <cell r="G10">
            <v>9416.1708937799995</v>
          </cell>
          <cell r="H10">
            <v>9730.0432569059994</v>
          </cell>
          <cell r="I10">
            <v>9730.0432569059994</v>
          </cell>
          <cell r="J10">
            <v>9416.1708937799995</v>
          </cell>
          <cell r="K10">
            <v>9730.0432569059994</v>
          </cell>
          <cell r="L10">
            <v>9416.1708937799995</v>
          </cell>
          <cell r="M10">
            <v>9730.0432569059994</v>
          </cell>
        </row>
        <row r="11">
          <cell r="A11" t="str">
            <v>Gratificaciones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Indemnizaciones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Premios de asistencia</v>
          </cell>
          <cell r="B13">
            <v>15124.067339999998</v>
          </cell>
          <cell r="C13">
            <v>13660.447919999995</v>
          </cell>
          <cell r="D13">
            <v>15124.067339999998</v>
          </cell>
          <cell r="E13">
            <v>14636.194199999998</v>
          </cell>
          <cell r="F13">
            <v>15124.067339999998</v>
          </cell>
          <cell r="G13">
            <v>14636.194199999998</v>
          </cell>
          <cell r="H13">
            <v>15124.067339999998</v>
          </cell>
          <cell r="I13">
            <v>15124.067339999998</v>
          </cell>
          <cell r="J13">
            <v>14636.194199999998</v>
          </cell>
          <cell r="K13">
            <v>15124.067339999998</v>
          </cell>
          <cell r="L13">
            <v>14636.194199999998</v>
          </cell>
          <cell r="M13">
            <v>15124.067339999998</v>
          </cell>
        </row>
        <row r="14">
          <cell r="A14" t="str">
            <v>Premios de puntualidad</v>
          </cell>
          <cell r="B14">
            <v>13421.32352</v>
          </cell>
          <cell r="C14">
            <v>12122.48576</v>
          </cell>
          <cell r="D14">
            <v>13421.32352</v>
          </cell>
          <cell r="E14">
            <v>12988.377600000002</v>
          </cell>
          <cell r="F14">
            <v>13421.32352</v>
          </cell>
          <cell r="G14">
            <v>12988.377600000002</v>
          </cell>
          <cell r="H14">
            <v>13421.32352</v>
          </cell>
          <cell r="I14">
            <v>13421.32352</v>
          </cell>
          <cell r="J14">
            <v>12988.377600000002</v>
          </cell>
          <cell r="K14">
            <v>13421.32352</v>
          </cell>
          <cell r="L14">
            <v>12988.377600000002</v>
          </cell>
          <cell r="M14">
            <v>13421.32352</v>
          </cell>
        </row>
        <row r="15">
          <cell r="A15" t="str">
            <v>Previsión social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Prima dominical</v>
          </cell>
          <cell r="B16">
            <v>4036.4067575999993</v>
          </cell>
          <cell r="C16">
            <v>3645.7867487999993</v>
          </cell>
          <cell r="D16">
            <v>4036.4067575999993</v>
          </cell>
          <cell r="E16">
            <v>3906.2000879999991</v>
          </cell>
          <cell r="F16">
            <v>4036.4067575999993</v>
          </cell>
          <cell r="G16">
            <v>3906.2000879999991</v>
          </cell>
          <cell r="H16">
            <v>4036.4067575999993</v>
          </cell>
          <cell r="I16">
            <v>4036.4067575999993</v>
          </cell>
          <cell r="J16">
            <v>3906.2000879999991</v>
          </cell>
          <cell r="K16">
            <v>4036.4067575999993</v>
          </cell>
          <cell r="L16">
            <v>3906.2000879999991</v>
          </cell>
          <cell r="M16">
            <v>4036.4067575999993</v>
          </cell>
        </row>
        <row r="17">
          <cell r="A17" t="str">
            <v>Prima vacacional</v>
          </cell>
          <cell r="B17">
            <v>1604.395767881507</v>
          </cell>
          <cell r="C17">
            <v>1449.1316613123288</v>
          </cell>
          <cell r="D17">
            <v>1604.395767881507</v>
          </cell>
          <cell r="E17">
            <v>1552.6410656917808</v>
          </cell>
          <cell r="F17">
            <v>1604.395767881507</v>
          </cell>
          <cell r="G17">
            <v>1552.6410656917808</v>
          </cell>
          <cell r="H17">
            <v>1604.395767881507</v>
          </cell>
          <cell r="I17">
            <v>1604.395767881507</v>
          </cell>
          <cell r="J17">
            <v>1552.6410656917808</v>
          </cell>
          <cell r="K17">
            <v>1604.395767881507</v>
          </cell>
          <cell r="L17">
            <v>1552.6410656917808</v>
          </cell>
          <cell r="M17">
            <v>1604.395767881507</v>
          </cell>
        </row>
        <row r="18">
          <cell r="A18" t="str">
            <v>Primas de antigüedad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PTU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Sueldos y salarios</v>
          </cell>
          <cell r="B20">
            <v>180185.98623899999</v>
          </cell>
          <cell r="C20">
            <v>162748.632732</v>
          </cell>
          <cell r="D20">
            <v>180185.98623899999</v>
          </cell>
          <cell r="E20">
            <v>174373.53507000001</v>
          </cell>
          <cell r="F20">
            <v>180185.98623899999</v>
          </cell>
          <cell r="G20">
            <v>174373.53507000001</v>
          </cell>
          <cell r="H20">
            <v>180185.98623899999</v>
          </cell>
          <cell r="I20">
            <v>180185.98623899999</v>
          </cell>
          <cell r="J20">
            <v>174373.53507000001</v>
          </cell>
          <cell r="K20">
            <v>180185.98623899999</v>
          </cell>
          <cell r="L20">
            <v>174373.53507000001</v>
          </cell>
          <cell r="M20">
            <v>180185.98623899999</v>
          </cell>
        </row>
        <row r="21">
          <cell r="A21" t="str">
            <v>Tiempos extras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Vacaciones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TOTAL NOMINA</v>
          </cell>
          <cell r="B23">
            <v>262164.776908256</v>
          </cell>
          <cell r="C23">
            <v>239760.86144772801</v>
          </cell>
          <cell r="D23">
            <v>262164.776908256</v>
          </cell>
          <cell r="E23">
            <v>247721.86368528003</v>
          </cell>
          <cell r="F23">
            <v>262164.776908256</v>
          </cell>
          <cell r="G23">
            <v>247721.86368528003</v>
          </cell>
          <cell r="H23">
            <v>255189.83550545597</v>
          </cell>
          <cell r="I23">
            <v>255189.83550545597</v>
          </cell>
          <cell r="J23">
            <v>254696.80508808</v>
          </cell>
          <cell r="K23">
            <v>255189.83550545597</v>
          </cell>
          <cell r="L23">
            <v>254696.80508808</v>
          </cell>
          <cell r="M23">
            <v>262164.776908256</v>
          </cell>
        </row>
        <row r="24">
          <cell r="A24" t="str">
            <v xml:space="preserve">D - COSTO SOCIAL </v>
          </cell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</row>
        <row r="25">
          <cell r="A25" t="str">
            <v>Aportaciones al infonavit</v>
          </cell>
          <cell r="B25">
            <v>594.10398592000001</v>
          </cell>
          <cell r="C25">
            <v>10257.725976009999</v>
          </cell>
          <cell r="D25">
            <v>11192.530631567499</v>
          </cell>
          <cell r="E25">
            <v>10534.056049574998</v>
          </cell>
          <cell r="F25">
            <v>11192.530631567499</v>
          </cell>
          <cell r="G25">
            <v>10534.056049574998</v>
          </cell>
          <cell r="H25">
            <v>10845.7200694275</v>
          </cell>
          <cell r="I25">
            <v>10845.7200694275</v>
          </cell>
          <cell r="J25">
            <v>10880.929079714999</v>
          </cell>
          <cell r="K25">
            <v>10845.7200694275</v>
          </cell>
          <cell r="L25">
            <v>10880.929079714999</v>
          </cell>
          <cell r="M25">
            <v>11192.530631567499</v>
          </cell>
        </row>
        <row r="26">
          <cell r="A26" t="str">
            <v>Aportaciones al SAR</v>
          </cell>
          <cell r="B26">
            <v>19372.766733875171</v>
          </cell>
          <cell r="C26">
            <v>17758.903868769041</v>
          </cell>
          <cell r="D26">
            <v>19372.766733875171</v>
          </cell>
          <cell r="E26">
            <v>18235.718514128112</v>
          </cell>
          <cell r="F26">
            <v>19372.766733875171</v>
          </cell>
          <cell r="G26">
            <v>18235.718514128112</v>
          </cell>
          <cell r="H26">
            <v>18773.777261486426</v>
          </cell>
          <cell r="I26">
            <v>18773.777261486426</v>
          </cell>
          <cell r="J26">
            <v>18834.812445506461</v>
          </cell>
          <cell r="K26">
            <v>18773.777261486426</v>
          </cell>
          <cell r="L26">
            <v>18834.812445506461</v>
          </cell>
          <cell r="M26">
            <v>19372.766733875171</v>
          </cell>
        </row>
        <row r="27">
          <cell r="A27" t="str">
            <v>Cuotas al IMSS</v>
          </cell>
          <cell r="B27">
            <v>25622.873201768049</v>
          </cell>
          <cell r="C27">
            <v>23347.161552477999</v>
          </cell>
          <cell r="D27">
            <v>25622.873201768049</v>
          </cell>
          <cell r="E27">
            <v>24387.471559884572</v>
          </cell>
          <cell r="F27">
            <v>25622.873201768049</v>
          </cell>
          <cell r="G27">
            <v>24387.471559884572</v>
          </cell>
          <cell r="H27">
            <v>25146.127981658923</v>
          </cell>
          <cell r="I27">
            <v>25146.127981658923</v>
          </cell>
          <cell r="J27">
            <v>24864.302652004702</v>
          </cell>
          <cell r="K27">
            <v>25146.127981658923</v>
          </cell>
          <cell r="L27">
            <v>24864.302652004702</v>
          </cell>
          <cell r="M27">
            <v>25622.873201768049</v>
          </cell>
        </row>
        <row r="28">
          <cell r="A28" t="str">
            <v>Impuesto Estatal</v>
          </cell>
          <cell r="B28">
            <v>6940.8900960121255</v>
          </cell>
          <cell r="C28">
            <v>6350.7799630054997</v>
          </cell>
          <cell r="D28">
            <v>6940.8900960121255</v>
          </cell>
          <cell r="E28">
            <v>6553.4065517662493</v>
          </cell>
          <cell r="F28">
            <v>6940.8900960121255</v>
          </cell>
          <cell r="G28">
            <v>6553.4065517662493</v>
          </cell>
          <cell r="H28">
            <v>6750.1442868351251</v>
          </cell>
          <cell r="I28">
            <v>6750.1442868351251</v>
          </cell>
          <cell r="J28">
            <v>6744.1867183432496</v>
          </cell>
          <cell r="K28">
            <v>6750.1442868351251</v>
          </cell>
          <cell r="L28">
            <v>6131.0788348574997</v>
          </cell>
          <cell r="M28">
            <v>6940.8900960121255</v>
          </cell>
        </row>
        <row r="34">
          <cell r="A34" t="str">
            <v>Aguinaldo</v>
          </cell>
          <cell r="B34">
            <v>7001.3994042328759</v>
          </cell>
          <cell r="C34">
            <v>6323.8446231780808</v>
          </cell>
          <cell r="D34">
            <v>7001.3994042328759</v>
          </cell>
          <cell r="E34">
            <v>6775.5478105479442</v>
          </cell>
          <cell r="F34">
            <v>7001.3994042328759</v>
          </cell>
          <cell r="G34">
            <v>6775.5478105479442</v>
          </cell>
          <cell r="H34">
            <v>7001.3994042328759</v>
          </cell>
          <cell r="I34">
            <v>7001.3994042328759</v>
          </cell>
          <cell r="J34">
            <v>6775.5478105479442</v>
          </cell>
          <cell r="K34">
            <v>7001.3994042328759</v>
          </cell>
          <cell r="L34">
            <v>6775.5478105479442</v>
          </cell>
          <cell r="M34">
            <v>7001.3994042328759</v>
          </cell>
        </row>
        <row r="35">
          <cell r="A35" t="str">
            <v>Compensaciones</v>
          </cell>
          <cell r="B35">
            <v>22696.969859999997</v>
          </cell>
          <cell r="C35">
            <v>22696.969859999997</v>
          </cell>
          <cell r="D35">
            <v>22696.969859999997</v>
          </cell>
          <cell r="E35">
            <v>22696.969859999997</v>
          </cell>
          <cell r="F35">
            <v>22696.969859999997</v>
          </cell>
          <cell r="G35">
            <v>22696.969859999997</v>
          </cell>
          <cell r="H35">
            <v>22696.969859999997</v>
          </cell>
          <cell r="I35">
            <v>22696.969859999997</v>
          </cell>
          <cell r="J35">
            <v>22696.969859999997</v>
          </cell>
          <cell r="K35">
            <v>22696.969859999997</v>
          </cell>
          <cell r="L35">
            <v>22696.969859999997</v>
          </cell>
          <cell r="M35">
            <v>22696.969859999997</v>
          </cell>
        </row>
        <row r="36">
          <cell r="A36" t="str">
            <v>Días festivos</v>
          </cell>
          <cell r="B36">
            <v>6594.8665355999992</v>
          </cell>
          <cell r="C36">
            <v>6594.8665355999992</v>
          </cell>
          <cell r="D36">
            <v>6594.8665355999992</v>
          </cell>
          <cell r="E36">
            <v>0</v>
          </cell>
          <cell r="F36">
            <v>6594.8665355999992</v>
          </cell>
          <cell r="G36">
            <v>0</v>
          </cell>
          <cell r="H36">
            <v>0</v>
          </cell>
          <cell r="I36">
            <v>0</v>
          </cell>
          <cell r="J36">
            <v>6594.8665355999992</v>
          </cell>
          <cell r="K36">
            <v>0</v>
          </cell>
          <cell r="L36">
            <v>6594.8665355999992</v>
          </cell>
          <cell r="M36">
            <v>6594.8665355999992</v>
          </cell>
        </row>
        <row r="37">
          <cell r="A37" t="str">
            <v>Fondo de ahorro</v>
          </cell>
          <cell r="B37">
            <v>9199.838817161999</v>
          </cell>
          <cell r="C37">
            <v>8309.5318348559995</v>
          </cell>
          <cell r="D37">
            <v>9199.838817161999</v>
          </cell>
          <cell r="E37">
            <v>8903.069823060001</v>
          </cell>
          <cell r="F37">
            <v>9199.838817161999</v>
          </cell>
          <cell r="G37">
            <v>8903.069823060001</v>
          </cell>
          <cell r="H37">
            <v>9199.838817161999</v>
          </cell>
          <cell r="I37">
            <v>9199.838817161999</v>
          </cell>
          <cell r="J37">
            <v>8903.069823060001</v>
          </cell>
          <cell r="K37">
            <v>9199.838817161999</v>
          </cell>
          <cell r="L37">
            <v>8903.069823060001</v>
          </cell>
          <cell r="M37">
            <v>9199.838817161999</v>
          </cell>
        </row>
        <row r="38">
          <cell r="A38" t="str">
            <v>Gratificaciones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Indemnizaciones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Premios de asistencia</v>
          </cell>
          <cell r="B40">
            <v>14293.894780000001</v>
          </cell>
          <cell r="C40">
            <v>12910.614639999998</v>
          </cell>
          <cell r="D40">
            <v>14293.894780000001</v>
          </cell>
          <cell r="E40">
            <v>13832.801399999998</v>
          </cell>
          <cell r="F40">
            <v>14293.894780000001</v>
          </cell>
          <cell r="G40">
            <v>13832.801399999998</v>
          </cell>
          <cell r="H40">
            <v>14293.894780000001</v>
          </cell>
          <cell r="I40">
            <v>14293.894780000001</v>
          </cell>
          <cell r="J40">
            <v>13832.801399999998</v>
          </cell>
          <cell r="K40">
            <v>14293.894780000001</v>
          </cell>
          <cell r="L40">
            <v>13832.801399999998</v>
          </cell>
          <cell r="M40">
            <v>14293.894780000001</v>
          </cell>
        </row>
        <row r="41">
          <cell r="A41" t="str">
            <v>Premios de puntualidad</v>
          </cell>
          <cell r="B41">
            <v>12639.984640000001</v>
          </cell>
          <cell r="C41">
            <v>11416.760319999999</v>
          </cell>
          <cell r="D41">
            <v>12639.984640000001</v>
          </cell>
          <cell r="E41">
            <v>12232.243200000001</v>
          </cell>
          <cell r="F41">
            <v>12639.984640000001</v>
          </cell>
          <cell r="G41">
            <v>12232.243200000001</v>
          </cell>
          <cell r="H41">
            <v>12639.984640000001</v>
          </cell>
          <cell r="I41">
            <v>12639.984640000001</v>
          </cell>
          <cell r="J41">
            <v>12232.243200000001</v>
          </cell>
          <cell r="K41">
            <v>12639.984640000001</v>
          </cell>
          <cell r="L41">
            <v>12232.243200000001</v>
          </cell>
          <cell r="M41">
            <v>12639.984640000001</v>
          </cell>
        </row>
        <row r="42">
          <cell r="A42" t="str">
            <v>Previsión social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Prima dominical</v>
          </cell>
          <cell r="B43">
            <v>3790.9417391999996</v>
          </cell>
          <cell r="C43">
            <v>3424.0764095999994</v>
          </cell>
          <cell r="D43">
            <v>3790.9417391999996</v>
          </cell>
          <cell r="E43">
            <v>3668.6532959999995</v>
          </cell>
          <cell r="F43">
            <v>3790.9417391999996</v>
          </cell>
          <cell r="G43">
            <v>3668.6532959999995</v>
          </cell>
          <cell r="H43">
            <v>3790.9417391999996</v>
          </cell>
          <cell r="I43">
            <v>3790.9417391999996</v>
          </cell>
          <cell r="J43">
            <v>3668.6532959999995</v>
          </cell>
          <cell r="K43">
            <v>3790.9417391999996</v>
          </cell>
          <cell r="L43">
            <v>3668.6532959999995</v>
          </cell>
          <cell r="M43">
            <v>3790.9417391999996</v>
          </cell>
        </row>
        <row r="44">
          <cell r="A44" t="str">
            <v>Prima vacacional</v>
          </cell>
          <cell r="B44">
            <v>1516.9698709171232</v>
          </cell>
          <cell r="C44">
            <v>1370.166335021918</v>
          </cell>
          <cell r="D44">
            <v>1516.9698709171232</v>
          </cell>
          <cell r="E44">
            <v>1468.0353589520548</v>
          </cell>
          <cell r="F44">
            <v>1516.9698709171232</v>
          </cell>
          <cell r="G44">
            <v>1468.0353589520548</v>
          </cell>
          <cell r="H44">
            <v>1516.9698709171232</v>
          </cell>
          <cell r="I44">
            <v>1516.9698709171232</v>
          </cell>
          <cell r="J44">
            <v>1468.0353589520548</v>
          </cell>
          <cell r="K44">
            <v>1516.9698709171232</v>
          </cell>
          <cell r="L44">
            <v>1468.0353589520548</v>
          </cell>
          <cell r="M44">
            <v>1516.9698709171232</v>
          </cell>
        </row>
        <row r="45">
          <cell r="A45" t="str">
            <v>Primas de antigüedad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PTU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Sueldos y salarios</v>
          </cell>
          <cell r="B47">
            <v>170367.385503</v>
          </cell>
          <cell r="C47">
            <v>153880.21916399998</v>
          </cell>
          <cell r="D47">
            <v>170367.385503</v>
          </cell>
          <cell r="E47">
            <v>164871.66339</v>
          </cell>
          <cell r="F47">
            <v>170367.385503</v>
          </cell>
          <cell r="G47">
            <v>164871.66339</v>
          </cell>
          <cell r="H47">
            <v>170367.385503</v>
          </cell>
          <cell r="I47">
            <v>170367.385503</v>
          </cell>
          <cell r="J47">
            <v>164871.66339</v>
          </cell>
          <cell r="K47">
            <v>170367.385503</v>
          </cell>
          <cell r="L47">
            <v>164871.66339</v>
          </cell>
          <cell r="M47">
            <v>170367.385503</v>
          </cell>
        </row>
        <row r="48">
          <cell r="A48" t="str">
            <v>Tiempos extras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 t="str">
            <v>Vacaciones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NOMINA</v>
          </cell>
          <cell r="B50">
            <v>248102.25115011199</v>
          </cell>
          <cell r="C50">
            <v>226927.04972225596</v>
          </cell>
          <cell r="D50">
            <v>248102.25115011199</v>
          </cell>
          <cell r="E50">
            <v>234448.98413856002</v>
          </cell>
          <cell r="F50">
            <v>248102.25115011199</v>
          </cell>
          <cell r="G50">
            <v>234448.98413856002</v>
          </cell>
          <cell r="H50">
            <v>241507.38461451198</v>
          </cell>
          <cell r="I50">
            <v>241507.38461451198</v>
          </cell>
          <cell r="J50">
            <v>241043.85067416</v>
          </cell>
          <cell r="K50">
            <v>241507.38461451198</v>
          </cell>
          <cell r="L50">
            <v>241043.85067416</v>
          </cell>
          <cell r="M50">
            <v>248102.25115011199</v>
          </cell>
        </row>
        <row r="51">
          <cell r="A51" t="str">
            <v xml:space="preserve">D - COSTO SOCIAL </v>
          </cell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</row>
        <row r="52">
          <cell r="A52" t="str">
            <v>Aportaciones al infonavit</v>
          </cell>
          <cell r="B52">
            <v>10596.490137647499</v>
          </cell>
          <cell r="C52">
            <v>9712.7580423699983</v>
          </cell>
          <cell r="D52">
            <v>10596.490137647499</v>
          </cell>
          <cell r="E52">
            <v>9974.043485774997</v>
          </cell>
          <cell r="F52">
            <v>10596.490137647499</v>
          </cell>
          <cell r="G52">
            <v>9974.043485774997</v>
          </cell>
          <cell r="H52">
            <v>10268.683318867501</v>
          </cell>
          <cell r="I52">
            <v>10268.683318867501</v>
          </cell>
          <cell r="J52">
            <v>10301.912772555001</v>
          </cell>
          <cell r="K52">
            <v>10268.683318867501</v>
          </cell>
          <cell r="L52">
            <v>10301.912772555001</v>
          </cell>
          <cell r="M52">
            <v>10596.490137647499</v>
          </cell>
        </row>
        <row r="53">
          <cell r="A53" t="str">
            <v>Aportaciones al SAR</v>
          </cell>
          <cell r="B53">
            <v>18376.067819942145</v>
          </cell>
          <cell r="C53">
            <v>16847.608490136234</v>
          </cell>
          <cell r="D53">
            <v>18376.067819942145</v>
          </cell>
          <cell r="E53">
            <v>17299.265504941752</v>
          </cell>
          <cell r="F53">
            <v>18376.067819942145</v>
          </cell>
          <cell r="G53">
            <v>17299.265504941752</v>
          </cell>
          <cell r="H53">
            <v>17808.856407199994</v>
          </cell>
          <cell r="I53">
            <v>17808.856407199994</v>
          </cell>
          <cell r="J53">
            <v>17866.581376673512</v>
          </cell>
          <cell r="K53">
            <v>17808.856407199994</v>
          </cell>
          <cell r="L53">
            <v>17866.581376673512</v>
          </cell>
          <cell r="M53">
            <v>18376.067819942145</v>
          </cell>
        </row>
        <row r="54">
          <cell r="A54" t="str">
            <v>Cuotas al IMSS</v>
          </cell>
          <cell r="B54">
            <v>24201.346453857957</v>
          </cell>
          <cell r="C54">
            <v>22054.117113092172</v>
          </cell>
          <cell r="D54">
            <v>24201.346453857957</v>
          </cell>
          <cell r="E54">
            <v>23034.895857981519</v>
          </cell>
          <cell r="F54">
            <v>24201.346453857957</v>
          </cell>
          <cell r="G54">
            <v>23034.895857981519</v>
          </cell>
          <cell r="H54">
            <v>23750.724843581116</v>
          </cell>
          <cell r="I54">
            <v>23750.724843581116</v>
          </cell>
          <cell r="J54">
            <v>23485.603340269368</v>
          </cell>
          <cell r="K54">
            <v>23750.724843581116</v>
          </cell>
          <cell r="L54">
            <v>23485.603340269368</v>
          </cell>
          <cell r="M54">
            <v>24201.346453857957</v>
          </cell>
        </row>
        <row r="55">
          <cell r="A55" t="str">
            <v>Impuesto Estatal</v>
          </cell>
          <cell r="B55">
            <v>6568.7512597561235</v>
          </cell>
          <cell r="C55">
            <v>6011.0197347035</v>
          </cell>
          <cell r="D55">
            <v>6568.7512597561235</v>
          </cell>
          <cell r="E55">
            <v>6202.5126436762494</v>
          </cell>
          <cell r="F55">
            <v>6568.7512597561235</v>
          </cell>
          <cell r="G55">
            <v>6202.5126436762494</v>
          </cell>
          <cell r="H55">
            <v>6388.4575094271249</v>
          </cell>
          <cell r="I55">
            <v>6388.4575094271249</v>
          </cell>
          <cell r="J55">
            <v>6382.8407514052496</v>
          </cell>
          <cell r="K55">
            <v>6388.4575094271249</v>
          </cell>
          <cell r="L55">
            <v>5802.5825012774994</v>
          </cell>
          <cell r="M55">
            <v>6568.7512597561235</v>
          </cell>
        </row>
        <row r="56">
          <cell r="A56" t="str">
            <v>TOTAL COSTO SOCIAL</v>
          </cell>
          <cell r="B56">
            <v>59742.65567120372</v>
          </cell>
          <cell r="C56">
            <v>54625.503380301903</v>
          </cell>
          <cell r="D56">
            <v>59742.65567120372</v>
          </cell>
          <cell r="E56">
            <v>56510.717492374519</v>
          </cell>
          <cell r="F56">
            <v>59742.65567120372</v>
          </cell>
          <cell r="G56">
            <v>56510.717492374519</v>
          </cell>
          <cell r="H56">
            <v>58216.722079075742</v>
          </cell>
          <cell r="I56">
            <v>58216.722079075742</v>
          </cell>
          <cell r="J56">
            <v>58036.938240903139</v>
          </cell>
          <cell r="K56">
            <v>58216.722079075742</v>
          </cell>
          <cell r="L56">
            <v>57456.679990775388</v>
          </cell>
          <cell r="M56">
            <v>59742.65567120372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J4YFWM5LEKBGK2ZWPTYBHLU2P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2500</v>
          </cell>
          <cell r="X8">
            <v>2500</v>
          </cell>
          <cell r="Y8">
            <v>2500</v>
          </cell>
          <cell r="Z8">
            <v>2500</v>
          </cell>
          <cell r="AA8">
            <v>2500</v>
          </cell>
          <cell r="AB8">
            <v>2500</v>
          </cell>
          <cell r="AC8">
            <v>2500</v>
          </cell>
          <cell r="AD8">
            <v>2500</v>
          </cell>
          <cell r="AE8">
            <v>2500</v>
          </cell>
          <cell r="AF8">
            <v>2500</v>
          </cell>
          <cell r="AG8">
            <v>2500</v>
          </cell>
          <cell r="AH8">
            <v>2500</v>
          </cell>
        </row>
        <row r="9">
          <cell r="V9" t="str">
            <v>Ventanas</v>
          </cell>
          <cell r="W9">
            <v>2500</v>
          </cell>
          <cell r="X9">
            <v>2500</v>
          </cell>
          <cell r="Y9">
            <v>2500</v>
          </cell>
          <cell r="Z9">
            <v>2500</v>
          </cell>
          <cell r="AA9">
            <v>2500</v>
          </cell>
          <cell r="AB9">
            <v>2500</v>
          </cell>
          <cell r="AC9">
            <v>2500</v>
          </cell>
          <cell r="AD9">
            <v>2500</v>
          </cell>
          <cell r="AE9">
            <v>2500</v>
          </cell>
          <cell r="AF9">
            <v>2500</v>
          </cell>
          <cell r="AG9">
            <v>2500</v>
          </cell>
          <cell r="AH9">
            <v>2500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LR5JKKTLRWJEYOKVJTSICHTP3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>Ventanas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3"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</row>
        <row r="14">
          <cell r="V14" t="str">
            <v>Alias</v>
          </cell>
          <cell r="W14" t="str">
            <v>Ene</v>
          </cell>
          <cell r="X14" t="str">
            <v>Feb</v>
          </cell>
          <cell r="Y14" t="str">
            <v>Mar</v>
          </cell>
          <cell r="Z14" t="str">
            <v>Abr</v>
          </cell>
          <cell r="AA14" t="str">
            <v>May</v>
          </cell>
          <cell r="AB14" t="str">
            <v>Jun</v>
          </cell>
          <cell r="AC14" t="str">
            <v>Jul</v>
          </cell>
          <cell r="AD14" t="str">
            <v>Ago</v>
          </cell>
          <cell r="AE14" t="str">
            <v>Sep</v>
          </cell>
          <cell r="AF14" t="str">
            <v>Oct</v>
          </cell>
          <cell r="AG14" t="str">
            <v>Nov</v>
          </cell>
          <cell r="AH14" t="str">
            <v>Dic</v>
          </cell>
        </row>
        <row r="15">
          <cell r="V15" t="str">
            <v>Picachos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</row>
        <row r="16">
          <cell r="V16" t="str">
            <v>Ventanas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</sheetData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LXFGJTU36L5GI75X7TDTCSBGF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Picachos</v>
          </cell>
          <cell r="W8">
            <v>8320</v>
          </cell>
          <cell r="X8">
            <v>8320</v>
          </cell>
          <cell r="Y8">
            <v>8320</v>
          </cell>
          <cell r="Z8">
            <v>8320</v>
          </cell>
          <cell r="AA8">
            <v>8320</v>
          </cell>
          <cell r="AB8">
            <v>8320</v>
          </cell>
          <cell r="AC8">
            <v>8320</v>
          </cell>
          <cell r="AD8">
            <v>8320</v>
          </cell>
          <cell r="AE8">
            <v>8320</v>
          </cell>
          <cell r="AF8">
            <v>8320</v>
          </cell>
          <cell r="AG8">
            <v>8320</v>
          </cell>
          <cell r="AH8">
            <v>8320</v>
          </cell>
        </row>
        <row r="9">
          <cell r="V9" t="str">
            <v>Ventanas</v>
          </cell>
          <cell r="W9">
            <v>8320</v>
          </cell>
          <cell r="X9">
            <v>8320</v>
          </cell>
          <cell r="Y9">
            <v>8320</v>
          </cell>
          <cell r="Z9">
            <v>8320</v>
          </cell>
          <cell r="AA9">
            <v>8320</v>
          </cell>
          <cell r="AB9">
            <v>8320</v>
          </cell>
          <cell r="AC9">
            <v>8320</v>
          </cell>
          <cell r="AD9">
            <v>8320</v>
          </cell>
          <cell r="AE9">
            <v>8320</v>
          </cell>
          <cell r="AF9">
            <v>8320</v>
          </cell>
          <cell r="AG9">
            <v>8320</v>
          </cell>
          <cell r="AH9">
            <v>8320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0000"/>
  </sheetPr>
  <dimension ref="A1:AO224"/>
  <sheetViews>
    <sheetView zoomScale="90" zoomScaleNormal="90" workbookViewId="0">
      <selection activeCell="B2" sqref="B2"/>
    </sheetView>
  </sheetViews>
  <sheetFormatPr defaultColWidth="11.5703125" defaultRowHeight="14.45"/>
  <cols>
    <col min="1" max="1" width="16.28515625" bestFit="1" customWidth="1"/>
    <col min="2" max="2" width="13.7109375" customWidth="1"/>
    <col min="3" max="14" width="9.140625"/>
    <col min="15" max="15" width="6.5703125" bestFit="1" customWidth="1"/>
    <col min="16" max="16" width="9.140625"/>
    <col min="17" max="17" width="17.140625" bestFit="1" customWidth="1"/>
    <col min="18" max="27" width="0" hidden="1" customWidth="1"/>
    <col min="28" max="28" width="9.140625"/>
    <col min="29" max="29" width="15" bestFit="1" customWidth="1"/>
    <col min="30" max="30" width="13.85546875" bestFit="1" customWidth="1"/>
  </cols>
  <sheetData>
    <row r="1" spans="1:28" ht="14.45" customHeight="1">
      <c r="A1" s="307" t="s">
        <v>0</v>
      </c>
      <c r="B1" s="307"/>
      <c r="C1" s="8"/>
      <c r="D1" s="307" t="s">
        <v>1</v>
      </c>
      <c r="E1" s="307"/>
    </row>
    <row r="2" spans="1:28" ht="14.45" customHeight="1">
      <c r="A2" t="s">
        <v>2</v>
      </c>
      <c r="B2" s="95">
        <f>'[2]Parametros SMA'!$B$2</f>
        <v>0</v>
      </c>
      <c r="D2" t="s">
        <v>2</v>
      </c>
      <c r="E2" s="96">
        <f>'[2]Parametros SMA'!$E$2</f>
        <v>0.52247900000000003</v>
      </c>
      <c r="I2" s="199" t="s">
        <v>3</v>
      </c>
      <c r="J2" s="199"/>
      <c r="K2" s="199"/>
      <c r="L2" s="199"/>
      <c r="M2" s="199"/>
    </row>
    <row r="3" spans="1:28" ht="14.45" customHeight="1">
      <c r="A3" t="s">
        <v>4</v>
      </c>
      <c r="B3" s="95">
        <f>'[2]Parametros SMA'!$B$3</f>
        <v>0</v>
      </c>
      <c r="D3" t="s">
        <v>4</v>
      </c>
      <c r="E3" s="96">
        <f>'[2]Parametros SMA'!$E$3</f>
        <v>0.63752200000000003</v>
      </c>
    </row>
    <row r="4" spans="1:28" ht="14.45" customHeight="1">
      <c r="A4" t="s">
        <v>5</v>
      </c>
      <c r="B4" s="95">
        <f>'[2]Parametros SMA'!$B$4</f>
        <v>0</v>
      </c>
      <c r="D4" t="s">
        <v>5</v>
      </c>
      <c r="E4" s="96">
        <f>'[2]Parametros SMA'!$E$4</f>
        <v>0.43362600000000001</v>
      </c>
    </row>
    <row r="5" spans="1:28" ht="14.45" customHeight="1">
      <c r="E5" s="97"/>
    </row>
    <row r="6" spans="1:28" ht="14.45" customHeight="1">
      <c r="A6" s="309" t="str">
        <f>'[2]Parametros SMA'!$A$6</f>
        <v>Precio final al 04 de sep 2024</v>
      </c>
      <c r="B6" s="309"/>
      <c r="D6" t="s">
        <v>6</v>
      </c>
    </row>
    <row r="7" spans="1:28" ht="14.45" customHeight="1">
      <c r="A7" t="s">
        <v>2</v>
      </c>
      <c r="B7" s="96">
        <f>'[2]Parametros SMA'!$B$7</f>
        <v>24.33</v>
      </c>
      <c r="D7" s="96">
        <f>+B7/1.16</f>
        <v>20.974137931034484</v>
      </c>
    </row>
    <row r="8" spans="1:28" ht="14.45" customHeight="1">
      <c r="A8" t="s">
        <v>4</v>
      </c>
      <c r="B8" s="96">
        <f>'[2]Parametros SMA'!$B$8</f>
        <v>26.69</v>
      </c>
      <c r="D8" s="96">
        <f>+B8/1.16</f>
        <v>23.008620689655174</v>
      </c>
    </row>
    <row r="9" spans="1:28" ht="14.45" customHeight="1">
      <c r="A9" t="s">
        <v>5</v>
      </c>
      <c r="B9" s="96">
        <f>'[2]Parametros SMA'!$B$9</f>
        <v>25.69</v>
      </c>
      <c r="D9" s="96">
        <f>+B9/1.16</f>
        <v>22.146551724137932</v>
      </c>
    </row>
    <row r="10" spans="1:28" ht="14.45" customHeight="1"/>
    <row r="11" spans="1:28" ht="14.45" customHeight="1">
      <c r="A11" s="100" t="s">
        <v>7</v>
      </c>
      <c r="B11" s="102"/>
      <c r="C11" s="99"/>
    </row>
    <row r="12" spans="1:28" ht="18" customHeight="1">
      <c r="A12" s="104" t="s">
        <v>8</v>
      </c>
      <c r="B12" s="107">
        <f>'[2]Parametros SMA'!B12</f>
        <v>5.0000000000000001E-3</v>
      </c>
      <c r="C12" s="107">
        <f>'[2]Parametros SMA'!C12</f>
        <v>5.0000000000000001E-3</v>
      </c>
      <c r="D12" s="107">
        <f>'[2]Parametros SMA'!D12</f>
        <v>5.0000000000000001E-3</v>
      </c>
      <c r="E12" s="107">
        <f>'[2]Parametros SMA'!E12</f>
        <v>5.0000000000000001E-3</v>
      </c>
      <c r="F12" s="107">
        <f>'[2]Parametros SMA'!F12</f>
        <v>5.0000000000000001E-3</v>
      </c>
      <c r="G12" s="107">
        <f>'[2]Parametros SMA'!G12</f>
        <v>5.0000000000000001E-3</v>
      </c>
      <c r="H12" s="107">
        <f>'[2]Parametros SMA'!H12</f>
        <v>5.0000000000000001E-3</v>
      </c>
      <c r="I12" s="107">
        <f>'[2]Parametros SMA'!I12</f>
        <v>5.0000000000000001E-3</v>
      </c>
      <c r="J12" s="107">
        <f>'[2]Parametros SMA'!J12</f>
        <v>5.0000000000000001E-3</v>
      </c>
      <c r="K12" s="107">
        <f>'[2]Parametros SMA'!K12</f>
        <v>5.0000000000000001E-3</v>
      </c>
      <c r="L12" s="107">
        <f>'[2]Parametros SMA'!L12</f>
        <v>5.0000000000000001E-3</v>
      </c>
      <c r="M12" s="107">
        <f>'[2]Parametros SMA'!M12</f>
        <v>5.0000000000000001E-3</v>
      </c>
    </row>
    <row r="13" spans="1:28" ht="14.45" customHeight="1">
      <c r="A13" s="105" t="s">
        <v>9</v>
      </c>
      <c r="B13" s="105" t="s">
        <v>10</v>
      </c>
      <c r="C13" s="105" t="s">
        <v>11</v>
      </c>
      <c r="D13" s="105" t="s">
        <v>12</v>
      </c>
      <c r="E13" s="105" t="s">
        <v>13</v>
      </c>
      <c r="F13" s="105" t="s">
        <v>14</v>
      </c>
      <c r="G13" s="105" t="s">
        <v>15</v>
      </c>
      <c r="H13" s="105" t="s">
        <v>16</v>
      </c>
      <c r="I13" s="105" t="s">
        <v>17</v>
      </c>
      <c r="J13" s="105" t="s">
        <v>18</v>
      </c>
      <c r="K13" s="105" t="s">
        <v>19</v>
      </c>
      <c r="L13" s="105" t="s">
        <v>20</v>
      </c>
      <c r="M13" s="105" t="s">
        <v>21</v>
      </c>
    </row>
    <row r="14" spans="1:28" ht="14.45" customHeight="1">
      <c r="A14" s="105" t="s">
        <v>22</v>
      </c>
      <c r="B14" s="106">
        <f>'[2]Parametros SMA'!B14</f>
        <v>20.974137931034484</v>
      </c>
      <c r="C14" s="106">
        <f>'[2]Parametros SMA'!C14</f>
        <v>21.079008620689653</v>
      </c>
      <c r="D14" s="106">
        <f>'[2]Parametros SMA'!D14</f>
        <v>21.184403663793098</v>
      </c>
      <c r="E14" s="106">
        <f>'[2]Parametros SMA'!E14</f>
        <v>21.290325682112062</v>
      </c>
      <c r="F14" s="106">
        <f>'[2]Parametros SMA'!F14</f>
        <v>21.396777310522619</v>
      </c>
      <c r="G14" s="106">
        <f>'[2]Parametros SMA'!G14</f>
        <v>21.503761197075232</v>
      </c>
      <c r="H14" s="106">
        <f>'[2]Parametros SMA'!H14</f>
        <v>21.611280003060607</v>
      </c>
      <c r="I14" s="106">
        <f>'[2]Parametros SMA'!I14</f>
        <v>21.719336403075907</v>
      </c>
      <c r="J14" s="106">
        <f>'[2]Parametros SMA'!J14</f>
        <v>21.827933085091285</v>
      </c>
      <c r="K14" s="106">
        <f>'[2]Parametros SMA'!K14</f>
        <v>21.937072750516737</v>
      </c>
      <c r="L14" s="106">
        <f>'[2]Parametros SMA'!L14</f>
        <v>22.04675811426932</v>
      </c>
      <c r="M14" s="106">
        <f>'[2]Parametros SMA'!M14</f>
        <v>22.156991904840662</v>
      </c>
      <c r="AB14" s="118"/>
    </row>
    <row r="15" spans="1:28" ht="14.45" customHeight="1">
      <c r="A15" s="105" t="s">
        <v>23</v>
      </c>
      <c r="B15" s="106">
        <f>'[2]Parametros SMA'!B15</f>
        <v>23.008620689655174</v>
      </c>
      <c r="C15" s="106">
        <f>'[2]Parametros SMA'!C15</f>
        <v>23.123663793103447</v>
      </c>
      <c r="D15" s="106">
        <f>'[2]Parametros SMA'!D15</f>
        <v>23.23928211206896</v>
      </c>
      <c r="E15" s="106">
        <f>'[2]Parametros SMA'!E15</f>
        <v>23.355478522629301</v>
      </c>
      <c r="F15" s="106">
        <f>'[2]Parametros SMA'!F15</f>
        <v>23.472255915242446</v>
      </c>
      <c r="G15" s="106">
        <f>'[2]Parametros SMA'!G15</f>
        <v>23.589617194818654</v>
      </c>
      <c r="H15" s="106">
        <f>'[2]Parametros SMA'!H15</f>
        <v>23.707565280792746</v>
      </c>
      <c r="I15" s="106">
        <f>'[2]Parametros SMA'!I15</f>
        <v>23.826103107196708</v>
      </c>
      <c r="J15" s="106">
        <f>'[2]Parametros SMA'!J15</f>
        <v>23.94523362273269</v>
      </c>
      <c r="K15" s="106">
        <f>'[2]Parametros SMA'!K15</f>
        <v>24.064959790846352</v>
      </c>
      <c r="L15" s="106">
        <f>'[2]Parametros SMA'!L15</f>
        <v>24.185284589800581</v>
      </c>
      <c r="M15" s="106">
        <f>'[2]Parametros SMA'!M15</f>
        <v>24.306211012749582</v>
      </c>
    </row>
    <row r="16" spans="1:28" ht="14.45" customHeight="1">
      <c r="A16" s="105" t="s">
        <v>5</v>
      </c>
      <c r="B16" s="106">
        <f>'[2]Parametros SMA'!B16</f>
        <v>22.146551724137932</v>
      </c>
      <c r="C16" s="106">
        <f>'[2]Parametros SMA'!C16</f>
        <v>22.257284482758621</v>
      </c>
      <c r="D16" s="106">
        <f>'[2]Parametros SMA'!D16</f>
        <v>22.368570905172412</v>
      </c>
      <c r="E16" s="106">
        <f>'[2]Parametros SMA'!E16</f>
        <v>22.480413759698273</v>
      </c>
      <c r="F16" s="106">
        <f>'[2]Parametros SMA'!F16</f>
        <v>22.592815828496761</v>
      </c>
      <c r="G16" s="106">
        <f>'[2]Parametros SMA'!G16</f>
        <v>22.705779907639243</v>
      </c>
      <c r="H16" s="106">
        <f>'[2]Parametros SMA'!H16</f>
        <v>22.819308807177439</v>
      </c>
      <c r="I16" s="106">
        <f>'[2]Parametros SMA'!I16</f>
        <v>22.933405351213324</v>
      </c>
      <c r="J16" s="106">
        <f>'[2]Parametros SMA'!J16</f>
        <v>23.048072377969387</v>
      </c>
      <c r="K16" s="106">
        <f>'[2]Parametros SMA'!K16</f>
        <v>23.163312739859233</v>
      </c>
      <c r="L16" s="106">
        <f>'[2]Parametros SMA'!L16</f>
        <v>23.279129303558527</v>
      </c>
      <c r="M16" s="106">
        <f>'[2]Parametros SMA'!M16</f>
        <v>23.395524950076318</v>
      </c>
    </row>
    <row r="17" spans="1:41" ht="14.45" customHeight="1"/>
    <row r="18" spans="1:41" ht="14.45" customHeight="1">
      <c r="A18" t="str">
        <f>'[2]Parametros SMA'!$A$18</f>
        <v>Inflacion</v>
      </c>
      <c r="B18" s="103">
        <f>'[2]Parametros SMA'!$B$18</f>
        <v>7.0000000000000007E-2</v>
      </c>
    </row>
    <row r="19" spans="1:41" ht="14.45" customHeight="1"/>
    <row r="20" spans="1:41" ht="15" customHeight="1"/>
    <row r="21" spans="1:41" ht="14.45" customHeight="1">
      <c r="A21" s="100" t="s">
        <v>24</v>
      </c>
      <c r="B21" s="102"/>
    </row>
    <row r="22" spans="1:41" ht="21">
      <c r="A22" s="101" t="s">
        <v>8</v>
      </c>
      <c r="B22" s="108" t="s">
        <v>25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41" ht="14.45" customHeight="1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  <c r="L23" t="s">
        <v>20</v>
      </c>
      <c r="M23" t="s">
        <v>21</v>
      </c>
      <c r="Q23" s="118"/>
    </row>
    <row r="24" spans="1:41" ht="14.45" customHeight="1">
      <c r="A24" t="s">
        <v>22</v>
      </c>
      <c r="B24" s="118">
        <f>'[2]Parametros SMA'!B24</f>
        <v>0</v>
      </c>
      <c r="C24" s="118">
        <f>'[2]Parametros SMA'!C24</f>
        <v>0</v>
      </c>
      <c r="D24" s="118">
        <f>'[2]Parametros SMA'!D24</f>
        <v>0</v>
      </c>
      <c r="E24" s="118">
        <f>'[2]Parametros SMA'!E24</f>
        <v>0</v>
      </c>
      <c r="F24" s="118">
        <f>'[2]Parametros SMA'!F24</f>
        <v>0</v>
      </c>
      <c r="G24" s="118">
        <f>'[2]Parametros SMA'!G24</f>
        <v>0</v>
      </c>
      <c r="H24" s="118">
        <f>'[2]Parametros SMA'!H24</f>
        <v>0</v>
      </c>
      <c r="I24" s="118">
        <f>'[2]Parametros SMA'!I24</f>
        <v>0</v>
      </c>
      <c r="J24" s="118">
        <f>'[2]Parametros SMA'!J24</f>
        <v>0</v>
      </c>
      <c r="K24" s="118">
        <f>'[2]Parametros SMA'!K24</f>
        <v>0</v>
      </c>
      <c r="L24" s="118">
        <f>'[2]Parametros SMA'!L24</f>
        <v>0</v>
      </c>
      <c r="M24" s="118">
        <f>'[2]Parametros SMA'!M24</f>
        <v>0</v>
      </c>
      <c r="P24" s="118"/>
      <c r="Q24" s="118"/>
    </row>
    <row r="25" spans="1:41" ht="14.45" customHeight="1">
      <c r="A25" t="s">
        <v>23</v>
      </c>
      <c r="B25" s="118">
        <f>'[2]Parametros SMA'!B25</f>
        <v>0</v>
      </c>
      <c r="C25" s="118">
        <f>'[2]Parametros SMA'!C25</f>
        <v>0</v>
      </c>
      <c r="D25" s="118">
        <f>'[2]Parametros SMA'!D25</f>
        <v>0</v>
      </c>
      <c r="E25" s="118">
        <f>'[2]Parametros SMA'!E25</f>
        <v>0</v>
      </c>
      <c r="F25" s="118">
        <f>'[2]Parametros SMA'!F25</f>
        <v>0</v>
      </c>
      <c r="G25" s="118">
        <f>'[2]Parametros SMA'!G25</f>
        <v>0</v>
      </c>
      <c r="H25" s="118">
        <f>'[2]Parametros SMA'!H25</f>
        <v>0</v>
      </c>
      <c r="I25" s="118">
        <f>'[2]Parametros SMA'!I25</f>
        <v>0</v>
      </c>
      <c r="J25" s="118">
        <f>'[2]Parametros SMA'!J25</f>
        <v>0</v>
      </c>
      <c r="K25" s="118">
        <f>'[2]Parametros SMA'!K25</f>
        <v>0</v>
      </c>
      <c r="L25" s="118">
        <f>'[2]Parametros SMA'!L25</f>
        <v>0</v>
      </c>
      <c r="M25" s="118">
        <f>'[2]Parametros SMA'!M25</f>
        <v>0</v>
      </c>
      <c r="P25" s="118"/>
      <c r="Q25" s="118"/>
    </row>
    <row r="26" spans="1:41" ht="14.45" customHeight="1">
      <c r="A26" t="s">
        <v>5</v>
      </c>
      <c r="B26" s="118">
        <f>'[2]Parametros SMA'!B26</f>
        <v>0</v>
      </c>
      <c r="C26" s="118">
        <f>'[2]Parametros SMA'!C26</f>
        <v>0</v>
      </c>
      <c r="D26" s="118">
        <f>'[2]Parametros SMA'!D26</f>
        <v>0</v>
      </c>
      <c r="E26" s="118">
        <f>'[2]Parametros SMA'!E26</f>
        <v>0</v>
      </c>
      <c r="F26" s="118">
        <f>'[2]Parametros SMA'!F26</f>
        <v>0</v>
      </c>
      <c r="G26" s="118">
        <f>'[2]Parametros SMA'!G26</f>
        <v>0</v>
      </c>
      <c r="H26" s="118">
        <f>'[2]Parametros SMA'!H26</f>
        <v>0</v>
      </c>
      <c r="I26" s="118">
        <f>'[2]Parametros SMA'!I26</f>
        <v>0</v>
      </c>
      <c r="J26" s="118">
        <f>'[2]Parametros SMA'!J26</f>
        <v>0</v>
      </c>
      <c r="K26" s="118">
        <f>'[2]Parametros SMA'!K26</f>
        <v>0</v>
      </c>
      <c r="L26" s="118">
        <f>'[2]Parametros SMA'!L26</f>
        <v>0</v>
      </c>
      <c r="M26" s="118">
        <f>'[2]Parametros SMA'!M26</f>
        <v>0</v>
      </c>
      <c r="P26" s="118"/>
      <c r="Q26" s="118"/>
    </row>
    <row r="27" spans="1:41" ht="14.4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P27" s="118"/>
      <c r="Q27" s="118"/>
    </row>
    <row r="28" spans="1:41" ht="21">
      <c r="B28" s="181" t="str">
        <f>'[2]Parametros SMA'!$B$28</f>
        <v>Margen por contrato de volumen con PETROTAMPS</v>
      </c>
      <c r="P28" s="118"/>
    </row>
    <row r="29" spans="1:41" ht="14.45" customHeight="1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  <c r="K29" t="s">
        <v>19</v>
      </c>
      <c r="L29" t="s">
        <v>20</v>
      </c>
      <c r="M29" t="s">
        <v>21</v>
      </c>
      <c r="N29" s="203" t="s">
        <v>26</v>
      </c>
      <c r="P29" s="118"/>
      <c r="Q29" s="1"/>
      <c r="R29" s="129"/>
    </row>
    <row r="30" spans="1:41" ht="14.45" customHeight="1">
      <c r="A30" t="s">
        <v>22</v>
      </c>
      <c r="B30" s="118">
        <f>'[2]Parametros SMA'!B36</f>
        <v>0</v>
      </c>
      <c r="C30" s="118">
        <f>'[2]Parametros SMA'!C36</f>
        <v>0</v>
      </c>
      <c r="D30" s="118">
        <f>'[2]Parametros SMA'!D36</f>
        <v>0</v>
      </c>
      <c r="E30" s="118">
        <f>'[2]Parametros SMA'!E36</f>
        <v>0</v>
      </c>
      <c r="F30" s="118">
        <f>'[2]Parametros SMA'!F36</f>
        <v>0</v>
      </c>
      <c r="G30" s="118">
        <f>'[2]Parametros SMA'!G36</f>
        <v>0</v>
      </c>
      <c r="H30" s="118">
        <f>'[2]Parametros SMA'!H36</f>
        <v>0</v>
      </c>
      <c r="I30" s="118">
        <f>'[2]Parametros SMA'!I36</f>
        <v>0</v>
      </c>
      <c r="J30" s="118">
        <f>'[2]Parametros SMA'!J36</f>
        <v>0</v>
      </c>
      <c r="K30" s="118">
        <f>'[2]Parametros SMA'!K36</f>
        <v>0</v>
      </c>
      <c r="L30" s="118">
        <f>'[2]Parametros SMA'!L36</f>
        <v>0</v>
      </c>
      <c r="M30" s="118">
        <f>'[2]Parametros SMA'!M36</f>
        <v>0</v>
      </c>
      <c r="N30" s="260">
        <f>'[2]Parametros SMA'!N36</f>
        <v>0</v>
      </c>
      <c r="O30" s="118"/>
      <c r="P30" s="118"/>
      <c r="AB30" s="130"/>
    </row>
    <row r="31" spans="1:41" ht="14.45" customHeight="1">
      <c r="A31" t="s">
        <v>23</v>
      </c>
      <c r="B31" s="118">
        <f>'[2]Parametros SMA'!B37</f>
        <v>0</v>
      </c>
      <c r="C31" s="118">
        <f>'[2]Parametros SMA'!C37</f>
        <v>0</v>
      </c>
      <c r="D31" s="118">
        <f>'[2]Parametros SMA'!D37</f>
        <v>0</v>
      </c>
      <c r="E31" s="118">
        <f>'[2]Parametros SMA'!E37</f>
        <v>0</v>
      </c>
      <c r="F31" s="118">
        <f>'[2]Parametros SMA'!F37</f>
        <v>0</v>
      </c>
      <c r="G31" s="118">
        <f>'[2]Parametros SMA'!G37</f>
        <v>0</v>
      </c>
      <c r="H31" s="118">
        <f>'[2]Parametros SMA'!H37</f>
        <v>0</v>
      </c>
      <c r="I31" s="118">
        <f>'[2]Parametros SMA'!I37</f>
        <v>0</v>
      </c>
      <c r="J31" s="118">
        <f>'[2]Parametros SMA'!J37</f>
        <v>0</v>
      </c>
      <c r="K31" s="118">
        <f>'[2]Parametros SMA'!K37</f>
        <v>0</v>
      </c>
      <c r="L31" s="118">
        <f>'[2]Parametros SMA'!L37</f>
        <v>0</v>
      </c>
      <c r="M31" s="118">
        <f>'[2]Parametros SMA'!M37</f>
        <v>0</v>
      </c>
      <c r="N31" s="260">
        <f>'[2]Parametros SMA'!N37</f>
        <v>0</v>
      </c>
      <c r="O31" s="118"/>
      <c r="P31" s="118"/>
      <c r="Q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</row>
    <row r="32" spans="1:41" ht="14.45" customHeight="1">
      <c r="A32" t="s">
        <v>5</v>
      </c>
      <c r="B32" s="118">
        <f>'[2]Parametros SMA'!B38</f>
        <v>0</v>
      </c>
      <c r="C32" s="118">
        <f>'[2]Parametros SMA'!C38</f>
        <v>0</v>
      </c>
      <c r="D32" s="118">
        <f>'[2]Parametros SMA'!D38</f>
        <v>0</v>
      </c>
      <c r="E32" s="118">
        <f>'[2]Parametros SMA'!E38</f>
        <v>0</v>
      </c>
      <c r="F32" s="118">
        <f>'[2]Parametros SMA'!F38</f>
        <v>0</v>
      </c>
      <c r="G32" s="118">
        <f>'[2]Parametros SMA'!G38</f>
        <v>0</v>
      </c>
      <c r="H32" s="118">
        <f>'[2]Parametros SMA'!H38</f>
        <v>0</v>
      </c>
      <c r="I32" s="118">
        <f>'[2]Parametros SMA'!I38</f>
        <v>0</v>
      </c>
      <c r="J32" s="118">
        <f>'[2]Parametros SMA'!J38</f>
        <v>0</v>
      </c>
      <c r="K32" s="118">
        <f>'[2]Parametros SMA'!K38</f>
        <v>0</v>
      </c>
      <c r="L32" s="118">
        <f>'[2]Parametros SMA'!L38</f>
        <v>0</v>
      </c>
      <c r="M32" s="118">
        <f>'[2]Parametros SMA'!M38</f>
        <v>0</v>
      </c>
      <c r="N32" s="260">
        <f>'[2]Parametros SMA'!N38</f>
        <v>0</v>
      </c>
      <c r="O32" s="118"/>
      <c r="P32" s="118"/>
      <c r="Q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</row>
    <row r="33" spans="1:41" ht="14.45" customHeight="1"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204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</row>
    <row r="34" spans="1:41" ht="21">
      <c r="B34" s="181" t="str">
        <f>'[2]Parametros SMA'!$B$34</f>
        <v>Margen por contrato de volumen con ALLIOTH</v>
      </c>
      <c r="N34" s="204"/>
      <c r="P34" s="181"/>
      <c r="Q34" s="182"/>
    </row>
    <row r="35" spans="1:41" ht="14.45" customHeight="1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  <c r="L35" t="s">
        <v>20</v>
      </c>
      <c r="M35" t="s">
        <v>21</v>
      </c>
      <c r="N35" s="203" t="s">
        <v>26</v>
      </c>
      <c r="Q35" s="183"/>
    </row>
    <row r="36" spans="1:41" ht="14.45" customHeight="1">
      <c r="A36" t="s">
        <v>22</v>
      </c>
      <c r="B36" s="118">
        <f>'[2]Parametros SMA'!B36</f>
        <v>0</v>
      </c>
      <c r="C36" s="118">
        <f>'[2]Parametros SMA'!C36</f>
        <v>0</v>
      </c>
      <c r="D36" s="118">
        <f>'[2]Parametros SMA'!D36</f>
        <v>0</v>
      </c>
      <c r="E36" s="118">
        <f>'[2]Parametros SMA'!E36</f>
        <v>0</v>
      </c>
      <c r="F36" s="118">
        <f>'[2]Parametros SMA'!F36</f>
        <v>0</v>
      </c>
      <c r="G36" s="118">
        <f>'[2]Parametros SMA'!G36</f>
        <v>0</v>
      </c>
      <c r="H36" s="118">
        <f>'[2]Parametros SMA'!H36</f>
        <v>0</v>
      </c>
      <c r="I36" s="118">
        <f>'[2]Parametros SMA'!I36</f>
        <v>0</v>
      </c>
      <c r="J36" s="118">
        <f>'[2]Parametros SMA'!J36</f>
        <v>0</v>
      </c>
      <c r="K36" s="118">
        <f>'[2]Parametros SMA'!K36</f>
        <v>0</v>
      </c>
      <c r="L36" s="118">
        <f>'[2]Parametros SMA'!L36</f>
        <v>0</v>
      </c>
      <c r="M36" s="118">
        <f>'[2]Parametros SMA'!M36</f>
        <v>0</v>
      </c>
      <c r="N36" s="260">
        <f>'[2]Parametros SMA'!N36</f>
        <v>0</v>
      </c>
      <c r="Q36" s="124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03"/>
    </row>
    <row r="37" spans="1:41" ht="14.45" customHeight="1">
      <c r="A37" t="s">
        <v>23</v>
      </c>
      <c r="B37" s="118">
        <f>'[2]Parametros SMA'!B37</f>
        <v>0</v>
      </c>
      <c r="C37" s="118">
        <f>'[2]Parametros SMA'!C37</f>
        <v>0</v>
      </c>
      <c r="D37" s="118">
        <f>'[2]Parametros SMA'!D37</f>
        <v>0</v>
      </c>
      <c r="E37" s="118">
        <f>'[2]Parametros SMA'!E37</f>
        <v>0</v>
      </c>
      <c r="F37" s="118">
        <f>'[2]Parametros SMA'!F37</f>
        <v>0</v>
      </c>
      <c r="G37" s="118">
        <f>'[2]Parametros SMA'!G37</f>
        <v>0</v>
      </c>
      <c r="H37" s="118">
        <f>'[2]Parametros SMA'!H37</f>
        <v>0</v>
      </c>
      <c r="I37" s="118">
        <f>'[2]Parametros SMA'!I37</f>
        <v>0</v>
      </c>
      <c r="J37" s="118">
        <f>'[2]Parametros SMA'!J37</f>
        <v>0</v>
      </c>
      <c r="K37" s="118">
        <f>'[2]Parametros SMA'!K37</f>
        <v>0</v>
      </c>
      <c r="L37" s="118">
        <f>'[2]Parametros SMA'!L37</f>
        <v>0</v>
      </c>
      <c r="M37" s="118">
        <f>'[2]Parametros SMA'!M37</f>
        <v>0</v>
      </c>
      <c r="N37" s="260">
        <f>'[2]Parametros SMA'!N37</f>
        <v>0</v>
      </c>
      <c r="Q37" s="124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6"/>
    </row>
    <row r="38" spans="1:41" ht="14.45" customHeight="1">
      <c r="A38" t="s">
        <v>5</v>
      </c>
      <c r="B38" s="118">
        <f>'[2]Parametros SMA'!B38</f>
        <v>0</v>
      </c>
      <c r="C38" s="118">
        <f>'[2]Parametros SMA'!C38</f>
        <v>0</v>
      </c>
      <c r="D38" s="118">
        <f>'[2]Parametros SMA'!D38</f>
        <v>0</v>
      </c>
      <c r="E38" s="118">
        <f>'[2]Parametros SMA'!E38</f>
        <v>0</v>
      </c>
      <c r="F38" s="118">
        <f>'[2]Parametros SMA'!F38</f>
        <v>0</v>
      </c>
      <c r="G38" s="118">
        <f>'[2]Parametros SMA'!G38</f>
        <v>0</v>
      </c>
      <c r="H38" s="118">
        <f>'[2]Parametros SMA'!H38</f>
        <v>0</v>
      </c>
      <c r="I38" s="118">
        <f>'[2]Parametros SMA'!I38</f>
        <v>0</v>
      </c>
      <c r="J38" s="118">
        <f>'[2]Parametros SMA'!J38</f>
        <v>0</v>
      </c>
      <c r="K38" s="118">
        <f>'[2]Parametros SMA'!K38</f>
        <v>0</v>
      </c>
      <c r="L38" s="118">
        <f>'[2]Parametros SMA'!L38</f>
        <v>0</v>
      </c>
      <c r="M38" s="118">
        <f>'[2]Parametros SMA'!M38</f>
        <v>0</v>
      </c>
      <c r="N38" s="260">
        <f>'[2]Parametros SMA'!N38</f>
        <v>0</v>
      </c>
      <c r="Q38" s="124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03"/>
    </row>
    <row r="39" spans="1:41" ht="15.75" customHeight="1">
      <c r="B39" s="124"/>
      <c r="N39" s="204"/>
    </row>
    <row r="40" spans="1:41" ht="21">
      <c r="A40" s="181"/>
      <c r="B40" s="108" t="str">
        <f>'[2]Parametros SMA'!$B$40</f>
        <v>Margen por contrato de volumen MGC</v>
      </c>
      <c r="N40" s="205"/>
      <c r="AB40" s="124"/>
    </row>
    <row r="41" spans="1:41" ht="14.45" customHeight="1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  <c r="K41" t="s">
        <v>19</v>
      </c>
      <c r="L41" t="s">
        <v>20</v>
      </c>
      <c r="M41" t="s">
        <v>21</v>
      </c>
      <c r="N41" s="203" t="s">
        <v>26</v>
      </c>
    </row>
    <row r="42" spans="1:41" ht="14.45" customHeight="1">
      <c r="A42" t="s">
        <v>22</v>
      </c>
      <c r="B42" s="118">
        <f>'[2]Parametros SMA'!B42</f>
        <v>0</v>
      </c>
      <c r="C42" s="118">
        <f>'[2]Parametros SMA'!C42</f>
        <v>1.22</v>
      </c>
      <c r="D42" s="118">
        <f>'[2]Parametros SMA'!D42</f>
        <v>0.51</v>
      </c>
      <c r="E42" s="118">
        <f>'[2]Parametros SMA'!E42</f>
        <v>0.48</v>
      </c>
      <c r="F42" s="118">
        <f>'[2]Parametros SMA'!F42</f>
        <v>1.34</v>
      </c>
      <c r="G42" s="118">
        <f>'[2]Parametros SMA'!G42</f>
        <v>1.19</v>
      </c>
      <c r="H42" s="118">
        <f>'[2]Parametros SMA'!H42</f>
        <v>1.25</v>
      </c>
      <c r="I42" s="118">
        <f>'[2]Parametros SMA'!I42</f>
        <v>1.19</v>
      </c>
      <c r="J42" s="118">
        <f>'[2]Parametros SMA'!J42</f>
        <v>0</v>
      </c>
      <c r="K42" s="118">
        <f>'[2]Parametros SMA'!K42</f>
        <v>0</v>
      </c>
      <c r="L42" s="118">
        <f>'[2]Parametros SMA'!L42</f>
        <v>0</v>
      </c>
      <c r="M42" s="118">
        <f>'[2]Parametros SMA'!M42</f>
        <v>0</v>
      </c>
      <c r="N42" s="260">
        <f>'[2]Parametros SMA'!N42</f>
        <v>1</v>
      </c>
      <c r="AB42" s="98"/>
    </row>
    <row r="43" spans="1:41" ht="14.45" customHeight="1">
      <c r="A43" t="s">
        <v>23</v>
      </c>
      <c r="B43" s="118">
        <f>'[2]Parametros SMA'!B43</f>
        <v>0</v>
      </c>
      <c r="C43" s="118">
        <f>'[2]Parametros SMA'!C43</f>
        <v>1.47</v>
      </c>
      <c r="D43" s="118">
        <f>'[2]Parametros SMA'!D43</f>
        <v>1.21</v>
      </c>
      <c r="E43" s="118">
        <f>'[2]Parametros SMA'!E43</f>
        <v>1.55</v>
      </c>
      <c r="F43" s="118">
        <f>'[2]Parametros SMA'!F43</f>
        <v>3.41</v>
      </c>
      <c r="G43" s="118">
        <f>'[2]Parametros SMA'!G43</f>
        <v>3.06</v>
      </c>
      <c r="H43" s="118">
        <f>'[2]Parametros SMA'!H43</f>
        <v>2.73</v>
      </c>
      <c r="I43" s="118">
        <f>'[2]Parametros SMA'!I43</f>
        <v>2.67</v>
      </c>
      <c r="J43" s="118">
        <f>'[2]Parametros SMA'!J43</f>
        <v>1</v>
      </c>
      <c r="K43" s="118">
        <f>'[2]Parametros SMA'!K43</f>
        <v>0</v>
      </c>
      <c r="L43" s="118">
        <f>'[2]Parametros SMA'!L43</f>
        <v>0</v>
      </c>
      <c r="M43" s="118">
        <f>'[2]Parametros SMA'!M43</f>
        <v>0</v>
      </c>
      <c r="N43" s="260">
        <f>'[2]Parametros SMA'!N43</f>
        <v>1</v>
      </c>
      <c r="AB43" s="95"/>
    </row>
    <row r="44" spans="1:41" ht="14.45" customHeight="1">
      <c r="A44" t="s">
        <v>5</v>
      </c>
      <c r="B44" s="118">
        <f>'[2]Parametros SMA'!B44</f>
        <v>1.1200000000000001</v>
      </c>
      <c r="C44" s="118">
        <f>'[2]Parametros SMA'!C44</f>
        <v>1.18</v>
      </c>
      <c r="D44" s="118">
        <f>'[2]Parametros SMA'!D44</f>
        <v>1.44</v>
      </c>
      <c r="E44" s="118">
        <f>'[2]Parametros SMA'!E44</f>
        <v>2.34</v>
      </c>
      <c r="F44" s="118">
        <f>'[2]Parametros SMA'!F44</f>
        <v>1.43</v>
      </c>
      <c r="G44" s="118">
        <f>'[2]Parametros SMA'!G44</f>
        <v>1.56</v>
      </c>
      <c r="H44" s="118">
        <f>'[2]Parametros SMA'!H44</f>
        <v>0</v>
      </c>
      <c r="I44" s="118">
        <f>'[2]Parametros SMA'!I44</f>
        <v>0</v>
      </c>
      <c r="J44" s="118">
        <f>'[2]Parametros SMA'!J44</f>
        <v>0</v>
      </c>
      <c r="K44" s="118">
        <f>'[2]Parametros SMA'!K44</f>
        <v>0</v>
      </c>
      <c r="L44" s="118">
        <f>'[2]Parametros SMA'!L44</f>
        <v>0</v>
      </c>
      <c r="M44" s="118">
        <f>'[2]Parametros SMA'!M44</f>
        <v>0</v>
      </c>
      <c r="N44" s="260">
        <f>'[2]Parametros SMA'!N44</f>
        <v>1</v>
      </c>
      <c r="Q44" s="184"/>
      <c r="AB44" s="95"/>
    </row>
    <row r="45" spans="1:41" ht="14.45" customHeight="1"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206"/>
      <c r="Q45" s="184"/>
      <c r="AB45" s="95"/>
    </row>
    <row r="46" spans="1:41" ht="21">
      <c r="A46" s="181"/>
      <c r="B46" s="108" t="str">
        <f>'[2]Parametros SMA'!$B$46</f>
        <v>Margen por contrato de volumen OTROS</v>
      </c>
      <c r="N46" s="205"/>
      <c r="AB46" s="124"/>
    </row>
    <row r="47" spans="1:41" ht="14.45" customHeight="1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  <c r="K47" t="s">
        <v>19</v>
      </c>
      <c r="L47" t="s">
        <v>20</v>
      </c>
      <c r="M47" t="s">
        <v>21</v>
      </c>
      <c r="N47" s="203" t="s">
        <v>26</v>
      </c>
    </row>
    <row r="48" spans="1:41" ht="14.45" customHeight="1">
      <c r="A48" t="s">
        <v>22</v>
      </c>
      <c r="B48" s="118">
        <f>'[2]Parametros SMA'!B48</f>
        <v>0</v>
      </c>
      <c r="C48" s="118">
        <f>'[2]Parametros SMA'!C48</f>
        <v>0</v>
      </c>
      <c r="D48" s="118">
        <f>'[2]Parametros SMA'!D48</f>
        <v>0</v>
      </c>
      <c r="E48" s="118">
        <f>'[2]Parametros SMA'!E48</f>
        <v>0</v>
      </c>
      <c r="F48" s="118">
        <f>'[2]Parametros SMA'!F48</f>
        <v>0</v>
      </c>
      <c r="G48" s="118">
        <f>'[2]Parametros SMA'!G48</f>
        <v>0</v>
      </c>
      <c r="H48" s="118">
        <f>'[2]Parametros SMA'!H48</f>
        <v>0</v>
      </c>
      <c r="I48" s="118">
        <f>'[2]Parametros SMA'!I48</f>
        <v>0</v>
      </c>
      <c r="J48" s="118">
        <f>'[2]Parametros SMA'!J48</f>
        <v>0</v>
      </c>
      <c r="K48" s="118">
        <f>'[2]Parametros SMA'!K48</f>
        <v>0</v>
      </c>
      <c r="L48" s="118">
        <f>'[2]Parametros SMA'!L48</f>
        <v>0</v>
      </c>
      <c r="M48" s="118">
        <f>'[2]Parametros SMA'!M48</f>
        <v>0</v>
      </c>
      <c r="N48" s="260">
        <f>'[2]Parametros SMA'!N48</f>
        <v>0</v>
      </c>
      <c r="AB48" s="98"/>
    </row>
    <row r="49" spans="1:28" ht="14.45" customHeight="1">
      <c r="A49" t="s">
        <v>23</v>
      </c>
      <c r="B49" s="118">
        <f>'[2]Parametros SMA'!B49</f>
        <v>0</v>
      </c>
      <c r="C49" s="118">
        <f>'[2]Parametros SMA'!C49</f>
        <v>0</v>
      </c>
      <c r="D49" s="118">
        <f>'[2]Parametros SMA'!D49</f>
        <v>0</v>
      </c>
      <c r="E49" s="118">
        <f>'[2]Parametros SMA'!E49</f>
        <v>0</v>
      </c>
      <c r="F49" s="118">
        <f>'[2]Parametros SMA'!F49</f>
        <v>0</v>
      </c>
      <c r="G49" s="118">
        <f>'[2]Parametros SMA'!G49</f>
        <v>0</v>
      </c>
      <c r="H49" s="118">
        <f>'[2]Parametros SMA'!H49</f>
        <v>0</v>
      </c>
      <c r="I49" s="118">
        <f>'[2]Parametros SMA'!I49</f>
        <v>0</v>
      </c>
      <c r="J49" s="118">
        <f>'[2]Parametros SMA'!J49</f>
        <v>0</v>
      </c>
      <c r="K49" s="118">
        <f>'[2]Parametros SMA'!K49</f>
        <v>0</v>
      </c>
      <c r="L49" s="118">
        <f>'[2]Parametros SMA'!L49</f>
        <v>0</v>
      </c>
      <c r="M49" s="118">
        <f>'[2]Parametros SMA'!M49</f>
        <v>0</v>
      </c>
      <c r="N49" s="260">
        <f>'[2]Parametros SMA'!N49</f>
        <v>0</v>
      </c>
      <c r="AB49" s="95"/>
    </row>
    <row r="50" spans="1:28" ht="14.45" customHeight="1">
      <c r="A50" t="s">
        <v>5</v>
      </c>
      <c r="B50" s="118">
        <f>'[2]Parametros SMA'!B50</f>
        <v>0</v>
      </c>
      <c r="C50" s="118">
        <f>'[2]Parametros SMA'!C50</f>
        <v>0</v>
      </c>
      <c r="D50" s="118">
        <f>'[2]Parametros SMA'!D50</f>
        <v>0</v>
      </c>
      <c r="E50" s="118">
        <f>'[2]Parametros SMA'!E50</f>
        <v>0</v>
      </c>
      <c r="F50" s="118">
        <f>'[2]Parametros SMA'!F50</f>
        <v>0</v>
      </c>
      <c r="G50" s="118">
        <f>'[2]Parametros SMA'!G50</f>
        <v>0</v>
      </c>
      <c r="H50" s="118">
        <f>'[2]Parametros SMA'!H50</f>
        <v>0</v>
      </c>
      <c r="I50" s="118">
        <f>'[2]Parametros SMA'!I50</f>
        <v>0</v>
      </c>
      <c r="J50" s="118">
        <f>'[2]Parametros SMA'!J50</f>
        <v>0</v>
      </c>
      <c r="K50" s="118">
        <f>'[2]Parametros SMA'!K50</f>
        <v>0</v>
      </c>
      <c r="L50" s="118">
        <f>'[2]Parametros SMA'!L50</f>
        <v>0</v>
      </c>
      <c r="M50" s="118">
        <f>'[2]Parametros SMA'!M50</f>
        <v>0</v>
      </c>
      <c r="N50" s="260">
        <f>'[2]Parametros SMA'!N50</f>
        <v>0</v>
      </c>
      <c r="Q50" s="184"/>
      <c r="AB50" s="95"/>
    </row>
    <row r="51" spans="1:28" ht="14.45" customHeight="1"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206"/>
      <c r="Q51" s="184"/>
      <c r="AB51" s="95"/>
    </row>
    <row r="52" spans="1:28" ht="21">
      <c r="A52" s="181"/>
      <c r="B52" s="108" t="str">
        <f>'[2]Parametros SMA'!$B$52</f>
        <v>Margen por contrato de volumen PETRODIESEL</v>
      </c>
      <c r="N52" s="205"/>
      <c r="AB52" s="124"/>
    </row>
    <row r="53" spans="1:28" ht="14.45" customHeight="1">
      <c r="A53" t="s">
        <v>9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  <c r="K53" t="s">
        <v>19</v>
      </c>
      <c r="L53" t="s">
        <v>20</v>
      </c>
      <c r="M53" t="s">
        <v>21</v>
      </c>
      <c r="N53" s="203" t="s">
        <v>26</v>
      </c>
    </row>
    <row r="54" spans="1:28" ht="14.45" customHeight="1">
      <c r="A54" t="s">
        <v>22</v>
      </c>
      <c r="B54" s="118">
        <f>'[2]Parametros SMA'!B54</f>
        <v>0</v>
      </c>
      <c r="C54" s="118">
        <f>'[2]Parametros SMA'!C54</f>
        <v>0</v>
      </c>
      <c r="D54" s="118">
        <f>'[2]Parametros SMA'!D54</f>
        <v>0</v>
      </c>
      <c r="E54" s="118">
        <f>'[2]Parametros SMA'!E54</f>
        <v>0</v>
      </c>
      <c r="F54" s="118">
        <f>'[2]Parametros SMA'!F54</f>
        <v>0</v>
      </c>
      <c r="G54" s="118">
        <f>'[2]Parametros SMA'!G54</f>
        <v>0</v>
      </c>
      <c r="H54" s="118">
        <f>'[2]Parametros SMA'!H54</f>
        <v>0</v>
      </c>
      <c r="I54" s="118">
        <f>'[2]Parametros SMA'!I54</f>
        <v>0</v>
      </c>
      <c r="J54" s="118">
        <f>'[2]Parametros SMA'!J54</f>
        <v>0</v>
      </c>
      <c r="K54" s="118">
        <f>'[2]Parametros SMA'!K54</f>
        <v>0</v>
      </c>
      <c r="L54" s="118">
        <f>'[2]Parametros SMA'!L54</f>
        <v>0</v>
      </c>
      <c r="M54" s="118">
        <f>'[2]Parametros SMA'!M54</f>
        <v>0</v>
      </c>
      <c r="N54" s="260">
        <f>'[2]Parametros SMA'!N54</f>
        <v>0</v>
      </c>
      <c r="AB54" s="98"/>
    </row>
    <row r="55" spans="1:28" ht="14.45" customHeight="1">
      <c r="A55" t="s">
        <v>23</v>
      </c>
      <c r="B55" s="118">
        <f>'[2]Parametros SMA'!B55</f>
        <v>0</v>
      </c>
      <c r="C55" s="118">
        <f>'[2]Parametros SMA'!C55</f>
        <v>0</v>
      </c>
      <c r="D55" s="118">
        <f>'[2]Parametros SMA'!D55</f>
        <v>0</v>
      </c>
      <c r="E55" s="118">
        <f>'[2]Parametros SMA'!E55</f>
        <v>0</v>
      </c>
      <c r="F55" s="118">
        <f>'[2]Parametros SMA'!F55</f>
        <v>0</v>
      </c>
      <c r="G55" s="118">
        <f>'[2]Parametros SMA'!G55</f>
        <v>0</v>
      </c>
      <c r="H55" s="118">
        <f>'[2]Parametros SMA'!H55</f>
        <v>0</v>
      </c>
      <c r="I55" s="118">
        <f>'[2]Parametros SMA'!I55</f>
        <v>0</v>
      </c>
      <c r="J55" s="118">
        <f>'[2]Parametros SMA'!J55</f>
        <v>0</v>
      </c>
      <c r="K55" s="118">
        <f>'[2]Parametros SMA'!K55</f>
        <v>0</v>
      </c>
      <c r="L55" s="118">
        <f>'[2]Parametros SMA'!L55</f>
        <v>0</v>
      </c>
      <c r="M55" s="118">
        <f>'[2]Parametros SMA'!M55</f>
        <v>0</v>
      </c>
      <c r="N55" s="260">
        <f>'[2]Parametros SMA'!N55</f>
        <v>0</v>
      </c>
      <c r="AB55" s="95"/>
    </row>
    <row r="56" spans="1:28" ht="14.45" customHeight="1">
      <c r="A56" t="s">
        <v>5</v>
      </c>
      <c r="B56" s="118">
        <f>'[2]Parametros SMA'!B56</f>
        <v>0</v>
      </c>
      <c r="C56" s="118">
        <f>'[2]Parametros SMA'!C56</f>
        <v>0</v>
      </c>
      <c r="D56" s="118">
        <f>'[2]Parametros SMA'!D56</f>
        <v>0</v>
      </c>
      <c r="E56" s="118">
        <f>'[2]Parametros SMA'!E56</f>
        <v>0</v>
      </c>
      <c r="F56" s="118">
        <f>'[2]Parametros SMA'!F56</f>
        <v>0</v>
      </c>
      <c r="G56" s="118">
        <f>'[2]Parametros SMA'!G56</f>
        <v>0</v>
      </c>
      <c r="H56" s="118">
        <f>'[2]Parametros SMA'!H56</f>
        <v>0</v>
      </c>
      <c r="I56" s="118">
        <f>'[2]Parametros SMA'!I56</f>
        <v>0</v>
      </c>
      <c r="J56" s="118">
        <f>'[2]Parametros SMA'!J56</f>
        <v>0</v>
      </c>
      <c r="K56" s="118">
        <f>'[2]Parametros SMA'!K56</f>
        <v>0</v>
      </c>
      <c r="L56" s="118">
        <f>'[2]Parametros SMA'!L56</f>
        <v>0</v>
      </c>
      <c r="M56" s="118">
        <f>'[2]Parametros SMA'!M56</f>
        <v>0</v>
      </c>
      <c r="N56" s="260">
        <f>'[2]Parametros SMA'!N56</f>
        <v>0</v>
      </c>
      <c r="Q56" s="184"/>
      <c r="AB56" s="95"/>
    </row>
    <row r="57" spans="1:28" ht="14.45" customHeight="1"/>
    <row r="58" spans="1:28" ht="14.45" customHeight="1">
      <c r="A58" s="113" t="s">
        <v>27</v>
      </c>
      <c r="M58" t="s">
        <v>22</v>
      </c>
      <c r="N58" s="207">
        <f>'[2]Parametros SMA'!$N$58</f>
        <v>1</v>
      </c>
    </row>
    <row r="59" spans="1:28" ht="14.45" customHeight="1">
      <c r="A59" t="s">
        <v>22</v>
      </c>
      <c r="B59" s="110">
        <f>'[2]Parametros SMA'!$B$59</f>
        <v>0</v>
      </c>
      <c r="M59" t="s">
        <v>23</v>
      </c>
      <c r="N59" s="207">
        <f>'[2]Parametros SMA'!$N$59</f>
        <v>1</v>
      </c>
    </row>
    <row r="60" spans="1:28" ht="14.45" customHeight="1">
      <c r="A60" t="s">
        <v>23</v>
      </c>
      <c r="B60" s="110">
        <f>'[2]Parametros SMA'!$B$60</f>
        <v>0</v>
      </c>
      <c r="M60" t="s">
        <v>5</v>
      </c>
      <c r="N60" s="207">
        <f>'[2]Parametros SMA'!$N$60</f>
        <v>1</v>
      </c>
    </row>
    <row r="61" spans="1:28" ht="14.45" customHeight="1">
      <c r="A61" t="s">
        <v>5</v>
      </c>
      <c r="B61" s="110">
        <f>'[2]Parametros SMA'!$B$61</f>
        <v>0</v>
      </c>
    </row>
    <row r="62" spans="1:28" ht="14.45" customHeight="1"/>
    <row r="63" spans="1:28" ht="14.45" hidden="1" customHeight="1"/>
    <row r="64" spans="1:28" ht="14.45" hidden="1" customHeight="1"/>
    <row r="65" spans="1:15" ht="14.45" hidden="1" customHeight="1"/>
    <row r="66" spans="1:15" ht="21">
      <c r="A66" s="310" t="s">
        <v>28</v>
      </c>
      <c r="B66" s="310"/>
    </row>
    <row r="67" spans="1:15" ht="21">
      <c r="A67" s="308" t="s">
        <v>29</v>
      </c>
      <c r="B67" s="308"/>
      <c r="C67" s="111" t="s">
        <v>10</v>
      </c>
      <c r="D67" s="111" t="s">
        <v>11</v>
      </c>
      <c r="E67" s="111" t="s">
        <v>12</v>
      </c>
      <c r="F67" s="111" t="s">
        <v>13</v>
      </c>
      <c r="G67" s="111" t="s">
        <v>14</v>
      </c>
      <c r="H67" s="111" t="s">
        <v>15</v>
      </c>
      <c r="I67" s="111" t="s">
        <v>16</v>
      </c>
      <c r="J67" s="111" t="s">
        <v>17</v>
      </c>
      <c r="K67" s="111" t="s">
        <v>18</v>
      </c>
      <c r="L67" s="111" t="s">
        <v>19</v>
      </c>
      <c r="M67" s="111" t="s">
        <v>20</v>
      </c>
      <c r="N67" s="200" t="s">
        <v>21</v>
      </c>
      <c r="O67" s="111"/>
    </row>
    <row r="68" spans="1:15" ht="14.45" customHeight="1">
      <c r="A68" s="112">
        <v>23214</v>
      </c>
      <c r="B68" s="113" t="s">
        <v>30</v>
      </c>
      <c r="C68" s="114">
        <f>'[2]Parametros SMA'!C68</f>
        <v>0</v>
      </c>
      <c r="D68" s="114">
        <f>'[2]Parametros SMA'!D68</f>
        <v>0</v>
      </c>
      <c r="E68" s="114">
        <f>'[2]Parametros SMA'!E68</f>
        <v>0</v>
      </c>
      <c r="F68" s="114">
        <f>'[2]Parametros SMA'!F68</f>
        <v>0</v>
      </c>
      <c r="G68" s="114">
        <f>'[2]Parametros SMA'!G68</f>
        <v>0</v>
      </c>
      <c r="H68" s="114">
        <f>'[2]Parametros SMA'!H68</f>
        <v>0</v>
      </c>
      <c r="I68" s="114">
        <f>'[2]Parametros SMA'!I68</f>
        <v>0</v>
      </c>
      <c r="J68" s="114">
        <f>'[2]Parametros SMA'!J68</f>
        <v>0</v>
      </c>
      <c r="K68" s="114">
        <f>'[2]Parametros SMA'!K68</f>
        <v>0</v>
      </c>
      <c r="L68" s="114">
        <f>'[2]Parametros SMA'!L68</f>
        <v>0</v>
      </c>
      <c r="M68" s="114">
        <f>'[2]Parametros SMA'!M68</f>
        <v>0</v>
      </c>
      <c r="N68" s="114">
        <f>'[2]Parametros SMA'!N68</f>
        <v>0</v>
      </c>
      <c r="O68" s="114"/>
    </row>
    <row r="69" spans="1:15" ht="14.45" customHeight="1">
      <c r="A69" s="112">
        <v>1149</v>
      </c>
      <c r="B69" s="113" t="s">
        <v>31</v>
      </c>
      <c r="C69" s="114">
        <f>'[2]Parametros SMA'!C69</f>
        <v>0</v>
      </c>
      <c r="D69" s="114">
        <f>'[2]Parametros SMA'!D69</f>
        <v>0</v>
      </c>
      <c r="E69" s="114">
        <f>'[2]Parametros SMA'!E69</f>
        <v>0</v>
      </c>
      <c r="F69" s="114">
        <f>'[2]Parametros SMA'!F69</f>
        <v>0</v>
      </c>
      <c r="G69" s="114">
        <f>'[2]Parametros SMA'!G69</f>
        <v>0</v>
      </c>
      <c r="H69" s="114">
        <f>'[2]Parametros SMA'!H69</f>
        <v>0</v>
      </c>
      <c r="I69" s="114">
        <f>'[2]Parametros SMA'!I69</f>
        <v>0</v>
      </c>
      <c r="J69" s="114">
        <f>'[2]Parametros SMA'!J69</f>
        <v>0</v>
      </c>
      <c r="K69" s="114">
        <f>'[2]Parametros SMA'!K69</f>
        <v>0</v>
      </c>
      <c r="L69" s="114">
        <f>'[2]Parametros SMA'!L69</f>
        <v>0</v>
      </c>
      <c r="M69" s="114">
        <f>'[2]Parametros SMA'!M69</f>
        <v>0</v>
      </c>
      <c r="N69" s="114">
        <f>'[2]Parametros SMA'!N69</f>
        <v>0</v>
      </c>
      <c r="O69" s="114"/>
    </row>
    <row r="70" spans="1:15" ht="14.45" customHeight="1">
      <c r="A70" s="112">
        <v>1163</v>
      </c>
      <c r="B70" s="113" t="s">
        <v>32</v>
      </c>
      <c r="C70" s="114">
        <f>'[2]Parametros SMA'!C70</f>
        <v>0</v>
      </c>
      <c r="D70" s="114">
        <f>'[2]Parametros SMA'!D70</f>
        <v>0</v>
      </c>
      <c r="E70" s="114">
        <f>'[2]Parametros SMA'!E70</f>
        <v>0</v>
      </c>
      <c r="F70" s="114">
        <f>'[2]Parametros SMA'!F70</f>
        <v>0</v>
      </c>
      <c r="G70" s="114">
        <f>'[2]Parametros SMA'!G70</f>
        <v>0</v>
      </c>
      <c r="H70" s="114">
        <f>'[2]Parametros SMA'!H70</f>
        <v>0</v>
      </c>
      <c r="I70" s="114">
        <f>'[2]Parametros SMA'!I70</f>
        <v>0</v>
      </c>
      <c r="J70" s="114">
        <f>'[2]Parametros SMA'!J70</f>
        <v>0</v>
      </c>
      <c r="K70" s="114">
        <f>'[2]Parametros SMA'!K70</f>
        <v>0</v>
      </c>
      <c r="L70" s="114">
        <f>'[2]Parametros SMA'!L70</f>
        <v>0</v>
      </c>
      <c r="M70" s="114">
        <f>'[2]Parametros SMA'!M70</f>
        <v>0</v>
      </c>
      <c r="N70" s="114">
        <f>'[2]Parametros SMA'!N70</f>
        <v>0</v>
      </c>
      <c r="O70" s="98"/>
    </row>
    <row r="71" spans="1:15" ht="14.45" customHeight="1">
      <c r="A71" s="112">
        <v>1376</v>
      </c>
      <c r="B71" s="113" t="s">
        <v>33</v>
      </c>
      <c r="C71" s="114">
        <f>'[2]Parametros SMA'!C71</f>
        <v>0</v>
      </c>
      <c r="D71" s="114">
        <f>'[2]Parametros SMA'!D71</f>
        <v>0</v>
      </c>
      <c r="E71" s="114">
        <f>'[2]Parametros SMA'!E71</f>
        <v>0</v>
      </c>
      <c r="F71" s="114">
        <f>'[2]Parametros SMA'!F71</f>
        <v>0</v>
      </c>
      <c r="G71" s="114">
        <f>'[2]Parametros SMA'!G71</f>
        <v>0</v>
      </c>
      <c r="H71" s="114">
        <f>'[2]Parametros SMA'!H71</f>
        <v>0</v>
      </c>
      <c r="I71" s="114">
        <f>'[2]Parametros SMA'!I71</f>
        <v>0</v>
      </c>
      <c r="J71" s="114">
        <f>'[2]Parametros SMA'!J71</f>
        <v>0</v>
      </c>
      <c r="K71" s="114">
        <f>'[2]Parametros SMA'!K71</f>
        <v>0</v>
      </c>
      <c r="L71" s="114">
        <f>'[2]Parametros SMA'!L71</f>
        <v>0</v>
      </c>
      <c r="M71" s="114">
        <f>'[2]Parametros SMA'!M71</f>
        <v>0</v>
      </c>
      <c r="N71" s="114">
        <f>'[2]Parametros SMA'!N71</f>
        <v>0</v>
      </c>
      <c r="O71" s="114"/>
    </row>
    <row r="72" spans="1:15" ht="14.45" customHeight="1">
      <c r="A72" s="112">
        <v>2172</v>
      </c>
      <c r="B72" s="113" t="s">
        <v>34</v>
      </c>
      <c r="C72" s="114">
        <f>'[2]Parametros SMA'!C72</f>
        <v>0</v>
      </c>
      <c r="D72" s="114">
        <f>'[2]Parametros SMA'!D72</f>
        <v>0</v>
      </c>
      <c r="E72" s="114">
        <f>'[2]Parametros SMA'!E72</f>
        <v>0</v>
      </c>
      <c r="F72" s="114">
        <f>'[2]Parametros SMA'!F72</f>
        <v>0</v>
      </c>
      <c r="G72" s="114">
        <f>'[2]Parametros SMA'!G72</f>
        <v>0</v>
      </c>
      <c r="H72" s="114">
        <f>'[2]Parametros SMA'!H72</f>
        <v>0</v>
      </c>
      <c r="I72" s="114">
        <f>'[2]Parametros SMA'!I72</f>
        <v>0</v>
      </c>
      <c r="J72" s="114">
        <f>'[2]Parametros SMA'!J72</f>
        <v>0</v>
      </c>
      <c r="K72" s="114">
        <f>'[2]Parametros SMA'!K72</f>
        <v>0</v>
      </c>
      <c r="L72" s="114">
        <f>'[2]Parametros SMA'!L72</f>
        <v>0</v>
      </c>
      <c r="M72" s="114">
        <f>'[2]Parametros SMA'!M72</f>
        <v>0</v>
      </c>
      <c r="N72" s="114">
        <f>'[2]Parametros SMA'!N72</f>
        <v>0</v>
      </c>
      <c r="O72" s="114"/>
    </row>
    <row r="73" spans="1:15" ht="14.45" customHeight="1">
      <c r="A73" s="112">
        <v>2526</v>
      </c>
      <c r="B73" s="113" t="s">
        <v>35</v>
      </c>
      <c r="C73" s="114">
        <f>'[2]Parametros SMA'!C73</f>
        <v>0</v>
      </c>
      <c r="D73" s="114">
        <f>'[2]Parametros SMA'!D73</f>
        <v>0</v>
      </c>
      <c r="E73" s="114">
        <f>'[2]Parametros SMA'!E73</f>
        <v>0</v>
      </c>
      <c r="F73" s="114">
        <f>'[2]Parametros SMA'!F73</f>
        <v>0</v>
      </c>
      <c r="G73" s="114">
        <f>'[2]Parametros SMA'!G73</f>
        <v>0</v>
      </c>
      <c r="H73" s="114">
        <f>'[2]Parametros SMA'!H73</f>
        <v>0</v>
      </c>
      <c r="I73" s="114">
        <f>'[2]Parametros SMA'!I73</f>
        <v>0</v>
      </c>
      <c r="J73" s="114">
        <f>'[2]Parametros SMA'!J73</f>
        <v>0</v>
      </c>
      <c r="K73" s="114">
        <f>'[2]Parametros SMA'!K73</f>
        <v>0</v>
      </c>
      <c r="L73" s="114">
        <f>'[2]Parametros SMA'!L73</f>
        <v>0</v>
      </c>
      <c r="M73" s="114">
        <f>'[2]Parametros SMA'!M73</f>
        <v>0</v>
      </c>
      <c r="N73" s="114">
        <f>'[2]Parametros SMA'!N73</f>
        <v>0</v>
      </c>
      <c r="O73" s="114"/>
    </row>
    <row r="74" spans="1:15" ht="14.45" customHeight="1">
      <c r="A74" s="112">
        <v>4179</v>
      </c>
      <c r="B74" s="113" t="s">
        <v>36</v>
      </c>
      <c r="C74" s="114">
        <f>'[2]Parametros SMA'!C74</f>
        <v>0</v>
      </c>
      <c r="D74" s="114">
        <f>'[2]Parametros SMA'!D74</f>
        <v>0</v>
      </c>
      <c r="E74" s="114">
        <f>'[2]Parametros SMA'!E74</f>
        <v>0</v>
      </c>
      <c r="F74" s="114">
        <f>'[2]Parametros SMA'!F74</f>
        <v>0</v>
      </c>
      <c r="G74" s="114">
        <f>'[2]Parametros SMA'!G74</f>
        <v>0</v>
      </c>
      <c r="H74" s="114">
        <f>'[2]Parametros SMA'!H74</f>
        <v>0</v>
      </c>
      <c r="I74" s="114">
        <f>'[2]Parametros SMA'!I74</f>
        <v>0</v>
      </c>
      <c r="J74" s="114">
        <f>'[2]Parametros SMA'!J74</f>
        <v>0</v>
      </c>
      <c r="K74" s="114">
        <f>'[2]Parametros SMA'!K74</f>
        <v>0</v>
      </c>
      <c r="L74" s="114">
        <f>'[2]Parametros SMA'!L74</f>
        <v>0</v>
      </c>
      <c r="M74" s="114">
        <f>'[2]Parametros SMA'!M74</f>
        <v>0</v>
      </c>
      <c r="N74" s="114">
        <f>'[2]Parametros SMA'!N74</f>
        <v>0</v>
      </c>
      <c r="O74" s="114"/>
    </row>
    <row r="75" spans="1:15" ht="14.45" customHeight="1">
      <c r="A75" s="112">
        <v>4188</v>
      </c>
      <c r="B75" s="113" t="s">
        <v>37</v>
      </c>
      <c r="C75" s="114">
        <f>'[2]Parametros SMA'!C75</f>
        <v>0</v>
      </c>
      <c r="D75" s="114">
        <f>'[2]Parametros SMA'!D75</f>
        <v>0</v>
      </c>
      <c r="E75" s="114">
        <f>'[2]Parametros SMA'!E75</f>
        <v>0</v>
      </c>
      <c r="F75" s="114">
        <f>'[2]Parametros SMA'!F75</f>
        <v>0</v>
      </c>
      <c r="G75" s="114">
        <f>'[2]Parametros SMA'!G75</f>
        <v>0</v>
      </c>
      <c r="H75" s="114">
        <f>'[2]Parametros SMA'!H75</f>
        <v>0</v>
      </c>
      <c r="I75" s="114">
        <f>'[2]Parametros SMA'!I75</f>
        <v>0</v>
      </c>
      <c r="J75" s="114">
        <f>'[2]Parametros SMA'!J75</f>
        <v>0</v>
      </c>
      <c r="K75" s="114">
        <f>'[2]Parametros SMA'!K75</f>
        <v>0</v>
      </c>
      <c r="L75" s="114">
        <f>'[2]Parametros SMA'!L75</f>
        <v>0</v>
      </c>
      <c r="M75" s="114">
        <f>'[2]Parametros SMA'!M75</f>
        <v>0</v>
      </c>
      <c r="N75" s="114">
        <f>'[2]Parametros SMA'!N75</f>
        <v>0</v>
      </c>
      <c r="O75" s="114"/>
    </row>
    <row r="76" spans="1:15" ht="14.45" customHeight="1">
      <c r="A76" s="112">
        <v>5317</v>
      </c>
      <c r="B76" s="113" t="s">
        <v>38</v>
      </c>
      <c r="C76" s="114">
        <f>'[2]Parametros SMA'!C76</f>
        <v>0</v>
      </c>
      <c r="D76" s="114">
        <f>'[2]Parametros SMA'!D76</f>
        <v>0</v>
      </c>
      <c r="E76" s="114">
        <f>'[2]Parametros SMA'!E76</f>
        <v>0</v>
      </c>
      <c r="F76" s="114">
        <f>'[2]Parametros SMA'!F76</f>
        <v>0</v>
      </c>
      <c r="G76" s="114">
        <f>'[2]Parametros SMA'!G76</f>
        <v>0</v>
      </c>
      <c r="H76" s="114">
        <f>'[2]Parametros SMA'!H76</f>
        <v>0</v>
      </c>
      <c r="I76" s="114">
        <f>'[2]Parametros SMA'!I76</f>
        <v>0</v>
      </c>
      <c r="J76" s="114">
        <f>'[2]Parametros SMA'!J76</f>
        <v>0</v>
      </c>
      <c r="K76" s="114">
        <f>'[2]Parametros SMA'!K76</f>
        <v>0</v>
      </c>
      <c r="L76" s="114">
        <f>'[2]Parametros SMA'!L76</f>
        <v>0</v>
      </c>
      <c r="M76" s="114">
        <f>'[2]Parametros SMA'!M76</f>
        <v>0</v>
      </c>
      <c r="N76" s="114">
        <f>'[2]Parametros SMA'!N76</f>
        <v>0</v>
      </c>
      <c r="O76" s="114"/>
    </row>
    <row r="77" spans="1:15" ht="14.45" customHeight="1">
      <c r="A77" s="112">
        <v>6410</v>
      </c>
      <c r="B77" s="113" t="s">
        <v>39</v>
      </c>
      <c r="C77" s="114">
        <f>'[2]Parametros SMA'!C77</f>
        <v>0</v>
      </c>
      <c r="D77" s="114">
        <f>'[2]Parametros SMA'!D77</f>
        <v>0</v>
      </c>
      <c r="E77" s="114">
        <f>'[2]Parametros SMA'!E77</f>
        <v>0</v>
      </c>
      <c r="F77" s="114">
        <f>'[2]Parametros SMA'!F77</f>
        <v>0</v>
      </c>
      <c r="G77" s="114">
        <f>'[2]Parametros SMA'!G77</f>
        <v>0</v>
      </c>
      <c r="H77" s="114">
        <f>'[2]Parametros SMA'!H77</f>
        <v>0</v>
      </c>
      <c r="I77" s="114">
        <f>'[2]Parametros SMA'!I77</f>
        <v>0</v>
      </c>
      <c r="J77" s="114">
        <f>'[2]Parametros SMA'!J77</f>
        <v>0</v>
      </c>
      <c r="K77" s="114">
        <f>'[2]Parametros SMA'!K77</f>
        <v>0</v>
      </c>
      <c r="L77" s="114">
        <f>'[2]Parametros SMA'!L77</f>
        <v>0</v>
      </c>
      <c r="M77" s="114">
        <f>'[2]Parametros SMA'!M77</f>
        <v>0</v>
      </c>
      <c r="N77" s="114">
        <f>'[2]Parametros SMA'!N77</f>
        <v>0</v>
      </c>
      <c r="O77" s="114"/>
    </row>
    <row r="78" spans="1:15" ht="14.45" customHeight="1">
      <c r="A78" s="112">
        <v>6947</v>
      </c>
      <c r="B78" s="113" t="s">
        <v>40</v>
      </c>
      <c r="C78" s="114">
        <f>'[2]Parametros SMA'!C78</f>
        <v>0</v>
      </c>
      <c r="D78" s="114">
        <f>'[2]Parametros SMA'!D78</f>
        <v>0</v>
      </c>
      <c r="E78" s="114">
        <f>'[2]Parametros SMA'!E78</f>
        <v>0</v>
      </c>
      <c r="F78" s="114">
        <f>'[2]Parametros SMA'!F78</f>
        <v>0</v>
      </c>
      <c r="G78" s="114">
        <f>'[2]Parametros SMA'!G78</f>
        <v>0</v>
      </c>
      <c r="H78" s="114">
        <f>'[2]Parametros SMA'!H78</f>
        <v>0</v>
      </c>
      <c r="I78" s="114">
        <f>'[2]Parametros SMA'!I78</f>
        <v>0</v>
      </c>
      <c r="J78" s="114">
        <f>'[2]Parametros SMA'!J78</f>
        <v>0</v>
      </c>
      <c r="K78" s="114">
        <f>'[2]Parametros SMA'!K78</f>
        <v>0</v>
      </c>
      <c r="L78" s="114">
        <f>'[2]Parametros SMA'!L78</f>
        <v>0</v>
      </c>
      <c r="M78" s="114">
        <f>'[2]Parametros SMA'!M78</f>
        <v>0</v>
      </c>
      <c r="N78" s="114">
        <f>'[2]Parametros SMA'!N78</f>
        <v>0</v>
      </c>
      <c r="O78" s="114"/>
    </row>
    <row r="79" spans="1:15" ht="14.45" customHeight="1">
      <c r="A79" s="112">
        <v>7167</v>
      </c>
      <c r="B79" s="113" t="s">
        <v>41</v>
      </c>
      <c r="C79" s="114">
        <f>'[2]Parametros SMA'!C79</f>
        <v>0</v>
      </c>
      <c r="D79" s="114">
        <f>'[2]Parametros SMA'!D79</f>
        <v>0</v>
      </c>
      <c r="E79" s="114">
        <f>'[2]Parametros SMA'!E79</f>
        <v>0</v>
      </c>
      <c r="F79" s="114">
        <f>'[2]Parametros SMA'!F79</f>
        <v>0</v>
      </c>
      <c r="G79" s="114">
        <f>'[2]Parametros SMA'!G79</f>
        <v>0</v>
      </c>
      <c r="H79" s="114">
        <f>'[2]Parametros SMA'!H79</f>
        <v>0</v>
      </c>
      <c r="I79" s="114">
        <f>'[2]Parametros SMA'!I79</f>
        <v>0</v>
      </c>
      <c r="J79" s="114">
        <f>'[2]Parametros SMA'!J79</f>
        <v>0</v>
      </c>
      <c r="K79" s="114">
        <f>'[2]Parametros SMA'!K79</f>
        <v>0</v>
      </c>
      <c r="L79" s="114">
        <f>'[2]Parametros SMA'!L79</f>
        <v>0</v>
      </c>
      <c r="M79" s="114">
        <f>'[2]Parametros SMA'!M79</f>
        <v>0</v>
      </c>
      <c r="N79" s="114">
        <f>'[2]Parametros SMA'!N79</f>
        <v>0</v>
      </c>
      <c r="O79" s="114"/>
    </row>
    <row r="80" spans="1:15" ht="14.45" customHeight="1">
      <c r="A80" s="112">
        <v>5465</v>
      </c>
      <c r="B80" s="113" t="s">
        <v>42</v>
      </c>
      <c r="C80" s="114">
        <f>'[2]Parametros SMA'!C80</f>
        <v>0</v>
      </c>
      <c r="D80" s="114">
        <f>'[2]Parametros SMA'!D80</f>
        <v>0</v>
      </c>
      <c r="E80" s="114">
        <f>'[2]Parametros SMA'!E80</f>
        <v>0</v>
      </c>
      <c r="F80" s="114">
        <f>'[2]Parametros SMA'!F80</f>
        <v>0</v>
      </c>
      <c r="G80" s="114">
        <f>'[2]Parametros SMA'!G80</f>
        <v>0</v>
      </c>
      <c r="H80" s="114">
        <f>'[2]Parametros SMA'!H80</f>
        <v>0</v>
      </c>
      <c r="I80" s="114">
        <f>'[2]Parametros SMA'!I80</f>
        <v>0</v>
      </c>
      <c r="J80" s="114">
        <f>'[2]Parametros SMA'!J80</f>
        <v>0</v>
      </c>
      <c r="K80" s="114">
        <f>'[2]Parametros SMA'!K80</f>
        <v>0</v>
      </c>
      <c r="L80" s="114">
        <f>'[2]Parametros SMA'!L80</f>
        <v>0</v>
      </c>
      <c r="M80" s="114">
        <f>'[2]Parametros SMA'!M80</f>
        <v>0</v>
      </c>
      <c r="N80" s="114">
        <f>'[2]Parametros SMA'!N80</f>
        <v>0</v>
      </c>
      <c r="O80" s="114"/>
    </row>
    <row r="81" spans="1:15" ht="14.45" customHeight="1">
      <c r="A81" s="112">
        <v>8244</v>
      </c>
      <c r="B81" s="113" t="s">
        <v>43</v>
      </c>
      <c r="C81" s="114">
        <f>'[2]Parametros SMA'!C81</f>
        <v>0</v>
      </c>
      <c r="D81" s="114">
        <f>'[2]Parametros SMA'!D81</f>
        <v>0</v>
      </c>
      <c r="E81" s="114">
        <f>'[2]Parametros SMA'!E81</f>
        <v>0</v>
      </c>
      <c r="F81" s="114">
        <f>'[2]Parametros SMA'!F81</f>
        <v>0</v>
      </c>
      <c r="G81" s="114">
        <f>'[2]Parametros SMA'!G81</f>
        <v>0</v>
      </c>
      <c r="H81" s="114">
        <f>'[2]Parametros SMA'!H81</f>
        <v>0</v>
      </c>
      <c r="I81" s="114">
        <f>'[2]Parametros SMA'!I81</f>
        <v>0</v>
      </c>
      <c r="J81" s="114">
        <f>'[2]Parametros SMA'!J81</f>
        <v>0</v>
      </c>
      <c r="K81" s="114">
        <f>'[2]Parametros SMA'!K81</f>
        <v>0</v>
      </c>
      <c r="L81" s="114">
        <f>'[2]Parametros SMA'!L81</f>
        <v>0</v>
      </c>
      <c r="M81" s="114">
        <f>'[2]Parametros SMA'!M81</f>
        <v>0</v>
      </c>
      <c r="N81" s="114">
        <f>'[2]Parametros SMA'!N81</f>
        <v>0</v>
      </c>
      <c r="O81" s="114"/>
    </row>
    <row r="82" spans="1:15" ht="14.45" customHeight="1">
      <c r="A82" s="112">
        <v>9191</v>
      </c>
      <c r="B82" s="113" t="s">
        <v>44</v>
      </c>
      <c r="C82" s="114">
        <f>'[2]Parametros SMA'!C82</f>
        <v>0</v>
      </c>
      <c r="D82" s="114">
        <f>'[2]Parametros SMA'!D82</f>
        <v>0</v>
      </c>
      <c r="E82" s="114">
        <f>'[2]Parametros SMA'!E82</f>
        <v>0</v>
      </c>
      <c r="F82" s="114">
        <f>'[2]Parametros SMA'!F82</f>
        <v>0</v>
      </c>
      <c r="G82" s="114">
        <f>'[2]Parametros SMA'!G82</f>
        <v>0</v>
      </c>
      <c r="H82" s="114">
        <f>'[2]Parametros SMA'!H82</f>
        <v>0</v>
      </c>
      <c r="I82" s="114">
        <f>'[2]Parametros SMA'!I82</f>
        <v>0</v>
      </c>
      <c r="J82" s="114">
        <f>'[2]Parametros SMA'!J82</f>
        <v>0</v>
      </c>
      <c r="K82" s="114">
        <f>'[2]Parametros SMA'!K82</f>
        <v>0</v>
      </c>
      <c r="L82" s="114">
        <f>'[2]Parametros SMA'!L82</f>
        <v>0</v>
      </c>
      <c r="M82" s="114">
        <f>'[2]Parametros SMA'!M82</f>
        <v>0</v>
      </c>
      <c r="N82" s="114">
        <f>'[2]Parametros SMA'!N82</f>
        <v>0</v>
      </c>
      <c r="O82" s="114"/>
    </row>
    <row r="83" spans="1:15" ht="14.45" customHeight="1">
      <c r="A83" s="112">
        <v>9235</v>
      </c>
      <c r="B83" s="113" t="s">
        <v>45</v>
      </c>
      <c r="C83" s="114">
        <f>'[2]Parametros SMA'!C83</f>
        <v>0</v>
      </c>
      <c r="D83" s="114">
        <f>'[2]Parametros SMA'!D83</f>
        <v>0</v>
      </c>
      <c r="E83" s="114">
        <f>'[2]Parametros SMA'!E83</f>
        <v>0</v>
      </c>
      <c r="F83" s="114">
        <f>'[2]Parametros SMA'!F83</f>
        <v>0</v>
      </c>
      <c r="G83" s="114">
        <f>'[2]Parametros SMA'!G83</f>
        <v>0</v>
      </c>
      <c r="H83" s="114">
        <f>'[2]Parametros SMA'!H83</f>
        <v>0</v>
      </c>
      <c r="I83" s="114">
        <f>'[2]Parametros SMA'!I83</f>
        <v>0</v>
      </c>
      <c r="J83" s="114">
        <f>'[2]Parametros SMA'!J83</f>
        <v>0</v>
      </c>
      <c r="K83" s="114">
        <f>'[2]Parametros SMA'!K83</f>
        <v>0</v>
      </c>
      <c r="L83" s="114">
        <f>'[2]Parametros SMA'!L83</f>
        <v>0</v>
      </c>
      <c r="M83" s="114">
        <f>'[2]Parametros SMA'!M83</f>
        <v>0</v>
      </c>
      <c r="N83" s="114">
        <f>'[2]Parametros SMA'!N83</f>
        <v>0</v>
      </c>
      <c r="O83" s="114"/>
    </row>
    <row r="84" spans="1:15" ht="14.45" customHeight="1">
      <c r="A84" s="112">
        <v>9885</v>
      </c>
      <c r="B84" s="113" t="s">
        <v>46</v>
      </c>
      <c r="C84" s="114">
        <f>'[2]Parametros SMA'!C84</f>
        <v>0</v>
      </c>
      <c r="D84" s="114">
        <f>'[2]Parametros SMA'!D84</f>
        <v>0</v>
      </c>
      <c r="E84" s="114">
        <f>'[2]Parametros SMA'!E84</f>
        <v>0</v>
      </c>
      <c r="F84" s="114">
        <f>'[2]Parametros SMA'!F84</f>
        <v>0</v>
      </c>
      <c r="G84" s="114">
        <f>'[2]Parametros SMA'!G84</f>
        <v>0</v>
      </c>
      <c r="H84" s="114">
        <f>'[2]Parametros SMA'!H84</f>
        <v>0</v>
      </c>
      <c r="I84" s="114">
        <f>'[2]Parametros SMA'!I84</f>
        <v>0</v>
      </c>
      <c r="J84" s="114">
        <f>'[2]Parametros SMA'!J84</f>
        <v>0</v>
      </c>
      <c r="K84" s="114">
        <f>'[2]Parametros SMA'!K84</f>
        <v>0</v>
      </c>
      <c r="L84" s="114">
        <f>'[2]Parametros SMA'!L84</f>
        <v>0</v>
      </c>
      <c r="M84" s="114">
        <f>'[2]Parametros SMA'!M84</f>
        <v>0</v>
      </c>
      <c r="N84" s="114">
        <f>'[2]Parametros SMA'!N84</f>
        <v>0</v>
      </c>
      <c r="O84" s="114"/>
    </row>
    <row r="85" spans="1:15" ht="14.45" customHeight="1">
      <c r="A85" s="112">
        <v>9893</v>
      </c>
      <c r="B85" s="113" t="s">
        <v>47</v>
      </c>
      <c r="C85" s="114">
        <f>'[2]Parametros SMA'!C85</f>
        <v>0</v>
      </c>
      <c r="D85" s="114">
        <f>'[2]Parametros SMA'!D85</f>
        <v>0</v>
      </c>
      <c r="E85" s="114">
        <f>'[2]Parametros SMA'!E85</f>
        <v>0</v>
      </c>
      <c r="F85" s="114">
        <f>'[2]Parametros SMA'!F85</f>
        <v>0</v>
      </c>
      <c r="G85" s="114">
        <f>'[2]Parametros SMA'!G85</f>
        <v>0</v>
      </c>
      <c r="H85" s="114">
        <f>'[2]Parametros SMA'!H85</f>
        <v>0</v>
      </c>
      <c r="I85" s="114">
        <f>'[2]Parametros SMA'!I85</f>
        <v>0</v>
      </c>
      <c r="J85" s="114">
        <f>'[2]Parametros SMA'!J85</f>
        <v>0</v>
      </c>
      <c r="K85" s="114">
        <f>'[2]Parametros SMA'!K85</f>
        <v>0</v>
      </c>
      <c r="L85" s="114">
        <f>'[2]Parametros SMA'!L85</f>
        <v>0</v>
      </c>
      <c r="M85" s="114">
        <f>'[2]Parametros SMA'!M85</f>
        <v>0</v>
      </c>
      <c r="N85" s="114">
        <f>'[2]Parametros SMA'!N85</f>
        <v>0</v>
      </c>
      <c r="O85" s="114"/>
    </row>
    <row r="86" spans="1:15" ht="14.45" customHeight="1">
      <c r="A86" s="112">
        <v>5170</v>
      </c>
      <c r="B86" s="113" t="s">
        <v>48</v>
      </c>
      <c r="C86" s="114">
        <f>'[2]Parametros SMA'!C86</f>
        <v>0</v>
      </c>
      <c r="D86" s="114">
        <f>'[2]Parametros SMA'!D86</f>
        <v>0</v>
      </c>
      <c r="E86" s="114">
        <f>'[2]Parametros SMA'!E86</f>
        <v>0</v>
      </c>
      <c r="F86" s="114">
        <f>'[2]Parametros SMA'!F86</f>
        <v>0</v>
      </c>
      <c r="G86" s="114">
        <f>'[2]Parametros SMA'!G86</f>
        <v>0</v>
      </c>
      <c r="H86" s="114">
        <f>'[2]Parametros SMA'!H86</f>
        <v>0</v>
      </c>
      <c r="I86" s="114">
        <f>'[2]Parametros SMA'!I86</f>
        <v>0</v>
      </c>
      <c r="J86" s="114">
        <f>'[2]Parametros SMA'!J86</f>
        <v>0</v>
      </c>
      <c r="K86" s="114">
        <f>'[2]Parametros SMA'!K86</f>
        <v>0</v>
      </c>
      <c r="L86" s="114">
        <f>'[2]Parametros SMA'!L86</f>
        <v>0</v>
      </c>
      <c r="M86" s="114">
        <f>'[2]Parametros SMA'!M86</f>
        <v>0</v>
      </c>
      <c r="N86" s="114">
        <f>'[2]Parametros SMA'!N86</f>
        <v>0</v>
      </c>
      <c r="O86" s="114"/>
    </row>
    <row r="87" spans="1:15" ht="14.45" customHeight="1">
      <c r="A87" s="112">
        <v>11007</v>
      </c>
      <c r="B87" s="113" t="s">
        <v>49</v>
      </c>
      <c r="C87" s="114">
        <f>'[2]Parametros SMA'!C87</f>
        <v>0</v>
      </c>
      <c r="D87" s="114">
        <f>'[2]Parametros SMA'!D87</f>
        <v>0</v>
      </c>
      <c r="E87" s="114">
        <f>'[2]Parametros SMA'!E87</f>
        <v>0</v>
      </c>
      <c r="F87" s="114">
        <f>'[2]Parametros SMA'!F87</f>
        <v>0</v>
      </c>
      <c r="G87" s="114">
        <f>'[2]Parametros SMA'!G87</f>
        <v>0</v>
      </c>
      <c r="H87" s="114">
        <f>'[2]Parametros SMA'!H87</f>
        <v>0</v>
      </c>
      <c r="I87" s="114">
        <f>'[2]Parametros SMA'!I87</f>
        <v>0</v>
      </c>
      <c r="J87" s="114">
        <f>'[2]Parametros SMA'!J87</f>
        <v>0</v>
      </c>
      <c r="K87" s="114">
        <f>'[2]Parametros SMA'!K87</f>
        <v>0</v>
      </c>
      <c r="L87" s="114">
        <f>'[2]Parametros SMA'!L87</f>
        <v>0</v>
      </c>
      <c r="M87" s="114">
        <f>'[2]Parametros SMA'!M87</f>
        <v>0</v>
      </c>
      <c r="N87" s="114">
        <f>'[2]Parametros SMA'!N87</f>
        <v>0</v>
      </c>
      <c r="O87" s="114"/>
    </row>
    <row r="88" spans="1:15" ht="14.45" customHeight="1">
      <c r="A88" s="112">
        <v>24938</v>
      </c>
      <c r="B88" s="113" t="s">
        <v>50</v>
      </c>
      <c r="C88" s="114">
        <f>'[2]Parametros SMA'!C88</f>
        <v>0</v>
      </c>
      <c r="D88" s="114">
        <f>'[2]Parametros SMA'!D88</f>
        <v>0</v>
      </c>
      <c r="E88" s="114">
        <f>'[2]Parametros SMA'!E88</f>
        <v>0</v>
      </c>
      <c r="F88" s="114">
        <f>'[2]Parametros SMA'!F88</f>
        <v>0</v>
      </c>
      <c r="G88" s="114">
        <f>'[2]Parametros SMA'!G88</f>
        <v>0</v>
      </c>
      <c r="H88" s="114">
        <f>'[2]Parametros SMA'!H88</f>
        <v>0</v>
      </c>
      <c r="I88" s="114">
        <f>'[2]Parametros SMA'!I88</f>
        <v>0</v>
      </c>
      <c r="J88" s="114">
        <f>'[2]Parametros SMA'!J88</f>
        <v>0</v>
      </c>
      <c r="K88" s="114">
        <f>'[2]Parametros SMA'!K88</f>
        <v>0</v>
      </c>
      <c r="L88" s="114">
        <f>'[2]Parametros SMA'!L88</f>
        <v>0</v>
      </c>
      <c r="M88" s="114">
        <f>'[2]Parametros SMA'!M88</f>
        <v>0</v>
      </c>
      <c r="N88" s="114">
        <f>'[2]Parametros SMA'!N88</f>
        <v>0</v>
      </c>
    </row>
    <row r="89" spans="1:15" ht="14.45" customHeight="1">
      <c r="A89" s="112">
        <v>1242</v>
      </c>
      <c r="B89" s="113" t="s">
        <v>51</v>
      </c>
      <c r="C89" s="114">
        <f>'[2]Parametros SMA'!C89</f>
        <v>0</v>
      </c>
      <c r="D89" s="114">
        <f>'[2]Parametros SMA'!D89</f>
        <v>0</v>
      </c>
      <c r="E89" s="114">
        <f>'[2]Parametros SMA'!E89</f>
        <v>0</v>
      </c>
      <c r="F89" s="114">
        <f>'[2]Parametros SMA'!F89</f>
        <v>0</v>
      </c>
      <c r="G89" s="114">
        <f>'[2]Parametros SMA'!G89</f>
        <v>0</v>
      </c>
      <c r="H89" s="114">
        <f>'[2]Parametros SMA'!H89</f>
        <v>0</v>
      </c>
      <c r="I89" s="114">
        <f>'[2]Parametros SMA'!I89</f>
        <v>0</v>
      </c>
      <c r="J89" s="114">
        <f>'[2]Parametros SMA'!J89</f>
        <v>0</v>
      </c>
      <c r="K89" s="114">
        <f>'[2]Parametros SMA'!K89</f>
        <v>0</v>
      </c>
      <c r="L89" s="114">
        <f>'[2]Parametros SMA'!L89</f>
        <v>0</v>
      </c>
      <c r="M89" s="114">
        <f>'[2]Parametros SMA'!M89</f>
        <v>0</v>
      </c>
      <c r="N89" s="114">
        <f>'[2]Parametros SMA'!N89</f>
        <v>0</v>
      </c>
    </row>
    <row r="90" spans="1:15" ht="14.45" customHeight="1">
      <c r="A90" s="112">
        <v>12900</v>
      </c>
      <c r="B90" s="113" t="s">
        <v>52</v>
      </c>
      <c r="C90" s="114">
        <f>'[2]Parametros SMA'!C90</f>
        <v>0</v>
      </c>
      <c r="D90" s="114">
        <f>'[2]Parametros SMA'!D90</f>
        <v>0</v>
      </c>
      <c r="E90" s="114">
        <f>'[2]Parametros SMA'!E90</f>
        <v>0</v>
      </c>
      <c r="F90" s="114">
        <f>'[2]Parametros SMA'!F90</f>
        <v>0</v>
      </c>
      <c r="G90" s="114">
        <f>'[2]Parametros SMA'!G90</f>
        <v>0</v>
      </c>
      <c r="H90" s="114">
        <f>'[2]Parametros SMA'!H90</f>
        <v>0</v>
      </c>
      <c r="I90" s="114">
        <f>'[2]Parametros SMA'!I90</f>
        <v>0</v>
      </c>
      <c r="J90" s="114">
        <f>'[2]Parametros SMA'!J90</f>
        <v>0</v>
      </c>
      <c r="K90" s="114">
        <f>'[2]Parametros SMA'!K90</f>
        <v>0</v>
      </c>
      <c r="L90" s="114">
        <f>'[2]Parametros SMA'!L90</f>
        <v>0</v>
      </c>
      <c r="M90" s="114">
        <f>'[2]Parametros SMA'!M90</f>
        <v>0</v>
      </c>
      <c r="N90" s="114">
        <f>'[2]Parametros SMA'!N90</f>
        <v>0</v>
      </c>
    </row>
    <row r="91" spans="1:15" ht="14.45" customHeight="1">
      <c r="A91" s="112">
        <v>24499</v>
      </c>
      <c r="B91" s="113" t="s">
        <v>53</v>
      </c>
      <c r="C91" s="114">
        <f>'[2]Parametros SMA'!C91</f>
        <v>0.1</v>
      </c>
      <c r="D91" s="114">
        <f>'[2]Parametros SMA'!D91</f>
        <v>0.1</v>
      </c>
      <c r="E91" s="114">
        <f>'[2]Parametros SMA'!E91</f>
        <v>0.1</v>
      </c>
      <c r="F91" s="114">
        <f>'[2]Parametros SMA'!F91</f>
        <v>0.1</v>
      </c>
      <c r="G91" s="114">
        <f>'[2]Parametros SMA'!G91</f>
        <v>0.1</v>
      </c>
      <c r="H91" s="114">
        <f>'[2]Parametros SMA'!H91</f>
        <v>0.1</v>
      </c>
      <c r="I91" s="114">
        <f>'[2]Parametros SMA'!I91</f>
        <v>0.1</v>
      </c>
      <c r="J91" s="114">
        <f>'[2]Parametros SMA'!J91</f>
        <v>0.1</v>
      </c>
      <c r="K91" s="114">
        <f>'[2]Parametros SMA'!K91</f>
        <v>0.1</v>
      </c>
      <c r="L91" s="114">
        <f>'[2]Parametros SMA'!L91</f>
        <v>0.1</v>
      </c>
      <c r="M91" s="114">
        <f>'[2]Parametros SMA'!M91</f>
        <v>0.1</v>
      </c>
      <c r="N91" s="114">
        <f>'[2]Parametros SMA'!N91</f>
        <v>0.1</v>
      </c>
    </row>
    <row r="92" spans="1:15" ht="14.45" customHeight="1">
      <c r="A92" s="112">
        <v>24500</v>
      </c>
      <c r="B92" s="113" t="s">
        <v>54</v>
      </c>
      <c r="C92" s="114">
        <f>'[2]Parametros SMA'!C92</f>
        <v>0.14000000000000001</v>
      </c>
      <c r="D92" s="114">
        <f>'[2]Parametros SMA'!D92</f>
        <v>0.14000000000000001</v>
      </c>
      <c r="E92" s="114">
        <f>'[2]Parametros SMA'!E92</f>
        <v>0.14000000000000001</v>
      </c>
      <c r="F92" s="114">
        <f>'[2]Parametros SMA'!F92</f>
        <v>0.14000000000000001</v>
      </c>
      <c r="G92" s="114">
        <f>'[2]Parametros SMA'!G92</f>
        <v>0.14000000000000001</v>
      </c>
      <c r="H92" s="114">
        <f>'[2]Parametros SMA'!H92</f>
        <v>0.14000000000000001</v>
      </c>
      <c r="I92" s="114">
        <f>'[2]Parametros SMA'!I92</f>
        <v>0.14000000000000001</v>
      </c>
      <c r="J92" s="114">
        <f>'[2]Parametros SMA'!J92</f>
        <v>0.14000000000000001</v>
      </c>
      <c r="K92" s="114">
        <f>'[2]Parametros SMA'!K92</f>
        <v>0.14000000000000001</v>
      </c>
      <c r="L92" s="114">
        <f>'[2]Parametros SMA'!L92</f>
        <v>0.14000000000000001</v>
      </c>
      <c r="M92" s="114">
        <f>'[2]Parametros SMA'!M92</f>
        <v>0.14000000000000001</v>
      </c>
      <c r="N92" s="114">
        <f>'[2]Parametros SMA'!N92</f>
        <v>0.14000000000000001</v>
      </c>
    </row>
    <row r="93" spans="1:15" ht="14.45" customHeight="1">
      <c r="A93" s="112">
        <v>3184</v>
      </c>
      <c r="B93" s="113" t="s">
        <v>55</v>
      </c>
      <c r="C93" s="114">
        <f>'[2]Parametros SMA'!C93</f>
        <v>0</v>
      </c>
      <c r="D93" s="114">
        <f>'[2]Parametros SMA'!D93</f>
        <v>0</v>
      </c>
      <c r="E93" s="114">
        <f>'[2]Parametros SMA'!E93</f>
        <v>0</v>
      </c>
      <c r="F93" s="114">
        <f>'[2]Parametros SMA'!F93</f>
        <v>0</v>
      </c>
      <c r="G93" s="114">
        <f>'[2]Parametros SMA'!G93</f>
        <v>0</v>
      </c>
      <c r="H93" s="114">
        <f>'[2]Parametros SMA'!H93</f>
        <v>0</v>
      </c>
      <c r="I93" s="114">
        <f>'[2]Parametros SMA'!I93</f>
        <v>0</v>
      </c>
      <c r="J93" s="114">
        <f>'[2]Parametros SMA'!J93</f>
        <v>0</v>
      </c>
      <c r="K93" s="114">
        <f>'[2]Parametros SMA'!K93</f>
        <v>0</v>
      </c>
      <c r="L93" s="114">
        <f>'[2]Parametros SMA'!L93</f>
        <v>0</v>
      </c>
      <c r="M93" s="114">
        <f>'[2]Parametros SMA'!M93</f>
        <v>0</v>
      </c>
      <c r="N93" s="114">
        <f>'[2]Parametros SMA'!N93</f>
        <v>0</v>
      </c>
    </row>
    <row r="94" spans="1:15" ht="14.45" customHeight="1"/>
    <row r="95" spans="1:15" ht="21">
      <c r="A95" s="306" t="s">
        <v>56</v>
      </c>
      <c r="B95" s="306"/>
      <c r="C95" s="111" t="s">
        <v>10</v>
      </c>
      <c r="D95" s="111" t="s">
        <v>11</v>
      </c>
      <c r="E95" s="111" t="s">
        <v>12</v>
      </c>
      <c r="F95" s="111" t="s">
        <v>13</v>
      </c>
      <c r="G95" s="111" t="s">
        <v>14</v>
      </c>
      <c r="H95" s="111" t="s">
        <v>15</v>
      </c>
      <c r="I95" s="111" t="s">
        <v>16</v>
      </c>
      <c r="J95" s="111" t="s">
        <v>17</v>
      </c>
      <c r="K95" s="111" t="s">
        <v>18</v>
      </c>
      <c r="L95" s="111" t="s">
        <v>19</v>
      </c>
      <c r="M95" s="111" t="s">
        <v>20</v>
      </c>
      <c r="N95" s="200" t="s">
        <v>21</v>
      </c>
      <c r="O95" s="111"/>
    </row>
    <row r="96" spans="1:15" ht="14.45" customHeight="1">
      <c r="A96" s="112"/>
      <c r="B96" s="113" t="s">
        <v>30</v>
      </c>
      <c r="C96" s="114">
        <f>'[2]Parametros SMA'!C96</f>
        <v>0</v>
      </c>
      <c r="D96" s="114">
        <f>'[2]Parametros SMA'!D96</f>
        <v>0</v>
      </c>
      <c r="E96" s="114">
        <f>'[2]Parametros SMA'!E96</f>
        <v>0</v>
      </c>
      <c r="F96" s="114">
        <f>'[2]Parametros SMA'!F96</f>
        <v>0</v>
      </c>
      <c r="G96" s="114">
        <f>'[2]Parametros SMA'!G96</f>
        <v>0</v>
      </c>
      <c r="H96" s="114">
        <f>'[2]Parametros SMA'!H96</f>
        <v>0</v>
      </c>
      <c r="I96" s="114">
        <f>'[2]Parametros SMA'!I96</f>
        <v>0</v>
      </c>
      <c r="J96" s="114">
        <f>'[2]Parametros SMA'!J96</f>
        <v>0</v>
      </c>
      <c r="K96" s="114">
        <f>'[2]Parametros SMA'!K96</f>
        <v>0</v>
      </c>
      <c r="L96" s="114">
        <f>'[2]Parametros SMA'!L96</f>
        <v>0</v>
      </c>
      <c r="M96" s="114">
        <f>'[2]Parametros SMA'!M96</f>
        <v>0</v>
      </c>
      <c r="N96" s="114">
        <f>'[2]Parametros SMA'!N96</f>
        <v>0</v>
      </c>
      <c r="O96" s="98"/>
    </row>
    <row r="97" spans="1:15" ht="14.45" customHeight="1">
      <c r="A97" s="112">
        <v>1149</v>
      </c>
      <c r="B97" s="113" t="s">
        <v>31</v>
      </c>
      <c r="C97" s="114">
        <f>'[2]Parametros SMA'!C97</f>
        <v>0</v>
      </c>
      <c r="D97" s="114">
        <f>'[2]Parametros SMA'!D97</f>
        <v>0</v>
      </c>
      <c r="E97" s="114">
        <f>'[2]Parametros SMA'!E97</f>
        <v>0</v>
      </c>
      <c r="F97" s="114">
        <f>'[2]Parametros SMA'!F97</f>
        <v>0</v>
      </c>
      <c r="G97" s="114">
        <f>'[2]Parametros SMA'!G97</f>
        <v>0</v>
      </c>
      <c r="H97" s="114">
        <f>'[2]Parametros SMA'!H97</f>
        <v>0</v>
      </c>
      <c r="I97" s="114">
        <f>'[2]Parametros SMA'!I97</f>
        <v>0</v>
      </c>
      <c r="J97" s="114">
        <f>'[2]Parametros SMA'!J97</f>
        <v>0</v>
      </c>
      <c r="K97" s="114">
        <f>'[2]Parametros SMA'!K97</f>
        <v>0</v>
      </c>
      <c r="L97" s="114">
        <f>'[2]Parametros SMA'!L97</f>
        <v>0</v>
      </c>
      <c r="M97" s="114">
        <f>'[2]Parametros SMA'!M97</f>
        <v>0</v>
      </c>
      <c r="N97" s="114">
        <f>'[2]Parametros SMA'!N97</f>
        <v>0</v>
      </c>
      <c r="O97" s="98"/>
    </row>
    <row r="98" spans="1:15" ht="14.45" customHeight="1">
      <c r="A98" s="112">
        <v>1163</v>
      </c>
      <c r="B98" s="113" t="s">
        <v>32</v>
      </c>
      <c r="C98" s="114">
        <f>'[2]Parametros SMA'!C98</f>
        <v>0</v>
      </c>
      <c r="D98" s="114">
        <f>'[2]Parametros SMA'!D98</f>
        <v>0</v>
      </c>
      <c r="E98" s="114">
        <f>'[2]Parametros SMA'!E98</f>
        <v>0</v>
      </c>
      <c r="F98" s="114">
        <f>'[2]Parametros SMA'!F98</f>
        <v>0</v>
      </c>
      <c r="G98" s="114">
        <f>'[2]Parametros SMA'!G98</f>
        <v>0</v>
      </c>
      <c r="H98" s="114">
        <f>'[2]Parametros SMA'!H98</f>
        <v>0</v>
      </c>
      <c r="I98" s="114">
        <f>'[2]Parametros SMA'!I98</f>
        <v>0</v>
      </c>
      <c r="J98" s="114">
        <f>'[2]Parametros SMA'!J98</f>
        <v>0</v>
      </c>
      <c r="K98" s="114">
        <f>'[2]Parametros SMA'!K98</f>
        <v>0</v>
      </c>
      <c r="L98" s="114">
        <f>'[2]Parametros SMA'!L98</f>
        <v>0</v>
      </c>
      <c r="M98" s="114">
        <f>'[2]Parametros SMA'!M98</f>
        <v>0</v>
      </c>
      <c r="N98" s="114">
        <f>'[2]Parametros SMA'!N98</f>
        <v>0</v>
      </c>
      <c r="O98" s="98"/>
    </row>
    <row r="99" spans="1:15" ht="14.45" customHeight="1">
      <c r="A99" s="112">
        <v>1376</v>
      </c>
      <c r="B99" s="113" t="s">
        <v>33</v>
      </c>
      <c r="C99" s="114">
        <f>'[2]Parametros SMA'!C99</f>
        <v>0</v>
      </c>
      <c r="D99" s="114">
        <f>'[2]Parametros SMA'!D99</f>
        <v>0</v>
      </c>
      <c r="E99" s="114">
        <f>'[2]Parametros SMA'!E99</f>
        <v>0</v>
      </c>
      <c r="F99" s="114">
        <f>'[2]Parametros SMA'!F99</f>
        <v>0</v>
      </c>
      <c r="G99" s="114">
        <f>'[2]Parametros SMA'!G99</f>
        <v>0</v>
      </c>
      <c r="H99" s="114">
        <f>'[2]Parametros SMA'!H99</f>
        <v>0</v>
      </c>
      <c r="I99" s="114">
        <f>'[2]Parametros SMA'!I99</f>
        <v>0</v>
      </c>
      <c r="J99" s="114">
        <f>'[2]Parametros SMA'!J99</f>
        <v>0</v>
      </c>
      <c r="K99" s="114">
        <f>'[2]Parametros SMA'!K99</f>
        <v>0</v>
      </c>
      <c r="L99" s="114">
        <f>'[2]Parametros SMA'!L99</f>
        <v>0</v>
      </c>
      <c r="M99" s="114">
        <f>'[2]Parametros SMA'!M99</f>
        <v>0</v>
      </c>
      <c r="N99" s="114">
        <f>'[2]Parametros SMA'!N99</f>
        <v>0</v>
      </c>
      <c r="O99" s="98"/>
    </row>
    <row r="100" spans="1:15" ht="14.45" customHeight="1">
      <c r="A100" s="112">
        <v>2172</v>
      </c>
      <c r="B100" s="113" t="s">
        <v>34</v>
      </c>
      <c r="C100" s="114">
        <f>'[2]Parametros SMA'!C100</f>
        <v>0</v>
      </c>
      <c r="D100" s="114">
        <f>'[2]Parametros SMA'!D100</f>
        <v>0</v>
      </c>
      <c r="E100" s="114">
        <f>'[2]Parametros SMA'!E100</f>
        <v>0</v>
      </c>
      <c r="F100" s="114">
        <f>'[2]Parametros SMA'!F100</f>
        <v>0</v>
      </c>
      <c r="G100" s="114">
        <f>'[2]Parametros SMA'!G100</f>
        <v>0</v>
      </c>
      <c r="H100" s="114">
        <f>'[2]Parametros SMA'!H100</f>
        <v>0</v>
      </c>
      <c r="I100" s="114">
        <f>'[2]Parametros SMA'!I100</f>
        <v>0</v>
      </c>
      <c r="J100" s="114">
        <f>'[2]Parametros SMA'!J100</f>
        <v>0</v>
      </c>
      <c r="K100" s="114">
        <f>'[2]Parametros SMA'!K100</f>
        <v>0</v>
      </c>
      <c r="L100" s="114">
        <f>'[2]Parametros SMA'!L100</f>
        <v>0</v>
      </c>
      <c r="M100" s="114">
        <f>'[2]Parametros SMA'!M100</f>
        <v>0</v>
      </c>
      <c r="N100" s="114">
        <f>'[2]Parametros SMA'!N100</f>
        <v>0</v>
      </c>
      <c r="O100" s="98"/>
    </row>
    <row r="101" spans="1:15" ht="14.45" customHeight="1">
      <c r="A101" s="112">
        <v>2526</v>
      </c>
      <c r="B101" s="113" t="s">
        <v>35</v>
      </c>
      <c r="C101" s="114">
        <f>'[2]Parametros SMA'!C101</f>
        <v>0</v>
      </c>
      <c r="D101" s="114">
        <f>'[2]Parametros SMA'!D101</f>
        <v>0</v>
      </c>
      <c r="E101" s="114">
        <f>'[2]Parametros SMA'!E101</f>
        <v>0</v>
      </c>
      <c r="F101" s="114">
        <f>'[2]Parametros SMA'!F101</f>
        <v>0</v>
      </c>
      <c r="G101" s="114">
        <f>'[2]Parametros SMA'!G101</f>
        <v>0</v>
      </c>
      <c r="H101" s="114">
        <f>'[2]Parametros SMA'!H101</f>
        <v>0</v>
      </c>
      <c r="I101" s="114">
        <f>'[2]Parametros SMA'!I101</f>
        <v>0</v>
      </c>
      <c r="J101" s="114">
        <f>'[2]Parametros SMA'!J101</f>
        <v>0</v>
      </c>
      <c r="K101" s="114">
        <f>'[2]Parametros SMA'!K101</f>
        <v>0</v>
      </c>
      <c r="L101" s="114">
        <f>'[2]Parametros SMA'!L101</f>
        <v>0</v>
      </c>
      <c r="M101" s="114">
        <f>'[2]Parametros SMA'!M101</f>
        <v>0</v>
      </c>
      <c r="N101" s="114">
        <f>'[2]Parametros SMA'!N101</f>
        <v>0</v>
      </c>
      <c r="O101" s="98"/>
    </row>
    <row r="102" spans="1:15" ht="14.45" customHeight="1">
      <c r="A102" s="112">
        <v>4179</v>
      </c>
      <c r="B102" s="113" t="s">
        <v>36</v>
      </c>
      <c r="C102" s="114">
        <f>'[2]Parametros SMA'!C102</f>
        <v>0</v>
      </c>
      <c r="D102" s="114">
        <f>'[2]Parametros SMA'!D102</f>
        <v>0</v>
      </c>
      <c r="E102" s="114">
        <f>'[2]Parametros SMA'!E102</f>
        <v>0</v>
      </c>
      <c r="F102" s="114">
        <f>'[2]Parametros SMA'!F102</f>
        <v>0</v>
      </c>
      <c r="G102" s="114">
        <f>'[2]Parametros SMA'!G102</f>
        <v>0</v>
      </c>
      <c r="H102" s="114">
        <f>'[2]Parametros SMA'!H102</f>
        <v>0</v>
      </c>
      <c r="I102" s="114">
        <f>'[2]Parametros SMA'!I102</f>
        <v>0</v>
      </c>
      <c r="J102" s="114">
        <f>'[2]Parametros SMA'!J102</f>
        <v>0</v>
      </c>
      <c r="K102" s="114">
        <f>'[2]Parametros SMA'!K102</f>
        <v>0</v>
      </c>
      <c r="L102" s="114">
        <f>'[2]Parametros SMA'!L102</f>
        <v>0</v>
      </c>
      <c r="M102" s="114">
        <f>'[2]Parametros SMA'!M102</f>
        <v>0</v>
      </c>
      <c r="N102" s="114">
        <f>'[2]Parametros SMA'!N102</f>
        <v>0</v>
      </c>
      <c r="O102" s="98"/>
    </row>
    <row r="103" spans="1:15" ht="14.45" customHeight="1">
      <c r="A103" s="112">
        <v>4188</v>
      </c>
      <c r="B103" s="113" t="s">
        <v>37</v>
      </c>
      <c r="C103" s="114">
        <f>'[2]Parametros SMA'!C103</f>
        <v>0</v>
      </c>
      <c r="D103" s="114">
        <f>'[2]Parametros SMA'!D103</f>
        <v>0</v>
      </c>
      <c r="E103" s="114">
        <f>'[2]Parametros SMA'!E103</f>
        <v>0</v>
      </c>
      <c r="F103" s="114">
        <f>'[2]Parametros SMA'!F103</f>
        <v>0</v>
      </c>
      <c r="G103" s="114">
        <f>'[2]Parametros SMA'!G103</f>
        <v>0</v>
      </c>
      <c r="H103" s="114">
        <f>'[2]Parametros SMA'!H103</f>
        <v>0</v>
      </c>
      <c r="I103" s="114">
        <f>'[2]Parametros SMA'!I103</f>
        <v>0</v>
      </c>
      <c r="J103" s="114">
        <f>'[2]Parametros SMA'!J103</f>
        <v>0</v>
      </c>
      <c r="K103" s="114">
        <f>'[2]Parametros SMA'!K103</f>
        <v>0</v>
      </c>
      <c r="L103" s="114">
        <f>'[2]Parametros SMA'!L103</f>
        <v>0</v>
      </c>
      <c r="M103" s="114">
        <f>'[2]Parametros SMA'!M103</f>
        <v>0</v>
      </c>
      <c r="N103" s="114">
        <f>'[2]Parametros SMA'!N103</f>
        <v>0</v>
      </c>
      <c r="O103" s="98"/>
    </row>
    <row r="104" spans="1:15" ht="14.45" customHeight="1">
      <c r="A104" s="112">
        <v>5317</v>
      </c>
      <c r="B104" s="113" t="s">
        <v>38</v>
      </c>
      <c r="C104" s="114">
        <f>'[2]Parametros SMA'!C104</f>
        <v>0</v>
      </c>
      <c r="D104" s="114">
        <f>'[2]Parametros SMA'!D104</f>
        <v>0</v>
      </c>
      <c r="E104" s="114">
        <f>'[2]Parametros SMA'!E104</f>
        <v>0</v>
      </c>
      <c r="F104" s="114">
        <f>'[2]Parametros SMA'!F104</f>
        <v>0</v>
      </c>
      <c r="G104" s="114">
        <f>'[2]Parametros SMA'!G104</f>
        <v>0</v>
      </c>
      <c r="H104" s="114">
        <f>'[2]Parametros SMA'!H104</f>
        <v>0</v>
      </c>
      <c r="I104" s="114">
        <f>'[2]Parametros SMA'!I104</f>
        <v>0</v>
      </c>
      <c r="J104" s="114">
        <f>'[2]Parametros SMA'!J104</f>
        <v>0</v>
      </c>
      <c r="K104" s="114">
        <f>'[2]Parametros SMA'!K104</f>
        <v>0</v>
      </c>
      <c r="L104" s="114">
        <f>'[2]Parametros SMA'!L104</f>
        <v>0</v>
      </c>
      <c r="M104" s="114">
        <f>'[2]Parametros SMA'!M104</f>
        <v>0</v>
      </c>
      <c r="N104" s="114">
        <f>'[2]Parametros SMA'!N104</f>
        <v>0</v>
      </c>
      <c r="O104" s="98"/>
    </row>
    <row r="105" spans="1:15" ht="14.45" customHeight="1">
      <c r="A105" s="112">
        <v>6410</v>
      </c>
      <c r="B105" s="113" t="s">
        <v>39</v>
      </c>
      <c r="C105" s="114">
        <f>'[2]Parametros SMA'!C105</f>
        <v>0</v>
      </c>
      <c r="D105" s="114">
        <f>'[2]Parametros SMA'!D105</f>
        <v>0</v>
      </c>
      <c r="E105" s="114">
        <f>'[2]Parametros SMA'!E105</f>
        <v>0</v>
      </c>
      <c r="F105" s="114">
        <f>'[2]Parametros SMA'!F105</f>
        <v>0</v>
      </c>
      <c r="G105" s="114">
        <f>'[2]Parametros SMA'!G105</f>
        <v>0</v>
      </c>
      <c r="H105" s="114">
        <f>'[2]Parametros SMA'!H105</f>
        <v>0</v>
      </c>
      <c r="I105" s="114">
        <f>'[2]Parametros SMA'!I105</f>
        <v>0</v>
      </c>
      <c r="J105" s="114">
        <f>'[2]Parametros SMA'!J105</f>
        <v>0</v>
      </c>
      <c r="K105" s="114">
        <f>'[2]Parametros SMA'!K105</f>
        <v>0</v>
      </c>
      <c r="L105" s="114">
        <f>'[2]Parametros SMA'!L105</f>
        <v>0</v>
      </c>
      <c r="M105" s="114">
        <f>'[2]Parametros SMA'!M105</f>
        <v>0</v>
      </c>
      <c r="N105" s="114">
        <f>'[2]Parametros SMA'!N105</f>
        <v>0</v>
      </c>
      <c r="O105" s="98"/>
    </row>
    <row r="106" spans="1:15" ht="14.45" customHeight="1">
      <c r="A106" s="112">
        <v>6947</v>
      </c>
      <c r="B106" s="113" t="s">
        <v>40</v>
      </c>
      <c r="C106" s="114">
        <f>'[2]Parametros SMA'!C106</f>
        <v>0</v>
      </c>
      <c r="D106" s="114">
        <f>'[2]Parametros SMA'!D106</f>
        <v>0</v>
      </c>
      <c r="E106" s="114">
        <f>'[2]Parametros SMA'!E106</f>
        <v>0</v>
      </c>
      <c r="F106" s="114">
        <f>'[2]Parametros SMA'!F106</f>
        <v>0</v>
      </c>
      <c r="G106" s="114">
        <f>'[2]Parametros SMA'!G106</f>
        <v>0</v>
      </c>
      <c r="H106" s="114">
        <f>'[2]Parametros SMA'!H106</f>
        <v>0</v>
      </c>
      <c r="I106" s="114">
        <f>'[2]Parametros SMA'!I106</f>
        <v>0</v>
      </c>
      <c r="J106" s="114">
        <f>'[2]Parametros SMA'!J106</f>
        <v>0</v>
      </c>
      <c r="K106" s="114">
        <f>'[2]Parametros SMA'!K106</f>
        <v>0</v>
      </c>
      <c r="L106" s="114">
        <f>'[2]Parametros SMA'!L106</f>
        <v>0</v>
      </c>
      <c r="M106" s="114">
        <f>'[2]Parametros SMA'!M106</f>
        <v>0</v>
      </c>
      <c r="N106" s="114">
        <f>'[2]Parametros SMA'!N106</f>
        <v>0</v>
      </c>
      <c r="O106" s="98"/>
    </row>
    <row r="107" spans="1:15" ht="14.45" customHeight="1">
      <c r="A107" s="112">
        <v>7167</v>
      </c>
      <c r="B107" s="113" t="s">
        <v>41</v>
      </c>
      <c r="C107" s="114">
        <f>'[2]Parametros SMA'!C107</f>
        <v>0</v>
      </c>
      <c r="D107" s="114">
        <f>'[2]Parametros SMA'!D107</f>
        <v>0</v>
      </c>
      <c r="E107" s="114">
        <f>'[2]Parametros SMA'!E107</f>
        <v>0</v>
      </c>
      <c r="F107" s="114">
        <f>'[2]Parametros SMA'!F107</f>
        <v>0</v>
      </c>
      <c r="G107" s="114">
        <f>'[2]Parametros SMA'!G107</f>
        <v>0</v>
      </c>
      <c r="H107" s="114">
        <f>'[2]Parametros SMA'!H107</f>
        <v>0</v>
      </c>
      <c r="I107" s="114">
        <f>'[2]Parametros SMA'!I107</f>
        <v>0</v>
      </c>
      <c r="J107" s="114">
        <f>'[2]Parametros SMA'!J107</f>
        <v>0</v>
      </c>
      <c r="K107" s="114">
        <f>'[2]Parametros SMA'!K107</f>
        <v>0</v>
      </c>
      <c r="L107" s="114">
        <f>'[2]Parametros SMA'!L107</f>
        <v>0</v>
      </c>
      <c r="M107" s="114">
        <f>'[2]Parametros SMA'!M107</f>
        <v>0</v>
      </c>
      <c r="N107" s="114">
        <f>'[2]Parametros SMA'!N107</f>
        <v>0</v>
      </c>
      <c r="O107" s="98"/>
    </row>
    <row r="108" spans="1:15" ht="14.45" customHeight="1">
      <c r="A108" s="112">
        <v>5465</v>
      </c>
      <c r="B108" s="113" t="s">
        <v>42</v>
      </c>
      <c r="C108" s="114">
        <f>'[2]Parametros SMA'!C108</f>
        <v>0</v>
      </c>
      <c r="D108" s="114">
        <f>'[2]Parametros SMA'!D108</f>
        <v>0</v>
      </c>
      <c r="E108" s="114">
        <f>'[2]Parametros SMA'!E108</f>
        <v>0</v>
      </c>
      <c r="F108" s="114">
        <f>'[2]Parametros SMA'!F108</f>
        <v>0</v>
      </c>
      <c r="G108" s="114">
        <f>'[2]Parametros SMA'!G108</f>
        <v>0</v>
      </c>
      <c r="H108" s="114">
        <f>'[2]Parametros SMA'!H108</f>
        <v>0</v>
      </c>
      <c r="I108" s="114">
        <f>'[2]Parametros SMA'!I108</f>
        <v>0</v>
      </c>
      <c r="J108" s="114">
        <f>'[2]Parametros SMA'!J108</f>
        <v>0</v>
      </c>
      <c r="K108" s="114">
        <f>'[2]Parametros SMA'!K108</f>
        <v>0</v>
      </c>
      <c r="L108" s="114">
        <f>'[2]Parametros SMA'!L108</f>
        <v>0</v>
      </c>
      <c r="M108" s="114">
        <f>'[2]Parametros SMA'!M108</f>
        <v>0</v>
      </c>
      <c r="N108" s="114">
        <f>'[2]Parametros SMA'!N108</f>
        <v>0</v>
      </c>
      <c r="O108" s="98"/>
    </row>
    <row r="109" spans="1:15" ht="14.45" customHeight="1">
      <c r="A109" s="112">
        <v>8244</v>
      </c>
      <c r="B109" s="113" t="s">
        <v>43</v>
      </c>
      <c r="C109" s="114">
        <f>'[2]Parametros SMA'!C109</f>
        <v>0</v>
      </c>
      <c r="D109" s="114">
        <f>'[2]Parametros SMA'!D109</f>
        <v>0</v>
      </c>
      <c r="E109" s="114">
        <f>'[2]Parametros SMA'!E109</f>
        <v>0</v>
      </c>
      <c r="F109" s="114">
        <f>'[2]Parametros SMA'!F109</f>
        <v>0</v>
      </c>
      <c r="G109" s="114">
        <f>'[2]Parametros SMA'!G109</f>
        <v>0</v>
      </c>
      <c r="H109" s="114">
        <f>'[2]Parametros SMA'!H109</f>
        <v>0</v>
      </c>
      <c r="I109" s="114">
        <f>'[2]Parametros SMA'!I109</f>
        <v>0</v>
      </c>
      <c r="J109" s="114">
        <f>'[2]Parametros SMA'!J109</f>
        <v>0</v>
      </c>
      <c r="K109" s="114">
        <f>'[2]Parametros SMA'!K109</f>
        <v>0</v>
      </c>
      <c r="L109" s="114">
        <f>'[2]Parametros SMA'!L109</f>
        <v>0</v>
      </c>
      <c r="M109" s="114">
        <f>'[2]Parametros SMA'!M109</f>
        <v>0</v>
      </c>
      <c r="N109" s="114">
        <f>'[2]Parametros SMA'!N109</f>
        <v>0</v>
      </c>
      <c r="O109" s="98"/>
    </row>
    <row r="110" spans="1:15" ht="14.45" customHeight="1">
      <c r="A110" s="112">
        <v>9191</v>
      </c>
      <c r="B110" s="113" t="s">
        <v>44</v>
      </c>
      <c r="C110" s="114">
        <f>'[2]Parametros SMA'!C110</f>
        <v>0</v>
      </c>
      <c r="D110" s="114">
        <f>'[2]Parametros SMA'!D110</f>
        <v>0</v>
      </c>
      <c r="E110" s="114">
        <f>'[2]Parametros SMA'!E110</f>
        <v>0</v>
      </c>
      <c r="F110" s="114">
        <f>'[2]Parametros SMA'!F110</f>
        <v>0</v>
      </c>
      <c r="G110" s="114">
        <f>'[2]Parametros SMA'!G110</f>
        <v>0</v>
      </c>
      <c r="H110" s="114">
        <f>'[2]Parametros SMA'!H110</f>
        <v>0</v>
      </c>
      <c r="I110" s="114">
        <f>'[2]Parametros SMA'!I110</f>
        <v>0</v>
      </c>
      <c r="J110" s="114">
        <f>'[2]Parametros SMA'!J110</f>
        <v>0</v>
      </c>
      <c r="K110" s="114">
        <f>'[2]Parametros SMA'!K110</f>
        <v>0</v>
      </c>
      <c r="L110" s="114">
        <f>'[2]Parametros SMA'!L110</f>
        <v>0</v>
      </c>
      <c r="M110" s="114">
        <f>'[2]Parametros SMA'!M110</f>
        <v>0</v>
      </c>
      <c r="N110" s="114">
        <f>'[2]Parametros SMA'!N110</f>
        <v>0</v>
      </c>
      <c r="O110" s="98"/>
    </row>
    <row r="111" spans="1:15" ht="14.45" customHeight="1">
      <c r="A111" s="112">
        <v>9235</v>
      </c>
      <c r="B111" s="113" t="s">
        <v>45</v>
      </c>
      <c r="C111" s="114">
        <f>'[2]Parametros SMA'!C111</f>
        <v>0</v>
      </c>
      <c r="D111" s="114">
        <f>'[2]Parametros SMA'!D111</f>
        <v>0</v>
      </c>
      <c r="E111" s="114">
        <f>'[2]Parametros SMA'!E111</f>
        <v>0</v>
      </c>
      <c r="F111" s="114">
        <f>'[2]Parametros SMA'!F111</f>
        <v>0</v>
      </c>
      <c r="G111" s="114">
        <f>'[2]Parametros SMA'!G111</f>
        <v>0</v>
      </c>
      <c r="H111" s="114">
        <f>'[2]Parametros SMA'!H111</f>
        <v>0</v>
      </c>
      <c r="I111" s="114">
        <f>'[2]Parametros SMA'!I111</f>
        <v>0</v>
      </c>
      <c r="J111" s="114">
        <f>'[2]Parametros SMA'!J111</f>
        <v>0</v>
      </c>
      <c r="K111" s="114">
        <f>'[2]Parametros SMA'!K111</f>
        <v>0</v>
      </c>
      <c r="L111" s="114">
        <f>'[2]Parametros SMA'!L111</f>
        <v>0</v>
      </c>
      <c r="M111" s="114">
        <f>'[2]Parametros SMA'!M111</f>
        <v>0</v>
      </c>
      <c r="N111" s="114">
        <f>'[2]Parametros SMA'!N111</f>
        <v>0</v>
      </c>
      <c r="O111" s="98"/>
    </row>
    <row r="112" spans="1:15" ht="14.45" customHeight="1">
      <c r="A112" s="112">
        <v>9885</v>
      </c>
      <c r="B112" s="113" t="s">
        <v>46</v>
      </c>
      <c r="C112" s="114">
        <f>'[2]Parametros SMA'!C112</f>
        <v>0</v>
      </c>
      <c r="D112" s="114">
        <f>'[2]Parametros SMA'!D112</f>
        <v>0</v>
      </c>
      <c r="E112" s="114">
        <f>'[2]Parametros SMA'!E112</f>
        <v>0</v>
      </c>
      <c r="F112" s="114">
        <f>'[2]Parametros SMA'!F112</f>
        <v>0</v>
      </c>
      <c r="G112" s="114">
        <f>'[2]Parametros SMA'!G112</f>
        <v>0</v>
      </c>
      <c r="H112" s="114">
        <f>'[2]Parametros SMA'!H112</f>
        <v>0</v>
      </c>
      <c r="I112" s="114">
        <f>'[2]Parametros SMA'!I112</f>
        <v>0</v>
      </c>
      <c r="J112" s="114">
        <f>'[2]Parametros SMA'!J112</f>
        <v>0</v>
      </c>
      <c r="K112" s="114">
        <f>'[2]Parametros SMA'!K112</f>
        <v>0</v>
      </c>
      <c r="L112" s="114">
        <f>'[2]Parametros SMA'!L112</f>
        <v>0</v>
      </c>
      <c r="M112" s="114">
        <f>'[2]Parametros SMA'!M112</f>
        <v>0</v>
      </c>
      <c r="N112" s="114">
        <f>'[2]Parametros SMA'!N112</f>
        <v>0</v>
      </c>
      <c r="O112" s="98"/>
    </row>
    <row r="113" spans="1:15" ht="14.45" customHeight="1">
      <c r="A113" s="112">
        <v>9893</v>
      </c>
      <c r="B113" s="113" t="s">
        <v>47</v>
      </c>
      <c r="C113" s="114">
        <f>'[2]Parametros SMA'!C113</f>
        <v>0</v>
      </c>
      <c r="D113" s="114">
        <f>'[2]Parametros SMA'!D113</f>
        <v>0</v>
      </c>
      <c r="E113" s="114">
        <f>'[2]Parametros SMA'!E113</f>
        <v>0</v>
      </c>
      <c r="F113" s="114">
        <f>'[2]Parametros SMA'!F113</f>
        <v>0</v>
      </c>
      <c r="G113" s="114">
        <f>'[2]Parametros SMA'!G113</f>
        <v>0</v>
      </c>
      <c r="H113" s="114">
        <f>'[2]Parametros SMA'!H113</f>
        <v>0</v>
      </c>
      <c r="I113" s="114">
        <f>'[2]Parametros SMA'!I113</f>
        <v>0</v>
      </c>
      <c r="J113" s="114">
        <f>'[2]Parametros SMA'!J113</f>
        <v>0</v>
      </c>
      <c r="K113" s="114">
        <f>'[2]Parametros SMA'!K113</f>
        <v>0</v>
      </c>
      <c r="L113" s="114">
        <f>'[2]Parametros SMA'!L113</f>
        <v>0</v>
      </c>
      <c r="M113" s="114">
        <f>'[2]Parametros SMA'!M113</f>
        <v>0</v>
      </c>
      <c r="N113" s="114">
        <f>'[2]Parametros SMA'!N113</f>
        <v>0</v>
      </c>
      <c r="O113" s="98"/>
    </row>
    <row r="114" spans="1:15" ht="14.45" customHeight="1">
      <c r="A114" s="112">
        <v>5170</v>
      </c>
      <c r="B114" s="113" t="s">
        <v>48</v>
      </c>
      <c r="C114" s="114">
        <f>'[2]Parametros SMA'!C114</f>
        <v>0</v>
      </c>
      <c r="D114" s="114">
        <f>'[2]Parametros SMA'!D114</f>
        <v>0</v>
      </c>
      <c r="E114" s="114">
        <f>'[2]Parametros SMA'!E114</f>
        <v>0</v>
      </c>
      <c r="F114" s="114">
        <f>'[2]Parametros SMA'!F114</f>
        <v>0</v>
      </c>
      <c r="G114" s="114">
        <f>'[2]Parametros SMA'!G114</f>
        <v>0</v>
      </c>
      <c r="H114" s="114">
        <f>'[2]Parametros SMA'!H114</f>
        <v>0</v>
      </c>
      <c r="I114" s="114">
        <f>'[2]Parametros SMA'!I114</f>
        <v>0</v>
      </c>
      <c r="J114" s="114">
        <f>'[2]Parametros SMA'!J114</f>
        <v>0</v>
      </c>
      <c r="K114" s="114">
        <f>'[2]Parametros SMA'!K114</f>
        <v>0</v>
      </c>
      <c r="L114" s="114">
        <f>'[2]Parametros SMA'!L114</f>
        <v>0</v>
      </c>
      <c r="M114" s="114">
        <f>'[2]Parametros SMA'!M114</f>
        <v>0</v>
      </c>
      <c r="N114" s="114">
        <f>'[2]Parametros SMA'!N114</f>
        <v>0</v>
      </c>
      <c r="O114" s="98"/>
    </row>
    <row r="115" spans="1:15" ht="14.45" customHeight="1">
      <c r="A115" s="112">
        <v>11007</v>
      </c>
      <c r="B115" s="113" t="s">
        <v>49</v>
      </c>
      <c r="C115" s="114">
        <f>'[2]Parametros SMA'!C115</f>
        <v>0</v>
      </c>
      <c r="D115" s="114">
        <f>'[2]Parametros SMA'!D115</f>
        <v>0</v>
      </c>
      <c r="E115" s="114">
        <f>'[2]Parametros SMA'!E115</f>
        <v>0</v>
      </c>
      <c r="F115" s="114">
        <f>'[2]Parametros SMA'!F115</f>
        <v>0</v>
      </c>
      <c r="G115" s="114">
        <f>'[2]Parametros SMA'!G115</f>
        <v>0</v>
      </c>
      <c r="H115" s="114">
        <f>'[2]Parametros SMA'!H115</f>
        <v>0</v>
      </c>
      <c r="I115" s="114">
        <f>'[2]Parametros SMA'!I115</f>
        <v>0</v>
      </c>
      <c r="J115" s="114">
        <f>'[2]Parametros SMA'!J115</f>
        <v>0</v>
      </c>
      <c r="K115" s="114">
        <f>'[2]Parametros SMA'!K115</f>
        <v>0</v>
      </c>
      <c r="L115" s="114">
        <f>'[2]Parametros SMA'!L115</f>
        <v>0</v>
      </c>
      <c r="M115" s="114">
        <f>'[2]Parametros SMA'!M115</f>
        <v>0</v>
      </c>
      <c r="N115" s="114">
        <f>'[2]Parametros SMA'!N115</f>
        <v>0</v>
      </c>
      <c r="O115" s="98"/>
    </row>
    <row r="116" spans="1:15" ht="14.45" customHeight="1">
      <c r="A116" s="112">
        <v>24938</v>
      </c>
      <c r="B116" s="113" t="s">
        <v>50</v>
      </c>
      <c r="C116" s="114">
        <f>'[2]Parametros SMA'!C116</f>
        <v>0</v>
      </c>
      <c r="D116" s="114">
        <f>'[2]Parametros SMA'!D116</f>
        <v>0</v>
      </c>
      <c r="E116" s="114">
        <f>'[2]Parametros SMA'!E116</f>
        <v>0</v>
      </c>
      <c r="F116" s="114">
        <f>'[2]Parametros SMA'!F116</f>
        <v>0</v>
      </c>
      <c r="G116" s="114">
        <f>'[2]Parametros SMA'!G116</f>
        <v>0</v>
      </c>
      <c r="H116" s="114">
        <f>'[2]Parametros SMA'!H116</f>
        <v>0</v>
      </c>
      <c r="I116" s="114">
        <f>'[2]Parametros SMA'!I116</f>
        <v>0</v>
      </c>
      <c r="J116" s="114">
        <f>'[2]Parametros SMA'!J116</f>
        <v>0</v>
      </c>
      <c r="K116" s="114">
        <f>'[2]Parametros SMA'!K116</f>
        <v>0</v>
      </c>
      <c r="L116" s="114">
        <f>'[2]Parametros SMA'!L116</f>
        <v>0</v>
      </c>
      <c r="M116" s="114">
        <f>'[2]Parametros SMA'!M116</f>
        <v>0</v>
      </c>
      <c r="N116" s="114">
        <f>'[2]Parametros SMA'!N116</f>
        <v>0</v>
      </c>
      <c r="O116" s="98"/>
    </row>
    <row r="117" spans="1:15" ht="14.45" customHeight="1">
      <c r="A117" s="112">
        <v>1242</v>
      </c>
      <c r="B117" s="113" t="s">
        <v>51</v>
      </c>
      <c r="C117" s="114">
        <f>'[2]Parametros SMA'!C117</f>
        <v>0</v>
      </c>
      <c r="D117" s="114">
        <f>'[2]Parametros SMA'!D117</f>
        <v>0</v>
      </c>
      <c r="E117" s="114">
        <f>'[2]Parametros SMA'!E117</f>
        <v>0</v>
      </c>
      <c r="F117" s="114">
        <f>'[2]Parametros SMA'!F117</f>
        <v>0</v>
      </c>
      <c r="G117" s="114">
        <f>'[2]Parametros SMA'!G117</f>
        <v>0</v>
      </c>
      <c r="H117" s="114">
        <f>'[2]Parametros SMA'!H117</f>
        <v>0</v>
      </c>
      <c r="I117" s="114">
        <f>'[2]Parametros SMA'!I117</f>
        <v>0</v>
      </c>
      <c r="J117" s="114">
        <f>'[2]Parametros SMA'!J117</f>
        <v>0</v>
      </c>
      <c r="K117" s="114">
        <f>'[2]Parametros SMA'!K117</f>
        <v>0</v>
      </c>
      <c r="L117" s="114">
        <f>'[2]Parametros SMA'!L117</f>
        <v>0</v>
      </c>
      <c r="M117" s="114">
        <f>'[2]Parametros SMA'!M117</f>
        <v>0</v>
      </c>
      <c r="N117" s="114">
        <f>'[2]Parametros SMA'!N117</f>
        <v>0</v>
      </c>
      <c r="O117" s="98"/>
    </row>
    <row r="118" spans="1:15" ht="14.45" customHeight="1">
      <c r="A118" s="112">
        <v>12900</v>
      </c>
      <c r="B118" s="113" t="s">
        <v>52</v>
      </c>
      <c r="C118" s="114">
        <f>'[2]Parametros SMA'!C118</f>
        <v>0</v>
      </c>
      <c r="D118" s="114">
        <f>'[2]Parametros SMA'!D118</f>
        <v>0</v>
      </c>
      <c r="E118" s="114">
        <f>'[2]Parametros SMA'!E118</f>
        <v>0</v>
      </c>
      <c r="F118" s="114">
        <f>'[2]Parametros SMA'!F118</f>
        <v>0</v>
      </c>
      <c r="G118" s="114">
        <f>'[2]Parametros SMA'!G118</f>
        <v>0</v>
      </c>
      <c r="H118" s="114">
        <f>'[2]Parametros SMA'!H118</f>
        <v>0</v>
      </c>
      <c r="I118" s="114">
        <f>'[2]Parametros SMA'!I118</f>
        <v>0</v>
      </c>
      <c r="J118" s="114">
        <f>'[2]Parametros SMA'!J118</f>
        <v>0</v>
      </c>
      <c r="K118" s="114">
        <f>'[2]Parametros SMA'!K118</f>
        <v>0</v>
      </c>
      <c r="L118" s="114">
        <f>'[2]Parametros SMA'!L118</f>
        <v>0</v>
      </c>
      <c r="M118" s="114">
        <f>'[2]Parametros SMA'!M118</f>
        <v>0</v>
      </c>
      <c r="N118" s="114">
        <f>'[2]Parametros SMA'!N118</f>
        <v>0</v>
      </c>
      <c r="O118" s="98"/>
    </row>
    <row r="119" spans="1:15" ht="14.45" customHeight="1">
      <c r="A119" s="112">
        <v>24499</v>
      </c>
      <c r="B119" s="113" t="s">
        <v>53</v>
      </c>
      <c r="C119" s="114">
        <f>'[2]Parametros SMA'!C119</f>
        <v>0</v>
      </c>
      <c r="D119" s="114">
        <f>'[2]Parametros SMA'!D119</f>
        <v>0</v>
      </c>
      <c r="E119" s="114">
        <f>'[2]Parametros SMA'!E119</f>
        <v>0</v>
      </c>
      <c r="F119" s="114">
        <f>'[2]Parametros SMA'!F119</f>
        <v>0</v>
      </c>
      <c r="G119" s="114">
        <f>'[2]Parametros SMA'!G119</f>
        <v>0</v>
      </c>
      <c r="H119" s="114">
        <f>'[2]Parametros SMA'!H119</f>
        <v>0</v>
      </c>
      <c r="I119" s="114">
        <f>'[2]Parametros SMA'!I119</f>
        <v>0</v>
      </c>
      <c r="J119" s="114">
        <f>'[2]Parametros SMA'!J119</f>
        <v>0</v>
      </c>
      <c r="K119" s="114">
        <f>'[2]Parametros SMA'!K119</f>
        <v>0</v>
      </c>
      <c r="L119" s="114">
        <f>'[2]Parametros SMA'!L119</f>
        <v>0</v>
      </c>
      <c r="M119" s="114">
        <f>'[2]Parametros SMA'!M119</f>
        <v>0</v>
      </c>
      <c r="N119" s="114">
        <f>'[2]Parametros SMA'!N119</f>
        <v>0</v>
      </c>
      <c r="O119" s="98"/>
    </row>
    <row r="120" spans="1:15" ht="14.45" customHeight="1">
      <c r="A120" s="112">
        <v>24500</v>
      </c>
      <c r="B120" s="113" t="s">
        <v>54</v>
      </c>
      <c r="C120" s="114">
        <f>'[2]Parametros SMA'!C120</f>
        <v>0</v>
      </c>
      <c r="D120" s="114">
        <f>'[2]Parametros SMA'!D120</f>
        <v>0</v>
      </c>
      <c r="E120" s="114">
        <f>'[2]Parametros SMA'!E120</f>
        <v>0</v>
      </c>
      <c r="F120" s="114">
        <f>'[2]Parametros SMA'!F120</f>
        <v>0</v>
      </c>
      <c r="G120" s="114">
        <f>'[2]Parametros SMA'!G120</f>
        <v>0</v>
      </c>
      <c r="H120" s="114">
        <f>'[2]Parametros SMA'!H120</f>
        <v>0</v>
      </c>
      <c r="I120" s="114">
        <f>'[2]Parametros SMA'!I120</f>
        <v>0</v>
      </c>
      <c r="J120" s="114">
        <f>'[2]Parametros SMA'!J120</f>
        <v>0</v>
      </c>
      <c r="K120" s="114">
        <f>'[2]Parametros SMA'!K120</f>
        <v>0</v>
      </c>
      <c r="L120" s="114">
        <f>'[2]Parametros SMA'!L120</f>
        <v>0</v>
      </c>
      <c r="M120" s="114">
        <f>'[2]Parametros SMA'!M120</f>
        <v>0</v>
      </c>
      <c r="N120" s="114">
        <f>'[2]Parametros SMA'!N120</f>
        <v>0</v>
      </c>
      <c r="O120" s="98"/>
    </row>
    <row r="121" spans="1:15" ht="14.45" customHeight="1">
      <c r="A121" s="112">
        <v>3184</v>
      </c>
      <c r="B121" s="113" t="s">
        <v>55</v>
      </c>
      <c r="C121" s="114">
        <f>'[2]Parametros SMA'!C121</f>
        <v>0</v>
      </c>
      <c r="D121" s="114">
        <f>'[2]Parametros SMA'!D121</f>
        <v>0</v>
      </c>
      <c r="E121" s="114">
        <f>'[2]Parametros SMA'!E121</f>
        <v>0</v>
      </c>
      <c r="F121" s="114">
        <f>'[2]Parametros SMA'!F121</f>
        <v>0</v>
      </c>
      <c r="G121" s="114">
        <f>'[2]Parametros SMA'!G121</f>
        <v>0</v>
      </c>
      <c r="H121" s="114">
        <f>'[2]Parametros SMA'!H121</f>
        <v>0</v>
      </c>
      <c r="I121" s="114">
        <f>'[2]Parametros SMA'!I121</f>
        <v>0</v>
      </c>
      <c r="J121" s="114">
        <f>'[2]Parametros SMA'!J121</f>
        <v>0</v>
      </c>
      <c r="K121" s="114">
        <f>'[2]Parametros SMA'!K121</f>
        <v>0</v>
      </c>
      <c r="L121" s="114">
        <f>'[2]Parametros SMA'!L121</f>
        <v>0</v>
      </c>
      <c r="M121" s="114">
        <f>'[2]Parametros SMA'!M121</f>
        <v>0</v>
      </c>
      <c r="N121" s="114">
        <f>'[2]Parametros SMA'!N121</f>
        <v>0</v>
      </c>
      <c r="O121" s="98"/>
    </row>
    <row r="122" spans="1:15" ht="14.45" customHeight="1">
      <c r="A122" s="112"/>
      <c r="B122" s="113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201"/>
      <c r="O122" s="98"/>
    </row>
    <row r="123" spans="1:15" ht="14.45" customHeight="1"/>
    <row r="124" spans="1:15" ht="21">
      <c r="A124" s="306" t="s">
        <v>57</v>
      </c>
      <c r="B124" s="306"/>
      <c r="C124" s="111" t="s">
        <v>10</v>
      </c>
      <c r="D124" s="111" t="s">
        <v>11</v>
      </c>
      <c r="E124" s="111" t="s">
        <v>12</v>
      </c>
      <c r="F124" s="111" t="s">
        <v>13</v>
      </c>
      <c r="G124" s="111" t="s">
        <v>14</v>
      </c>
      <c r="H124" s="111" t="s">
        <v>15</v>
      </c>
      <c r="I124" s="111" t="s">
        <v>16</v>
      </c>
      <c r="J124" s="111" t="s">
        <v>17</v>
      </c>
      <c r="K124" s="111" t="s">
        <v>18</v>
      </c>
      <c r="L124" s="111" t="s">
        <v>19</v>
      </c>
      <c r="M124" s="111" t="s">
        <v>20</v>
      </c>
      <c r="N124" s="200" t="s">
        <v>21</v>
      </c>
      <c r="O124" s="111"/>
    </row>
    <row r="125" spans="1:15" ht="14.45" customHeight="1">
      <c r="A125" s="112"/>
      <c r="B125" s="113" t="s">
        <v>30</v>
      </c>
      <c r="C125" s="114">
        <f>'[2]Parametros SMA'!C125</f>
        <v>0</v>
      </c>
      <c r="D125" s="114">
        <f>'[2]Parametros SMA'!D125</f>
        <v>0</v>
      </c>
      <c r="E125" s="114">
        <f>'[2]Parametros SMA'!E125</f>
        <v>0</v>
      </c>
      <c r="F125" s="114">
        <f>'[2]Parametros SMA'!F125</f>
        <v>0</v>
      </c>
      <c r="G125" s="114">
        <f>'[2]Parametros SMA'!G125</f>
        <v>0</v>
      </c>
      <c r="H125" s="114">
        <f>'[2]Parametros SMA'!H125</f>
        <v>0</v>
      </c>
      <c r="I125" s="114">
        <f>'[2]Parametros SMA'!I125</f>
        <v>0</v>
      </c>
      <c r="J125" s="114">
        <f>'[2]Parametros SMA'!J125</f>
        <v>0</v>
      </c>
      <c r="K125" s="114">
        <f>'[2]Parametros SMA'!K125</f>
        <v>0</v>
      </c>
      <c r="L125" s="114">
        <f>'[2]Parametros SMA'!L125</f>
        <v>0</v>
      </c>
      <c r="M125" s="114">
        <f>'[2]Parametros SMA'!M125</f>
        <v>0</v>
      </c>
      <c r="N125" s="114">
        <f>'[2]Parametros SMA'!N125</f>
        <v>0</v>
      </c>
      <c r="O125" s="98"/>
    </row>
    <row r="126" spans="1:15" ht="14.45" customHeight="1">
      <c r="A126" s="112">
        <v>1149</v>
      </c>
      <c r="B126" s="113" t="s">
        <v>31</v>
      </c>
      <c r="C126" s="114">
        <f>'[2]Parametros SMA'!C126</f>
        <v>0</v>
      </c>
      <c r="D126" s="114">
        <f>'[2]Parametros SMA'!D126</f>
        <v>0</v>
      </c>
      <c r="E126" s="114">
        <f>'[2]Parametros SMA'!E126</f>
        <v>0</v>
      </c>
      <c r="F126" s="114">
        <f>'[2]Parametros SMA'!F126</f>
        <v>0</v>
      </c>
      <c r="G126" s="114">
        <f>'[2]Parametros SMA'!G126</f>
        <v>0</v>
      </c>
      <c r="H126" s="114">
        <f>'[2]Parametros SMA'!H126</f>
        <v>0</v>
      </c>
      <c r="I126" s="114">
        <f>'[2]Parametros SMA'!I126</f>
        <v>0</v>
      </c>
      <c r="J126" s="114">
        <f>'[2]Parametros SMA'!J126</f>
        <v>0</v>
      </c>
      <c r="K126" s="114">
        <f>'[2]Parametros SMA'!K126</f>
        <v>0</v>
      </c>
      <c r="L126" s="114">
        <f>'[2]Parametros SMA'!L126</f>
        <v>0</v>
      </c>
      <c r="M126" s="114">
        <f>'[2]Parametros SMA'!M126</f>
        <v>0</v>
      </c>
      <c r="N126" s="114">
        <f>'[2]Parametros SMA'!N126</f>
        <v>0</v>
      </c>
      <c r="O126" s="98"/>
    </row>
    <row r="127" spans="1:15" ht="14.45" customHeight="1">
      <c r="A127" s="112">
        <v>1163</v>
      </c>
      <c r="B127" s="113" t="s">
        <v>32</v>
      </c>
      <c r="C127" s="114">
        <f>'[2]Parametros SMA'!C127</f>
        <v>0</v>
      </c>
      <c r="D127" s="114">
        <f>'[2]Parametros SMA'!D127</f>
        <v>0</v>
      </c>
      <c r="E127" s="114">
        <f>'[2]Parametros SMA'!E127</f>
        <v>0</v>
      </c>
      <c r="F127" s="114">
        <f>'[2]Parametros SMA'!F127</f>
        <v>0</v>
      </c>
      <c r="G127" s="114">
        <f>'[2]Parametros SMA'!G127</f>
        <v>0</v>
      </c>
      <c r="H127" s="114">
        <f>'[2]Parametros SMA'!H127</f>
        <v>0</v>
      </c>
      <c r="I127" s="114">
        <f>'[2]Parametros SMA'!I127</f>
        <v>0</v>
      </c>
      <c r="J127" s="114">
        <f>'[2]Parametros SMA'!J127</f>
        <v>0</v>
      </c>
      <c r="K127" s="114">
        <f>'[2]Parametros SMA'!K127</f>
        <v>0</v>
      </c>
      <c r="L127" s="114">
        <f>'[2]Parametros SMA'!L127</f>
        <v>0</v>
      </c>
      <c r="M127" s="114">
        <f>'[2]Parametros SMA'!M127</f>
        <v>0</v>
      </c>
      <c r="N127" s="114">
        <f>'[2]Parametros SMA'!N127</f>
        <v>0</v>
      </c>
      <c r="O127" s="98"/>
    </row>
    <row r="128" spans="1:15" ht="14.45" customHeight="1">
      <c r="A128" s="112">
        <v>1376</v>
      </c>
      <c r="B128" s="113" t="s">
        <v>33</v>
      </c>
      <c r="C128" s="114">
        <f>'[2]Parametros SMA'!C128</f>
        <v>0</v>
      </c>
      <c r="D128" s="114">
        <f>'[2]Parametros SMA'!D128</f>
        <v>0</v>
      </c>
      <c r="E128" s="114">
        <f>'[2]Parametros SMA'!E128</f>
        <v>0</v>
      </c>
      <c r="F128" s="114">
        <f>'[2]Parametros SMA'!F128</f>
        <v>0</v>
      </c>
      <c r="G128" s="114">
        <f>'[2]Parametros SMA'!G128</f>
        <v>0</v>
      </c>
      <c r="H128" s="114">
        <f>'[2]Parametros SMA'!H128</f>
        <v>0</v>
      </c>
      <c r="I128" s="114">
        <f>'[2]Parametros SMA'!I128</f>
        <v>0</v>
      </c>
      <c r="J128" s="114">
        <f>'[2]Parametros SMA'!J128</f>
        <v>0</v>
      </c>
      <c r="K128" s="114">
        <f>'[2]Parametros SMA'!K128</f>
        <v>0</v>
      </c>
      <c r="L128" s="114">
        <f>'[2]Parametros SMA'!L128</f>
        <v>0</v>
      </c>
      <c r="M128" s="114">
        <f>'[2]Parametros SMA'!M128</f>
        <v>0</v>
      </c>
      <c r="N128" s="114">
        <f>'[2]Parametros SMA'!N128</f>
        <v>0</v>
      </c>
      <c r="O128" s="98"/>
    </row>
    <row r="129" spans="1:15" ht="14.45" customHeight="1">
      <c r="A129" s="112">
        <v>2172</v>
      </c>
      <c r="B129" s="113" t="s">
        <v>34</v>
      </c>
      <c r="C129" s="114">
        <f>'[2]Parametros SMA'!C129</f>
        <v>0</v>
      </c>
      <c r="D129" s="114">
        <f>'[2]Parametros SMA'!D129</f>
        <v>0</v>
      </c>
      <c r="E129" s="114">
        <f>'[2]Parametros SMA'!E129</f>
        <v>0</v>
      </c>
      <c r="F129" s="114">
        <f>'[2]Parametros SMA'!F129</f>
        <v>0</v>
      </c>
      <c r="G129" s="114">
        <f>'[2]Parametros SMA'!G129</f>
        <v>0</v>
      </c>
      <c r="H129" s="114">
        <f>'[2]Parametros SMA'!H129</f>
        <v>0</v>
      </c>
      <c r="I129" s="114">
        <f>'[2]Parametros SMA'!I129</f>
        <v>0</v>
      </c>
      <c r="J129" s="114">
        <f>'[2]Parametros SMA'!J129</f>
        <v>0</v>
      </c>
      <c r="K129" s="114">
        <f>'[2]Parametros SMA'!K129</f>
        <v>0</v>
      </c>
      <c r="L129" s="114">
        <f>'[2]Parametros SMA'!L129</f>
        <v>0</v>
      </c>
      <c r="M129" s="114">
        <f>'[2]Parametros SMA'!M129</f>
        <v>0</v>
      </c>
      <c r="N129" s="114">
        <f>'[2]Parametros SMA'!N129</f>
        <v>0</v>
      </c>
      <c r="O129" s="98"/>
    </row>
    <row r="130" spans="1:15" ht="14.45" customHeight="1">
      <c r="A130" s="112">
        <v>2526</v>
      </c>
      <c r="B130" s="113" t="s">
        <v>35</v>
      </c>
      <c r="C130" s="114">
        <f>'[2]Parametros SMA'!C130</f>
        <v>0</v>
      </c>
      <c r="D130" s="114">
        <f>'[2]Parametros SMA'!D130</f>
        <v>0</v>
      </c>
      <c r="E130" s="114">
        <f>'[2]Parametros SMA'!E130</f>
        <v>0</v>
      </c>
      <c r="F130" s="114">
        <f>'[2]Parametros SMA'!F130</f>
        <v>0</v>
      </c>
      <c r="G130" s="114">
        <f>'[2]Parametros SMA'!G130</f>
        <v>0</v>
      </c>
      <c r="H130" s="114">
        <f>'[2]Parametros SMA'!H130</f>
        <v>0</v>
      </c>
      <c r="I130" s="114">
        <f>'[2]Parametros SMA'!I130</f>
        <v>0</v>
      </c>
      <c r="J130" s="114">
        <f>'[2]Parametros SMA'!J130</f>
        <v>0</v>
      </c>
      <c r="K130" s="114">
        <f>'[2]Parametros SMA'!K130</f>
        <v>0</v>
      </c>
      <c r="L130" s="114">
        <f>'[2]Parametros SMA'!L130</f>
        <v>0</v>
      </c>
      <c r="M130" s="114">
        <f>'[2]Parametros SMA'!M130</f>
        <v>0</v>
      </c>
      <c r="N130" s="114">
        <f>'[2]Parametros SMA'!N130</f>
        <v>0</v>
      </c>
      <c r="O130" s="98"/>
    </row>
    <row r="131" spans="1:15" ht="14.45" customHeight="1">
      <c r="A131" s="112">
        <v>4179</v>
      </c>
      <c r="B131" s="113" t="s">
        <v>36</v>
      </c>
      <c r="C131" s="114">
        <f>'[2]Parametros SMA'!C131</f>
        <v>0</v>
      </c>
      <c r="D131" s="114">
        <f>'[2]Parametros SMA'!D131</f>
        <v>0</v>
      </c>
      <c r="E131" s="114">
        <f>'[2]Parametros SMA'!E131</f>
        <v>0</v>
      </c>
      <c r="F131" s="114">
        <f>'[2]Parametros SMA'!F131</f>
        <v>0</v>
      </c>
      <c r="G131" s="114">
        <f>'[2]Parametros SMA'!G131</f>
        <v>0</v>
      </c>
      <c r="H131" s="114">
        <f>'[2]Parametros SMA'!H131</f>
        <v>0</v>
      </c>
      <c r="I131" s="114">
        <f>'[2]Parametros SMA'!I131</f>
        <v>0</v>
      </c>
      <c r="J131" s="114">
        <f>'[2]Parametros SMA'!J131</f>
        <v>0</v>
      </c>
      <c r="K131" s="114">
        <f>'[2]Parametros SMA'!K131</f>
        <v>0</v>
      </c>
      <c r="L131" s="114">
        <f>'[2]Parametros SMA'!L131</f>
        <v>0</v>
      </c>
      <c r="M131" s="114">
        <f>'[2]Parametros SMA'!M131</f>
        <v>0</v>
      </c>
      <c r="N131" s="114">
        <f>'[2]Parametros SMA'!N131</f>
        <v>0</v>
      </c>
      <c r="O131" s="98"/>
    </row>
    <row r="132" spans="1:15" ht="14.45" customHeight="1">
      <c r="A132" s="112">
        <v>4188</v>
      </c>
      <c r="B132" s="113" t="s">
        <v>37</v>
      </c>
      <c r="C132" s="114">
        <f>'[2]Parametros SMA'!C132</f>
        <v>0</v>
      </c>
      <c r="D132" s="114">
        <f>'[2]Parametros SMA'!D132</f>
        <v>0</v>
      </c>
      <c r="E132" s="114">
        <f>'[2]Parametros SMA'!E132</f>
        <v>0</v>
      </c>
      <c r="F132" s="114">
        <f>'[2]Parametros SMA'!F132</f>
        <v>0</v>
      </c>
      <c r="G132" s="114">
        <f>'[2]Parametros SMA'!G132</f>
        <v>0</v>
      </c>
      <c r="H132" s="114">
        <f>'[2]Parametros SMA'!H132</f>
        <v>0</v>
      </c>
      <c r="I132" s="114">
        <f>'[2]Parametros SMA'!I132</f>
        <v>0</v>
      </c>
      <c r="J132" s="114">
        <f>'[2]Parametros SMA'!J132</f>
        <v>0</v>
      </c>
      <c r="K132" s="114">
        <f>'[2]Parametros SMA'!K132</f>
        <v>0</v>
      </c>
      <c r="L132" s="114">
        <f>'[2]Parametros SMA'!L132</f>
        <v>0</v>
      </c>
      <c r="M132" s="114">
        <f>'[2]Parametros SMA'!M132</f>
        <v>0</v>
      </c>
      <c r="N132" s="114">
        <f>'[2]Parametros SMA'!N132</f>
        <v>0</v>
      </c>
      <c r="O132" s="98"/>
    </row>
    <row r="133" spans="1:15" ht="14.45" customHeight="1">
      <c r="A133" s="112">
        <v>5317</v>
      </c>
      <c r="B133" s="113" t="s">
        <v>38</v>
      </c>
      <c r="C133" s="114">
        <f>'[2]Parametros SMA'!C133</f>
        <v>0</v>
      </c>
      <c r="D133" s="114">
        <f>'[2]Parametros SMA'!D133</f>
        <v>0</v>
      </c>
      <c r="E133" s="114">
        <f>'[2]Parametros SMA'!E133</f>
        <v>0</v>
      </c>
      <c r="F133" s="114">
        <f>'[2]Parametros SMA'!F133</f>
        <v>0</v>
      </c>
      <c r="G133" s="114">
        <f>'[2]Parametros SMA'!G133</f>
        <v>0</v>
      </c>
      <c r="H133" s="114">
        <f>'[2]Parametros SMA'!H133</f>
        <v>0</v>
      </c>
      <c r="I133" s="114">
        <f>'[2]Parametros SMA'!I133</f>
        <v>0</v>
      </c>
      <c r="J133" s="114">
        <f>'[2]Parametros SMA'!J133</f>
        <v>0</v>
      </c>
      <c r="K133" s="114">
        <f>'[2]Parametros SMA'!K133</f>
        <v>0</v>
      </c>
      <c r="L133" s="114">
        <f>'[2]Parametros SMA'!L133</f>
        <v>0</v>
      </c>
      <c r="M133" s="114">
        <f>'[2]Parametros SMA'!M133</f>
        <v>0</v>
      </c>
      <c r="N133" s="114">
        <f>'[2]Parametros SMA'!N133</f>
        <v>0</v>
      </c>
      <c r="O133" s="98"/>
    </row>
    <row r="134" spans="1:15" ht="14.45" customHeight="1">
      <c r="A134" s="112">
        <v>6410</v>
      </c>
      <c r="B134" s="113" t="s">
        <v>39</v>
      </c>
      <c r="C134" s="114">
        <f>'[2]Parametros SMA'!C134</f>
        <v>0</v>
      </c>
      <c r="D134" s="114">
        <f>'[2]Parametros SMA'!D134</f>
        <v>0</v>
      </c>
      <c r="E134" s="114">
        <f>'[2]Parametros SMA'!E134</f>
        <v>0</v>
      </c>
      <c r="F134" s="114">
        <f>'[2]Parametros SMA'!F134</f>
        <v>0</v>
      </c>
      <c r="G134" s="114">
        <f>'[2]Parametros SMA'!G134</f>
        <v>0</v>
      </c>
      <c r="H134" s="114">
        <f>'[2]Parametros SMA'!H134</f>
        <v>0</v>
      </c>
      <c r="I134" s="114">
        <f>'[2]Parametros SMA'!I134</f>
        <v>0</v>
      </c>
      <c r="J134" s="114">
        <f>'[2]Parametros SMA'!J134</f>
        <v>0</v>
      </c>
      <c r="K134" s="114">
        <f>'[2]Parametros SMA'!K134</f>
        <v>0</v>
      </c>
      <c r="L134" s="114">
        <f>'[2]Parametros SMA'!L134</f>
        <v>0</v>
      </c>
      <c r="M134" s="114">
        <f>'[2]Parametros SMA'!M134</f>
        <v>0</v>
      </c>
      <c r="N134" s="114">
        <f>'[2]Parametros SMA'!N134</f>
        <v>0</v>
      </c>
      <c r="O134" s="98"/>
    </row>
    <row r="135" spans="1:15" ht="14.45" customHeight="1">
      <c r="A135" s="112">
        <v>6947</v>
      </c>
      <c r="B135" s="113" t="s">
        <v>40</v>
      </c>
      <c r="C135" s="114">
        <f>'[2]Parametros SMA'!C135</f>
        <v>0</v>
      </c>
      <c r="D135" s="114">
        <f>'[2]Parametros SMA'!D135</f>
        <v>0</v>
      </c>
      <c r="E135" s="114">
        <f>'[2]Parametros SMA'!E135</f>
        <v>0</v>
      </c>
      <c r="F135" s="114">
        <f>'[2]Parametros SMA'!F135</f>
        <v>0</v>
      </c>
      <c r="G135" s="114">
        <f>'[2]Parametros SMA'!G135</f>
        <v>0</v>
      </c>
      <c r="H135" s="114">
        <f>'[2]Parametros SMA'!H135</f>
        <v>0</v>
      </c>
      <c r="I135" s="114">
        <f>'[2]Parametros SMA'!I135</f>
        <v>0</v>
      </c>
      <c r="J135" s="114">
        <f>'[2]Parametros SMA'!J135</f>
        <v>0</v>
      </c>
      <c r="K135" s="114">
        <f>'[2]Parametros SMA'!K135</f>
        <v>0</v>
      </c>
      <c r="L135" s="114">
        <f>'[2]Parametros SMA'!L135</f>
        <v>0</v>
      </c>
      <c r="M135" s="114">
        <f>'[2]Parametros SMA'!M135</f>
        <v>0</v>
      </c>
      <c r="N135" s="114">
        <f>'[2]Parametros SMA'!N135</f>
        <v>0</v>
      </c>
      <c r="O135" s="98"/>
    </row>
    <row r="136" spans="1:15" ht="14.45" customHeight="1">
      <c r="A136" s="112">
        <v>7167</v>
      </c>
      <c r="B136" s="113" t="s">
        <v>41</v>
      </c>
      <c r="C136" s="114">
        <f>'[2]Parametros SMA'!C136</f>
        <v>0</v>
      </c>
      <c r="D136" s="114">
        <f>'[2]Parametros SMA'!D136</f>
        <v>0</v>
      </c>
      <c r="E136" s="114">
        <f>'[2]Parametros SMA'!E136</f>
        <v>0</v>
      </c>
      <c r="F136" s="114">
        <f>'[2]Parametros SMA'!F136</f>
        <v>0</v>
      </c>
      <c r="G136" s="114">
        <f>'[2]Parametros SMA'!G136</f>
        <v>0</v>
      </c>
      <c r="H136" s="114">
        <f>'[2]Parametros SMA'!H136</f>
        <v>0</v>
      </c>
      <c r="I136" s="114">
        <f>'[2]Parametros SMA'!I136</f>
        <v>0</v>
      </c>
      <c r="J136" s="114">
        <f>'[2]Parametros SMA'!J136</f>
        <v>0</v>
      </c>
      <c r="K136" s="114">
        <f>'[2]Parametros SMA'!K136</f>
        <v>0</v>
      </c>
      <c r="L136" s="114">
        <f>'[2]Parametros SMA'!L136</f>
        <v>0</v>
      </c>
      <c r="M136" s="114">
        <f>'[2]Parametros SMA'!M136</f>
        <v>0</v>
      </c>
      <c r="N136" s="114">
        <f>'[2]Parametros SMA'!N136</f>
        <v>0</v>
      </c>
      <c r="O136" s="98"/>
    </row>
    <row r="137" spans="1:15" ht="14.45" customHeight="1">
      <c r="A137" s="112">
        <v>5465</v>
      </c>
      <c r="B137" s="113" t="s">
        <v>42</v>
      </c>
      <c r="C137" s="114">
        <f>'[2]Parametros SMA'!C137</f>
        <v>0</v>
      </c>
      <c r="D137" s="114">
        <f>'[2]Parametros SMA'!D137</f>
        <v>0</v>
      </c>
      <c r="E137" s="114">
        <f>'[2]Parametros SMA'!E137</f>
        <v>0</v>
      </c>
      <c r="F137" s="114">
        <f>'[2]Parametros SMA'!F137</f>
        <v>0</v>
      </c>
      <c r="G137" s="114">
        <f>'[2]Parametros SMA'!G137</f>
        <v>0</v>
      </c>
      <c r="H137" s="114">
        <f>'[2]Parametros SMA'!H137</f>
        <v>0</v>
      </c>
      <c r="I137" s="114">
        <f>'[2]Parametros SMA'!I137</f>
        <v>0</v>
      </c>
      <c r="J137" s="114">
        <f>'[2]Parametros SMA'!J137</f>
        <v>0</v>
      </c>
      <c r="K137" s="114">
        <f>'[2]Parametros SMA'!K137</f>
        <v>0</v>
      </c>
      <c r="L137" s="114">
        <f>'[2]Parametros SMA'!L137</f>
        <v>0</v>
      </c>
      <c r="M137" s="114">
        <f>'[2]Parametros SMA'!M137</f>
        <v>0</v>
      </c>
      <c r="N137" s="114">
        <f>'[2]Parametros SMA'!N137</f>
        <v>0</v>
      </c>
      <c r="O137" s="98"/>
    </row>
    <row r="138" spans="1:15" ht="14.45" customHeight="1">
      <c r="A138" s="112">
        <v>8244</v>
      </c>
      <c r="B138" s="113" t="s">
        <v>43</v>
      </c>
      <c r="C138" s="114">
        <f>'[2]Parametros SMA'!C138</f>
        <v>0</v>
      </c>
      <c r="D138" s="114">
        <f>'[2]Parametros SMA'!D138</f>
        <v>0</v>
      </c>
      <c r="E138" s="114">
        <f>'[2]Parametros SMA'!E138</f>
        <v>0</v>
      </c>
      <c r="F138" s="114">
        <f>'[2]Parametros SMA'!F138</f>
        <v>0</v>
      </c>
      <c r="G138" s="114">
        <f>'[2]Parametros SMA'!G138</f>
        <v>0</v>
      </c>
      <c r="H138" s="114">
        <f>'[2]Parametros SMA'!H138</f>
        <v>0</v>
      </c>
      <c r="I138" s="114">
        <f>'[2]Parametros SMA'!I138</f>
        <v>0</v>
      </c>
      <c r="J138" s="114">
        <f>'[2]Parametros SMA'!J138</f>
        <v>0</v>
      </c>
      <c r="K138" s="114">
        <f>'[2]Parametros SMA'!K138</f>
        <v>0</v>
      </c>
      <c r="L138" s="114">
        <f>'[2]Parametros SMA'!L138</f>
        <v>0</v>
      </c>
      <c r="M138" s="114">
        <f>'[2]Parametros SMA'!M138</f>
        <v>0</v>
      </c>
      <c r="N138" s="114">
        <f>'[2]Parametros SMA'!N138</f>
        <v>0</v>
      </c>
      <c r="O138" s="98"/>
    </row>
    <row r="139" spans="1:15" ht="14.45" customHeight="1">
      <c r="A139" s="112">
        <v>9191</v>
      </c>
      <c r="B139" s="113" t="s">
        <v>44</v>
      </c>
      <c r="C139" s="114">
        <f>'[2]Parametros SMA'!C139</f>
        <v>0</v>
      </c>
      <c r="D139" s="114">
        <f>'[2]Parametros SMA'!D139</f>
        <v>0</v>
      </c>
      <c r="E139" s="114">
        <f>'[2]Parametros SMA'!E139</f>
        <v>0</v>
      </c>
      <c r="F139" s="114">
        <f>'[2]Parametros SMA'!F139</f>
        <v>0</v>
      </c>
      <c r="G139" s="114">
        <f>'[2]Parametros SMA'!G139</f>
        <v>0</v>
      </c>
      <c r="H139" s="114">
        <f>'[2]Parametros SMA'!H139</f>
        <v>0</v>
      </c>
      <c r="I139" s="114">
        <f>'[2]Parametros SMA'!I139</f>
        <v>0</v>
      </c>
      <c r="J139" s="114">
        <f>'[2]Parametros SMA'!J139</f>
        <v>0</v>
      </c>
      <c r="K139" s="114">
        <f>'[2]Parametros SMA'!K139</f>
        <v>0</v>
      </c>
      <c r="L139" s="114">
        <f>'[2]Parametros SMA'!L139</f>
        <v>0</v>
      </c>
      <c r="M139" s="114">
        <f>'[2]Parametros SMA'!M139</f>
        <v>0</v>
      </c>
      <c r="N139" s="114">
        <f>'[2]Parametros SMA'!N139</f>
        <v>0</v>
      </c>
      <c r="O139" s="98"/>
    </row>
    <row r="140" spans="1:15" ht="14.45" customHeight="1">
      <c r="A140" s="112">
        <v>9235</v>
      </c>
      <c r="B140" s="113" t="s">
        <v>45</v>
      </c>
      <c r="C140" s="114">
        <f>'[2]Parametros SMA'!C140</f>
        <v>0</v>
      </c>
      <c r="D140" s="114">
        <f>'[2]Parametros SMA'!D140</f>
        <v>0</v>
      </c>
      <c r="E140" s="114">
        <f>'[2]Parametros SMA'!E140</f>
        <v>0</v>
      </c>
      <c r="F140" s="114">
        <f>'[2]Parametros SMA'!F140</f>
        <v>0</v>
      </c>
      <c r="G140" s="114">
        <f>'[2]Parametros SMA'!G140</f>
        <v>0</v>
      </c>
      <c r="H140" s="114">
        <f>'[2]Parametros SMA'!H140</f>
        <v>0</v>
      </c>
      <c r="I140" s="114">
        <f>'[2]Parametros SMA'!I140</f>
        <v>0</v>
      </c>
      <c r="J140" s="114">
        <f>'[2]Parametros SMA'!J140</f>
        <v>0</v>
      </c>
      <c r="K140" s="114">
        <f>'[2]Parametros SMA'!K140</f>
        <v>0</v>
      </c>
      <c r="L140" s="114">
        <f>'[2]Parametros SMA'!L140</f>
        <v>0</v>
      </c>
      <c r="M140" s="114">
        <f>'[2]Parametros SMA'!M140</f>
        <v>0</v>
      </c>
      <c r="N140" s="114">
        <f>'[2]Parametros SMA'!N140</f>
        <v>0</v>
      </c>
      <c r="O140" s="98"/>
    </row>
    <row r="141" spans="1:15" ht="14.45" customHeight="1">
      <c r="A141" s="112">
        <v>9885</v>
      </c>
      <c r="B141" s="113" t="s">
        <v>46</v>
      </c>
      <c r="C141" s="114">
        <f>'[2]Parametros SMA'!C141</f>
        <v>0</v>
      </c>
      <c r="D141" s="114">
        <f>'[2]Parametros SMA'!D141</f>
        <v>0</v>
      </c>
      <c r="E141" s="114">
        <f>'[2]Parametros SMA'!E141</f>
        <v>0</v>
      </c>
      <c r="F141" s="114">
        <f>'[2]Parametros SMA'!F141</f>
        <v>0</v>
      </c>
      <c r="G141" s="114">
        <f>'[2]Parametros SMA'!G141</f>
        <v>0</v>
      </c>
      <c r="H141" s="114">
        <f>'[2]Parametros SMA'!H141</f>
        <v>0</v>
      </c>
      <c r="I141" s="114">
        <f>'[2]Parametros SMA'!I141</f>
        <v>0</v>
      </c>
      <c r="J141" s="114">
        <f>'[2]Parametros SMA'!J141</f>
        <v>0</v>
      </c>
      <c r="K141" s="114">
        <f>'[2]Parametros SMA'!K141</f>
        <v>0</v>
      </c>
      <c r="L141" s="114">
        <f>'[2]Parametros SMA'!L141</f>
        <v>0</v>
      </c>
      <c r="M141" s="114">
        <f>'[2]Parametros SMA'!M141</f>
        <v>0</v>
      </c>
      <c r="N141" s="114">
        <f>'[2]Parametros SMA'!N141</f>
        <v>0</v>
      </c>
      <c r="O141" s="98"/>
    </row>
    <row r="142" spans="1:15" ht="14.45" customHeight="1">
      <c r="A142" s="112">
        <v>9893</v>
      </c>
      <c r="B142" s="113" t="s">
        <v>47</v>
      </c>
      <c r="C142" s="114">
        <f>'[2]Parametros SMA'!C142</f>
        <v>0</v>
      </c>
      <c r="D142" s="114">
        <f>'[2]Parametros SMA'!D142</f>
        <v>0</v>
      </c>
      <c r="E142" s="114">
        <f>'[2]Parametros SMA'!E142</f>
        <v>0</v>
      </c>
      <c r="F142" s="114">
        <f>'[2]Parametros SMA'!F142</f>
        <v>0</v>
      </c>
      <c r="G142" s="114">
        <f>'[2]Parametros SMA'!G142</f>
        <v>0</v>
      </c>
      <c r="H142" s="114">
        <f>'[2]Parametros SMA'!H142</f>
        <v>0</v>
      </c>
      <c r="I142" s="114">
        <f>'[2]Parametros SMA'!I142</f>
        <v>0</v>
      </c>
      <c r="J142" s="114">
        <f>'[2]Parametros SMA'!J142</f>
        <v>0</v>
      </c>
      <c r="K142" s="114">
        <f>'[2]Parametros SMA'!K142</f>
        <v>0</v>
      </c>
      <c r="L142" s="114">
        <f>'[2]Parametros SMA'!L142</f>
        <v>0</v>
      </c>
      <c r="M142" s="114">
        <f>'[2]Parametros SMA'!M142</f>
        <v>0</v>
      </c>
      <c r="N142" s="114">
        <f>'[2]Parametros SMA'!N142</f>
        <v>0</v>
      </c>
      <c r="O142" s="98"/>
    </row>
    <row r="143" spans="1:15" ht="14.45" customHeight="1">
      <c r="A143" s="112">
        <v>5170</v>
      </c>
      <c r="B143" s="113" t="s">
        <v>48</v>
      </c>
      <c r="C143" s="114">
        <f>'[2]Parametros SMA'!C143</f>
        <v>0</v>
      </c>
      <c r="D143" s="114">
        <f>'[2]Parametros SMA'!D143</f>
        <v>0</v>
      </c>
      <c r="E143" s="114">
        <f>'[2]Parametros SMA'!E143</f>
        <v>0</v>
      </c>
      <c r="F143" s="114">
        <f>'[2]Parametros SMA'!F143</f>
        <v>0</v>
      </c>
      <c r="G143" s="114">
        <f>'[2]Parametros SMA'!G143</f>
        <v>0</v>
      </c>
      <c r="H143" s="114">
        <f>'[2]Parametros SMA'!H143</f>
        <v>0</v>
      </c>
      <c r="I143" s="114">
        <f>'[2]Parametros SMA'!I143</f>
        <v>0</v>
      </c>
      <c r="J143" s="114">
        <f>'[2]Parametros SMA'!J143</f>
        <v>0</v>
      </c>
      <c r="K143" s="114">
        <f>'[2]Parametros SMA'!K143</f>
        <v>0</v>
      </c>
      <c r="L143" s="114">
        <f>'[2]Parametros SMA'!L143</f>
        <v>0</v>
      </c>
      <c r="M143" s="114">
        <f>'[2]Parametros SMA'!M143</f>
        <v>0</v>
      </c>
      <c r="N143" s="114">
        <f>'[2]Parametros SMA'!N143</f>
        <v>0</v>
      </c>
      <c r="O143" s="98"/>
    </row>
    <row r="144" spans="1:15" ht="14.45" customHeight="1">
      <c r="A144" s="112">
        <v>11007</v>
      </c>
      <c r="B144" s="113" t="s">
        <v>49</v>
      </c>
      <c r="C144" s="114">
        <f>'[2]Parametros SMA'!C144</f>
        <v>0</v>
      </c>
      <c r="D144" s="114">
        <f>'[2]Parametros SMA'!D144</f>
        <v>0</v>
      </c>
      <c r="E144" s="114">
        <f>'[2]Parametros SMA'!E144</f>
        <v>0</v>
      </c>
      <c r="F144" s="114">
        <f>'[2]Parametros SMA'!F144</f>
        <v>0</v>
      </c>
      <c r="G144" s="114">
        <f>'[2]Parametros SMA'!G144</f>
        <v>0</v>
      </c>
      <c r="H144" s="114">
        <f>'[2]Parametros SMA'!H144</f>
        <v>0</v>
      </c>
      <c r="I144" s="114">
        <f>'[2]Parametros SMA'!I144</f>
        <v>0</v>
      </c>
      <c r="J144" s="114">
        <f>'[2]Parametros SMA'!J144</f>
        <v>0</v>
      </c>
      <c r="K144" s="114">
        <f>'[2]Parametros SMA'!K144</f>
        <v>0</v>
      </c>
      <c r="L144" s="114">
        <f>'[2]Parametros SMA'!L144</f>
        <v>0</v>
      </c>
      <c r="M144" s="114">
        <f>'[2]Parametros SMA'!M144</f>
        <v>0</v>
      </c>
      <c r="N144" s="114">
        <f>'[2]Parametros SMA'!N144</f>
        <v>0</v>
      </c>
      <c r="O144" s="98"/>
    </row>
    <row r="145" spans="1:15" ht="14.45" customHeight="1">
      <c r="A145" s="112">
        <v>24938</v>
      </c>
      <c r="B145" s="113" t="s">
        <v>50</v>
      </c>
      <c r="C145" s="114">
        <f>'[2]Parametros SMA'!C145</f>
        <v>0</v>
      </c>
      <c r="D145" s="114">
        <f>'[2]Parametros SMA'!D145</f>
        <v>0</v>
      </c>
      <c r="E145" s="114">
        <f>'[2]Parametros SMA'!E145</f>
        <v>0</v>
      </c>
      <c r="F145" s="114">
        <f>'[2]Parametros SMA'!F145</f>
        <v>0</v>
      </c>
      <c r="G145" s="114">
        <f>'[2]Parametros SMA'!G145</f>
        <v>0</v>
      </c>
      <c r="H145" s="114">
        <f>'[2]Parametros SMA'!H145</f>
        <v>0</v>
      </c>
      <c r="I145" s="114">
        <f>'[2]Parametros SMA'!I145</f>
        <v>0</v>
      </c>
      <c r="J145" s="114">
        <f>'[2]Parametros SMA'!J145</f>
        <v>0</v>
      </c>
      <c r="K145" s="114">
        <f>'[2]Parametros SMA'!K145</f>
        <v>0</v>
      </c>
      <c r="L145" s="114">
        <f>'[2]Parametros SMA'!L145</f>
        <v>0</v>
      </c>
      <c r="M145" s="114">
        <f>'[2]Parametros SMA'!M145</f>
        <v>0</v>
      </c>
      <c r="N145" s="114">
        <f>'[2]Parametros SMA'!N145</f>
        <v>0</v>
      </c>
      <c r="O145" s="98"/>
    </row>
    <row r="146" spans="1:15" ht="14.45" customHeight="1">
      <c r="A146" s="112">
        <v>1242</v>
      </c>
      <c r="B146" s="113" t="s">
        <v>51</v>
      </c>
      <c r="C146" s="114">
        <f>'[2]Parametros SMA'!C146</f>
        <v>0</v>
      </c>
      <c r="D146" s="114">
        <f>'[2]Parametros SMA'!D146</f>
        <v>0</v>
      </c>
      <c r="E146" s="114">
        <f>'[2]Parametros SMA'!E146</f>
        <v>0</v>
      </c>
      <c r="F146" s="114">
        <f>'[2]Parametros SMA'!F146</f>
        <v>0</v>
      </c>
      <c r="G146" s="114">
        <f>'[2]Parametros SMA'!G146</f>
        <v>0</v>
      </c>
      <c r="H146" s="114">
        <f>'[2]Parametros SMA'!H146</f>
        <v>0</v>
      </c>
      <c r="I146" s="114">
        <f>'[2]Parametros SMA'!I146</f>
        <v>0</v>
      </c>
      <c r="J146" s="114">
        <f>'[2]Parametros SMA'!J146</f>
        <v>0</v>
      </c>
      <c r="K146" s="114">
        <f>'[2]Parametros SMA'!K146</f>
        <v>0</v>
      </c>
      <c r="L146" s="114">
        <f>'[2]Parametros SMA'!L146</f>
        <v>0</v>
      </c>
      <c r="M146" s="114">
        <f>'[2]Parametros SMA'!M146</f>
        <v>0</v>
      </c>
      <c r="N146" s="114">
        <f>'[2]Parametros SMA'!N146</f>
        <v>0</v>
      </c>
      <c r="O146" s="98"/>
    </row>
    <row r="147" spans="1:15" ht="14.45" customHeight="1">
      <c r="A147" s="112">
        <v>12900</v>
      </c>
      <c r="B147" s="113" t="s">
        <v>52</v>
      </c>
      <c r="C147" s="114">
        <f>'[2]Parametros SMA'!C147</f>
        <v>0</v>
      </c>
      <c r="D147" s="114">
        <f>'[2]Parametros SMA'!D147</f>
        <v>0</v>
      </c>
      <c r="E147" s="114">
        <f>'[2]Parametros SMA'!E147</f>
        <v>0</v>
      </c>
      <c r="F147" s="114">
        <f>'[2]Parametros SMA'!F147</f>
        <v>0</v>
      </c>
      <c r="G147" s="114">
        <f>'[2]Parametros SMA'!G147</f>
        <v>0</v>
      </c>
      <c r="H147" s="114">
        <f>'[2]Parametros SMA'!H147</f>
        <v>0</v>
      </c>
      <c r="I147" s="114">
        <f>'[2]Parametros SMA'!I147</f>
        <v>0</v>
      </c>
      <c r="J147" s="114">
        <f>'[2]Parametros SMA'!J147</f>
        <v>0</v>
      </c>
      <c r="K147" s="114">
        <f>'[2]Parametros SMA'!K147</f>
        <v>0</v>
      </c>
      <c r="L147" s="114">
        <f>'[2]Parametros SMA'!L147</f>
        <v>0</v>
      </c>
      <c r="M147" s="114">
        <f>'[2]Parametros SMA'!M147</f>
        <v>0</v>
      </c>
      <c r="N147" s="114">
        <f>'[2]Parametros SMA'!N147</f>
        <v>0</v>
      </c>
      <c r="O147" s="98"/>
    </row>
    <row r="148" spans="1:15" ht="14.45" customHeight="1">
      <c r="A148" s="112">
        <v>24499</v>
      </c>
      <c r="B148" s="113" t="s">
        <v>53</v>
      </c>
      <c r="C148" s="114">
        <f>'[2]Parametros SMA'!C148</f>
        <v>0</v>
      </c>
      <c r="D148" s="114">
        <f>'[2]Parametros SMA'!D148</f>
        <v>0</v>
      </c>
      <c r="E148" s="114">
        <f>'[2]Parametros SMA'!E148</f>
        <v>0</v>
      </c>
      <c r="F148" s="114">
        <f>'[2]Parametros SMA'!F148</f>
        <v>0</v>
      </c>
      <c r="G148" s="114">
        <f>'[2]Parametros SMA'!G148</f>
        <v>0</v>
      </c>
      <c r="H148" s="114">
        <f>'[2]Parametros SMA'!H148</f>
        <v>0</v>
      </c>
      <c r="I148" s="114">
        <f>'[2]Parametros SMA'!I148</f>
        <v>0</v>
      </c>
      <c r="J148" s="114">
        <f>'[2]Parametros SMA'!J148</f>
        <v>0</v>
      </c>
      <c r="K148" s="114">
        <f>'[2]Parametros SMA'!K148</f>
        <v>0</v>
      </c>
      <c r="L148" s="114">
        <f>'[2]Parametros SMA'!L148</f>
        <v>0</v>
      </c>
      <c r="M148" s="114">
        <f>'[2]Parametros SMA'!M148</f>
        <v>0</v>
      </c>
      <c r="N148" s="114">
        <f>'[2]Parametros SMA'!N148</f>
        <v>0</v>
      </c>
      <c r="O148" s="98"/>
    </row>
    <row r="149" spans="1:15" ht="14.45" customHeight="1">
      <c r="A149" s="112">
        <v>24500</v>
      </c>
      <c r="B149" s="113" t="s">
        <v>54</v>
      </c>
      <c r="C149" s="114">
        <f>'[2]Parametros SMA'!C149</f>
        <v>0</v>
      </c>
      <c r="D149" s="114">
        <f>'[2]Parametros SMA'!D149</f>
        <v>0</v>
      </c>
      <c r="E149" s="114">
        <f>'[2]Parametros SMA'!E149</f>
        <v>0</v>
      </c>
      <c r="F149" s="114">
        <f>'[2]Parametros SMA'!F149</f>
        <v>0</v>
      </c>
      <c r="G149" s="114">
        <f>'[2]Parametros SMA'!G149</f>
        <v>0</v>
      </c>
      <c r="H149" s="114">
        <f>'[2]Parametros SMA'!H149</f>
        <v>0</v>
      </c>
      <c r="I149" s="114">
        <f>'[2]Parametros SMA'!I149</f>
        <v>0</v>
      </c>
      <c r="J149" s="114">
        <f>'[2]Parametros SMA'!J149</f>
        <v>0</v>
      </c>
      <c r="K149" s="114">
        <f>'[2]Parametros SMA'!K149</f>
        <v>0</v>
      </c>
      <c r="L149" s="114">
        <f>'[2]Parametros SMA'!L149</f>
        <v>0</v>
      </c>
      <c r="M149" s="114">
        <f>'[2]Parametros SMA'!M149</f>
        <v>0</v>
      </c>
      <c r="N149" s="114">
        <f>'[2]Parametros SMA'!N149</f>
        <v>0</v>
      </c>
      <c r="O149" s="98"/>
    </row>
    <row r="150" spans="1:15" ht="14.45" customHeight="1">
      <c r="A150" s="112">
        <v>3184</v>
      </c>
      <c r="B150" s="113" t="s">
        <v>55</v>
      </c>
      <c r="C150" s="114">
        <f>'[2]Parametros SMA'!C150</f>
        <v>0</v>
      </c>
      <c r="D150" s="114">
        <f>'[2]Parametros SMA'!D150</f>
        <v>0</v>
      </c>
      <c r="E150" s="114">
        <f>'[2]Parametros SMA'!E150</f>
        <v>0</v>
      </c>
      <c r="F150" s="114">
        <f>'[2]Parametros SMA'!F150</f>
        <v>0</v>
      </c>
      <c r="G150" s="114">
        <f>'[2]Parametros SMA'!G150</f>
        <v>0</v>
      </c>
      <c r="H150" s="114">
        <f>'[2]Parametros SMA'!H150</f>
        <v>0</v>
      </c>
      <c r="I150" s="114">
        <f>'[2]Parametros SMA'!I150</f>
        <v>0</v>
      </c>
      <c r="J150" s="114">
        <f>'[2]Parametros SMA'!J150</f>
        <v>0</v>
      </c>
      <c r="K150" s="114">
        <f>'[2]Parametros SMA'!K150</f>
        <v>0</v>
      </c>
      <c r="L150" s="114">
        <f>'[2]Parametros SMA'!L150</f>
        <v>0</v>
      </c>
      <c r="M150" s="114">
        <f>'[2]Parametros SMA'!M150</f>
        <v>0</v>
      </c>
      <c r="N150" s="114">
        <f>'[2]Parametros SMA'!N150</f>
        <v>0</v>
      </c>
      <c r="O150" s="98"/>
    </row>
    <row r="151" spans="1:15" ht="14.45" customHeight="1">
      <c r="A151" s="112"/>
      <c r="B151" s="113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201"/>
      <c r="O151" s="98"/>
    </row>
    <row r="152" spans="1:15" ht="15" hidden="1" customHeight="1">
      <c r="A152" s="112"/>
      <c r="B152" s="113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201"/>
      <c r="O152" s="98"/>
    </row>
    <row r="153" spans="1:15" ht="15" hidden="1" customHeight="1"/>
    <row r="154" spans="1:15" ht="21" hidden="1" customHeight="1">
      <c r="A154" s="115" t="s">
        <v>58</v>
      </c>
      <c r="B154" s="115"/>
      <c r="C154" s="111" t="s">
        <v>59</v>
      </c>
      <c r="D154" s="111" t="s">
        <v>60</v>
      </c>
      <c r="E154" s="111" t="s">
        <v>61</v>
      </c>
      <c r="F154" s="111" t="s">
        <v>62</v>
      </c>
      <c r="G154" s="111" t="s">
        <v>63</v>
      </c>
      <c r="H154" s="111" t="s">
        <v>64</v>
      </c>
      <c r="I154" s="111" t="s">
        <v>65</v>
      </c>
      <c r="J154" s="111" t="s">
        <v>66</v>
      </c>
      <c r="K154" s="111" t="s">
        <v>67</v>
      </c>
      <c r="L154" s="111" t="s">
        <v>68</v>
      </c>
      <c r="M154" s="111" t="s">
        <v>69</v>
      </c>
      <c r="N154" s="200" t="s">
        <v>70</v>
      </c>
      <c r="O154" s="111"/>
    </row>
    <row r="155" spans="1:15" ht="15" hidden="1" customHeight="1">
      <c r="A155" s="112">
        <v>1147</v>
      </c>
      <c r="B155" s="113" t="s">
        <v>71</v>
      </c>
      <c r="C155" s="116">
        <v>0</v>
      </c>
      <c r="D155" s="116">
        <v>0</v>
      </c>
      <c r="E155" s="116">
        <v>0</v>
      </c>
      <c r="F155" s="116">
        <v>0</v>
      </c>
      <c r="G155" s="116">
        <v>0</v>
      </c>
      <c r="H155" s="116">
        <v>0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202">
        <v>0</v>
      </c>
      <c r="O155" s="116"/>
    </row>
    <row r="156" spans="1:15" ht="15" hidden="1" customHeight="1">
      <c r="A156" s="112">
        <v>1149</v>
      </c>
      <c r="B156" s="113" t="s">
        <v>31</v>
      </c>
      <c r="C156" s="116">
        <v>0</v>
      </c>
      <c r="D156" s="116">
        <v>0</v>
      </c>
      <c r="E156" s="116">
        <v>0</v>
      </c>
      <c r="F156" s="116">
        <v>0</v>
      </c>
      <c r="G156" s="116">
        <v>0</v>
      </c>
      <c r="H156" s="116">
        <v>0</v>
      </c>
      <c r="I156" s="116">
        <v>0</v>
      </c>
      <c r="J156" s="116">
        <v>0</v>
      </c>
      <c r="K156" s="116">
        <v>0</v>
      </c>
      <c r="L156" s="116">
        <v>0</v>
      </c>
      <c r="M156" s="116">
        <v>0</v>
      </c>
      <c r="N156" s="202">
        <v>0</v>
      </c>
      <c r="O156" s="116"/>
    </row>
    <row r="157" spans="1:15" ht="15" hidden="1" customHeight="1">
      <c r="A157" s="112">
        <v>1163</v>
      </c>
      <c r="B157" s="113" t="s">
        <v>32</v>
      </c>
      <c r="C157" s="116">
        <v>0</v>
      </c>
      <c r="D157" s="116">
        <v>0</v>
      </c>
      <c r="E157" s="116">
        <v>0</v>
      </c>
      <c r="F157" s="116">
        <v>0</v>
      </c>
      <c r="G157" s="116">
        <v>0</v>
      </c>
      <c r="H157" s="116">
        <v>0</v>
      </c>
      <c r="I157" s="116">
        <v>0</v>
      </c>
      <c r="J157" s="116">
        <v>0</v>
      </c>
      <c r="K157" s="116">
        <v>0</v>
      </c>
      <c r="L157" s="116">
        <v>0</v>
      </c>
      <c r="M157" s="116">
        <v>0</v>
      </c>
      <c r="N157" s="202">
        <v>0</v>
      </c>
      <c r="O157" s="116"/>
    </row>
    <row r="158" spans="1:15" ht="15" hidden="1" customHeight="1">
      <c r="A158" s="112">
        <v>1376</v>
      </c>
      <c r="B158" s="113" t="s">
        <v>33</v>
      </c>
      <c r="C158" s="116">
        <v>0</v>
      </c>
      <c r="D158" s="116">
        <v>0</v>
      </c>
      <c r="E158" s="116">
        <v>0</v>
      </c>
      <c r="F158" s="116">
        <v>0</v>
      </c>
      <c r="G158" s="116">
        <v>0</v>
      </c>
      <c r="H158" s="116">
        <v>0</v>
      </c>
      <c r="I158" s="116">
        <v>0</v>
      </c>
      <c r="J158" s="116">
        <v>0</v>
      </c>
      <c r="K158" s="116">
        <v>0</v>
      </c>
      <c r="L158" s="116">
        <v>0</v>
      </c>
      <c r="M158" s="116">
        <v>0</v>
      </c>
      <c r="N158" s="202">
        <v>0</v>
      </c>
      <c r="O158" s="116"/>
    </row>
    <row r="159" spans="1:15" ht="15" hidden="1" customHeight="1">
      <c r="A159" s="112">
        <v>2172</v>
      </c>
      <c r="B159" s="113" t="s">
        <v>34</v>
      </c>
      <c r="C159" s="116">
        <v>0</v>
      </c>
      <c r="D159" s="116">
        <v>0</v>
      </c>
      <c r="E159" s="116">
        <v>0</v>
      </c>
      <c r="F159" s="116">
        <v>0</v>
      </c>
      <c r="G159" s="116">
        <v>0</v>
      </c>
      <c r="H159" s="116">
        <v>0</v>
      </c>
      <c r="I159" s="116">
        <v>0</v>
      </c>
      <c r="J159" s="116">
        <v>0</v>
      </c>
      <c r="K159" s="116">
        <v>0</v>
      </c>
      <c r="L159" s="116">
        <v>0</v>
      </c>
      <c r="M159" s="116">
        <v>0</v>
      </c>
      <c r="N159" s="202">
        <v>0</v>
      </c>
      <c r="O159" s="116"/>
    </row>
    <row r="160" spans="1:15" ht="15" hidden="1" customHeight="1">
      <c r="A160" s="112">
        <v>2526</v>
      </c>
      <c r="B160" s="113" t="s">
        <v>35</v>
      </c>
      <c r="C160" s="116">
        <v>0</v>
      </c>
      <c r="D160" s="116">
        <v>0</v>
      </c>
      <c r="E160" s="116">
        <v>0</v>
      </c>
      <c r="F160" s="116">
        <v>0</v>
      </c>
      <c r="G160" s="116">
        <v>0</v>
      </c>
      <c r="H160" s="116">
        <v>0</v>
      </c>
      <c r="I160" s="116">
        <v>0</v>
      </c>
      <c r="J160" s="116">
        <v>0</v>
      </c>
      <c r="K160" s="116">
        <v>0</v>
      </c>
      <c r="L160" s="116">
        <v>0</v>
      </c>
      <c r="M160" s="116">
        <v>0</v>
      </c>
      <c r="N160" s="202">
        <v>0</v>
      </c>
      <c r="O160" s="116"/>
    </row>
    <row r="161" spans="1:15" ht="15" hidden="1" customHeight="1">
      <c r="A161" s="112">
        <v>4179</v>
      </c>
      <c r="B161" s="113" t="s">
        <v>72</v>
      </c>
      <c r="C161" s="116">
        <v>0</v>
      </c>
      <c r="D161" s="116">
        <v>0</v>
      </c>
      <c r="E161" s="116">
        <v>0</v>
      </c>
      <c r="F161" s="116">
        <v>0</v>
      </c>
      <c r="G161" s="116">
        <v>0</v>
      </c>
      <c r="H161" s="116">
        <v>0</v>
      </c>
      <c r="I161" s="116">
        <v>0</v>
      </c>
      <c r="J161" s="116">
        <v>0</v>
      </c>
      <c r="K161" s="116">
        <v>0</v>
      </c>
      <c r="L161" s="116">
        <v>0</v>
      </c>
      <c r="M161" s="116">
        <v>0</v>
      </c>
      <c r="N161" s="202">
        <v>0</v>
      </c>
      <c r="O161" s="116"/>
    </row>
    <row r="162" spans="1:15" ht="15" hidden="1" customHeight="1">
      <c r="A162" s="112">
        <v>4188</v>
      </c>
      <c r="B162" s="113" t="s">
        <v>73</v>
      </c>
      <c r="C162" s="116">
        <v>0</v>
      </c>
      <c r="D162" s="116">
        <v>0</v>
      </c>
      <c r="E162" s="116">
        <v>0</v>
      </c>
      <c r="F162" s="116">
        <v>0</v>
      </c>
      <c r="G162" s="116">
        <v>0</v>
      </c>
      <c r="H162" s="116">
        <v>0</v>
      </c>
      <c r="I162" s="116">
        <v>0</v>
      </c>
      <c r="J162" s="116">
        <v>0</v>
      </c>
      <c r="K162" s="116">
        <v>0</v>
      </c>
      <c r="L162" s="116">
        <v>0</v>
      </c>
      <c r="M162" s="116">
        <v>0</v>
      </c>
      <c r="N162" s="202">
        <v>0</v>
      </c>
      <c r="O162" s="116"/>
    </row>
    <row r="163" spans="1:15" ht="15" hidden="1" customHeight="1">
      <c r="A163" s="112">
        <v>5317</v>
      </c>
      <c r="B163" s="113" t="s">
        <v>38</v>
      </c>
      <c r="C163" s="116">
        <v>0</v>
      </c>
      <c r="D163" s="116">
        <v>0</v>
      </c>
      <c r="E163" s="116">
        <v>0</v>
      </c>
      <c r="F163" s="116">
        <v>0</v>
      </c>
      <c r="G163" s="116">
        <v>0</v>
      </c>
      <c r="H163" s="116">
        <v>0</v>
      </c>
      <c r="I163" s="116">
        <v>0</v>
      </c>
      <c r="J163" s="116">
        <v>0</v>
      </c>
      <c r="K163" s="116">
        <v>0</v>
      </c>
      <c r="L163" s="116">
        <v>0</v>
      </c>
      <c r="M163" s="116">
        <v>0</v>
      </c>
      <c r="N163" s="202">
        <v>0</v>
      </c>
      <c r="O163" s="116"/>
    </row>
    <row r="164" spans="1:15" ht="15" hidden="1" customHeight="1">
      <c r="A164" s="112">
        <v>6410</v>
      </c>
      <c r="B164" s="113" t="s">
        <v>74</v>
      </c>
      <c r="C164" s="116">
        <v>0</v>
      </c>
      <c r="D164" s="116">
        <v>0</v>
      </c>
      <c r="E164" s="116">
        <v>0</v>
      </c>
      <c r="F164" s="116">
        <v>0</v>
      </c>
      <c r="G164" s="116">
        <v>0</v>
      </c>
      <c r="H164" s="116">
        <v>0</v>
      </c>
      <c r="I164" s="116">
        <v>0</v>
      </c>
      <c r="J164" s="116">
        <v>0</v>
      </c>
      <c r="K164" s="116">
        <v>0</v>
      </c>
      <c r="L164" s="116">
        <v>0</v>
      </c>
      <c r="M164" s="116">
        <v>0</v>
      </c>
      <c r="N164" s="202">
        <v>0</v>
      </c>
      <c r="O164" s="116"/>
    </row>
    <row r="165" spans="1:15" ht="15" hidden="1" customHeight="1">
      <c r="A165" s="112">
        <v>6947</v>
      </c>
      <c r="B165" s="113" t="s">
        <v>75</v>
      </c>
      <c r="C165" s="116">
        <v>0</v>
      </c>
      <c r="D165" s="116">
        <v>0</v>
      </c>
      <c r="E165" s="116">
        <v>0</v>
      </c>
      <c r="F165" s="116">
        <v>0</v>
      </c>
      <c r="G165" s="116">
        <v>0</v>
      </c>
      <c r="H165" s="116">
        <v>0</v>
      </c>
      <c r="I165" s="116">
        <v>0</v>
      </c>
      <c r="J165" s="116">
        <v>0</v>
      </c>
      <c r="K165" s="116">
        <v>0</v>
      </c>
      <c r="L165" s="116">
        <v>0</v>
      </c>
      <c r="M165" s="116">
        <v>0</v>
      </c>
      <c r="N165" s="202">
        <v>0</v>
      </c>
      <c r="O165" s="116"/>
    </row>
    <row r="166" spans="1:15" ht="15" hidden="1" customHeight="1">
      <c r="A166" s="112">
        <v>7167</v>
      </c>
      <c r="B166" s="113" t="s">
        <v>76</v>
      </c>
      <c r="C166" s="116">
        <v>0</v>
      </c>
      <c r="D166" s="116">
        <v>0</v>
      </c>
      <c r="E166" s="116">
        <v>0</v>
      </c>
      <c r="F166" s="116">
        <v>0</v>
      </c>
      <c r="G166" s="116">
        <v>0</v>
      </c>
      <c r="H166" s="116">
        <v>0</v>
      </c>
      <c r="I166" s="116">
        <v>0</v>
      </c>
      <c r="J166" s="116">
        <v>0</v>
      </c>
      <c r="K166" s="116">
        <v>0</v>
      </c>
      <c r="L166" s="116">
        <v>0</v>
      </c>
      <c r="M166" s="116">
        <v>0</v>
      </c>
      <c r="N166" s="202">
        <v>0</v>
      </c>
      <c r="O166" s="116"/>
    </row>
    <row r="167" spans="1:15" ht="15" hidden="1" customHeight="1">
      <c r="A167" s="112">
        <v>5465</v>
      </c>
      <c r="B167" s="113" t="s">
        <v>42</v>
      </c>
      <c r="C167" s="116">
        <v>0</v>
      </c>
      <c r="D167" s="116">
        <v>0</v>
      </c>
      <c r="E167" s="116">
        <v>0</v>
      </c>
      <c r="F167" s="116">
        <v>0</v>
      </c>
      <c r="G167" s="116">
        <v>0</v>
      </c>
      <c r="H167" s="116">
        <v>0</v>
      </c>
      <c r="I167" s="116">
        <v>0</v>
      </c>
      <c r="J167" s="116">
        <v>0</v>
      </c>
      <c r="K167" s="116">
        <v>0</v>
      </c>
      <c r="L167" s="116">
        <v>0</v>
      </c>
      <c r="M167" s="116">
        <v>0</v>
      </c>
      <c r="N167" s="202">
        <v>0</v>
      </c>
      <c r="O167" s="116"/>
    </row>
    <row r="168" spans="1:15" ht="15" hidden="1" customHeight="1">
      <c r="A168" s="112">
        <v>8244</v>
      </c>
      <c r="B168" s="113" t="s">
        <v>43</v>
      </c>
      <c r="C168" s="116">
        <v>0</v>
      </c>
      <c r="D168" s="116">
        <v>0</v>
      </c>
      <c r="E168" s="116">
        <v>0</v>
      </c>
      <c r="F168" s="116">
        <v>0</v>
      </c>
      <c r="G168" s="116">
        <v>0</v>
      </c>
      <c r="H168" s="116">
        <v>0</v>
      </c>
      <c r="I168" s="116">
        <v>0</v>
      </c>
      <c r="J168" s="116">
        <v>0</v>
      </c>
      <c r="K168" s="116">
        <v>0</v>
      </c>
      <c r="L168" s="116">
        <v>0</v>
      </c>
      <c r="M168" s="116">
        <v>0</v>
      </c>
      <c r="N168" s="202">
        <v>0</v>
      </c>
      <c r="O168" s="116"/>
    </row>
    <row r="169" spans="1:15" ht="15" hidden="1" customHeight="1">
      <c r="A169" s="112">
        <v>9191</v>
      </c>
      <c r="B169" s="113" t="s">
        <v>77</v>
      </c>
      <c r="C169" s="116">
        <v>0</v>
      </c>
      <c r="D169" s="116">
        <v>0</v>
      </c>
      <c r="E169" s="116">
        <v>0</v>
      </c>
      <c r="F169" s="116">
        <v>0</v>
      </c>
      <c r="G169" s="116">
        <v>0</v>
      </c>
      <c r="H169" s="116">
        <v>0</v>
      </c>
      <c r="I169" s="116">
        <v>0</v>
      </c>
      <c r="J169" s="116">
        <v>0</v>
      </c>
      <c r="K169" s="116">
        <v>0</v>
      </c>
      <c r="L169" s="116">
        <v>0</v>
      </c>
      <c r="M169" s="116">
        <v>0</v>
      </c>
      <c r="N169" s="202">
        <v>0</v>
      </c>
      <c r="O169" s="116"/>
    </row>
    <row r="170" spans="1:15" ht="15" hidden="1" customHeight="1">
      <c r="A170" s="112">
        <v>9235</v>
      </c>
      <c r="B170" s="113" t="s">
        <v>45</v>
      </c>
      <c r="C170" s="116">
        <v>0</v>
      </c>
      <c r="D170" s="116">
        <v>0</v>
      </c>
      <c r="E170" s="116">
        <v>0</v>
      </c>
      <c r="F170" s="116">
        <v>0</v>
      </c>
      <c r="G170" s="116">
        <v>0</v>
      </c>
      <c r="H170" s="116">
        <v>0</v>
      </c>
      <c r="I170" s="116">
        <v>0</v>
      </c>
      <c r="J170" s="116">
        <v>0</v>
      </c>
      <c r="K170" s="116">
        <v>0</v>
      </c>
      <c r="L170" s="116">
        <v>0</v>
      </c>
      <c r="M170" s="116">
        <v>0</v>
      </c>
      <c r="N170" s="202">
        <v>0</v>
      </c>
      <c r="O170" s="116"/>
    </row>
    <row r="171" spans="1:15" ht="15" hidden="1" customHeight="1">
      <c r="A171" s="112">
        <v>9885</v>
      </c>
      <c r="B171" s="113" t="s">
        <v>46</v>
      </c>
      <c r="C171" s="116">
        <v>0</v>
      </c>
      <c r="D171" s="116">
        <v>0</v>
      </c>
      <c r="E171" s="116">
        <v>0</v>
      </c>
      <c r="F171" s="116">
        <v>0</v>
      </c>
      <c r="G171" s="116">
        <v>0</v>
      </c>
      <c r="H171" s="116">
        <v>0</v>
      </c>
      <c r="I171" s="116">
        <v>0</v>
      </c>
      <c r="J171" s="116">
        <v>0</v>
      </c>
      <c r="K171" s="116">
        <v>0</v>
      </c>
      <c r="L171" s="116">
        <v>0</v>
      </c>
      <c r="M171" s="116">
        <v>0</v>
      </c>
      <c r="N171" s="202">
        <v>0</v>
      </c>
      <c r="O171" s="116"/>
    </row>
    <row r="172" spans="1:15" ht="15" hidden="1" customHeight="1">
      <c r="A172" s="112">
        <v>9893</v>
      </c>
      <c r="B172" s="113" t="s">
        <v>47</v>
      </c>
      <c r="C172" s="116">
        <v>0</v>
      </c>
      <c r="D172" s="116">
        <v>0</v>
      </c>
      <c r="E172" s="116">
        <v>0</v>
      </c>
      <c r="F172" s="116">
        <v>0</v>
      </c>
      <c r="G172" s="116">
        <v>0</v>
      </c>
      <c r="H172" s="116">
        <v>0</v>
      </c>
      <c r="I172" s="116">
        <v>0</v>
      </c>
      <c r="J172" s="116">
        <v>0</v>
      </c>
      <c r="K172" s="116">
        <v>0</v>
      </c>
      <c r="L172" s="116">
        <v>0</v>
      </c>
      <c r="M172" s="116">
        <v>0</v>
      </c>
      <c r="N172" s="202">
        <v>0</v>
      </c>
      <c r="O172" s="116"/>
    </row>
    <row r="173" spans="1:15" ht="15" hidden="1" customHeight="1">
      <c r="A173" s="112">
        <v>5170</v>
      </c>
      <c r="B173" s="113" t="s">
        <v>48</v>
      </c>
      <c r="C173" s="116">
        <v>0</v>
      </c>
      <c r="D173" s="116">
        <v>0</v>
      </c>
      <c r="E173" s="116">
        <v>0</v>
      </c>
      <c r="F173" s="116">
        <v>0</v>
      </c>
      <c r="G173" s="116">
        <v>0</v>
      </c>
      <c r="H173" s="116">
        <v>0</v>
      </c>
      <c r="I173" s="116">
        <v>0</v>
      </c>
      <c r="J173" s="116">
        <v>0</v>
      </c>
      <c r="K173" s="116">
        <v>0</v>
      </c>
      <c r="L173" s="116">
        <v>0</v>
      </c>
      <c r="M173" s="116">
        <v>0</v>
      </c>
      <c r="N173" s="202">
        <v>0</v>
      </c>
      <c r="O173" s="116"/>
    </row>
    <row r="174" spans="1:15" ht="15" hidden="1" customHeight="1">
      <c r="A174" s="112">
        <v>11007</v>
      </c>
      <c r="B174" s="113" t="s">
        <v>78</v>
      </c>
      <c r="C174" s="116">
        <v>0</v>
      </c>
      <c r="D174" s="116">
        <v>0</v>
      </c>
      <c r="E174" s="116">
        <v>0</v>
      </c>
      <c r="F174" s="116">
        <v>0</v>
      </c>
      <c r="G174" s="116">
        <v>0</v>
      </c>
      <c r="H174" s="116">
        <v>0</v>
      </c>
      <c r="I174" s="116">
        <v>0</v>
      </c>
      <c r="J174" s="116">
        <v>0</v>
      </c>
      <c r="K174" s="116">
        <v>0</v>
      </c>
      <c r="L174" s="116">
        <v>0</v>
      </c>
      <c r="M174" s="116">
        <v>0</v>
      </c>
      <c r="N174" s="202">
        <v>0</v>
      </c>
      <c r="O174" s="116"/>
    </row>
    <row r="175" spans="1:15" ht="15" hidden="1" customHeight="1"/>
    <row r="176" spans="1:15" ht="21" hidden="1" customHeight="1">
      <c r="A176" s="115" t="s">
        <v>79</v>
      </c>
      <c r="B176" s="115"/>
      <c r="C176" s="111" t="s">
        <v>10</v>
      </c>
      <c r="D176" s="111" t="s">
        <v>11</v>
      </c>
      <c r="E176" s="111" t="s">
        <v>12</v>
      </c>
      <c r="F176" s="111" t="s">
        <v>13</v>
      </c>
      <c r="G176" s="111" t="s">
        <v>14</v>
      </c>
      <c r="H176" s="111" t="s">
        <v>15</v>
      </c>
      <c r="I176" s="111" t="s">
        <v>16</v>
      </c>
      <c r="J176" s="111" t="s">
        <v>17</v>
      </c>
      <c r="K176" s="111" t="s">
        <v>18</v>
      </c>
      <c r="L176" s="111" t="s">
        <v>19</v>
      </c>
      <c r="M176" s="111" t="s">
        <v>20</v>
      </c>
      <c r="N176" s="200" t="s">
        <v>21</v>
      </c>
      <c r="O176" s="111"/>
    </row>
    <row r="177" spans="1:15" ht="15" hidden="1" customHeight="1">
      <c r="A177" s="112">
        <v>1147</v>
      </c>
      <c r="B177" s="113" t="s">
        <v>71</v>
      </c>
      <c r="C177" s="116">
        <v>0</v>
      </c>
      <c r="D177" s="116">
        <v>0</v>
      </c>
      <c r="E177" s="116">
        <v>0</v>
      </c>
      <c r="F177" s="116">
        <v>0</v>
      </c>
      <c r="G177" s="116">
        <v>0</v>
      </c>
      <c r="H177" s="116">
        <v>0</v>
      </c>
      <c r="I177" s="116">
        <v>0</v>
      </c>
      <c r="J177" s="116">
        <v>0</v>
      </c>
      <c r="K177" s="116">
        <v>0</v>
      </c>
      <c r="L177" s="116">
        <v>0</v>
      </c>
      <c r="M177" s="116">
        <v>0</v>
      </c>
      <c r="N177" s="202">
        <v>0</v>
      </c>
      <c r="O177" s="116"/>
    </row>
    <row r="178" spans="1:15" ht="15" hidden="1" customHeight="1">
      <c r="A178" s="112">
        <v>1149</v>
      </c>
      <c r="B178" s="113" t="s">
        <v>31</v>
      </c>
      <c r="C178" s="116">
        <v>0</v>
      </c>
      <c r="D178" s="116">
        <v>0</v>
      </c>
      <c r="E178" s="116">
        <v>0</v>
      </c>
      <c r="F178" s="116">
        <v>0</v>
      </c>
      <c r="G178" s="116">
        <v>0</v>
      </c>
      <c r="H178" s="116">
        <v>0</v>
      </c>
      <c r="I178" s="116">
        <v>0</v>
      </c>
      <c r="J178" s="116">
        <v>0</v>
      </c>
      <c r="K178" s="116">
        <v>0</v>
      </c>
      <c r="L178" s="116">
        <v>0</v>
      </c>
      <c r="M178" s="116">
        <v>0</v>
      </c>
      <c r="N178" s="202">
        <v>0</v>
      </c>
      <c r="O178" s="116"/>
    </row>
    <row r="179" spans="1:15" ht="15" hidden="1" customHeight="1">
      <c r="A179" s="112">
        <v>1163</v>
      </c>
      <c r="B179" s="113" t="s">
        <v>32</v>
      </c>
      <c r="C179" s="116">
        <v>0</v>
      </c>
      <c r="D179" s="116">
        <v>0</v>
      </c>
      <c r="E179" s="116">
        <v>0</v>
      </c>
      <c r="F179" s="116">
        <v>0</v>
      </c>
      <c r="G179" s="116">
        <v>0</v>
      </c>
      <c r="H179" s="116">
        <v>0</v>
      </c>
      <c r="I179" s="116">
        <v>0</v>
      </c>
      <c r="J179" s="116">
        <v>0</v>
      </c>
      <c r="K179" s="116">
        <v>0</v>
      </c>
      <c r="L179" s="116">
        <v>0</v>
      </c>
      <c r="M179" s="116">
        <v>0</v>
      </c>
      <c r="N179" s="202">
        <v>0</v>
      </c>
      <c r="O179" s="116"/>
    </row>
    <row r="180" spans="1:15" ht="15" hidden="1" customHeight="1">
      <c r="A180" s="112">
        <v>1376</v>
      </c>
      <c r="B180" s="113" t="s">
        <v>33</v>
      </c>
      <c r="C180" s="116">
        <v>0</v>
      </c>
      <c r="D180" s="116">
        <v>0</v>
      </c>
      <c r="E180" s="116">
        <v>0</v>
      </c>
      <c r="F180" s="116">
        <v>0</v>
      </c>
      <c r="G180" s="116">
        <v>0</v>
      </c>
      <c r="H180" s="116">
        <v>0</v>
      </c>
      <c r="I180" s="116">
        <v>0</v>
      </c>
      <c r="J180" s="116">
        <v>0</v>
      </c>
      <c r="K180" s="116">
        <v>0</v>
      </c>
      <c r="L180" s="116">
        <v>0</v>
      </c>
      <c r="M180" s="116">
        <v>0</v>
      </c>
      <c r="N180" s="202">
        <v>0</v>
      </c>
      <c r="O180" s="116"/>
    </row>
    <row r="181" spans="1:15" ht="15" hidden="1" customHeight="1">
      <c r="A181" s="112">
        <v>2172</v>
      </c>
      <c r="B181" s="113" t="s">
        <v>34</v>
      </c>
      <c r="C181" s="116">
        <v>0</v>
      </c>
      <c r="D181" s="116">
        <v>0</v>
      </c>
      <c r="E181" s="116">
        <v>0</v>
      </c>
      <c r="F181" s="116">
        <v>0</v>
      </c>
      <c r="G181" s="116">
        <v>0</v>
      </c>
      <c r="H181" s="116">
        <v>0</v>
      </c>
      <c r="I181" s="116">
        <v>0</v>
      </c>
      <c r="J181" s="116">
        <v>0</v>
      </c>
      <c r="K181" s="116">
        <v>0</v>
      </c>
      <c r="L181" s="116">
        <v>0</v>
      </c>
      <c r="M181" s="116">
        <v>0</v>
      </c>
      <c r="N181" s="202">
        <v>0</v>
      </c>
      <c r="O181" s="116"/>
    </row>
    <row r="182" spans="1:15" ht="15" hidden="1" customHeight="1">
      <c r="A182" s="112">
        <v>2526</v>
      </c>
      <c r="B182" s="113" t="s">
        <v>35</v>
      </c>
      <c r="C182" s="116">
        <v>0</v>
      </c>
      <c r="D182" s="116">
        <v>0</v>
      </c>
      <c r="E182" s="116">
        <v>0</v>
      </c>
      <c r="F182" s="116">
        <v>0</v>
      </c>
      <c r="G182" s="116">
        <v>0</v>
      </c>
      <c r="H182" s="116">
        <v>0</v>
      </c>
      <c r="I182" s="116">
        <v>0</v>
      </c>
      <c r="J182" s="116">
        <v>0</v>
      </c>
      <c r="K182" s="116">
        <v>0</v>
      </c>
      <c r="L182" s="116">
        <v>0</v>
      </c>
      <c r="M182" s="116">
        <v>0</v>
      </c>
      <c r="N182" s="202">
        <v>0</v>
      </c>
      <c r="O182" s="116"/>
    </row>
    <row r="183" spans="1:15" ht="15" hidden="1" customHeight="1">
      <c r="A183" s="112">
        <v>4179</v>
      </c>
      <c r="B183" s="113" t="s">
        <v>72</v>
      </c>
      <c r="C183" s="116">
        <v>0</v>
      </c>
      <c r="D183" s="116">
        <v>0</v>
      </c>
      <c r="E183" s="116">
        <v>0</v>
      </c>
      <c r="F183" s="116">
        <v>0</v>
      </c>
      <c r="G183" s="116">
        <v>0</v>
      </c>
      <c r="H183" s="116">
        <v>0</v>
      </c>
      <c r="I183" s="116">
        <v>0</v>
      </c>
      <c r="J183" s="116">
        <v>0</v>
      </c>
      <c r="K183" s="116">
        <v>0</v>
      </c>
      <c r="L183" s="116">
        <v>0</v>
      </c>
      <c r="M183" s="116">
        <v>0</v>
      </c>
      <c r="N183" s="202">
        <v>0</v>
      </c>
      <c r="O183" s="116"/>
    </row>
    <row r="184" spans="1:15" ht="15" hidden="1" customHeight="1">
      <c r="A184" s="112">
        <v>4188</v>
      </c>
      <c r="B184" s="113" t="s">
        <v>73</v>
      </c>
      <c r="C184" s="116">
        <v>0</v>
      </c>
      <c r="D184" s="116">
        <v>0</v>
      </c>
      <c r="E184" s="116">
        <v>0</v>
      </c>
      <c r="F184" s="116">
        <v>0</v>
      </c>
      <c r="G184" s="116">
        <v>0</v>
      </c>
      <c r="H184" s="116">
        <v>0</v>
      </c>
      <c r="I184" s="116">
        <v>0</v>
      </c>
      <c r="J184" s="116">
        <v>0</v>
      </c>
      <c r="K184" s="116">
        <v>0</v>
      </c>
      <c r="L184" s="116">
        <v>0</v>
      </c>
      <c r="M184" s="116">
        <v>0</v>
      </c>
      <c r="N184" s="202">
        <v>0</v>
      </c>
      <c r="O184" s="116"/>
    </row>
    <row r="185" spans="1:15" ht="15" hidden="1" customHeight="1">
      <c r="A185" s="112">
        <v>5317</v>
      </c>
      <c r="B185" s="113" t="s">
        <v>38</v>
      </c>
      <c r="C185" s="116">
        <v>0</v>
      </c>
      <c r="D185" s="116">
        <v>0</v>
      </c>
      <c r="E185" s="116">
        <v>0</v>
      </c>
      <c r="F185" s="116">
        <v>0</v>
      </c>
      <c r="G185" s="116">
        <v>0</v>
      </c>
      <c r="H185" s="116">
        <v>0</v>
      </c>
      <c r="I185" s="116">
        <v>0</v>
      </c>
      <c r="J185" s="116">
        <v>0</v>
      </c>
      <c r="K185" s="116">
        <v>0</v>
      </c>
      <c r="L185" s="116">
        <v>0</v>
      </c>
      <c r="M185" s="116">
        <v>0</v>
      </c>
      <c r="N185" s="202">
        <v>0</v>
      </c>
      <c r="O185" s="116"/>
    </row>
    <row r="186" spans="1:15" ht="15" hidden="1" customHeight="1">
      <c r="A186" s="112">
        <v>6410</v>
      </c>
      <c r="B186" s="113" t="s">
        <v>74</v>
      </c>
      <c r="C186" s="116">
        <v>0</v>
      </c>
      <c r="D186" s="116">
        <v>0</v>
      </c>
      <c r="E186" s="116">
        <v>0</v>
      </c>
      <c r="F186" s="116">
        <v>0</v>
      </c>
      <c r="G186" s="116">
        <v>0</v>
      </c>
      <c r="H186" s="116">
        <v>0</v>
      </c>
      <c r="I186" s="116">
        <v>0</v>
      </c>
      <c r="J186" s="116">
        <v>0</v>
      </c>
      <c r="K186" s="116">
        <v>0</v>
      </c>
      <c r="L186" s="116">
        <v>0</v>
      </c>
      <c r="M186" s="116">
        <v>0</v>
      </c>
      <c r="N186" s="202">
        <v>0</v>
      </c>
      <c r="O186" s="116"/>
    </row>
    <row r="187" spans="1:15" ht="15" hidden="1" customHeight="1">
      <c r="A187" s="112">
        <v>6947</v>
      </c>
      <c r="B187" s="113" t="s">
        <v>75</v>
      </c>
      <c r="C187" s="116">
        <v>0</v>
      </c>
      <c r="D187" s="116">
        <v>0</v>
      </c>
      <c r="E187" s="116">
        <v>0</v>
      </c>
      <c r="F187" s="116">
        <v>0</v>
      </c>
      <c r="G187" s="116">
        <v>0</v>
      </c>
      <c r="H187" s="116">
        <v>0</v>
      </c>
      <c r="I187" s="116">
        <v>0</v>
      </c>
      <c r="J187" s="116">
        <v>0</v>
      </c>
      <c r="K187" s="116">
        <v>0</v>
      </c>
      <c r="L187" s="116">
        <v>0</v>
      </c>
      <c r="M187" s="116">
        <v>0</v>
      </c>
      <c r="N187" s="202">
        <v>0</v>
      </c>
      <c r="O187" s="116"/>
    </row>
    <row r="188" spans="1:15" ht="15" hidden="1" customHeight="1">
      <c r="A188" s="112">
        <v>7167</v>
      </c>
      <c r="B188" s="113" t="s">
        <v>76</v>
      </c>
      <c r="C188" s="116">
        <v>0</v>
      </c>
      <c r="D188" s="116">
        <v>0</v>
      </c>
      <c r="E188" s="116">
        <v>0</v>
      </c>
      <c r="F188" s="116">
        <v>0</v>
      </c>
      <c r="G188" s="116">
        <v>0</v>
      </c>
      <c r="H188" s="116">
        <v>0</v>
      </c>
      <c r="I188" s="116">
        <v>0</v>
      </c>
      <c r="J188" s="116">
        <v>0</v>
      </c>
      <c r="K188" s="116">
        <v>0</v>
      </c>
      <c r="L188" s="116">
        <v>0</v>
      </c>
      <c r="M188" s="116">
        <v>0</v>
      </c>
      <c r="N188" s="202">
        <v>0</v>
      </c>
      <c r="O188" s="116"/>
    </row>
    <row r="189" spans="1:15" ht="15" hidden="1" customHeight="1">
      <c r="A189" s="112">
        <v>5465</v>
      </c>
      <c r="B189" s="113" t="s">
        <v>42</v>
      </c>
      <c r="C189" s="116">
        <v>0</v>
      </c>
      <c r="D189" s="116">
        <v>0</v>
      </c>
      <c r="E189" s="116">
        <v>0</v>
      </c>
      <c r="F189" s="116">
        <v>0</v>
      </c>
      <c r="G189" s="116">
        <v>0</v>
      </c>
      <c r="H189" s="116">
        <v>0</v>
      </c>
      <c r="I189" s="116">
        <v>0</v>
      </c>
      <c r="J189" s="116">
        <v>0</v>
      </c>
      <c r="K189" s="116">
        <v>0</v>
      </c>
      <c r="L189" s="116">
        <v>0</v>
      </c>
      <c r="M189" s="116">
        <v>0</v>
      </c>
      <c r="N189" s="202">
        <v>0</v>
      </c>
      <c r="O189" s="116"/>
    </row>
    <row r="190" spans="1:15" ht="15" hidden="1" customHeight="1">
      <c r="A190" s="112">
        <v>8244</v>
      </c>
      <c r="B190" s="113" t="s">
        <v>43</v>
      </c>
      <c r="C190" s="116">
        <v>0</v>
      </c>
      <c r="D190" s="116">
        <v>0</v>
      </c>
      <c r="E190" s="116">
        <v>0</v>
      </c>
      <c r="F190" s="116">
        <v>0</v>
      </c>
      <c r="G190" s="116">
        <v>0</v>
      </c>
      <c r="H190" s="116">
        <v>0</v>
      </c>
      <c r="I190" s="116">
        <v>0</v>
      </c>
      <c r="J190" s="116">
        <v>0</v>
      </c>
      <c r="K190" s="116">
        <v>0</v>
      </c>
      <c r="L190" s="116">
        <v>0</v>
      </c>
      <c r="M190" s="116">
        <v>0</v>
      </c>
      <c r="N190" s="202">
        <v>0</v>
      </c>
      <c r="O190" s="116"/>
    </row>
    <row r="191" spans="1:15" ht="15" hidden="1" customHeight="1">
      <c r="A191" s="112">
        <v>9191</v>
      </c>
      <c r="B191" s="113" t="s">
        <v>77</v>
      </c>
      <c r="C191" s="116">
        <v>0</v>
      </c>
      <c r="D191" s="116">
        <v>0</v>
      </c>
      <c r="E191" s="116">
        <v>0</v>
      </c>
      <c r="F191" s="116">
        <v>0</v>
      </c>
      <c r="G191" s="116">
        <v>0</v>
      </c>
      <c r="H191" s="116">
        <v>0</v>
      </c>
      <c r="I191" s="116">
        <v>0</v>
      </c>
      <c r="J191" s="116">
        <v>0</v>
      </c>
      <c r="K191" s="116">
        <v>0</v>
      </c>
      <c r="L191" s="116">
        <v>0</v>
      </c>
      <c r="M191" s="116">
        <v>0</v>
      </c>
      <c r="N191" s="202">
        <v>0</v>
      </c>
      <c r="O191" s="116"/>
    </row>
    <row r="192" spans="1:15" ht="15" hidden="1" customHeight="1">
      <c r="A192" s="112">
        <v>9235</v>
      </c>
      <c r="B192" s="113" t="s">
        <v>45</v>
      </c>
      <c r="C192" s="116">
        <v>0</v>
      </c>
      <c r="D192" s="116">
        <v>0</v>
      </c>
      <c r="E192" s="116">
        <v>0</v>
      </c>
      <c r="F192" s="116">
        <v>0</v>
      </c>
      <c r="G192" s="116">
        <v>0</v>
      </c>
      <c r="H192" s="116">
        <v>0</v>
      </c>
      <c r="I192" s="116">
        <v>0</v>
      </c>
      <c r="J192" s="116">
        <v>0</v>
      </c>
      <c r="K192" s="116">
        <v>0</v>
      </c>
      <c r="L192" s="116">
        <v>0</v>
      </c>
      <c r="M192" s="116">
        <v>0</v>
      </c>
      <c r="N192" s="202">
        <v>0</v>
      </c>
      <c r="O192" s="116"/>
    </row>
    <row r="193" spans="1:15" ht="15" hidden="1" customHeight="1">
      <c r="A193" s="112">
        <v>9885</v>
      </c>
      <c r="B193" s="113" t="s">
        <v>46</v>
      </c>
      <c r="C193" s="116">
        <v>0</v>
      </c>
      <c r="D193" s="116">
        <v>0</v>
      </c>
      <c r="E193" s="116">
        <v>0</v>
      </c>
      <c r="F193" s="116">
        <v>0</v>
      </c>
      <c r="G193" s="116">
        <v>0</v>
      </c>
      <c r="H193" s="116">
        <v>0</v>
      </c>
      <c r="I193" s="116">
        <v>0</v>
      </c>
      <c r="J193" s="116">
        <v>0</v>
      </c>
      <c r="K193" s="116">
        <v>0</v>
      </c>
      <c r="L193" s="116">
        <v>0</v>
      </c>
      <c r="M193" s="116">
        <v>0</v>
      </c>
      <c r="N193" s="202">
        <v>0</v>
      </c>
      <c r="O193" s="116"/>
    </row>
    <row r="194" spans="1:15" ht="15" hidden="1" customHeight="1">
      <c r="A194" s="112">
        <v>9893</v>
      </c>
      <c r="B194" s="113" t="s">
        <v>47</v>
      </c>
      <c r="C194" s="116">
        <v>0</v>
      </c>
      <c r="D194" s="116">
        <v>0</v>
      </c>
      <c r="E194" s="116">
        <v>0</v>
      </c>
      <c r="F194" s="116">
        <v>0</v>
      </c>
      <c r="G194" s="116">
        <v>0</v>
      </c>
      <c r="H194" s="116">
        <v>0</v>
      </c>
      <c r="I194" s="116">
        <v>0</v>
      </c>
      <c r="J194" s="116">
        <v>0</v>
      </c>
      <c r="K194" s="116">
        <v>0</v>
      </c>
      <c r="L194" s="116">
        <v>0</v>
      </c>
      <c r="M194" s="116">
        <v>0</v>
      </c>
      <c r="N194" s="202">
        <v>0</v>
      </c>
      <c r="O194" s="116"/>
    </row>
    <row r="195" spans="1:15" ht="15" hidden="1" customHeight="1">
      <c r="A195" s="112">
        <v>5170</v>
      </c>
      <c r="B195" s="113" t="s">
        <v>48</v>
      </c>
      <c r="C195" s="116">
        <v>0</v>
      </c>
      <c r="D195" s="116">
        <v>0</v>
      </c>
      <c r="E195" s="116">
        <v>0</v>
      </c>
      <c r="F195" s="116">
        <v>0</v>
      </c>
      <c r="G195" s="116">
        <v>0</v>
      </c>
      <c r="H195" s="116">
        <v>0</v>
      </c>
      <c r="I195" s="116">
        <v>0</v>
      </c>
      <c r="J195" s="116">
        <v>0</v>
      </c>
      <c r="K195" s="116">
        <v>0</v>
      </c>
      <c r="L195" s="116">
        <v>0</v>
      </c>
      <c r="M195" s="116">
        <v>0</v>
      </c>
      <c r="N195" s="202">
        <v>0</v>
      </c>
      <c r="O195" s="116"/>
    </row>
    <row r="196" spans="1:15" ht="15" hidden="1" customHeight="1">
      <c r="A196" s="112">
        <v>11007</v>
      </c>
      <c r="B196" s="113" t="s">
        <v>78</v>
      </c>
      <c r="C196" s="116">
        <v>0</v>
      </c>
      <c r="D196" s="116">
        <v>0</v>
      </c>
      <c r="E196" s="116">
        <v>0</v>
      </c>
      <c r="F196" s="116">
        <v>0</v>
      </c>
      <c r="G196" s="116">
        <v>0</v>
      </c>
      <c r="H196" s="116">
        <v>0</v>
      </c>
      <c r="I196" s="116">
        <v>0</v>
      </c>
      <c r="J196" s="116">
        <v>0</v>
      </c>
      <c r="K196" s="116">
        <v>0</v>
      </c>
      <c r="L196" s="116">
        <v>0</v>
      </c>
      <c r="M196" s="116">
        <v>0</v>
      </c>
      <c r="N196" s="202">
        <v>0</v>
      </c>
      <c r="O196" s="116"/>
    </row>
    <row r="197" spans="1:15" ht="15" hidden="1" customHeight="1"/>
    <row r="198" spans="1:15" ht="21" hidden="1" customHeight="1">
      <c r="A198" s="115" t="s">
        <v>80</v>
      </c>
      <c r="B198" s="115"/>
      <c r="C198" s="111" t="s">
        <v>10</v>
      </c>
      <c r="D198" s="111" t="s">
        <v>11</v>
      </c>
      <c r="E198" s="111" t="s">
        <v>12</v>
      </c>
      <c r="F198" s="111" t="s">
        <v>13</v>
      </c>
      <c r="G198" s="111" t="s">
        <v>14</v>
      </c>
      <c r="H198" s="111" t="s">
        <v>15</v>
      </c>
      <c r="I198" s="111" t="s">
        <v>16</v>
      </c>
      <c r="J198" s="111" t="s">
        <v>17</v>
      </c>
      <c r="K198" s="111" t="s">
        <v>18</v>
      </c>
      <c r="L198" s="111" t="s">
        <v>19</v>
      </c>
      <c r="M198" s="111" t="s">
        <v>20</v>
      </c>
      <c r="N198" s="200" t="s">
        <v>21</v>
      </c>
      <c r="O198" s="111"/>
    </row>
    <row r="199" spans="1:15" ht="15" hidden="1" customHeight="1">
      <c r="A199" s="112">
        <v>1147</v>
      </c>
      <c r="B199" s="113" t="s">
        <v>71</v>
      </c>
      <c r="C199" s="116">
        <v>0</v>
      </c>
      <c r="D199" s="116">
        <v>0</v>
      </c>
      <c r="E199" s="116">
        <v>0</v>
      </c>
      <c r="F199" s="116">
        <v>0</v>
      </c>
      <c r="G199" s="116">
        <v>0</v>
      </c>
      <c r="H199" s="116">
        <v>0</v>
      </c>
      <c r="I199" s="116">
        <v>0</v>
      </c>
      <c r="J199" s="116">
        <v>0</v>
      </c>
      <c r="K199" s="116">
        <v>0</v>
      </c>
      <c r="L199" s="116">
        <v>0</v>
      </c>
      <c r="M199" s="116">
        <v>0</v>
      </c>
      <c r="N199" s="202">
        <v>0</v>
      </c>
      <c r="O199" s="116"/>
    </row>
    <row r="200" spans="1:15" ht="15" hidden="1" customHeight="1">
      <c r="A200" s="112">
        <v>1149</v>
      </c>
      <c r="B200" s="113" t="s">
        <v>31</v>
      </c>
      <c r="C200" s="116">
        <v>0</v>
      </c>
      <c r="D200" s="116">
        <v>0</v>
      </c>
      <c r="E200" s="116">
        <v>0</v>
      </c>
      <c r="F200" s="116">
        <v>0</v>
      </c>
      <c r="G200" s="116">
        <v>0</v>
      </c>
      <c r="H200" s="116">
        <v>0</v>
      </c>
      <c r="I200" s="116">
        <v>0</v>
      </c>
      <c r="J200" s="116">
        <v>0</v>
      </c>
      <c r="K200" s="116">
        <v>0</v>
      </c>
      <c r="L200" s="116">
        <v>0</v>
      </c>
      <c r="M200" s="116">
        <v>0</v>
      </c>
      <c r="N200" s="202">
        <v>0</v>
      </c>
      <c r="O200" s="116"/>
    </row>
    <row r="201" spans="1:15" ht="15" hidden="1" customHeight="1">
      <c r="A201" s="112">
        <v>1163</v>
      </c>
      <c r="B201" s="113" t="s">
        <v>32</v>
      </c>
      <c r="C201" s="116">
        <v>0</v>
      </c>
      <c r="D201" s="116">
        <v>0</v>
      </c>
      <c r="E201" s="116">
        <v>0</v>
      </c>
      <c r="F201" s="116">
        <v>0</v>
      </c>
      <c r="G201" s="116">
        <v>0</v>
      </c>
      <c r="H201" s="116">
        <v>0</v>
      </c>
      <c r="I201" s="116">
        <v>0</v>
      </c>
      <c r="J201" s="116">
        <v>0</v>
      </c>
      <c r="K201" s="116">
        <v>0</v>
      </c>
      <c r="L201" s="116">
        <v>0</v>
      </c>
      <c r="M201" s="116">
        <v>0</v>
      </c>
      <c r="N201" s="202">
        <v>0</v>
      </c>
      <c r="O201" s="116"/>
    </row>
    <row r="202" spans="1:15" ht="15" hidden="1" customHeight="1">
      <c r="A202" s="112">
        <v>1376</v>
      </c>
      <c r="B202" s="113" t="s">
        <v>33</v>
      </c>
      <c r="C202" s="116">
        <v>0</v>
      </c>
      <c r="D202" s="116">
        <v>0</v>
      </c>
      <c r="E202" s="116">
        <v>0</v>
      </c>
      <c r="F202" s="116">
        <v>0</v>
      </c>
      <c r="G202" s="116">
        <v>0</v>
      </c>
      <c r="H202" s="116">
        <v>0</v>
      </c>
      <c r="I202" s="116">
        <v>0</v>
      </c>
      <c r="J202" s="116">
        <v>0</v>
      </c>
      <c r="K202" s="116">
        <v>0</v>
      </c>
      <c r="L202" s="116">
        <v>0</v>
      </c>
      <c r="M202" s="116">
        <v>0</v>
      </c>
      <c r="N202" s="202">
        <v>0</v>
      </c>
      <c r="O202" s="116"/>
    </row>
    <row r="203" spans="1:15" ht="15" hidden="1" customHeight="1">
      <c r="A203" s="112">
        <v>2172</v>
      </c>
      <c r="B203" s="113" t="s">
        <v>34</v>
      </c>
      <c r="C203" s="116">
        <v>0</v>
      </c>
      <c r="D203" s="116">
        <v>0</v>
      </c>
      <c r="E203" s="116">
        <v>0</v>
      </c>
      <c r="F203" s="116">
        <v>0</v>
      </c>
      <c r="G203" s="116">
        <v>0</v>
      </c>
      <c r="H203" s="116">
        <v>0</v>
      </c>
      <c r="I203" s="116">
        <v>0</v>
      </c>
      <c r="J203" s="116">
        <v>0</v>
      </c>
      <c r="K203" s="116">
        <v>0</v>
      </c>
      <c r="L203" s="116">
        <v>0</v>
      </c>
      <c r="M203" s="116">
        <v>0</v>
      </c>
      <c r="N203" s="202">
        <v>0</v>
      </c>
      <c r="O203" s="116"/>
    </row>
    <row r="204" spans="1:15" ht="15" hidden="1" customHeight="1">
      <c r="A204" s="112">
        <v>2526</v>
      </c>
      <c r="B204" s="113" t="s">
        <v>35</v>
      </c>
      <c r="C204" s="116">
        <v>0</v>
      </c>
      <c r="D204" s="116">
        <v>0</v>
      </c>
      <c r="E204" s="116">
        <v>0</v>
      </c>
      <c r="F204" s="116">
        <v>0</v>
      </c>
      <c r="G204" s="116">
        <v>0</v>
      </c>
      <c r="H204" s="116">
        <v>0</v>
      </c>
      <c r="I204" s="116">
        <v>0</v>
      </c>
      <c r="J204" s="116">
        <v>0</v>
      </c>
      <c r="K204" s="116">
        <v>0</v>
      </c>
      <c r="L204" s="116">
        <v>0</v>
      </c>
      <c r="M204" s="116">
        <v>0</v>
      </c>
      <c r="N204" s="202">
        <v>0</v>
      </c>
      <c r="O204" s="116"/>
    </row>
    <row r="205" spans="1:15" ht="15" hidden="1" customHeight="1">
      <c r="A205" s="112">
        <v>4179</v>
      </c>
      <c r="B205" s="113" t="s">
        <v>72</v>
      </c>
      <c r="C205" s="116">
        <v>0</v>
      </c>
      <c r="D205" s="116">
        <v>0</v>
      </c>
      <c r="E205" s="116">
        <v>0</v>
      </c>
      <c r="F205" s="116">
        <v>0</v>
      </c>
      <c r="G205" s="116">
        <v>0</v>
      </c>
      <c r="H205" s="116">
        <v>0</v>
      </c>
      <c r="I205" s="116">
        <v>0</v>
      </c>
      <c r="J205" s="116">
        <v>0</v>
      </c>
      <c r="K205" s="116">
        <v>0</v>
      </c>
      <c r="L205" s="116">
        <v>0</v>
      </c>
      <c r="M205" s="116">
        <v>0</v>
      </c>
      <c r="N205" s="202">
        <v>0</v>
      </c>
      <c r="O205" s="116"/>
    </row>
    <row r="206" spans="1:15" ht="15" hidden="1" customHeight="1">
      <c r="A206" s="112">
        <v>4188</v>
      </c>
      <c r="B206" s="113" t="s">
        <v>73</v>
      </c>
      <c r="C206" s="116">
        <v>0</v>
      </c>
      <c r="D206" s="116">
        <v>0</v>
      </c>
      <c r="E206" s="116">
        <v>0</v>
      </c>
      <c r="F206" s="116">
        <v>0</v>
      </c>
      <c r="G206" s="116">
        <v>0</v>
      </c>
      <c r="H206" s="116">
        <v>0</v>
      </c>
      <c r="I206" s="116">
        <v>0</v>
      </c>
      <c r="J206" s="116">
        <v>0</v>
      </c>
      <c r="K206" s="116">
        <v>0</v>
      </c>
      <c r="L206" s="116">
        <v>0</v>
      </c>
      <c r="M206" s="116">
        <v>0</v>
      </c>
      <c r="N206" s="202">
        <v>0</v>
      </c>
      <c r="O206" s="116"/>
    </row>
    <row r="207" spans="1:15" ht="15" hidden="1" customHeight="1">
      <c r="A207" s="112">
        <v>5317</v>
      </c>
      <c r="B207" s="113" t="s">
        <v>38</v>
      </c>
      <c r="C207" s="116">
        <v>0</v>
      </c>
      <c r="D207" s="116">
        <v>0</v>
      </c>
      <c r="E207" s="116">
        <v>0</v>
      </c>
      <c r="F207" s="116">
        <v>0</v>
      </c>
      <c r="G207" s="116">
        <v>0</v>
      </c>
      <c r="H207" s="116">
        <v>0</v>
      </c>
      <c r="I207" s="116">
        <v>0</v>
      </c>
      <c r="J207" s="116">
        <v>0</v>
      </c>
      <c r="K207" s="116">
        <v>0</v>
      </c>
      <c r="L207" s="116">
        <v>0</v>
      </c>
      <c r="M207" s="116">
        <v>0</v>
      </c>
      <c r="N207" s="202">
        <v>0</v>
      </c>
      <c r="O207" s="116"/>
    </row>
    <row r="208" spans="1:15" ht="15" hidden="1" customHeight="1">
      <c r="A208" s="112">
        <v>6410</v>
      </c>
      <c r="B208" s="113" t="s">
        <v>74</v>
      </c>
      <c r="C208" s="116">
        <v>0</v>
      </c>
      <c r="D208" s="116">
        <v>0</v>
      </c>
      <c r="E208" s="116">
        <v>0</v>
      </c>
      <c r="F208" s="116">
        <v>0</v>
      </c>
      <c r="G208" s="116">
        <v>0</v>
      </c>
      <c r="H208" s="116">
        <v>0</v>
      </c>
      <c r="I208" s="116">
        <v>0</v>
      </c>
      <c r="J208" s="116">
        <v>0</v>
      </c>
      <c r="K208" s="116">
        <v>0</v>
      </c>
      <c r="L208" s="116">
        <v>0</v>
      </c>
      <c r="M208" s="116">
        <v>0</v>
      </c>
      <c r="N208" s="202">
        <v>0</v>
      </c>
      <c r="O208" s="116"/>
    </row>
    <row r="209" spans="1:15" ht="15" hidden="1" customHeight="1">
      <c r="A209" s="112">
        <v>6947</v>
      </c>
      <c r="B209" s="113" t="s">
        <v>75</v>
      </c>
      <c r="C209" s="116">
        <v>0</v>
      </c>
      <c r="D209" s="116">
        <v>0</v>
      </c>
      <c r="E209" s="116">
        <v>0</v>
      </c>
      <c r="F209" s="116">
        <v>0</v>
      </c>
      <c r="G209" s="116">
        <v>0</v>
      </c>
      <c r="H209" s="116">
        <v>0</v>
      </c>
      <c r="I209" s="116">
        <v>0</v>
      </c>
      <c r="J209" s="116">
        <v>0</v>
      </c>
      <c r="K209" s="116">
        <v>0</v>
      </c>
      <c r="L209" s="116">
        <v>0</v>
      </c>
      <c r="M209" s="116">
        <v>0</v>
      </c>
      <c r="N209" s="202">
        <v>0</v>
      </c>
      <c r="O209" s="116"/>
    </row>
    <row r="210" spans="1:15" ht="15" hidden="1" customHeight="1">
      <c r="A210" s="112">
        <v>7167</v>
      </c>
      <c r="B210" s="113" t="s">
        <v>76</v>
      </c>
      <c r="C210" s="116">
        <v>0</v>
      </c>
      <c r="D210" s="116">
        <v>0</v>
      </c>
      <c r="E210" s="116">
        <v>0</v>
      </c>
      <c r="F210" s="116">
        <v>0</v>
      </c>
      <c r="G210" s="116">
        <v>0</v>
      </c>
      <c r="H210" s="116">
        <v>0</v>
      </c>
      <c r="I210" s="116">
        <v>0</v>
      </c>
      <c r="J210" s="116">
        <v>0</v>
      </c>
      <c r="K210" s="116">
        <v>0</v>
      </c>
      <c r="L210" s="116">
        <v>0</v>
      </c>
      <c r="M210" s="116">
        <v>0</v>
      </c>
      <c r="N210" s="202">
        <v>0</v>
      </c>
      <c r="O210" s="116"/>
    </row>
    <row r="211" spans="1:15" ht="15" hidden="1" customHeight="1">
      <c r="A211" s="112">
        <v>5465</v>
      </c>
      <c r="B211" s="113" t="s">
        <v>42</v>
      </c>
      <c r="C211" s="116">
        <v>0</v>
      </c>
      <c r="D211" s="116">
        <v>0</v>
      </c>
      <c r="E211" s="116">
        <v>0</v>
      </c>
      <c r="F211" s="116">
        <v>0</v>
      </c>
      <c r="G211" s="116">
        <v>0</v>
      </c>
      <c r="H211" s="116">
        <v>0</v>
      </c>
      <c r="I211" s="116">
        <v>0</v>
      </c>
      <c r="J211" s="116">
        <v>0</v>
      </c>
      <c r="K211" s="116">
        <v>0</v>
      </c>
      <c r="L211" s="116">
        <v>0</v>
      </c>
      <c r="M211" s="116">
        <v>0</v>
      </c>
      <c r="N211" s="202">
        <v>0</v>
      </c>
      <c r="O211" s="116"/>
    </row>
    <row r="212" spans="1:15" ht="15" hidden="1" customHeight="1">
      <c r="A212" s="112">
        <v>8244</v>
      </c>
      <c r="B212" s="113" t="s">
        <v>43</v>
      </c>
      <c r="C212" s="116">
        <v>0</v>
      </c>
      <c r="D212" s="116">
        <v>0</v>
      </c>
      <c r="E212" s="116">
        <v>0</v>
      </c>
      <c r="F212" s="116">
        <v>0</v>
      </c>
      <c r="G212" s="116">
        <v>0</v>
      </c>
      <c r="H212" s="116">
        <v>0</v>
      </c>
      <c r="I212" s="116">
        <v>0</v>
      </c>
      <c r="J212" s="116">
        <v>0</v>
      </c>
      <c r="K212" s="116">
        <v>0</v>
      </c>
      <c r="L212" s="116">
        <v>0</v>
      </c>
      <c r="M212" s="116">
        <v>0</v>
      </c>
      <c r="N212" s="202">
        <v>0</v>
      </c>
      <c r="O212" s="116"/>
    </row>
    <row r="213" spans="1:15" ht="15" hidden="1" customHeight="1">
      <c r="A213" s="112">
        <v>9191</v>
      </c>
      <c r="B213" s="113" t="s">
        <v>77</v>
      </c>
      <c r="C213" s="116">
        <v>0</v>
      </c>
      <c r="D213" s="116">
        <v>0</v>
      </c>
      <c r="E213" s="116">
        <v>0</v>
      </c>
      <c r="F213" s="116">
        <v>0</v>
      </c>
      <c r="G213" s="116">
        <v>0</v>
      </c>
      <c r="H213" s="116">
        <v>0</v>
      </c>
      <c r="I213" s="116">
        <v>0</v>
      </c>
      <c r="J213" s="116">
        <v>0</v>
      </c>
      <c r="K213" s="116">
        <v>0</v>
      </c>
      <c r="L213" s="116">
        <v>0</v>
      </c>
      <c r="M213" s="116">
        <v>0</v>
      </c>
      <c r="N213" s="202">
        <v>0</v>
      </c>
      <c r="O213" s="116"/>
    </row>
    <row r="214" spans="1:15" ht="15" hidden="1" customHeight="1">
      <c r="A214" s="112">
        <v>9235</v>
      </c>
      <c r="B214" s="113" t="s">
        <v>45</v>
      </c>
      <c r="C214" s="116">
        <v>0</v>
      </c>
      <c r="D214" s="116">
        <v>0</v>
      </c>
      <c r="E214" s="116">
        <v>0</v>
      </c>
      <c r="F214" s="116">
        <v>0</v>
      </c>
      <c r="G214" s="116">
        <v>0</v>
      </c>
      <c r="H214" s="116">
        <v>0</v>
      </c>
      <c r="I214" s="116">
        <v>0</v>
      </c>
      <c r="J214" s="116">
        <v>0</v>
      </c>
      <c r="K214" s="116">
        <v>0</v>
      </c>
      <c r="L214" s="116">
        <v>0</v>
      </c>
      <c r="M214" s="116">
        <v>0</v>
      </c>
      <c r="N214" s="202">
        <v>0</v>
      </c>
      <c r="O214" s="116"/>
    </row>
    <row r="215" spans="1:15" ht="15" hidden="1" customHeight="1">
      <c r="A215" s="112">
        <v>9885</v>
      </c>
      <c r="B215" s="113" t="s">
        <v>46</v>
      </c>
      <c r="C215" s="116">
        <v>0</v>
      </c>
      <c r="D215" s="116">
        <v>0</v>
      </c>
      <c r="E215" s="116">
        <v>0</v>
      </c>
      <c r="F215" s="116">
        <v>0</v>
      </c>
      <c r="G215" s="116">
        <v>0</v>
      </c>
      <c r="H215" s="116">
        <v>0</v>
      </c>
      <c r="I215" s="116">
        <v>0</v>
      </c>
      <c r="J215" s="116">
        <v>0</v>
      </c>
      <c r="K215" s="116">
        <v>0</v>
      </c>
      <c r="L215" s="116">
        <v>0</v>
      </c>
      <c r="M215" s="116">
        <v>0</v>
      </c>
      <c r="N215" s="202">
        <v>0</v>
      </c>
      <c r="O215" s="116"/>
    </row>
    <row r="216" spans="1:15" ht="15" hidden="1" customHeight="1">
      <c r="A216" s="112">
        <v>9893</v>
      </c>
      <c r="B216" s="113" t="s">
        <v>47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202">
        <v>0</v>
      </c>
      <c r="O216" s="116"/>
    </row>
    <row r="217" spans="1:15" ht="15" hidden="1" customHeight="1">
      <c r="A217" s="112">
        <v>5170</v>
      </c>
      <c r="B217" s="113" t="s">
        <v>48</v>
      </c>
      <c r="C217" s="116">
        <v>0</v>
      </c>
      <c r="D217" s="116">
        <v>0</v>
      </c>
      <c r="E217" s="116">
        <v>0</v>
      </c>
      <c r="F217" s="116">
        <v>0</v>
      </c>
      <c r="G217" s="116">
        <v>0</v>
      </c>
      <c r="H217" s="116">
        <v>0</v>
      </c>
      <c r="I217" s="116">
        <v>0</v>
      </c>
      <c r="J217" s="116">
        <v>0</v>
      </c>
      <c r="K217" s="116">
        <v>0</v>
      </c>
      <c r="L217" s="116">
        <v>0</v>
      </c>
      <c r="M217" s="116">
        <v>0</v>
      </c>
      <c r="N217" s="202">
        <v>0</v>
      </c>
      <c r="O217" s="116"/>
    </row>
    <row r="218" spans="1:15" ht="15" hidden="1" customHeight="1">
      <c r="A218" s="112">
        <v>11007</v>
      </c>
      <c r="B218" s="113" t="s">
        <v>78</v>
      </c>
      <c r="C218" s="116">
        <v>0</v>
      </c>
      <c r="D218" s="116">
        <v>0</v>
      </c>
      <c r="E218" s="116">
        <v>0</v>
      </c>
      <c r="F218" s="116">
        <v>0</v>
      </c>
      <c r="G218" s="116">
        <v>0</v>
      </c>
      <c r="H218" s="116">
        <v>0</v>
      </c>
      <c r="I218" s="116">
        <v>0</v>
      </c>
      <c r="J218" s="116">
        <v>0</v>
      </c>
      <c r="K218" s="116">
        <v>0</v>
      </c>
      <c r="L218" s="116">
        <v>0</v>
      </c>
      <c r="M218" s="116">
        <v>0</v>
      </c>
      <c r="N218" s="202">
        <v>0</v>
      </c>
      <c r="O218" s="116"/>
    </row>
    <row r="219" spans="1:15" hidden="1"/>
    <row r="220" spans="1:15" hidden="1"/>
    <row r="221" spans="1:15" hidden="1"/>
    <row r="222" spans="1:15" hidden="1"/>
    <row r="223" spans="1:15" hidden="1"/>
    <row r="224" spans="1:15" hidden="1"/>
  </sheetData>
  <mergeCells count="7">
    <mergeCell ref="A124:B124"/>
    <mergeCell ref="A1:B1"/>
    <mergeCell ref="D1:E1"/>
    <mergeCell ref="A67:B67"/>
    <mergeCell ref="A95:B95"/>
    <mergeCell ref="A6:B6"/>
    <mergeCell ref="A66:B6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tabColor rgb="FF002060"/>
  </sheetPr>
  <dimension ref="A1"/>
  <sheetViews>
    <sheetView workbookViewId="0">
      <selection activeCell="M15" sqref="M15"/>
    </sheetView>
  </sheetViews>
  <sheetFormatPr defaultColWidth="11.5703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1F72-829A-4D47-BFE0-45EB26CAB734}">
  <sheetPr>
    <tabColor rgb="FF00B050"/>
    <outlinePr summaryBelow="0" summaryRight="0"/>
  </sheetPr>
  <dimension ref="A1:DN357"/>
  <sheetViews>
    <sheetView showGridLines="0" zoomScale="70" zoomScaleNormal="70" workbookViewId="0">
      <pane xSplit="9" ySplit="3" topLeftCell="AD154" activePane="bottomRight" state="frozen"/>
      <selection pane="bottomRight" activeCell="AK169" sqref="AK169"/>
      <selection pane="bottomLeft" activeCell="O31" sqref="O31"/>
      <selection pane="topRight" activeCell="O31" sqref="O31"/>
    </sheetView>
  </sheetViews>
  <sheetFormatPr defaultColWidth="11.42578125" defaultRowHeight="15" outlineLevelRow="2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28.42578125" style="5" customWidth="1" collapsed="1"/>
    <col min="10" max="10" width="13.5703125" style="4" hidden="1" customWidth="1" outlineLevel="1"/>
    <col min="11" max="12" width="12.85546875" style="4" hidden="1" customWidth="1" outlineLevel="1"/>
    <col min="13" max="13" width="14.28515625" style="3" hidden="1" customWidth="1" outlineLevel="1"/>
    <col min="14" max="15" width="13.5703125" style="3" hidden="1" customWidth="1" outlineLevel="1"/>
    <col min="16" max="16" width="12.85546875" style="3" hidden="1" customWidth="1" outlineLevel="1"/>
    <col min="17" max="17" width="14.5703125" style="4" hidden="1" customWidth="1" outlineLevel="1"/>
    <col min="18" max="18" width="12.42578125" style="3" hidden="1" customWidth="1" outlineLevel="1"/>
    <col min="19" max="19" width="12.7109375" style="3" hidden="1" customWidth="1" outlineLevel="1"/>
    <col min="20" max="20" width="12.42578125" style="3" hidden="1" customWidth="1" outlineLevel="1"/>
    <col min="21" max="21" width="14.5703125" style="4" hidden="1" customWidth="1" outlineLevel="1"/>
    <col min="22" max="22" width="11.42578125" style="4" customWidth="1"/>
    <col min="23" max="23" width="11.42578125" style="83" customWidth="1"/>
    <col min="24" max="24" width="11.42578125" style="93" customWidth="1"/>
    <col min="25" max="27" width="17.7109375" style="4" customWidth="1" outlineLevel="1"/>
    <col min="28" max="28" width="17.28515625" style="3" customWidth="1" outlineLevel="1"/>
    <col min="29" max="31" width="17.7109375" style="3" customWidth="1" outlineLevel="1"/>
    <col min="32" max="32" width="17.7109375" style="4" customWidth="1" outlineLevel="1"/>
    <col min="33" max="33" width="17.28515625" style="3" customWidth="1" outlineLevel="1"/>
    <col min="34" max="34" width="16.85546875" style="3" customWidth="1" outlineLevel="1"/>
    <col min="35" max="35" width="17.7109375" style="3" customWidth="1" outlineLevel="1"/>
    <col min="36" max="36" width="17.7109375" style="4" customWidth="1" outlineLevel="1"/>
    <col min="37" max="37" width="11.42578125" style="4" customWidth="1"/>
    <col min="38" max="38" width="11.42578125" style="83" customWidth="1"/>
    <col min="39" max="39" width="11.42578125" style="2" customWidth="1"/>
    <col min="40" max="119" width="11.42578125" style="1" customWidth="1"/>
    <col min="120" max="16384" width="11.42578125" style="1"/>
  </cols>
  <sheetData>
    <row r="1" spans="1:40" s="57" customFormat="1" ht="6.75" customHeight="1">
      <c r="A1" s="6"/>
      <c r="B1" s="8"/>
      <c r="C1" s="8"/>
      <c r="D1" s="6"/>
      <c r="E1" s="7"/>
      <c r="F1" s="6"/>
      <c r="G1" s="6"/>
      <c r="H1" s="6"/>
      <c r="I1" s="60" t="s">
        <v>81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v>3</v>
      </c>
      <c r="AA1" s="59">
        <v>4</v>
      </c>
      <c r="AB1" s="59">
        <v>5</v>
      </c>
      <c r="AC1" s="59">
        <v>6</v>
      </c>
      <c r="AD1" s="59">
        <v>7</v>
      </c>
      <c r="AE1" s="59">
        <v>8</v>
      </c>
      <c r="AF1" s="59">
        <v>9</v>
      </c>
      <c r="AG1" s="59">
        <v>10</v>
      </c>
      <c r="AH1" s="59">
        <v>11</v>
      </c>
      <c r="AI1" s="59">
        <v>12</v>
      </c>
      <c r="AJ1" s="59">
        <v>13</v>
      </c>
      <c r="AK1" s="59"/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0">
        <v>2024</v>
      </c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2"/>
      <c r="V2" s="303" t="s">
        <v>82</v>
      </c>
      <c r="W2" s="304"/>
      <c r="X2" s="85"/>
      <c r="Y2" s="300">
        <v>2025</v>
      </c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2"/>
      <c r="AK2" s="303" t="s">
        <v>82</v>
      </c>
      <c r="AL2" s="305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1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83</v>
      </c>
      <c r="X3" s="86"/>
      <c r="Y3" s="131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83</v>
      </c>
      <c r="AM3" s="45" t="s">
        <v>84</v>
      </c>
    </row>
    <row r="4" spans="1:40">
      <c r="I4" s="43" t="s">
        <v>85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>
      <c r="A5" s="8"/>
      <c r="D5" s="8"/>
      <c r="E5" s="42"/>
      <c r="F5" s="8"/>
      <c r="G5" s="8"/>
      <c r="H5" s="8"/>
      <c r="I5" s="41"/>
      <c r="J5" s="231"/>
      <c r="K5" s="231"/>
      <c r="L5" s="231"/>
      <c r="M5" s="231"/>
      <c r="N5" s="231"/>
      <c r="O5" s="231"/>
      <c r="P5" s="1"/>
      <c r="Q5" s="231"/>
      <c r="R5" s="1"/>
      <c r="S5" s="1"/>
      <c r="T5" s="1"/>
      <c r="U5" s="231"/>
      <c r="V5" s="231"/>
      <c r="W5" s="232"/>
      <c r="X5" s="233"/>
      <c r="Y5" s="231"/>
      <c r="Z5" s="231"/>
      <c r="AA5" s="231"/>
      <c r="AB5" s="231"/>
      <c r="AC5" s="231"/>
      <c r="AD5" s="231"/>
      <c r="AE5" s="1"/>
      <c r="AF5" s="231"/>
      <c r="AG5" s="1"/>
      <c r="AH5" s="1"/>
      <c r="AI5" s="1"/>
      <c r="AJ5" s="231"/>
      <c r="AK5" s="231"/>
      <c r="AL5" s="232"/>
      <c r="AM5" s="40"/>
    </row>
    <row r="6" spans="1:40" collapsed="1">
      <c r="A6" s="12" t="s">
        <v>86</v>
      </c>
      <c r="B6" s="19"/>
      <c r="C6" s="19"/>
      <c r="D6" s="12"/>
      <c r="E6" s="7" t="s">
        <v>87</v>
      </c>
      <c r="I6" s="143" t="s">
        <v>88</v>
      </c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>
        <f t="shared" ref="V6:V32" si="0">SUM(J6:U6)</f>
        <v>0</v>
      </c>
      <c r="W6" s="72" t="e">
        <f t="shared" ref="W6:W33" si="1">V6/V$6</f>
        <v>#DIV/0!</v>
      </c>
      <c r="X6" s="89"/>
      <c r="Y6" s="231">
        <f>SUM(Y7:Y9)</f>
        <v>0</v>
      </c>
      <c r="Z6" s="231">
        <f>SUM(Z7:Z9)</f>
        <v>0</v>
      </c>
      <c r="AA6" s="231">
        <f>SUM(AA7:AA9)</f>
        <v>0</v>
      </c>
      <c r="AB6" s="231">
        <f>SUM(AB7:AB9)</f>
        <v>0</v>
      </c>
      <c r="AC6" s="231">
        <f>SUM(AC7:AC9)</f>
        <v>0</v>
      </c>
      <c r="AD6" s="231">
        <f>SUM(AD7:AD9)</f>
        <v>0</v>
      </c>
      <c r="AE6" s="231">
        <f>SUM(AE7:AE9)</f>
        <v>0</v>
      </c>
      <c r="AF6" s="231">
        <f>SUM(AF7:AF9)</f>
        <v>0</v>
      </c>
      <c r="AG6" s="231">
        <f>SUM(AG7:AG9)</f>
        <v>0</v>
      </c>
      <c r="AH6" s="231">
        <f>SUM(AH7:AH9)</f>
        <v>0</v>
      </c>
      <c r="AI6" s="231">
        <f>SUM(AI7:AI9)</f>
        <v>0</v>
      </c>
      <c r="AJ6" s="231">
        <f>SUM(AJ7:AJ9)</f>
        <v>0</v>
      </c>
      <c r="AK6" s="231">
        <f t="shared" ref="AK6:AK32" si="2">SUM(Y6:AJ6)</f>
        <v>0</v>
      </c>
      <c r="AL6" s="72" t="e">
        <f t="shared" ref="AL6:AL33" si="3">AK6/AK$6</f>
        <v>#DIV/0!</v>
      </c>
      <c r="AM6" s="10">
        <f>IFERROR(AK6/V6-1,0)</f>
        <v>0</v>
      </c>
      <c r="AN6" s="9"/>
    </row>
    <row r="7" spans="1:40" ht="15" hidden="1" customHeight="1" outlineLevel="1">
      <c r="A7" s="12" t="s">
        <v>86</v>
      </c>
      <c r="B7" s="19" t="s">
        <v>89</v>
      </c>
      <c r="C7" s="19" t="s">
        <v>90</v>
      </c>
      <c r="D7" s="12" t="s">
        <v>91</v>
      </c>
      <c r="E7" s="20"/>
      <c r="F7" s="12"/>
      <c r="G7" s="12"/>
      <c r="H7" s="12"/>
      <c r="I7" s="144" t="s">
        <v>92</v>
      </c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5">
        <f t="shared" si="0"/>
        <v>0</v>
      </c>
      <c r="W7" s="73" t="e">
        <f t="shared" si="1"/>
        <v>#DIV/0!</v>
      </c>
      <c r="X7" s="89"/>
      <c r="Y7" s="234">
        <v>0</v>
      </c>
      <c r="Z7" s="234">
        <v>0</v>
      </c>
      <c r="AA7" s="234">
        <v>0</v>
      </c>
      <c r="AB7" s="234">
        <v>0</v>
      </c>
      <c r="AC7" s="234">
        <v>0</v>
      </c>
      <c r="AD7" s="234">
        <v>0</v>
      </c>
      <c r="AE7" s="234">
        <v>0</v>
      </c>
      <c r="AF7" s="234">
        <v>0</v>
      </c>
      <c r="AG7" s="234">
        <v>0</v>
      </c>
      <c r="AH7" s="234">
        <v>0</v>
      </c>
      <c r="AI7" s="234">
        <v>0</v>
      </c>
      <c r="AJ7" s="234">
        <v>0</v>
      </c>
      <c r="AK7" s="235">
        <f t="shared" si="2"/>
        <v>0</v>
      </c>
      <c r="AL7" s="73" t="e">
        <f t="shared" si="3"/>
        <v>#DIV/0!</v>
      </c>
      <c r="AM7" s="14">
        <f t="shared" ref="AM7:AM93" si="4">IFERROR(AK7/V7-1,0)</f>
        <v>0</v>
      </c>
      <c r="AN7" s="9"/>
    </row>
    <row r="8" spans="1:40" ht="15" hidden="1" customHeight="1" outlineLevel="1">
      <c r="A8" s="12" t="s">
        <v>86</v>
      </c>
      <c r="B8" s="19" t="s">
        <v>89</v>
      </c>
      <c r="C8" s="19" t="s">
        <v>93</v>
      </c>
      <c r="D8" s="12" t="s">
        <v>94</v>
      </c>
      <c r="E8" s="20"/>
      <c r="F8" s="12"/>
      <c r="G8" s="12"/>
      <c r="H8" s="12"/>
      <c r="I8" s="144" t="s">
        <v>95</v>
      </c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5">
        <f t="shared" si="0"/>
        <v>0</v>
      </c>
      <c r="W8" s="73" t="e">
        <f t="shared" si="1"/>
        <v>#DIV/0!</v>
      </c>
      <c r="X8" s="89"/>
      <c r="Y8" s="234">
        <v>0</v>
      </c>
      <c r="Z8" s="234">
        <v>0</v>
      </c>
      <c r="AA8" s="234">
        <v>0</v>
      </c>
      <c r="AB8" s="234">
        <v>0</v>
      </c>
      <c r="AC8" s="234">
        <v>0</v>
      </c>
      <c r="AD8" s="234">
        <v>0</v>
      </c>
      <c r="AE8" s="234">
        <v>0</v>
      </c>
      <c r="AF8" s="234">
        <v>0</v>
      </c>
      <c r="AG8" s="234">
        <v>0</v>
      </c>
      <c r="AH8" s="234">
        <v>0</v>
      </c>
      <c r="AI8" s="234">
        <v>0</v>
      </c>
      <c r="AJ8" s="234">
        <v>0</v>
      </c>
      <c r="AK8" s="235">
        <f t="shared" si="2"/>
        <v>0</v>
      </c>
      <c r="AL8" s="73" t="e">
        <f t="shared" si="3"/>
        <v>#DIV/0!</v>
      </c>
      <c r="AM8" s="14">
        <f t="shared" si="4"/>
        <v>0</v>
      </c>
      <c r="AN8" s="9"/>
    </row>
    <row r="9" spans="1:40" ht="15" hidden="1" customHeight="1" outlineLevel="1">
      <c r="A9" s="12" t="s">
        <v>86</v>
      </c>
      <c r="B9" s="19" t="s">
        <v>89</v>
      </c>
      <c r="C9" s="19" t="s">
        <v>96</v>
      </c>
      <c r="D9" s="12" t="s">
        <v>97</v>
      </c>
      <c r="E9" s="20"/>
      <c r="F9" s="12"/>
      <c r="G9" s="12"/>
      <c r="H9" s="12"/>
      <c r="I9" s="144" t="s">
        <v>98</v>
      </c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5">
        <f t="shared" si="0"/>
        <v>0</v>
      </c>
      <c r="W9" s="73" t="e">
        <f t="shared" si="1"/>
        <v>#DIV/0!</v>
      </c>
      <c r="X9" s="89"/>
      <c r="Y9" s="234">
        <v>0</v>
      </c>
      <c r="Z9" s="234">
        <v>0</v>
      </c>
      <c r="AA9" s="234">
        <v>0</v>
      </c>
      <c r="AB9" s="234">
        <v>0</v>
      </c>
      <c r="AC9" s="234">
        <v>0</v>
      </c>
      <c r="AD9" s="234">
        <v>0</v>
      </c>
      <c r="AE9" s="234">
        <v>0</v>
      </c>
      <c r="AF9" s="234">
        <v>0</v>
      </c>
      <c r="AG9" s="234">
        <v>0</v>
      </c>
      <c r="AH9" s="234">
        <v>0</v>
      </c>
      <c r="AI9" s="234">
        <v>0</v>
      </c>
      <c r="AJ9" s="234">
        <v>0</v>
      </c>
      <c r="AK9" s="235">
        <f t="shared" si="2"/>
        <v>0</v>
      </c>
      <c r="AL9" s="73" t="e">
        <f t="shared" si="3"/>
        <v>#DIV/0!</v>
      </c>
      <c r="AM9" s="14">
        <f t="shared" si="4"/>
        <v>0</v>
      </c>
      <c r="AN9" s="9"/>
    </row>
    <row r="10" spans="1:40" ht="15" hidden="1" customHeight="1" outlineLevel="1">
      <c r="A10" s="12" t="s">
        <v>86</v>
      </c>
      <c r="B10" s="19" t="s">
        <v>89</v>
      </c>
      <c r="C10" s="19" t="s">
        <v>99</v>
      </c>
      <c r="D10" s="12" t="s">
        <v>100</v>
      </c>
      <c r="E10" s="20" t="s">
        <v>101</v>
      </c>
      <c r="F10" s="12" t="s">
        <v>102</v>
      </c>
      <c r="G10" s="12" t="s">
        <v>103</v>
      </c>
      <c r="H10" s="12" t="s">
        <v>104</v>
      </c>
      <c r="I10" s="144" t="s">
        <v>105</v>
      </c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5">
        <f t="shared" si="0"/>
        <v>0</v>
      </c>
      <c r="W10" s="73" t="e">
        <f t="shared" si="1"/>
        <v>#DIV/0!</v>
      </c>
      <c r="X10" s="89"/>
      <c r="Y10" s="234">
        <v>0</v>
      </c>
      <c r="Z10" s="234">
        <v>0</v>
      </c>
      <c r="AA10" s="234">
        <v>0</v>
      </c>
      <c r="AB10" s="234">
        <v>0</v>
      </c>
      <c r="AC10" s="234">
        <v>0</v>
      </c>
      <c r="AD10" s="234">
        <v>0</v>
      </c>
      <c r="AE10" s="234">
        <v>0</v>
      </c>
      <c r="AF10" s="234">
        <v>0</v>
      </c>
      <c r="AG10" s="234">
        <v>0</v>
      </c>
      <c r="AH10" s="234">
        <v>0</v>
      </c>
      <c r="AI10" s="234">
        <v>0</v>
      </c>
      <c r="AJ10" s="234">
        <v>0</v>
      </c>
      <c r="AK10" s="235">
        <f t="shared" si="2"/>
        <v>0</v>
      </c>
      <c r="AL10" s="73" t="e">
        <f t="shared" si="3"/>
        <v>#DIV/0!</v>
      </c>
      <c r="AM10" s="14">
        <f t="shared" si="4"/>
        <v>0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106</v>
      </c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5"/>
      <c r="W11" s="73"/>
      <c r="X11" s="89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5"/>
      <c r="AL11" s="73"/>
      <c r="AM11" s="14"/>
      <c r="AN11" s="9"/>
    </row>
    <row r="12" spans="1:40" collapsed="1">
      <c r="A12" s="12" t="s">
        <v>107</v>
      </c>
      <c r="B12" s="19"/>
      <c r="E12" s="7" t="s">
        <v>108</v>
      </c>
      <c r="I12" s="143" t="s">
        <v>109</v>
      </c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>
        <f t="shared" si="0"/>
        <v>0</v>
      </c>
      <c r="W12" s="72" t="e">
        <f t="shared" si="1"/>
        <v>#DIV/0!</v>
      </c>
      <c r="X12" s="89"/>
      <c r="Y12" s="231">
        <f>SUM(Y13:Y32)</f>
        <v>0</v>
      </c>
      <c r="Z12" s="231">
        <f>SUM(Z13:Z32)</f>
        <v>0</v>
      </c>
      <c r="AA12" s="231">
        <f>SUM(AA13:AA32)</f>
        <v>0</v>
      </c>
      <c r="AB12" s="231">
        <f>SUM(AB13:AB32)</f>
        <v>0</v>
      </c>
      <c r="AC12" s="231">
        <f>SUM(AC13:AC32)</f>
        <v>0</v>
      </c>
      <c r="AD12" s="231">
        <f>SUM(AD13:AD32)</f>
        <v>0</v>
      </c>
      <c r="AE12" s="231">
        <f>SUM(AE13:AE32)</f>
        <v>0</v>
      </c>
      <c r="AF12" s="231">
        <f>SUM(AF13:AF32)</f>
        <v>0</v>
      </c>
      <c r="AG12" s="231">
        <f>SUM(AG13:AG32)</f>
        <v>0</v>
      </c>
      <c r="AH12" s="231">
        <f>SUM(AH13:AH32)</f>
        <v>0</v>
      </c>
      <c r="AI12" s="231">
        <f>SUM(AI13:AI32)</f>
        <v>0</v>
      </c>
      <c r="AJ12" s="231">
        <f>SUM(AJ13:AJ32)</f>
        <v>0</v>
      </c>
      <c r="AK12" s="231">
        <f t="shared" si="2"/>
        <v>0</v>
      </c>
      <c r="AL12" s="72" t="e">
        <f t="shared" si="3"/>
        <v>#DIV/0!</v>
      </c>
      <c r="AM12" s="10">
        <f t="shared" si="4"/>
        <v>0</v>
      </c>
      <c r="AN12" s="9"/>
    </row>
    <row r="13" spans="1:40" hidden="1" outlineLevel="1">
      <c r="A13" s="37" t="s">
        <v>107</v>
      </c>
      <c r="B13" s="39"/>
      <c r="C13" s="39" t="s">
        <v>110</v>
      </c>
      <c r="D13" s="37" t="s">
        <v>111</v>
      </c>
      <c r="E13" s="38"/>
      <c r="F13" s="37"/>
      <c r="G13" s="37"/>
      <c r="H13" s="37"/>
      <c r="I13" s="208" t="s">
        <v>112</v>
      </c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5">
        <f t="shared" si="0"/>
        <v>0</v>
      </c>
      <c r="W13" s="73" t="e">
        <f t="shared" si="1"/>
        <v>#DIV/0!</v>
      </c>
      <c r="X13" s="89"/>
      <c r="Y13" s="234">
        <v>0</v>
      </c>
      <c r="Z13" s="234">
        <v>0</v>
      </c>
      <c r="AA13" s="234">
        <v>0</v>
      </c>
      <c r="AB13" s="234">
        <v>0</v>
      </c>
      <c r="AC13" s="234">
        <v>0</v>
      </c>
      <c r="AD13" s="234">
        <v>0</v>
      </c>
      <c r="AE13" s="234">
        <v>0</v>
      </c>
      <c r="AF13" s="234">
        <v>0</v>
      </c>
      <c r="AG13" s="234">
        <v>0</v>
      </c>
      <c r="AH13" s="234">
        <v>0</v>
      </c>
      <c r="AI13" s="234">
        <v>0</v>
      </c>
      <c r="AJ13" s="234">
        <v>0</v>
      </c>
      <c r="AK13" s="235">
        <f t="shared" si="2"/>
        <v>0</v>
      </c>
      <c r="AL13" s="73" t="e">
        <f t="shared" si="3"/>
        <v>#DIV/0!</v>
      </c>
      <c r="AM13" s="14">
        <f t="shared" si="4"/>
        <v>0</v>
      </c>
      <c r="AN13" s="9"/>
    </row>
    <row r="14" spans="1:40" hidden="1" outlineLevel="1">
      <c r="A14" s="37" t="s">
        <v>107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208" t="s">
        <v>115</v>
      </c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5">
        <f t="shared" si="0"/>
        <v>0</v>
      </c>
      <c r="W14" s="73" t="e">
        <f t="shared" si="1"/>
        <v>#DIV/0!</v>
      </c>
      <c r="X14" s="89"/>
      <c r="Y14" s="234">
        <v>0</v>
      </c>
      <c r="Z14" s="234">
        <v>0</v>
      </c>
      <c r="AA14" s="234">
        <v>0</v>
      </c>
      <c r="AB14" s="234">
        <v>0</v>
      </c>
      <c r="AC14" s="234">
        <v>0</v>
      </c>
      <c r="AD14" s="234">
        <v>0</v>
      </c>
      <c r="AE14" s="234">
        <v>0</v>
      </c>
      <c r="AF14" s="234">
        <v>0</v>
      </c>
      <c r="AG14" s="234">
        <v>0</v>
      </c>
      <c r="AH14" s="234">
        <v>0</v>
      </c>
      <c r="AI14" s="234">
        <v>0</v>
      </c>
      <c r="AJ14" s="234">
        <v>0</v>
      </c>
      <c r="AK14" s="235">
        <f t="shared" si="2"/>
        <v>0</v>
      </c>
      <c r="AL14" s="73" t="e">
        <f t="shared" si="3"/>
        <v>#DIV/0!</v>
      </c>
      <c r="AM14" s="14">
        <f t="shared" si="4"/>
        <v>0</v>
      </c>
      <c r="AN14" s="9"/>
    </row>
    <row r="15" spans="1:40" hidden="1" outlineLevel="1">
      <c r="A15" s="37" t="s">
        <v>107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208" t="s">
        <v>5</v>
      </c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5">
        <f t="shared" si="0"/>
        <v>0</v>
      </c>
      <c r="W15" s="73" t="e">
        <f t="shared" si="1"/>
        <v>#DIV/0!</v>
      </c>
      <c r="X15" s="89"/>
      <c r="Y15" s="234">
        <v>0</v>
      </c>
      <c r="Z15" s="234">
        <v>0</v>
      </c>
      <c r="AA15" s="234">
        <v>0</v>
      </c>
      <c r="AB15" s="234">
        <v>0</v>
      </c>
      <c r="AC15" s="234">
        <v>0</v>
      </c>
      <c r="AD15" s="234">
        <v>0</v>
      </c>
      <c r="AE15" s="234">
        <v>0</v>
      </c>
      <c r="AF15" s="234">
        <v>0</v>
      </c>
      <c r="AG15" s="234">
        <v>0</v>
      </c>
      <c r="AH15" s="234">
        <v>0</v>
      </c>
      <c r="AI15" s="234">
        <v>0</v>
      </c>
      <c r="AJ15" s="234">
        <v>0</v>
      </c>
      <c r="AK15" s="235">
        <f t="shared" si="2"/>
        <v>0</v>
      </c>
      <c r="AL15" s="73" t="e">
        <f t="shared" si="3"/>
        <v>#DIV/0!</v>
      </c>
      <c r="AM15" s="14">
        <f t="shared" si="4"/>
        <v>0</v>
      </c>
      <c r="AN15" s="9"/>
    </row>
    <row r="16" spans="1:40" hidden="1" outlineLevel="1">
      <c r="A16" s="37" t="s">
        <v>107</v>
      </c>
      <c r="B16" s="39"/>
      <c r="C16" s="39" t="s">
        <v>118</v>
      </c>
      <c r="D16" s="37"/>
      <c r="E16" s="38"/>
      <c r="F16" s="37"/>
      <c r="G16" s="37"/>
      <c r="H16" s="37"/>
      <c r="I16" s="208" t="s">
        <v>119</v>
      </c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5">
        <f t="shared" si="0"/>
        <v>0</v>
      </c>
      <c r="W16" s="73" t="e">
        <f t="shared" si="1"/>
        <v>#DIV/0!</v>
      </c>
      <c r="X16" s="89"/>
      <c r="Y16" s="236">
        <v>0</v>
      </c>
      <c r="Z16" s="236">
        <v>0</v>
      </c>
      <c r="AA16" s="236">
        <v>0</v>
      </c>
      <c r="AB16" s="236">
        <v>0</v>
      </c>
      <c r="AC16" s="236">
        <v>0</v>
      </c>
      <c r="AD16" s="236">
        <v>0</v>
      </c>
      <c r="AE16" s="236">
        <v>0</v>
      </c>
      <c r="AF16" s="236">
        <v>0</v>
      </c>
      <c r="AG16" s="236">
        <v>0</v>
      </c>
      <c r="AH16" s="236">
        <v>0</v>
      </c>
      <c r="AI16" s="236">
        <v>0</v>
      </c>
      <c r="AJ16" s="236">
        <v>0</v>
      </c>
      <c r="AK16" s="235">
        <f t="shared" si="2"/>
        <v>0</v>
      </c>
      <c r="AL16" s="73" t="e">
        <f t="shared" si="3"/>
        <v>#DIV/0!</v>
      </c>
      <c r="AM16" s="14">
        <f t="shared" si="4"/>
        <v>0</v>
      </c>
      <c r="AN16" s="9"/>
    </row>
    <row r="17" spans="1:40" hidden="1" outlineLevel="1">
      <c r="A17" s="37" t="s">
        <v>107</v>
      </c>
      <c r="B17" s="39"/>
      <c r="C17" s="39" t="s">
        <v>120</v>
      </c>
      <c r="D17" s="37"/>
      <c r="E17" s="38"/>
      <c r="F17" s="37"/>
      <c r="G17" s="37"/>
      <c r="H17" s="37"/>
      <c r="I17" s="208" t="s">
        <v>121</v>
      </c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5">
        <f t="shared" si="0"/>
        <v>0</v>
      </c>
      <c r="W17" s="73" t="e">
        <f t="shared" si="1"/>
        <v>#DIV/0!</v>
      </c>
      <c r="X17" s="89"/>
      <c r="Y17" s="236">
        <v>0</v>
      </c>
      <c r="Z17" s="236">
        <v>0</v>
      </c>
      <c r="AA17" s="236">
        <v>0</v>
      </c>
      <c r="AB17" s="236">
        <v>0</v>
      </c>
      <c r="AC17" s="236">
        <v>0</v>
      </c>
      <c r="AD17" s="236">
        <v>0</v>
      </c>
      <c r="AE17" s="236">
        <v>0</v>
      </c>
      <c r="AF17" s="236">
        <v>0</v>
      </c>
      <c r="AG17" s="236">
        <v>0</v>
      </c>
      <c r="AH17" s="236">
        <v>0</v>
      </c>
      <c r="AI17" s="236">
        <v>0</v>
      </c>
      <c r="AJ17" s="236">
        <v>0</v>
      </c>
      <c r="AK17" s="235">
        <f t="shared" si="2"/>
        <v>0</v>
      </c>
      <c r="AL17" s="73" t="e">
        <f t="shared" si="3"/>
        <v>#DIV/0!</v>
      </c>
      <c r="AM17" s="14">
        <f t="shared" si="4"/>
        <v>0</v>
      </c>
      <c r="AN17" s="9"/>
    </row>
    <row r="18" spans="1:40" hidden="1" outlineLevel="1">
      <c r="A18" s="37" t="s">
        <v>107</v>
      </c>
      <c r="B18" s="39"/>
      <c r="C18" s="39" t="s">
        <v>122</v>
      </c>
      <c r="D18" s="37"/>
      <c r="E18" s="38"/>
      <c r="F18" s="37"/>
      <c r="G18" s="37"/>
      <c r="H18" s="37"/>
      <c r="I18" s="208" t="s">
        <v>123</v>
      </c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5">
        <f t="shared" si="0"/>
        <v>0</v>
      </c>
      <c r="W18" s="73" t="e">
        <f t="shared" si="1"/>
        <v>#DIV/0!</v>
      </c>
      <c r="X18" s="89"/>
      <c r="Y18" s="236">
        <v>0</v>
      </c>
      <c r="Z18" s="236">
        <v>0</v>
      </c>
      <c r="AA18" s="236">
        <v>0</v>
      </c>
      <c r="AB18" s="236">
        <v>0</v>
      </c>
      <c r="AC18" s="236">
        <v>0</v>
      </c>
      <c r="AD18" s="236">
        <v>0</v>
      </c>
      <c r="AE18" s="236">
        <v>0</v>
      </c>
      <c r="AF18" s="236">
        <v>0</v>
      </c>
      <c r="AG18" s="236">
        <v>0</v>
      </c>
      <c r="AH18" s="236">
        <v>0</v>
      </c>
      <c r="AI18" s="236">
        <v>0</v>
      </c>
      <c r="AJ18" s="236">
        <v>0</v>
      </c>
      <c r="AK18" s="235">
        <f t="shared" si="2"/>
        <v>0</v>
      </c>
      <c r="AL18" s="73" t="e">
        <f t="shared" si="3"/>
        <v>#DIV/0!</v>
      </c>
      <c r="AM18" s="14">
        <f t="shared" si="4"/>
        <v>0</v>
      </c>
      <c r="AN18" s="9"/>
    </row>
    <row r="19" spans="1:40" hidden="1" outlineLevel="1">
      <c r="A19" s="37" t="s">
        <v>107</v>
      </c>
      <c r="B19" s="39"/>
      <c r="C19" s="39" t="s">
        <v>124</v>
      </c>
      <c r="D19" s="37" t="s">
        <v>125</v>
      </c>
      <c r="E19" s="38"/>
      <c r="F19" s="37"/>
      <c r="G19" s="37"/>
      <c r="H19" s="37"/>
      <c r="I19" s="208" t="s">
        <v>126</v>
      </c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5">
        <f t="shared" si="0"/>
        <v>0</v>
      </c>
      <c r="W19" s="73" t="e">
        <f t="shared" si="1"/>
        <v>#DIV/0!</v>
      </c>
      <c r="X19" s="89"/>
      <c r="Y19" s="234">
        <v>0</v>
      </c>
      <c r="Z19" s="234">
        <v>0</v>
      </c>
      <c r="AA19" s="234">
        <v>0</v>
      </c>
      <c r="AB19" s="234">
        <v>0</v>
      </c>
      <c r="AC19" s="234">
        <v>0</v>
      </c>
      <c r="AD19" s="234">
        <v>0</v>
      </c>
      <c r="AE19" s="234">
        <v>0</v>
      </c>
      <c r="AF19" s="234">
        <v>0</v>
      </c>
      <c r="AG19" s="234">
        <v>0</v>
      </c>
      <c r="AH19" s="234">
        <v>0</v>
      </c>
      <c r="AI19" s="234">
        <v>0</v>
      </c>
      <c r="AJ19" s="234">
        <v>0</v>
      </c>
      <c r="AK19" s="235">
        <f t="shared" si="2"/>
        <v>0</v>
      </c>
      <c r="AL19" s="73" t="e">
        <f t="shared" si="3"/>
        <v>#DIV/0!</v>
      </c>
      <c r="AM19" s="14">
        <f t="shared" si="4"/>
        <v>0</v>
      </c>
      <c r="AN19" s="9"/>
    </row>
    <row r="20" spans="1:40" hidden="1" outlineLevel="1">
      <c r="A20" s="37" t="s">
        <v>107</v>
      </c>
      <c r="B20" s="39"/>
      <c r="C20" s="39" t="s">
        <v>127</v>
      </c>
      <c r="D20" s="37"/>
      <c r="E20" s="38"/>
      <c r="F20" s="37"/>
      <c r="G20" s="37"/>
      <c r="H20" s="37"/>
      <c r="I20" s="208" t="s">
        <v>128</v>
      </c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5">
        <f t="shared" si="0"/>
        <v>0</v>
      </c>
      <c r="W20" s="73" t="e">
        <f t="shared" si="1"/>
        <v>#DIV/0!</v>
      </c>
      <c r="X20" s="89"/>
      <c r="Y20" s="234">
        <v>0</v>
      </c>
      <c r="Z20" s="234">
        <v>0</v>
      </c>
      <c r="AA20" s="234">
        <v>0</v>
      </c>
      <c r="AB20" s="234">
        <v>0</v>
      </c>
      <c r="AC20" s="234">
        <v>0</v>
      </c>
      <c r="AD20" s="234">
        <v>0</v>
      </c>
      <c r="AE20" s="234">
        <v>0</v>
      </c>
      <c r="AF20" s="234">
        <v>0</v>
      </c>
      <c r="AG20" s="234">
        <v>0</v>
      </c>
      <c r="AH20" s="234">
        <v>0</v>
      </c>
      <c r="AI20" s="234">
        <v>0</v>
      </c>
      <c r="AJ20" s="234">
        <v>0</v>
      </c>
      <c r="AK20" s="235">
        <f t="shared" si="2"/>
        <v>0</v>
      </c>
      <c r="AL20" s="73" t="e">
        <f t="shared" si="3"/>
        <v>#DIV/0!</v>
      </c>
      <c r="AM20" s="14">
        <f t="shared" si="4"/>
        <v>0</v>
      </c>
      <c r="AN20" s="9"/>
    </row>
    <row r="21" spans="1:40" hidden="1" outlineLevel="1">
      <c r="A21" s="37" t="s">
        <v>107</v>
      </c>
      <c r="B21" s="39"/>
      <c r="C21" s="39" t="s">
        <v>129</v>
      </c>
      <c r="D21" s="37"/>
      <c r="E21" s="38"/>
      <c r="F21" s="37"/>
      <c r="G21" s="37"/>
      <c r="H21" s="37"/>
      <c r="I21" s="208" t="s">
        <v>130</v>
      </c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5">
        <f t="shared" si="0"/>
        <v>0</v>
      </c>
      <c r="W21" s="73" t="e">
        <f t="shared" si="1"/>
        <v>#DIV/0!</v>
      </c>
      <c r="X21" s="89"/>
      <c r="Y21" s="234">
        <v>0</v>
      </c>
      <c r="Z21" s="234">
        <v>0</v>
      </c>
      <c r="AA21" s="234">
        <v>0</v>
      </c>
      <c r="AB21" s="234">
        <v>0</v>
      </c>
      <c r="AC21" s="234">
        <v>0</v>
      </c>
      <c r="AD21" s="234">
        <v>0</v>
      </c>
      <c r="AE21" s="234">
        <v>0</v>
      </c>
      <c r="AF21" s="234">
        <v>0</v>
      </c>
      <c r="AG21" s="234">
        <v>0</v>
      </c>
      <c r="AH21" s="234">
        <v>0</v>
      </c>
      <c r="AI21" s="234">
        <v>0</v>
      </c>
      <c r="AJ21" s="234">
        <v>0</v>
      </c>
      <c r="AK21" s="235">
        <f t="shared" si="2"/>
        <v>0</v>
      </c>
      <c r="AL21" s="73" t="e">
        <f t="shared" si="3"/>
        <v>#DIV/0!</v>
      </c>
      <c r="AM21" s="14">
        <f t="shared" si="4"/>
        <v>0</v>
      </c>
      <c r="AN21" s="9"/>
    </row>
    <row r="22" spans="1:40" hidden="1" outlineLevel="1">
      <c r="A22" s="37" t="s">
        <v>107</v>
      </c>
      <c r="B22" s="39"/>
      <c r="C22" s="39" t="s">
        <v>131</v>
      </c>
      <c r="D22" s="37"/>
      <c r="E22" s="38"/>
      <c r="F22" s="37"/>
      <c r="G22" s="37"/>
      <c r="H22" s="37"/>
      <c r="I22" s="208" t="s">
        <v>132</v>
      </c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>
        <f t="shared" si="0"/>
        <v>0</v>
      </c>
      <c r="W22" s="73" t="e">
        <f t="shared" si="1"/>
        <v>#DIV/0!</v>
      </c>
      <c r="X22" s="89"/>
      <c r="Y22" s="234">
        <v>0</v>
      </c>
      <c r="Z22" s="234">
        <v>0</v>
      </c>
      <c r="AA22" s="234">
        <v>0</v>
      </c>
      <c r="AB22" s="234">
        <v>0</v>
      </c>
      <c r="AC22" s="234">
        <v>0</v>
      </c>
      <c r="AD22" s="234">
        <v>0</v>
      </c>
      <c r="AE22" s="234">
        <v>0</v>
      </c>
      <c r="AF22" s="234">
        <v>0</v>
      </c>
      <c r="AG22" s="234">
        <v>0</v>
      </c>
      <c r="AH22" s="234">
        <v>0</v>
      </c>
      <c r="AI22" s="234">
        <v>0</v>
      </c>
      <c r="AJ22" s="234">
        <v>0</v>
      </c>
      <c r="AK22" s="235">
        <f t="shared" si="2"/>
        <v>0</v>
      </c>
      <c r="AL22" s="73" t="e">
        <f t="shared" si="3"/>
        <v>#DIV/0!</v>
      </c>
      <c r="AM22" s="14">
        <f t="shared" si="4"/>
        <v>0</v>
      </c>
      <c r="AN22" s="9"/>
    </row>
    <row r="23" spans="1:40" hidden="1" outlineLevel="1">
      <c r="A23" s="37" t="s">
        <v>107</v>
      </c>
      <c r="B23" s="39"/>
      <c r="C23" s="39" t="s">
        <v>133</v>
      </c>
      <c r="D23" s="37"/>
      <c r="E23" s="38"/>
      <c r="F23" s="37"/>
      <c r="G23" s="37"/>
      <c r="H23" s="37"/>
      <c r="I23" s="208" t="s">
        <v>133</v>
      </c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5">
        <f t="shared" si="0"/>
        <v>0</v>
      </c>
      <c r="W23" s="73" t="e">
        <f t="shared" si="1"/>
        <v>#DIV/0!</v>
      </c>
      <c r="X23" s="89"/>
      <c r="Y23" s="234">
        <v>0</v>
      </c>
      <c r="Z23" s="234">
        <v>0</v>
      </c>
      <c r="AA23" s="234">
        <v>0</v>
      </c>
      <c r="AB23" s="234">
        <v>0</v>
      </c>
      <c r="AC23" s="234">
        <v>0</v>
      </c>
      <c r="AD23" s="234">
        <v>0</v>
      </c>
      <c r="AE23" s="234">
        <v>0</v>
      </c>
      <c r="AF23" s="234">
        <v>0</v>
      </c>
      <c r="AG23" s="234">
        <v>0</v>
      </c>
      <c r="AH23" s="234">
        <v>0</v>
      </c>
      <c r="AI23" s="234">
        <v>0</v>
      </c>
      <c r="AJ23" s="234">
        <v>0</v>
      </c>
      <c r="AK23" s="235">
        <f t="shared" si="2"/>
        <v>0</v>
      </c>
      <c r="AL23" s="73" t="e">
        <f t="shared" si="3"/>
        <v>#DIV/0!</v>
      </c>
      <c r="AM23" s="14">
        <f t="shared" si="4"/>
        <v>0</v>
      </c>
      <c r="AN23" s="9"/>
    </row>
    <row r="24" spans="1:40" hidden="1" outlineLevel="1">
      <c r="A24" s="37" t="s">
        <v>107</v>
      </c>
      <c r="B24" s="39"/>
      <c r="C24" s="39" t="s">
        <v>134</v>
      </c>
      <c r="D24" s="37" t="s">
        <v>91</v>
      </c>
      <c r="E24" s="38"/>
      <c r="F24" s="37"/>
      <c r="G24" s="37"/>
      <c r="H24" s="37"/>
      <c r="I24" s="208" t="s">
        <v>135</v>
      </c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5">
        <f t="shared" si="0"/>
        <v>0</v>
      </c>
      <c r="W24" s="73" t="e">
        <f t="shared" si="1"/>
        <v>#DIV/0!</v>
      </c>
      <c r="X24" s="89"/>
      <c r="Y24" s="236">
        <v>0</v>
      </c>
      <c r="Z24" s="236">
        <v>0</v>
      </c>
      <c r="AA24" s="236">
        <v>0</v>
      </c>
      <c r="AB24" s="236">
        <v>0</v>
      </c>
      <c r="AC24" s="236">
        <v>0</v>
      </c>
      <c r="AD24" s="236">
        <v>0</v>
      </c>
      <c r="AE24" s="236">
        <v>0</v>
      </c>
      <c r="AF24" s="236">
        <v>0</v>
      </c>
      <c r="AG24" s="236">
        <v>0</v>
      </c>
      <c r="AH24" s="236">
        <v>0</v>
      </c>
      <c r="AI24" s="236">
        <v>0</v>
      </c>
      <c r="AJ24" s="236">
        <v>0</v>
      </c>
      <c r="AK24" s="235">
        <f t="shared" si="2"/>
        <v>0</v>
      </c>
      <c r="AL24" s="73" t="e">
        <f t="shared" si="3"/>
        <v>#DIV/0!</v>
      </c>
      <c r="AM24" s="14">
        <f t="shared" si="4"/>
        <v>0</v>
      </c>
      <c r="AN24" s="9"/>
    </row>
    <row r="25" spans="1:40" hidden="1" outlineLevel="1">
      <c r="A25" s="37" t="s">
        <v>107</v>
      </c>
      <c r="B25" s="39"/>
      <c r="C25" s="39" t="s">
        <v>136</v>
      </c>
      <c r="D25" s="37" t="s">
        <v>91</v>
      </c>
      <c r="E25" s="38"/>
      <c r="F25" s="37"/>
      <c r="G25" s="37"/>
      <c r="H25" s="37"/>
      <c r="I25" s="208" t="s">
        <v>137</v>
      </c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5">
        <f t="shared" si="0"/>
        <v>0</v>
      </c>
      <c r="W25" s="73" t="e">
        <f t="shared" si="1"/>
        <v>#DIV/0!</v>
      </c>
      <c r="X25" s="89"/>
      <c r="Y25" s="236">
        <v>0</v>
      </c>
      <c r="Z25" s="236">
        <v>0</v>
      </c>
      <c r="AA25" s="236">
        <v>0</v>
      </c>
      <c r="AB25" s="236">
        <v>0</v>
      </c>
      <c r="AC25" s="236">
        <v>0</v>
      </c>
      <c r="AD25" s="236">
        <v>0</v>
      </c>
      <c r="AE25" s="236">
        <v>0</v>
      </c>
      <c r="AF25" s="236">
        <v>0</v>
      </c>
      <c r="AG25" s="236">
        <v>0</v>
      </c>
      <c r="AH25" s="236">
        <v>0</v>
      </c>
      <c r="AI25" s="236">
        <v>0</v>
      </c>
      <c r="AJ25" s="236">
        <v>0</v>
      </c>
      <c r="AK25" s="235">
        <f t="shared" si="2"/>
        <v>0</v>
      </c>
      <c r="AL25" s="73" t="e">
        <f t="shared" si="3"/>
        <v>#DIV/0!</v>
      </c>
      <c r="AM25" s="14">
        <f t="shared" si="4"/>
        <v>0</v>
      </c>
      <c r="AN25" s="9"/>
    </row>
    <row r="26" spans="1:40" hidden="1" outlineLevel="1">
      <c r="A26" s="37"/>
      <c r="B26" s="39"/>
      <c r="C26" s="39"/>
      <c r="D26" s="37"/>
      <c r="E26" s="38"/>
      <c r="F26" s="37"/>
      <c r="G26" s="37"/>
      <c r="H26" s="37"/>
      <c r="I26" s="208" t="s">
        <v>138</v>
      </c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5"/>
      <c r="W26" s="73"/>
      <c r="X26" s="89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5"/>
      <c r="AL26" s="73"/>
      <c r="AM26" s="14"/>
      <c r="AN26" s="9"/>
    </row>
    <row r="27" spans="1:40" hidden="1" outlineLevel="1">
      <c r="A27" s="37"/>
      <c r="B27" s="39"/>
      <c r="C27" s="39"/>
      <c r="D27" s="37"/>
      <c r="E27" s="38"/>
      <c r="F27" s="37"/>
      <c r="G27" s="37"/>
      <c r="H27" s="37"/>
      <c r="I27" s="208" t="s">
        <v>139</v>
      </c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5"/>
      <c r="W27" s="73"/>
      <c r="X27" s="89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5"/>
      <c r="AL27" s="73"/>
      <c r="AM27" s="14"/>
      <c r="AN27" s="9"/>
    </row>
    <row r="28" spans="1:40" hidden="1" outlineLevel="1">
      <c r="A28" s="37"/>
      <c r="B28" s="39"/>
      <c r="C28" s="39"/>
      <c r="D28" s="37"/>
      <c r="E28" s="38"/>
      <c r="F28" s="37"/>
      <c r="G28" s="37"/>
      <c r="H28" s="37"/>
      <c r="I28" s="208" t="s">
        <v>140</v>
      </c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5"/>
      <c r="W28" s="73"/>
      <c r="X28" s="89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5"/>
      <c r="AL28" s="73"/>
      <c r="AM28" s="14"/>
      <c r="AN28" s="9"/>
    </row>
    <row r="29" spans="1:40" hidden="1" outlineLevel="1">
      <c r="A29" s="37"/>
      <c r="B29" s="39"/>
      <c r="C29" s="39"/>
      <c r="D29" s="37"/>
      <c r="E29" s="38"/>
      <c r="F29" s="37"/>
      <c r="G29" s="37"/>
      <c r="H29" s="37"/>
      <c r="I29" s="208" t="s">
        <v>141</v>
      </c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5">
        <f t="shared" ref="V29:V30" si="5">SUM(J29:U29)</f>
        <v>0</v>
      </c>
      <c r="W29" s="73" t="e">
        <f t="shared" ref="W29:W30" si="6">V29/V$6</f>
        <v>#DIV/0!</v>
      </c>
      <c r="X29" s="89"/>
      <c r="Y29" s="234">
        <v>0</v>
      </c>
      <c r="Z29" s="234">
        <v>0</v>
      </c>
      <c r="AA29" s="234">
        <v>0</v>
      </c>
      <c r="AB29" s="234">
        <v>0</v>
      </c>
      <c r="AC29" s="234">
        <v>0</v>
      </c>
      <c r="AD29" s="234">
        <v>0</v>
      </c>
      <c r="AE29" s="234">
        <v>0</v>
      </c>
      <c r="AF29" s="234">
        <v>0</v>
      </c>
      <c r="AG29" s="234">
        <v>0</v>
      </c>
      <c r="AH29" s="234">
        <v>0</v>
      </c>
      <c r="AI29" s="234">
        <v>0</v>
      </c>
      <c r="AJ29" s="234">
        <v>0</v>
      </c>
      <c r="AK29" s="235">
        <f t="shared" ref="AK29:AK30" si="7">SUM(Y29:AJ29)</f>
        <v>0</v>
      </c>
      <c r="AL29" s="73" t="e">
        <f t="shared" ref="AL29:AL30" si="8">AK29/AK$6</f>
        <v>#DIV/0!</v>
      </c>
      <c r="AM29" s="14">
        <f t="shared" ref="AM29:AM30" si="9">IFERROR(AK29/V29-1,0)</f>
        <v>0</v>
      </c>
      <c r="AN29" s="9"/>
    </row>
    <row r="30" spans="1:40" hidden="1" outlineLevel="1">
      <c r="A30" s="37"/>
      <c r="B30" s="39"/>
      <c r="C30" s="39"/>
      <c r="D30" s="37"/>
      <c r="E30" s="38"/>
      <c r="F30" s="37"/>
      <c r="G30" s="37"/>
      <c r="H30" s="37"/>
      <c r="I30" s="208" t="s">
        <v>142</v>
      </c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5">
        <f t="shared" si="5"/>
        <v>0</v>
      </c>
      <c r="W30" s="73" t="e">
        <f t="shared" si="6"/>
        <v>#DIV/0!</v>
      </c>
      <c r="X30" s="89"/>
      <c r="Y30" s="234">
        <v>0</v>
      </c>
      <c r="Z30" s="234">
        <v>0</v>
      </c>
      <c r="AA30" s="234">
        <v>0</v>
      </c>
      <c r="AB30" s="234">
        <v>0</v>
      </c>
      <c r="AC30" s="234">
        <v>0</v>
      </c>
      <c r="AD30" s="234">
        <v>0</v>
      </c>
      <c r="AE30" s="234">
        <v>0</v>
      </c>
      <c r="AF30" s="234">
        <v>0</v>
      </c>
      <c r="AG30" s="234">
        <v>0</v>
      </c>
      <c r="AH30" s="234">
        <v>0</v>
      </c>
      <c r="AI30" s="234">
        <v>0</v>
      </c>
      <c r="AJ30" s="234">
        <v>0</v>
      </c>
      <c r="AK30" s="235">
        <f t="shared" si="7"/>
        <v>0</v>
      </c>
      <c r="AL30" s="73" t="e">
        <f t="shared" si="8"/>
        <v>#DIV/0!</v>
      </c>
      <c r="AM30" s="14">
        <f t="shared" si="9"/>
        <v>0</v>
      </c>
      <c r="AN30" s="9"/>
    </row>
    <row r="31" spans="1:40" hidden="1" outlineLevel="1">
      <c r="A31" s="37"/>
      <c r="B31" s="39"/>
      <c r="C31" s="39"/>
      <c r="D31" s="37"/>
      <c r="E31" s="38"/>
      <c r="F31" s="37"/>
      <c r="G31" s="37"/>
      <c r="H31" s="37"/>
      <c r="I31" s="208" t="s">
        <v>143</v>
      </c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5"/>
      <c r="W31" s="73"/>
      <c r="X31" s="89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5"/>
      <c r="AL31" s="73"/>
      <c r="AM31" s="14"/>
      <c r="AN31" s="9"/>
    </row>
    <row r="32" spans="1:40" hidden="1" outlineLevel="1">
      <c r="A32" s="37"/>
      <c r="B32" s="39"/>
      <c r="C32" s="39"/>
      <c r="D32" s="37"/>
      <c r="E32" s="38"/>
      <c r="F32" s="37"/>
      <c r="G32" s="37"/>
      <c r="H32" s="37"/>
      <c r="I32" s="208" t="s">
        <v>144</v>
      </c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5">
        <f t="shared" si="0"/>
        <v>0</v>
      </c>
      <c r="W32" s="73" t="e">
        <f t="shared" si="1"/>
        <v>#DIV/0!</v>
      </c>
      <c r="X32" s="89"/>
      <c r="Y32" s="234">
        <v>0</v>
      </c>
      <c r="Z32" s="234">
        <v>0</v>
      </c>
      <c r="AA32" s="234">
        <v>0</v>
      </c>
      <c r="AB32" s="234">
        <v>0</v>
      </c>
      <c r="AC32" s="234">
        <v>0</v>
      </c>
      <c r="AD32" s="234">
        <v>0</v>
      </c>
      <c r="AE32" s="234">
        <v>0</v>
      </c>
      <c r="AF32" s="234">
        <v>0</v>
      </c>
      <c r="AG32" s="234">
        <v>0</v>
      </c>
      <c r="AH32" s="234">
        <v>0</v>
      </c>
      <c r="AI32" s="234">
        <v>0</v>
      </c>
      <c r="AJ32" s="234">
        <v>0</v>
      </c>
      <c r="AK32" s="235">
        <f t="shared" si="2"/>
        <v>0</v>
      </c>
      <c r="AL32" s="73" t="e">
        <f t="shared" si="3"/>
        <v>#DIV/0!</v>
      </c>
      <c r="AM32" s="14">
        <f t="shared" si="4"/>
        <v>0</v>
      </c>
      <c r="AN32" s="9"/>
    </row>
    <row r="33" spans="1:40" ht="15.75" collapsed="1">
      <c r="I33" s="36" t="s">
        <v>145</v>
      </c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>
        <f>V6-V12</f>
        <v>0</v>
      </c>
      <c r="W33" s="73" t="e">
        <f t="shared" si="1"/>
        <v>#DIV/0!</v>
      </c>
      <c r="X33" s="89"/>
      <c r="Y33" s="237">
        <f>Y6-Y12</f>
        <v>0</v>
      </c>
      <c r="Z33" s="237">
        <f>Z6-Z12</f>
        <v>0</v>
      </c>
      <c r="AA33" s="237">
        <f>AA6-AA12</f>
        <v>0</v>
      </c>
      <c r="AB33" s="237">
        <f>AB6-AB12</f>
        <v>0</v>
      </c>
      <c r="AC33" s="237">
        <f>AC6-AC12</f>
        <v>0</v>
      </c>
      <c r="AD33" s="237">
        <f>AD6-AD12</f>
        <v>0</v>
      </c>
      <c r="AE33" s="237">
        <f>AE6-AE12</f>
        <v>0</v>
      </c>
      <c r="AF33" s="237">
        <f>AF6-AF12</f>
        <v>0</v>
      </c>
      <c r="AG33" s="237">
        <f>AG6-AG12</f>
        <v>0</v>
      </c>
      <c r="AH33" s="237">
        <f>AH6-AH12</f>
        <v>0</v>
      </c>
      <c r="AI33" s="237">
        <f>AI6-AI12</f>
        <v>0</v>
      </c>
      <c r="AJ33" s="237">
        <f>AJ6-AJ12</f>
        <v>0</v>
      </c>
      <c r="AK33" s="237">
        <f>AK6-AK12</f>
        <v>0</v>
      </c>
      <c r="AL33" s="73" t="e">
        <f t="shared" si="3"/>
        <v>#DIV/0!</v>
      </c>
      <c r="AM33" s="34">
        <f t="shared" si="4"/>
        <v>0</v>
      </c>
      <c r="AN33" s="9"/>
    </row>
    <row r="34" spans="1:40" hidden="1" outlineLevel="1">
      <c r="I34" s="31" t="s">
        <v>146</v>
      </c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9">
        <f>SUM(J34:U34)</f>
        <v>0</v>
      </c>
      <c r="W34" s="74"/>
      <c r="X34" s="90"/>
      <c r="Y34" s="238">
        <f t="shared" ref="Y34:AJ36" si="10">+Y44*Y40</f>
        <v>0</v>
      </c>
      <c r="Z34" s="238">
        <f t="shared" si="10"/>
        <v>0</v>
      </c>
      <c r="AA34" s="238">
        <f t="shared" si="10"/>
        <v>0</v>
      </c>
      <c r="AB34" s="238">
        <f t="shared" si="10"/>
        <v>0</v>
      </c>
      <c r="AC34" s="238">
        <f t="shared" si="10"/>
        <v>0</v>
      </c>
      <c r="AD34" s="238">
        <f t="shared" si="10"/>
        <v>0</v>
      </c>
      <c r="AE34" s="238">
        <f t="shared" si="10"/>
        <v>0</v>
      </c>
      <c r="AF34" s="238">
        <f t="shared" si="10"/>
        <v>0</v>
      </c>
      <c r="AG34" s="238">
        <f t="shared" si="10"/>
        <v>0</v>
      </c>
      <c r="AH34" s="238">
        <f t="shared" si="10"/>
        <v>0</v>
      </c>
      <c r="AI34" s="238">
        <f t="shared" si="10"/>
        <v>0</v>
      </c>
      <c r="AJ34" s="238">
        <f t="shared" si="10"/>
        <v>0</v>
      </c>
      <c r="AK34" s="239">
        <f>SUM(Y34:AJ34)</f>
        <v>0</v>
      </c>
      <c r="AL34" s="74"/>
      <c r="AM34" s="29">
        <f>IFERROR(AK34/V34-1,0)</f>
        <v>0</v>
      </c>
      <c r="AN34" s="9"/>
    </row>
    <row r="35" spans="1:40" hidden="1" outlineLevel="1">
      <c r="I35" s="31" t="s">
        <v>147</v>
      </c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9">
        <f>SUM(J35:U35)</f>
        <v>0</v>
      </c>
      <c r="W35" s="74"/>
      <c r="X35" s="90"/>
      <c r="Y35" s="238">
        <f t="shared" si="10"/>
        <v>0</v>
      </c>
      <c r="Z35" s="238">
        <f t="shared" si="10"/>
        <v>0</v>
      </c>
      <c r="AA35" s="238">
        <f t="shared" si="10"/>
        <v>0</v>
      </c>
      <c r="AB35" s="238">
        <f t="shared" si="10"/>
        <v>0</v>
      </c>
      <c r="AC35" s="238">
        <f t="shared" si="10"/>
        <v>0</v>
      </c>
      <c r="AD35" s="238">
        <f t="shared" si="10"/>
        <v>0</v>
      </c>
      <c r="AE35" s="238">
        <f t="shared" si="10"/>
        <v>0</v>
      </c>
      <c r="AF35" s="238">
        <f t="shared" si="10"/>
        <v>0</v>
      </c>
      <c r="AG35" s="238">
        <f t="shared" si="10"/>
        <v>0</v>
      </c>
      <c r="AH35" s="238">
        <f t="shared" si="10"/>
        <v>0</v>
      </c>
      <c r="AI35" s="238">
        <f t="shared" si="10"/>
        <v>0</v>
      </c>
      <c r="AJ35" s="238">
        <f t="shared" si="10"/>
        <v>0</v>
      </c>
      <c r="AK35" s="239">
        <f>SUM(Y35:AJ35)</f>
        <v>0</v>
      </c>
      <c r="AL35" s="74"/>
      <c r="AM35" s="29">
        <f>IFERROR(AK35/V35-1,0)</f>
        <v>0</v>
      </c>
      <c r="AN35" s="9"/>
    </row>
    <row r="36" spans="1:40" hidden="1" outlineLevel="1">
      <c r="I36" s="31" t="s">
        <v>148</v>
      </c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9">
        <f>SUM(J36:U36)</f>
        <v>0</v>
      </c>
      <c r="W36" s="74"/>
      <c r="X36" s="90"/>
      <c r="Y36" s="238">
        <f t="shared" si="10"/>
        <v>0</v>
      </c>
      <c r="Z36" s="238">
        <f t="shared" si="10"/>
        <v>0</v>
      </c>
      <c r="AA36" s="238">
        <f t="shared" si="10"/>
        <v>0</v>
      </c>
      <c r="AB36" s="238">
        <f t="shared" si="10"/>
        <v>0</v>
      </c>
      <c r="AC36" s="238">
        <f t="shared" si="10"/>
        <v>0</v>
      </c>
      <c r="AD36" s="238">
        <f t="shared" si="10"/>
        <v>0</v>
      </c>
      <c r="AE36" s="238">
        <f t="shared" si="10"/>
        <v>0</v>
      </c>
      <c r="AF36" s="238">
        <f t="shared" si="10"/>
        <v>0</v>
      </c>
      <c r="AG36" s="238">
        <f t="shared" si="10"/>
        <v>0</v>
      </c>
      <c r="AH36" s="238">
        <f t="shared" si="10"/>
        <v>0</v>
      </c>
      <c r="AI36" s="238">
        <f t="shared" si="10"/>
        <v>0</v>
      </c>
      <c r="AJ36" s="238">
        <f t="shared" si="10"/>
        <v>0</v>
      </c>
      <c r="AK36" s="239">
        <f>SUM(Y36:AJ36)</f>
        <v>0</v>
      </c>
      <c r="AL36" s="74"/>
      <c r="AM36" s="29">
        <f>IFERROR(AK36/V36-1,0)</f>
        <v>0</v>
      </c>
      <c r="AN36" s="9"/>
    </row>
    <row r="37" spans="1:40" hidden="1" outlineLevel="1">
      <c r="I37" s="31" t="s">
        <v>149</v>
      </c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9"/>
      <c r="W37" s="74"/>
      <c r="X37" s="90"/>
      <c r="Y37" s="238"/>
      <c r="Z37" s="238"/>
      <c r="AA37" s="238"/>
      <c r="AB37" s="238"/>
      <c r="AC37" s="238"/>
      <c r="AD37" s="238"/>
      <c r="AE37" s="238"/>
      <c r="AF37" s="238"/>
      <c r="AG37" s="238"/>
      <c r="AH37" s="238"/>
      <c r="AI37" s="238"/>
      <c r="AJ37" s="238"/>
      <c r="AK37" s="239"/>
      <c r="AL37" s="74"/>
      <c r="AM37" s="29"/>
      <c r="AN37" s="9"/>
    </row>
    <row r="38" spans="1:40" hidden="1" outlineLevel="1">
      <c r="I38" s="31" t="s">
        <v>150</v>
      </c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9"/>
      <c r="W38" s="74"/>
      <c r="X38" s="90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9"/>
      <c r="AL38" s="74"/>
      <c r="AM38" s="29"/>
      <c r="AN38" s="9"/>
    </row>
    <row r="39" spans="1:40" collapsed="1">
      <c r="I39" s="18" t="s">
        <v>151</v>
      </c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>
        <f>SUM(J39:U39)</f>
        <v>0</v>
      </c>
      <c r="W39" s="74" t="e">
        <f>V39/V$39</f>
        <v>#DIV/0!</v>
      </c>
      <c r="X39" s="90"/>
      <c r="Y39" s="240">
        <f t="shared" ref="Y39:AJ39" si="11">SUM(Y40:Y42)</f>
        <v>0</v>
      </c>
      <c r="Z39" s="240">
        <f t="shared" si="11"/>
        <v>0</v>
      </c>
      <c r="AA39" s="240">
        <f t="shared" si="11"/>
        <v>0</v>
      </c>
      <c r="AB39" s="240">
        <f t="shared" si="11"/>
        <v>0</v>
      </c>
      <c r="AC39" s="240">
        <f t="shared" si="11"/>
        <v>0</v>
      </c>
      <c r="AD39" s="240">
        <f t="shared" si="11"/>
        <v>0</v>
      </c>
      <c r="AE39" s="240">
        <f t="shared" si="11"/>
        <v>0</v>
      </c>
      <c r="AF39" s="240">
        <f t="shared" si="11"/>
        <v>0</v>
      </c>
      <c r="AG39" s="240">
        <f t="shared" si="11"/>
        <v>0</v>
      </c>
      <c r="AH39" s="240">
        <f t="shared" si="11"/>
        <v>0</v>
      </c>
      <c r="AI39" s="240">
        <f t="shared" si="11"/>
        <v>0</v>
      </c>
      <c r="AJ39" s="240">
        <f t="shared" si="11"/>
        <v>0</v>
      </c>
      <c r="AK39" s="240">
        <f>SUM(Y39:AJ39)</f>
        <v>0</v>
      </c>
      <c r="AL39" s="74" t="e">
        <f>AK39/AK$39</f>
        <v>#DIV/0!</v>
      </c>
      <c r="AM39" s="16">
        <f t="shared" si="4"/>
        <v>0</v>
      </c>
      <c r="AN39" s="9"/>
    </row>
    <row r="40" spans="1:40" hidden="1" outlineLevel="1">
      <c r="I40" s="31" t="s">
        <v>146</v>
      </c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>
        <f>SUM(J40:U40)</f>
        <v>0</v>
      </c>
      <c r="W40" s="74" t="e">
        <f>V40/V$39</f>
        <v>#DIV/0!</v>
      </c>
      <c r="X40" s="90"/>
      <c r="Y40" s="239">
        <v>0</v>
      </c>
      <c r="Z40" s="239">
        <v>0</v>
      </c>
      <c r="AA40" s="239">
        <v>0</v>
      </c>
      <c r="AB40" s="239">
        <v>0</v>
      </c>
      <c r="AC40" s="239">
        <v>0</v>
      </c>
      <c r="AD40" s="239">
        <v>0</v>
      </c>
      <c r="AE40" s="239">
        <v>0</v>
      </c>
      <c r="AF40" s="239">
        <v>0</v>
      </c>
      <c r="AG40" s="239">
        <v>0</v>
      </c>
      <c r="AH40" s="239">
        <v>0</v>
      </c>
      <c r="AI40" s="239">
        <v>0</v>
      </c>
      <c r="AJ40" s="239">
        <v>0</v>
      </c>
      <c r="AK40" s="239">
        <f>SUM(Y40:AJ40)</f>
        <v>0</v>
      </c>
      <c r="AL40" s="74" t="e">
        <f>AK40/AK$39</f>
        <v>#DIV/0!</v>
      </c>
      <c r="AM40" s="29">
        <f t="shared" si="4"/>
        <v>0</v>
      </c>
      <c r="AN40" s="9"/>
    </row>
    <row r="41" spans="1:40" hidden="1" outlineLevel="1">
      <c r="I41" s="31" t="s">
        <v>147</v>
      </c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>
        <f>SUM(J41:U41)</f>
        <v>0</v>
      </c>
      <c r="W41" s="74" t="e">
        <f>V41/V$39</f>
        <v>#DIV/0!</v>
      </c>
      <c r="X41" s="90"/>
      <c r="Y41" s="239">
        <v>0</v>
      </c>
      <c r="Z41" s="239">
        <v>0</v>
      </c>
      <c r="AA41" s="239">
        <v>0</v>
      </c>
      <c r="AB41" s="239">
        <v>0</v>
      </c>
      <c r="AC41" s="239">
        <v>0</v>
      </c>
      <c r="AD41" s="239">
        <v>0</v>
      </c>
      <c r="AE41" s="239">
        <v>0</v>
      </c>
      <c r="AF41" s="239">
        <v>0</v>
      </c>
      <c r="AG41" s="239">
        <v>0</v>
      </c>
      <c r="AH41" s="239">
        <v>0</v>
      </c>
      <c r="AI41" s="239">
        <v>0</v>
      </c>
      <c r="AJ41" s="239">
        <v>0</v>
      </c>
      <c r="AK41" s="239">
        <f>SUM(Y41:AJ41)</f>
        <v>0</v>
      </c>
      <c r="AL41" s="74" t="e">
        <f>AK41/AK$39</f>
        <v>#DIV/0!</v>
      </c>
      <c r="AM41" s="29">
        <f t="shared" si="4"/>
        <v>0</v>
      </c>
      <c r="AN41" s="9"/>
    </row>
    <row r="42" spans="1:40" hidden="1" outlineLevel="1">
      <c r="I42" s="31" t="s">
        <v>148</v>
      </c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>
        <f>SUM(J42:U42)</f>
        <v>0</v>
      </c>
      <c r="W42" s="74" t="e">
        <f>V42/V$39</f>
        <v>#DIV/0!</v>
      </c>
      <c r="X42" s="90"/>
      <c r="Y42" s="239">
        <v>0</v>
      </c>
      <c r="Z42" s="239">
        <v>0</v>
      </c>
      <c r="AA42" s="239">
        <v>0</v>
      </c>
      <c r="AB42" s="239">
        <v>0</v>
      </c>
      <c r="AC42" s="239">
        <v>0</v>
      </c>
      <c r="AD42" s="239">
        <v>0</v>
      </c>
      <c r="AE42" s="239">
        <v>0</v>
      </c>
      <c r="AF42" s="239">
        <v>0</v>
      </c>
      <c r="AG42" s="239">
        <v>0</v>
      </c>
      <c r="AH42" s="239">
        <v>0</v>
      </c>
      <c r="AI42" s="239">
        <v>0</v>
      </c>
      <c r="AJ42" s="239">
        <v>0</v>
      </c>
      <c r="AK42" s="239">
        <f>SUM(Y42:AJ42)</f>
        <v>0</v>
      </c>
      <c r="AL42" s="74" t="e">
        <f>AK42/AK$39</f>
        <v>#DIV/0!</v>
      </c>
      <c r="AM42" s="29">
        <f t="shared" si="4"/>
        <v>0</v>
      </c>
      <c r="AN42" s="9"/>
    </row>
    <row r="43" spans="1:40" collapsed="1">
      <c r="I43" s="18" t="s">
        <v>152</v>
      </c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0">
        <f>SUM(J43:U43)</f>
        <v>0</v>
      </c>
      <c r="W43" s="74"/>
      <c r="X43" s="90"/>
      <c r="Y43" s="241">
        <f t="shared" ref="Y43:AJ43" si="12">IFERROR(Y33/Y39,0)</f>
        <v>0</v>
      </c>
      <c r="Z43" s="241">
        <f t="shared" si="12"/>
        <v>0</v>
      </c>
      <c r="AA43" s="241">
        <f t="shared" si="12"/>
        <v>0</v>
      </c>
      <c r="AB43" s="241">
        <f t="shared" si="12"/>
        <v>0</v>
      </c>
      <c r="AC43" s="241">
        <f t="shared" si="12"/>
        <v>0</v>
      </c>
      <c r="AD43" s="241">
        <f t="shared" si="12"/>
        <v>0</v>
      </c>
      <c r="AE43" s="241">
        <f t="shared" si="12"/>
        <v>0</v>
      </c>
      <c r="AF43" s="241">
        <f t="shared" si="12"/>
        <v>0</v>
      </c>
      <c r="AG43" s="241">
        <f t="shared" si="12"/>
        <v>0</v>
      </c>
      <c r="AH43" s="241">
        <f t="shared" si="12"/>
        <v>0</v>
      </c>
      <c r="AI43" s="241">
        <f t="shared" si="12"/>
        <v>0</v>
      </c>
      <c r="AJ43" s="241">
        <f t="shared" si="12"/>
        <v>0</v>
      </c>
      <c r="AK43" s="240">
        <f>SUM(Y43:AJ43)</f>
        <v>0</v>
      </c>
      <c r="AL43" s="74"/>
      <c r="AM43" s="16">
        <f t="shared" si="4"/>
        <v>0</v>
      </c>
      <c r="AN43" s="9"/>
    </row>
    <row r="44" spans="1:40" hidden="1" outlineLevel="1">
      <c r="I44" s="31" t="s">
        <v>146</v>
      </c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>
        <f>IFERROR((V7-(V13+V16+V19+V21+V24))/V40,0)</f>
        <v>0</v>
      </c>
      <c r="W44" s="74"/>
      <c r="X44" s="90"/>
      <c r="Y44" s="238">
        <f>IFERROR((Y7-(Y13+Y16+Y19+Y21+Y24))/Y40,0)</f>
        <v>0</v>
      </c>
      <c r="Z44" s="238">
        <f>IFERROR((Z7-(Z13+Z16+Z19+Z21+Z24))/Z40,0)</f>
        <v>0</v>
      </c>
      <c r="AA44" s="238">
        <f>IFERROR((AA7-(AA13+AA16+AA19+AA21+AA24))/AA40,0)</f>
        <v>0</v>
      </c>
      <c r="AB44" s="238">
        <f>IFERROR((AB7-(AB13+AB16+AB19+AB21+AB24))/AB40,0)</f>
        <v>0</v>
      </c>
      <c r="AC44" s="238">
        <f>IFERROR((AC7-(AC13+AC16+AC19+AC21+AC24))/AC40,0)</f>
        <v>0</v>
      </c>
      <c r="AD44" s="238">
        <f>IFERROR((AD7-(AD13+AD16+AD19+AD21+AD24))/AD40,0)</f>
        <v>0</v>
      </c>
      <c r="AE44" s="238">
        <f>IFERROR((AE7-(AE13+AE16+AE19+AE21+AE24))/AE40,0)</f>
        <v>0</v>
      </c>
      <c r="AF44" s="238">
        <f>IFERROR((AF7-(AF13+AF16+AF19+AF21+AF24))/AF40,0)</f>
        <v>0</v>
      </c>
      <c r="AG44" s="238">
        <f>IFERROR((AG7-(AG13+AG16+AG19+AG21+AG24))/AG40,0)</f>
        <v>0</v>
      </c>
      <c r="AH44" s="238">
        <f>IFERROR((AH7-(AH13+AH16+AH19+AH21+AH24))/AH40,0)</f>
        <v>0</v>
      </c>
      <c r="AI44" s="238">
        <f>IFERROR((AI7-(AI13+AI16+AI19+AI21+AI24))/AI40,0)</f>
        <v>0</v>
      </c>
      <c r="AJ44" s="238">
        <f>IFERROR((AJ7-(AJ13+AJ16+AJ19+AJ21+AJ24))/AJ40,0)</f>
        <v>0</v>
      </c>
      <c r="AK44" s="238">
        <f>IFERROR((AK7-(AK13+AK16+AK19+AK21+AK24))/AK40,0)</f>
        <v>0</v>
      </c>
      <c r="AL44" s="74"/>
      <c r="AM44" s="29">
        <f t="shared" si="4"/>
        <v>0</v>
      </c>
      <c r="AN44" s="9"/>
    </row>
    <row r="45" spans="1:40" hidden="1" outlineLevel="1">
      <c r="I45" s="31" t="s">
        <v>147</v>
      </c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>
        <f>IFERROR((V8-(V14+V17+V20+V22+V25))/V41,0)</f>
        <v>0</v>
      </c>
      <c r="W45" s="74"/>
      <c r="X45" s="90"/>
      <c r="Y45" s="238">
        <f>IFERROR((Y8-(Y14+Y17+Y20+Y22+Y25))/Y41,0)</f>
        <v>0</v>
      </c>
      <c r="Z45" s="238">
        <f>IFERROR((Z8-(Z14+Z17+Z20+Z22+Z25))/Z41,0)</f>
        <v>0</v>
      </c>
      <c r="AA45" s="238">
        <f>IFERROR((AA8-(AA14+AA17+AA20+AA22+AA25))/AA41,0)</f>
        <v>0</v>
      </c>
      <c r="AB45" s="238">
        <f>IFERROR((AB8-(AB14+AB17+AB20+AB22+AB25))/AB41,0)</f>
        <v>0</v>
      </c>
      <c r="AC45" s="238">
        <f>IFERROR((AC8-(AC14+AC17+AC20+AC22+AC25))/AC41,0)</f>
        <v>0</v>
      </c>
      <c r="AD45" s="238">
        <f>IFERROR((AD8-(AD14+AD17+AD20+AD22+AD25))/AD41,0)</f>
        <v>0</v>
      </c>
      <c r="AE45" s="238">
        <f>IFERROR((AE8-(AE14+AE17+AE20+AE22+AE25))/AE41,0)</f>
        <v>0</v>
      </c>
      <c r="AF45" s="238">
        <f>IFERROR((AF8-(AF14+AF17+AF20+AF22+AF25))/AF41,0)</f>
        <v>0</v>
      </c>
      <c r="AG45" s="238">
        <f>IFERROR((AG8-(AG14+AG17+AG20+AG22+AG25))/AG41,0)</f>
        <v>0</v>
      </c>
      <c r="AH45" s="238">
        <f>IFERROR((AH8-(AH14+AH17+AH20+AH22+AH25))/AH41,0)</f>
        <v>0</v>
      </c>
      <c r="AI45" s="238">
        <f>IFERROR((AI8-(AI14+AI17+AI20+AI22+AI25))/AI41,0)</f>
        <v>0</v>
      </c>
      <c r="AJ45" s="238">
        <f>IFERROR((AJ8-(AJ14+AJ17+AJ20+AJ22+AJ25))/AJ41,0)</f>
        <v>0</v>
      </c>
      <c r="AK45" s="238">
        <f>IFERROR((AK8-(AK14+AK17+AK20+AK22+AK25))/AK41,0)</f>
        <v>0</v>
      </c>
      <c r="AL45" s="74"/>
      <c r="AM45" s="29">
        <f t="shared" si="4"/>
        <v>0</v>
      </c>
      <c r="AN45" s="9"/>
    </row>
    <row r="46" spans="1:40" hidden="1" outlineLevel="1">
      <c r="I46" s="31" t="s">
        <v>148</v>
      </c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>
        <f>IFERROR((V9-(V15+V18+V23))/V42,0)</f>
        <v>0</v>
      </c>
      <c r="W46" s="74"/>
      <c r="X46" s="90"/>
      <c r="Y46" s="238">
        <f>IFERROR((Y9-(Y15+Y18+Y23))/Y42,0)</f>
        <v>0</v>
      </c>
      <c r="Z46" s="238">
        <f>IFERROR((Z9-(Z15+Z18+Z23))/Z42,0)</f>
        <v>0</v>
      </c>
      <c r="AA46" s="238">
        <f>IFERROR((AA9-(AA15+AA18+AA23))/AA42,0)</f>
        <v>0</v>
      </c>
      <c r="AB46" s="238">
        <f>IFERROR((AB9-(AB15+AB18+AB23))/AB42,0)</f>
        <v>0</v>
      </c>
      <c r="AC46" s="238">
        <f>IFERROR((AC9-(AC15+AC18+AC23))/AC42,0)</f>
        <v>0</v>
      </c>
      <c r="AD46" s="238">
        <f>IFERROR((AD9-(AD15+AD18+AD23))/AD42,0)</f>
        <v>0</v>
      </c>
      <c r="AE46" s="238">
        <f>IFERROR((AE9-(AE15+AE18+AE23))/AE42,0)</f>
        <v>0</v>
      </c>
      <c r="AF46" s="238">
        <f>IFERROR((AF9-(AF15+AF18+AF23))/AF42,0)</f>
        <v>0</v>
      </c>
      <c r="AG46" s="238">
        <f>IFERROR((AG9-(AG15+AG18+AG23))/AG42,0)</f>
        <v>0</v>
      </c>
      <c r="AH46" s="238">
        <f>IFERROR((AH9-(AH15+AH18+AH23))/AH42,0)</f>
        <v>0</v>
      </c>
      <c r="AI46" s="238">
        <f>IFERROR((AI9-(AI15+AI18+AI23))/AI42,0)</f>
        <v>0</v>
      </c>
      <c r="AJ46" s="238">
        <f>IFERROR((AJ9-(AJ15+AJ18+AJ23))/AJ42,0)</f>
        <v>0</v>
      </c>
      <c r="AK46" s="238">
        <f>IFERROR((AK9-(AK15+AK18+AK23))/AK42,0)</f>
        <v>0</v>
      </c>
      <c r="AL46" s="74"/>
      <c r="AM46" s="29">
        <f t="shared" si="4"/>
        <v>0</v>
      </c>
      <c r="AN46" s="9"/>
    </row>
    <row r="48" spans="1:40">
      <c r="A48" s="21"/>
      <c r="B48" s="21"/>
      <c r="C48" s="21"/>
      <c r="D48" s="21"/>
      <c r="E48" s="7" t="s">
        <v>108</v>
      </c>
      <c r="I48" s="138" t="s">
        <v>153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2" customHeight="1">
      <c r="A49" s="21"/>
      <c r="B49" s="21"/>
      <c r="C49" s="21"/>
      <c r="D49" s="21"/>
      <c r="E49" s="22"/>
      <c r="F49" s="21"/>
      <c r="G49" s="21"/>
      <c r="H49" s="21"/>
      <c r="I49" s="138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collapsed="1">
      <c r="A50" s="12" t="s">
        <v>154</v>
      </c>
      <c r="B50" s="19" t="s">
        <v>89</v>
      </c>
      <c r="I50" s="146" t="s">
        <v>155</v>
      </c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>
        <f>SUM(V51:V89)</f>
        <v>0</v>
      </c>
      <c r="W50" s="72" t="e">
        <f t="shared" ref="W50:W157" si="13">V50/V$6</f>
        <v>#DIV/0!</v>
      </c>
      <c r="X50" s="89"/>
      <c r="Y50" s="231">
        <f t="shared" ref="Y50:AK50" si="14">SUM(Y51:Y89)</f>
        <v>0</v>
      </c>
      <c r="Z50" s="231">
        <f t="shared" si="14"/>
        <v>0</v>
      </c>
      <c r="AA50" s="231">
        <f t="shared" si="14"/>
        <v>0</v>
      </c>
      <c r="AB50" s="231">
        <f t="shared" si="14"/>
        <v>0</v>
      </c>
      <c r="AC50" s="231">
        <f t="shared" si="14"/>
        <v>0</v>
      </c>
      <c r="AD50" s="231">
        <f t="shared" si="14"/>
        <v>0</v>
      </c>
      <c r="AE50" s="231">
        <f t="shared" si="14"/>
        <v>0</v>
      </c>
      <c r="AF50" s="231">
        <f t="shared" si="14"/>
        <v>0</v>
      </c>
      <c r="AG50" s="231">
        <f t="shared" si="14"/>
        <v>0</v>
      </c>
      <c r="AH50" s="231">
        <f t="shared" si="14"/>
        <v>0</v>
      </c>
      <c r="AI50" s="231">
        <f t="shared" si="14"/>
        <v>0</v>
      </c>
      <c r="AJ50" s="231">
        <f t="shared" si="14"/>
        <v>0</v>
      </c>
      <c r="AK50" s="231">
        <f t="shared" si="14"/>
        <v>0</v>
      </c>
      <c r="AL50" s="72" t="e">
        <f t="shared" ref="AL50:AL157" si="15">AK50/AK$6</f>
        <v>#DIV/0!</v>
      </c>
      <c r="AM50" s="10">
        <f t="shared" si="4"/>
        <v>0</v>
      </c>
      <c r="AN50" s="9"/>
    </row>
    <row r="51" spans="1:40" hidden="1" outlineLevel="1">
      <c r="A51" s="12" t="s">
        <v>154</v>
      </c>
      <c r="B51" s="8" t="s">
        <v>89</v>
      </c>
      <c r="C51" s="19" t="s">
        <v>156</v>
      </c>
      <c r="D51" s="12"/>
      <c r="E51" s="20"/>
      <c r="F51" s="12"/>
      <c r="G51" s="12"/>
      <c r="H51" s="12"/>
      <c r="I51" s="261" t="s">
        <v>157</v>
      </c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5">
        <f>SUM(J51:U51)</f>
        <v>0</v>
      </c>
      <c r="W51" s="73" t="e">
        <f t="shared" si="13"/>
        <v>#DIV/0!</v>
      </c>
      <c r="X51" s="89"/>
      <c r="Y51" s="234">
        <v>0</v>
      </c>
      <c r="Z51" s="234">
        <v>0</v>
      </c>
      <c r="AA51" s="234">
        <v>0</v>
      </c>
      <c r="AB51" s="234">
        <v>0</v>
      </c>
      <c r="AC51" s="234">
        <v>0</v>
      </c>
      <c r="AD51" s="234">
        <v>0</v>
      </c>
      <c r="AE51" s="234">
        <v>0</v>
      </c>
      <c r="AF51" s="234">
        <v>0</v>
      </c>
      <c r="AG51" s="234">
        <v>0</v>
      </c>
      <c r="AH51" s="234">
        <v>0</v>
      </c>
      <c r="AI51" s="234">
        <v>0</v>
      </c>
      <c r="AJ51" s="234">
        <v>0</v>
      </c>
      <c r="AK51" s="235">
        <f>SUM(Y51:AJ51)</f>
        <v>0</v>
      </c>
      <c r="AL51" s="73" t="e">
        <f t="shared" si="15"/>
        <v>#DIV/0!</v>
      </c>
      <c r="AM51" s="14">
        <f t="shared" si="4"/>
        <v>0</v>
      </c>
      <c r="AN51" s="9"/>
    </row>
    <row r="52" spans="1:40" hidden="1" outlineLevel="1">
      <c r="A52" s="12" t="s">
        <v>154</v>
      </c>
      <c r="B52" s="8" t="s">
        <v>89</v>
      </c>
      <c r="I52" s="261" t="s">
        <v>156</v>
      </c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5">
        <f t="shared" ref="V52:V73" si="16">SUM(J52:U52)</f>
        <v>0</v>
      </c>
      <c r="W52" s="73" t="e">
        <f t="shared" si="13"/>
        <v>#DIV/0!</v>
      </c>
      <c r="X52" s="89"/>
      <c r="Y52" s="234">
        <v>0</v>
      </c>
      <c r="Z52" s="234">
        <v>0</v>
      </c>
      <c r="AA52" s="234">
        <v>0</v>
      </c>
      <c r="AB52" s="234">
        <v>0</v>
      </c>
      <c r="AC52" s="234">
        <v>0</v>
      </c>
      <c r="AD52" s="234">
        <v>0</v>
      </c>
      <c r="AE52" s="234">
        <v>0</v>
      </c>
      <c r="AF52" s="234">
        <v>0</v>
      </c>
      <c r="AG52" s="234">
        <v>0</v>
      </c>
      <c r="AH52" s="234">
        <v>0</v>
      </c>
      <c r="AI52" s="234">
        <v>0</v>
      </c>
      <c r="AJ52" s="234">
        <v>0</v>
      </c>
      <c r="AK52" s="235">
        <f t="shared" ref="AK52:AK73" si="17">SUM(Y52:AJ52)</f>
        <v>0</v>
      </c>
      <c r="AL52" s="73" t="e">
        <f t="shared" si="15"/>
        <v>#DIV/0!</v>
      </c>
      <c r="AM52" s="14">
        <f t="shared" si="4"/>
        <v>0</v>
      </c>
      <c r="AN52" s="9"/>
    </row>
    <row r="53" spans="1:40" hidden="1" outlineLevel="1">
      <c r="A53" s="12" t="s">
        <v>154</v>
      </c>
      <c r="B53" s="8" t="s">
        <v>89</v>
      </c>
      <c r="I53" s="261" t="s">
        <v>158</v>
      </c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>
        <f t="shared" si="16"/>
        <v>0</v>
      </c>
      <c r="W53" s="73" t="e">
        <f t="shared" si="13"/>
        <v>#DIV/0!</v>
      </c>
      <c r="X53" s="89"/>
      <c r="Y53" s="234">
        <v>0</v>
      </c>
      <c r="Z53" s="234">
        <v>0</v>
      </c>
      <c r="AA53" s="234">
        <v>0</v>
      </c>
      <c r="AB53" s="234">
        <v>0</v>
      </c>
      <c r="AC53" s="234">
        <v>0</v>
      </c>
      <c r="AD53" s="234">
        <v>0</v>
      </c>
      <c r="AE53" s="234">
        <v>0</v>
      </c>
      <c r="AF53" s="234">
        <v>0</v>
      </c>
      <c r="AG53" s="234">
        <v>0</v>
      </c>
      <c r="AH53" s="234">
        <v>0</v>
      </c>
      <c r="AI53" s="234">
        <v>0</v>
      </c>
      <c r="AJ53" s="234">
        <v>0</v>
      </c>
      <c r="AK53" s="235">
        <f t="shared" si="17"/>
        <v>0</v>
      </c>
      <c r="AL53" s="73" t="e">
        <f t="shared" si="15"/>
        <v>#DIV/0!</v>
      </c>
      <c r="AM53" s="14">
        <f t="shared" si="4"/>
        <v>0</v>
      </c>
      <c r="AN53" s="9"/>
    </row>
    <row r="54" spans="1:40" hidden="1" outlineLevel="1">
      <c r="A54" s="12" t="s">
        <v>154</v>
      </c>
      <c r="B54" s="8" t="s">
        <v>89</v>
      </c>
      <c r="I54" s="261" t="s">
        <v>159</v>
      </c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5">
        <f t="shared" si="16"/>
        <v>0</v>
      </c>
      <c r="W54" s="73" t="e">
        <f t="shared" si="13"/>
        <v>#DIV/0!</v>
      </c>
      <c r="X54" s="89"/>
      <c r="Y54" s="234">
        <v>0</v>
      </c>
      <c r="Z54" s="234">
        <v>0</v>
      </c>
      <c r="AA54" s="234">
        <v>0</v>
      </c>
      <c r="AB54" s="234">
        <v>0</v>
      </c>
      <c r="AC54" s="234">
        <v>0</v>
      </c>
      <c r="AD54" s="234">
        <v>0</v>
      </c>
      <c r="AE54" s="234">
        <v>0</v>
      </c>
      <c r="AF54" s="234">
        <v>0</v>
      </c>
      <c r="AG54" s="234">
        <v>0</v>
      </c>
      <c r="AH54" s="234">
        <v>0</v>
      </c>
      <c r="AI54" s="234">
        <v>0</v>
      </c>
      <c r="AJ54" s="234">
        <v>0</v>
      </c>
      <c r="AK54" s="235">
        <f t="shared" si="17"/>
        <v>0</v>
      </c>
      <c r="AL54" s="73" t="e">
        <f t="shared" si="15"/>
        <v>#DIV/0!</v>
      </c>
      <c r="AM54" s="14">
        <f t="shared" si="4"/>
        <v>0</v>
      </c>
      <c r="AN54" s="9"/>
    </row>
    <row r="55" spans="1:40" hidden="1" outlineLevel="1">
      <c r="A55" s="12" t="s">
        <v>154</v>
      </c>
      <c r="B55" s="8" t="s">
        <v>89</v>
      </c>
      <c r="C55" s="8" t="s">
        <v>160</v>
      </c>
      <c r="I55" s="261" t="s">
        <v>161</v>
      </c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5">
        <f t="shared" si="16"/>
        <v>0</v>
      </c>
      <c r="W55" s="73" t="e">
        <f t="shared" si="13"/>
        <v>#DIV/0!</v>
      </c>
      <c r="X55" s="89"/>
      <c r="Y55" s="234">
        <v>0</v>
      </c>
      <c r="Z55" s="234">
        <v>0</v>
      </c>
      <c r="AA55" s="234">
        <v>0</v>
      </c>
      <c r="AB55" s="234">
        <v>0</v>
      </c>
      <c r="AC55" s="234">
        <v>0</v>
      </c>
      <c r="AD55" s="234">
        <v>0</v>
      </c>
      <c r="AE55" s="234">
        <v>0</v>
      </c>
      <c r="AF55" s="234">
        <v>0</v>
      </c>
      <c r="AG55" s="234">
        <v>0</v>
      </c>
      <c r="AH55" s="234">
        <v>0</v>
      </c>
      <c r="AI55" s="234">
        <v>0</v>
      </c>
      <c r="AJ55" s="234">
        <v>0</v>
      </c>
      <c r="AK55" s="235">
        <f t="shared" si="17"/>
        <v>0</v>
      </c>
      <c r="AL55" s="73" t="e">
        <f t="shared" si="15"/>
        <v>#DIV/0!</v>
      </c>
      <c r="AM55" s="14">
        <f t="shared" si="4"/>
        <v>0</v>
      </c>
      <c r="AN55" s="9"/>
    </row>
    <row r="56" spans="1:40" hidden="1" outlineLevel="1">
      <c r="A56" s="12" t="s">
        <v>154</v>
      </c>
      <c r="B56" s="8" t="s">
        <v>89</v>
      </c>
      <c r="I56" s="261" t="s">
        <v>162</v>
      </c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5">
        <f t="shared" si="16"/>
        <v>0</v>
      </c>
      <c r="W56" s="73" t="e">
        <f t="shared" si="13"/>
        <v>#DIV/0!</v>
      </c>
      <c r="X56" s="89"/>
      <c r="Y56" s="234">
        <v>0</v>
      </c>
      <c r="Z56" s="234">
        <v>0</v>
      </c>
      <c r="AA56" s="234">
        <v>0</v>
      </c>
      <c r="AB56" s="234">
        <v>0</v>
      </c>
      <c r="AC56" s="234">
        <v>0</v>
      </c>
      <c r="AD56" s="234">
        <v>0</v>
      </c>
      <c r="AE56" s="234">
        <v>0</v>
      </c>
      <c r="AF56" s="234">
        <v>0</v>
      </c>
      <c r="AG56" s="234">
        <v>0</v>
      </c>
      <c r="AH56" s="234">
        <v>0</v>
      </c>
      <c r="AI56" s="234">
        <v>0</v>
      </c>
      <c r="AJ56" s="234">
        <v>0</v>
      </c>
      <c r="AK56" s="235">
        <f t="shared" si="17"/>
        <v>0</v>
      </c>
      <c r="AL56" s="73" t="e">
        <f t="shared" si="15"/>
        <v>#DIV/0!</v>
      </c>
      <c r="AM56" s="14">
        <f t="shared" si="4"/>
        <v>0</v>
      </c>
      <c r="AN56" s="9"/>
    </row>
    <row r="57" spans="1:40" hidden="1" outlineLevel="1">
      <c r="A57" s="12" t="s">
        <v>154</v>
      </c>
      <c r="B57" s="8" t="s">
        <v>89</v>
      </c>
      <c r="I57" s="261" t="s">
        <v>163</v>
      </c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5">
        <f t="shared" si="16"/>
        <v>0</v>
      </c>
      <c r="W57" s="73" t="e">
        <f t="shared" si="13"/>
        <v>#DIV/0!</v>
      </c>
      <c r="X57" s="89"/>
      <c r="Y57" s="234">
        <v>0</v>
      </c>
      <c r="Z57" s="234">
        <v>0</v>
      </c>
      <c r="AA57" s="234">
        <v>0</v>
      </c>
      <c r="AB57" s="234">
        <v>0</v>
      </c>
      <c r="AC57" s="234">
        <v>0</v>
      </c>
      <c r="AD57" s="234">
        <v>0</v>
      </c>
      <c r="AE57" s="234">
        <v>0</v>
      </c>
      <c r="AF57" s="234">
        <v>0</v>
      </c>
      <c r="AG57" s="234">
        <v>0</v>
      </c>
      <c r="AH57" s="234">
        <v>0</v>
      </c>
      <c r="AI57" s="234">
        <v>0</v>
      </c>
      <c r="AJ57" s="234">
        <v>0</v>
      </c>
      <c r="AK57" s="235">
        <f t="shared" si="17"/>
        <v>0</v>
      </c>
      <c r="AL57" s="73" t="e">
        <f t="shared" si="15"/>
        <v>#DIV/0!</v>
      </c>
      <c r="AM57" s="14">
        <f t="shared" si="4"/>
        <v>0</v>
      </c>
      <c r="AN57" s="9"/>
    </row>
    <row r="58" spans="1:40" hidden="1" outlineLevel="1">
      <c r="A58" s="12" t="s">
        <v>154</v>
      </c>
      <c r="B58" s="8" t="s">
        <v>89</v>
      </c>
      <c r="I58" s="261" t="s">
        <v>164</v>
      </c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5">
        <f t="shared" si="16"/>
        <v>0</v>
      </c>
      <c r="W58" s="73" t="e">
        <f t="shared" si="13"/>
        <v>#DIV/0!</v>
      </c>
      <c r="X58" s="89"/>
      <c r="Y58" s="234">
        <v>0</v>
      </c>
      <c r="Z58" s="234">
        <v>0</v>
      </c>
      <c r="AA58" s="234">
        <v>0</v>
      </c>
      <c r="AB58" s="234">
        <v>0</v>
      </c>
      <c r="AC58" s="234">
        <v>0</v>
      </c>
      <c r="AD58" s="234">
        <v>0</v>
      </c>
      <c r="AE58" s="234">
        <v>0</v>
      </c>
      <c r="AF58" s="234">
        <v>0</v>
      </c>
      <c r="AG58" s="234">
        <v>0</v>
      </c>
      <c r="AH58" s="234">
        <v>0</v>
      </c>
      <c r="AI58" s="234">
        <v>0</v>
      </c>
      <c r="AJ58" s="234">
        <v>0</v>
      </c>
      <c r="AK58" s="235">
        <f t="shared" si="17"/>
        <v>0</v>
      </c>
      <c r="AL58" s="73" t="e">
        <f t="shared" si="15"/>
        <v>#DIV/0!</v>
      </c>
      <c r="AM58" s="14">
        <f t="shared" si="4"/>
        <v>0</v>
      </c>
      <c r="AN58" s="9"/>
    </row>
    <row r="59" spans="1:40" hidden="1" outlineLevel="1">
      <c r="A59" s="12" t="s">
        <v>154</v>
      </c>
      <c r="B59" s="8" t="s">
        <v>89</v>
      </c>
      <c r="I59" s="261" t="s">
        <v>165</v>
      </c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5">
        <f t="shared" si="16"/>
        <v>0</v>
      </c>
      <c r="W59" s="73" t="e">
        <f t="shared" si="13"/>
        <v>#DIV/0!</v>
      </c>
      <c r="X59" s="89"/>
      <c r="Y59" s="234">
        <v>0</v>
      </c>
      <c r="Z59" s="234">
        <v>0</v>
      </c>
      <c r="AA59" s="234">
        <v>0</v>
      </c>
      <c r="AB59" s="234">
        <v>0</v>
      </c>
      <c r="AC59" s="234">
        <v>0</v>
      </c>
      <c r="AD59" s="234">
        <v>0</v>
      </c>
      <c r="AE59" s="234">
        <v>0</v>
      </c>
      <c r="AF59" s="234">
        <v>0</v>
      </c>
      <c r="AG59" s="234">
        <v>0</v>
      </c>
      <c r="AH59" s="234">
        <v>0</v>
      </c>
      <c r="AI59" s="234">
        <v>0</v>
      </c>
      <c r="AJ59" s="234">
        <v>0</v>
      </c>
      <c r="AK59" s="235">
        <f t="shared" si="17"/>
        <v>0</v>
      </c>
      <c r="AL59" s="73" t="e">
        <f t="shared" si="15"/>
        <v>#DIV/0!</v>
      </c>
      <c r="AM59" s="14">
        <f t="shared" si="4"/>
        <v>0</v>
      </c>
      <c r="AN59" s="9"/>
    </row>
    <row r="60" spans="1:40" hidden="1" outlineLevel="1">
      <c r="A60" s="12" t="s">
        <v>154</v>
      </c>
      <c r="B60" s="8" t="s">
        <v>89</v>
      </c>
      <c r="I60" s="261" t="s">
        <v>166</v>
      </c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5">
        <f t="shared" si="16"/>
        <v>0</v>
      </c>
      <c r="W60" s="73" t="e">
        <f t="shared" si="13"/>
        <v>#DIV/0!</v>
      </c>
      <c r="X60" s="89"/>
      <c r="Y60" s="234">
        <v>0</v>
      </c>
      <c r="Z60" s="234">
        <v>0</v>
      </c>
      <c r="AA60" s="234">
        <v>0</v>
      </c>
      <c r="AB60" s="234">
        <v>0</v>
      </c>
      <c r="AC60" s="234">
        <v>0</v>
      </c>
      <c r="AD60" s="234">
        <v>0</v>
      </c>
      <c r="AE60" s="234">
        <v>0</v>
      </c>
      <c r="AF60" s="234">
        <v>0</v>
      </c>
      <c r="AG60" s="234">
        <v>0</v>
      </c>
      <c r="AH60" s="234">
        <v>0</v>
      </c>
      <c r="AI60" s="234">
        <v>0</v>
      </c>
      <c r="AJ60" s="234">
        <v>0</v>
      </c>
      <c r="AK60" s="235">
        <f t="shared" si="17"/>
        <v>0</v>
      </c>
      <c r="AL60" s="73" t="e">
        <f t="shared" si="15"/>
        <v>#DIV/0!</v>
      </c>
      <c r="AM60" s="14">
        <f t="shared" si="4"/>
        <v>0</v>
      </c>
      <c r="AN60" s="9"/>
    </row>
    <row r="61" spans="1:40" hidden="1" outlineLevel="1">
      <c r="A61" s="12" t="s">
        <v>154</v>
      </c>
      <c r="B61" s="8" t="s">
        <v>89</v>
      </c>
      <c r="I61" s="261" t="s">
        <v>167</v>
      </c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5">
        <f t="shared" si="16"/>
        <v>0</v>
      </c>
      <c r="W61" s="73" t="e">
        <f t="shared" si="13"/>
        <v>#DIV/0!</v>
      </c>
      <c r="X61" s="89"/>
      <c r="Y61" s="234">
        <v>0</v>
      </c>
      <c r="Z61" s="234">
        <v>0</v>
      </c>
      <c r="AA61" s="234">
        <v>0</v>
      </c>
      <c r="AB61" s="234">
        <v>0</v>
      </c>
      <c r="AC61" s="234">
        <v>0</v>
      </c>
      <c r="AD61" s="234">
        <v>0</v>
      </c>
      <c r="AE61" s="234">
        <v>0</v>
      </c>
      <c r="AF61" s="234">
        <v>0</v>
      </c>
      <c r="AG61" s="234">
        <v>0</v>
      </c>
      <c r="AH61" s="234">
        <v>0</v>
      </c>
      <c r="AI61" s="234">
        <v>0</v>
      </c>
      <c r="AJ61" s="234">
        <v>0</v>
      </c>
      <c r="AK61" s="235">
        <f t="shared" si="17"/>
        <v>0</v>
      </c>
      <c r="AL61" s="73" t="e">
        <f t="shared" si="15"/>
        <v>#DIV/0!</v>
      </c>
      <c r="AM61" s="14">
        <f t="shared" si="4"/>
        <v>0</v>
      </c>
      <c r="AN61" s="9"/>
    </row>
    <row r="62" spans="1:40" hidden="1" outlineLevel="1">
      <c r="A62" s="12" t="s">
        <v>154</v>
      </c>
      <c r="B62" s="8" t="s">
        <v>89</v>
      </c>
      <c r="I62" s="261" t="s">
        <v>168</v>
      </c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5">
        <f t="shared" si="16"/>
        <v>0</v>
      </c>
      <c r="W62" s="73" t="e">
        <f t="shared" si="13"/>
        <v>#DIV/0!</v>
      </c>
      <c r="X62" s="89"/>
      <c r="Y62" s="234">
        <v>0</v>
      </c>
      <c r="Z62" s="234">
        <v>0</v>
      </c>
      <c r="AA62" s="234">
        <v>0</v>
      </c>
      <c r="AB62" s="234">
        <v>0</v>
      </c>
      <c r="AC62" s="234">
        <v>0</v>
      </c>
      <c r="AD62" s="234">
        <v>0</v>
      </c>
      <c r="AE62" s="234">
        <v>0</v>
      </c>
      <c r="AF62" s="234">
        <v>0</v>
      </c>
      <c r="AG62" s="234">
        <v>0</v>
      </c>
      <c r="AH62" s="234">
        <v>0</v>
      </c>
      <c r="AI62" s="234">
        <v>0</v>
      </c>
      <c r="AJ62" s="234">
        <v>0</v>
      </c>
      <c r="AK62" s="235">
        <f t="shared" si="17"/>
        <v>0</v>
      </c>
      <c r="AL62" s="73" t="e">
        <f t="shared" si="15"/>
        <v>#DIV/0!</v>
      </c>
      <c r="AM62" s="14">
        <f t="shared" si="4"/>
        <v>0</v>
      </c>
      <c r="AN62" s="9"/>
    </row>
    <row r="63" spans="1:40" hidden="1" outlineLevel="1">
      <c r="A63" s="12" t="s">
        <v>154</v>
      </c>
      <c r="B63" s="8" t="s">
        <v>89</v>
      </c>
      <c r="I63" s="261" t="s">
        <v>169</v>
      </c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5">
        <f t="shared" si="16"/>
        <v>0</v>
      </c>
      <c r="W63" s="73" t="e">
        <f t="shared" si="13"/>
        <v>#DIV/0!</v>
      </c>
      <c r="X63" s="89"/>
      <c r="Y63" s="234">
        <v>0</v>
      </c>
      <c r="Z63" s="234">
        <v>0</v>
      </c>
      <c r="AA63" s="234">
        <v>0</v>
      </c>
      <c r="AB63" s="234">
        <v>0</v>
      </c>
      <c r="AC63" s="234">
        <v>0</v>
      </c>
      <c r="AD63" s="234">
        <v>0</v>
      </c>
      <c r="AE63" s="234">
        <v>0</v>
      </c>
      <c r="AF63" s="234">
        <v>0</v>
      </c>
      <c r="AG63" s="234">
        <v>0</v>
      </c>
      <c r="AH63" s="234">
        <v>0</v>
      </c>
      <c r="AI63" s="234">
        <v>0</v>
      </c>
      <c r="AJ63" s="234">
        <v>0</v>
      </c>
      <c r="AK63" s="235">
        <f t="shared" si="17"/>
        <v>0</v>
      </c>
      <c r="AL63" s="73" t="e">
        <f t="shared" si="15"/>
        <v>#DIV/0!</v>
      </c>
      <c r="AM63" s="14">
        <f t="shared" si="4"/>
        <v>0</v>
      </c>
      <c r="AN63" s="9"/>
    </row>
    <row r="64" spans="1:40" hidden="1" outlineLevel="1">
      <c r="A64" s="12" t="s">
        <v>154</v>
      </c>
      <c r="B64" s="8" t="s">
        <v>89</v>
      </c>
      <c r="I64" s="261" t="s">
        <v>170</v>
      </c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5">
        <f t="shared" si="16"/>
        <v>0</v>
      </c>
      <c r="W64" s="73" t="e">
        <f t="shared" si="13"/>
        <v>#DIV/0!</v>
      </c>
      <c r="X64" s="89"/>
      <c r="Y64" s="234">
        <v>0</v>
      </c>
      <c r="Z64" s="234">
        <v>0</v>
      </c>
      <c r="AA64" s="234">
        <v>0</v>
      </c>
      <c r="AB64" s="234">
        <v>0</v>
      </c>
      <c r="AC64" s="234">
        <v>0</v>
      </c>
      <c r="AD64" s="234">
        <v>0</v>
      </c>
      <c r="AE64" s="234">
        <v>0</v>
      </c>
      <c r="AF64" s="234">
        <v>0</v>
      </c>
      <c r="AG64" s="234">
        <v>0</v>
      </c>
      <c r="AH64" s="234">
        <v>0</v>
      </c>
      <c r="AI64" s="234">
        <v>0</v>
      </c>
      <c r="AJ64" s="234">
        <v>0</v>
      </c>
      <c r="AK64" s="235">
        <f t="shared" si="17"/>
        <v>0</v>
      </c>
      <c r="AL64" s="73" t="e">
        <f t="shared" si="15"/>
        <v>#DIV/0!</v>
      </c>
      <c r="AM64" s="14">
        <f t="shared" si="4"/>
        <v>0</v>
      </c>
      <c r="AN64" s="9"/>
    </row>
    <row r="65" spans="1:40" hidden="1" outlineLevel="1">
      <c r="A65" s="12" t="s">
        <v>154</v>
      </c>
      <c r="B65" s="8" t="s">
        <v>89</v>
      </c>
      <c r="I65" s="261" t="s">
        <v>171</v>
      </c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5">
        <f t="shared" si="16"/>
        <v>0</v>
      </c>
      <c r="W65" s="73" t="e">
        <f t="shared" si="13"/>
        <v>#DIV/0!</v>
      </c>
      <c r="X65" s="89"/>
      <c r="Y65" s="234">
        <v>0</v>
      </c>
      <c r="Z65" s="234">
        <v>0</v>
      </c>
      <c r="AA65" s="234">
        <v>0</v>
      </c>
      <c r="AB65" s="234">
        <v>0</v>
      </c>
      <c r="AC65" s="234">
        <v>0</v>
      </c>
      <c r="AD65" s="234">
        <v>0</v>
      </c>
      <c r="AE65" s="234">
        <v>0</v>
      </c>
      <c r="AF65" s="234">
        <v>0</v>
      </c>
      <c r="AG65" s="234">
        <v>0</v>
      </c>
      <c r="AH65" s="234">
        <v>0</v>
      </c>
      <c r="AI65" s="234">
        <v>0</v>
      </c>
      <c r="AJ65" s="234">
        <v>0</v>
      </c>
      <c r="AK65" s="235">
        <f t="shared" si="17"/>
        <v>0</v>
      </c>
      <c r="AL65" s="73" t="e">
        <f t="shared" si="15"/>
        <v>#DIV/0!</v>
      </c>
      <c r="AM65" s="14">
        <f t="shared" si="4"/>
        <v>0</v>
      </c>
      <c r="AN65" s="9"/>
    </row>
    <row r="66" spans="1:40" hidden="1" outlineLevel="1">
      <c r="A66" s="12" t="s">
        <v>154</v>
      </c>
      <c r="B66" s="8" t="s">
        <v>89</v>
      </c>
      <c r="I66" s="261" t="s">
        <v>172</v>
      </c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5">
        <f t="shared" si="16"/>
        <v>0</v>
      </c>
      <c r="W66" s="73" t="e">
        <f t="shared" si="13"/>
        <v>#DIV/0!</v>
      </c>
      <c r="X66" s="89"/>
      <c r="Y66" s="234">
        <v>0</v>
      </c>
      <c r="Z66" s="234">
        <v>0</v>
      </c>
      <c r="AA66" s="234">
        <v>0</v>
      </c>
      <c r="AB66" s="234">
        <v>0</v>
      </c>
      <c r="AC66" s="234">
        <v>0</v>
      </c>
      <c r="AD66" s="234">
        <v>0</v>
      </c>
      <c r="AE66" s="234">
        <v>0</v>
      </c>
      <c r="AF66" s="234">
        <v>0</v>
      </c>
      <c r="AG66" s="234">
        <v>0</v>
      </c>
      <c r="AH66" s="234">
        <v>0</v>
      </c>
      <c r="AI66" s="234">
        <v>0</v>
      </c>
      <c r="AJ66" s="234">
        <v>0</v>
      </c>
      <c r="AK66" s="235">
        <f t="shared" si="17"/>
        <v>0</v>
      </c>
      <c r="AL66" s="73" t="e">
        <f t="shared" si="15"/>
        <v>#DIV/0!</v>
      </c>
      <c r="AM66" s="14">
        <f t="shared" si="4"/>
        <v>0</v>
      </c>
      <c r="AN66" s="9"/>
    </row>
    <row r="67" spans="1:40" hidden="1" outlineLevel="1">
      <c r="A67" s="12" t="s">
        <v>154</v>
      </c>
      <c r="B67" s="8" t="s">
        <v>89</v>
      </c>
      <c r="I67" s="261" t="s">
        <v>173</v>
      </c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5">
        <f t="shared" si="16"/>
        <v>0</v>
      </c>
      <c r="W67" s="73" t="e">
        <f t="shared" si="13"/>
        <v>#DIV/0!</v>
      </c>
      <c r="X67" s="89"/>
      <c r="Y67" s="234">
        <v>0</v>
      </c>
      <c r="Z67" s="234">
        <v>0</v>
      </c>
      <c r="AA67" s="234">
        <v>0</v>
      </c>
      <c r="AB67" s="234">
        <v>0</v>
      </c>
      <c r="AC67" s="234">
        <v>0</v>
      </c>
      <c r="AD67" s="234">
        <v>0</v>
      </c>
      <c r="AE67" s="234">
        <v>0</v>
      </c>
      <c r="AF67" s="234">
        <v>0</v>
      </c>
      <c r="AG67" s="234">
        <v>0</v>
      </c>
      <c r="AH67" s="234">
        <v>0</v>
      </c>
      <c r="AI67" s="234">
        <v>0</v>
      </c>
      <c r="AJ67" s="234">
        <v>0</v>
      </c>
      <c r="AK67" s="235">
        <f t="shared" si="17"/>
        <v>0</v>
      </c>
      <c r="AL67" s="73" t="e">
        <f t="shared" si="15"/>
        <v>#DIV/0!</v>
      </c>
      <c r="AM67" s="14">
        <f t="shared" si="4"/>
        <v>0</v>
      </c>
      <c r="AN67" s="9"/>
    </row>
    <row r="68" spans="1:40" hidden="1" outlineLevel="1">
      <c r="A68" s="12" t="s">
        <v>154</v>
      </c>
      <c r="B68" s="8" t="s">
        <v>89</v>
      </c>
      <c r="I68" s="261" t="s">
        <v>174</v>
      </c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5">
        <f t="shared" si="16"/>
        <v>0</v>
      </c>
      <c r="W68" s="73" t="e">
        <f t="shared" si="13"/>
        <v>#DIV/0!</v>
      </c>
      <c r="X68" s="89"/>
      <c r="Y68" s="234">
        <v>0</v>
      </c>
      <c r="Z68" s="234">
        <v>0</v>
      </c>
      <c r="AA68" s="234">
        <v>0</v>
      </c>
      <c r="AB68" s="234">
        <v>0</v>
      </c>
      <c r="AC68" s="234">
        <v>0</v>
      </c>
      <c r="AD68" s="234">
        <v>0</v>
      </c>
      <c r="AE68" s="234">
        <v>0</v>
      </c>
      <c r="AF68" s="234">
        <v>0</v>
      </c>
      <c r="AG68" s="234">
        <v>0</v>
      </c>
      <c r="AH68" s="234">
        <v>0</v>
      </c>
      <c r="AI68" s="234">
        <v>0</v>
      </c>
      <c r="AJ68" s="234">
        <v>0</v>
      </c>
      <c r="AK68" s="235">
        <f t="shared" si="17"/>
        <v>0</v>
      </c>
      <c r="AL68" s="73" t="e">
        <f t="shared" si="15"/>
        <v>#DIV/0!</v>
      </c>
      <c r="AM68" s="14">
        <f t="shared" si="4"/>
        <v>0</v>
      </c>
      <c r="AN68" s="9"/>
    </row>
    <row r="69" spans="1:40" hidden="1" outlineLevel="1">
      <c r="A69" s="12" t="s">
        <v>154</v>
      </c>
      <c r="B69" s="8" t="s">
        <v>89</v>
      </c>
      <c r="I69" s="261" t="s">
        <v>175</v>
      </c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5">
        <f t="shared" si="16"/>
        <v>0</v>
      </c>
      <c r="W69" s="73" t="e">
        <f t="shared" si="13"/>
        <v>#DIV/0!</v>
      </c>
      <c r="X69" s="89"/>
      <c r="Y69" s="234">
        <v>0</v>
      </c>
      <c r="Z69" s="234">
        <v>0</v>
      </c>
      <c r="AA69" s="234">
        <v>0</v>
      </c>
      <c r="AB69" s="234">
        <v>0</v>
      </c>
      <c r="AC69" s="234">
        <v>0</v>
      </c>
      <c r="AD69" s="234">
        <v>0</v>
      </c>
      <c r="AE69" s="234">
        <v>0</v>
      </c>
      <c r="AF69" s="234">
        <v>0</v>
      </c>
      <c r="AG69" s="234">
        <v>0</v>
      </c>
      <c r="AH69" s="234">
        <v>0</v>
      </c>
      <c r="AI69" s="234">
        <v>0</v>
      </c>
      <c r="AJ69" s="234">
        <v>0</v>
      </c>
      <c r="AK69" s="235">
        <f t="shared" si="17"/>
        <v>0</v>
      </c>
      <c r="AL69" s="73" t="e">
        <f t="shared" si="15"/>
        <v>#DIV/0!</v>
      </c>
      <c r="AM69" s="14">
        <f t="shared" si="4"/>
        <v>0</v>
      </c>
      <c r="AN69" s="9"/>
    </row>
    <row r="70" spans="1:40" hidden="1" outlineLevel="1">
      <c r="A70" s="12" t="s">
        <v>154</v>
      </c>
      <c r="B70" s="8" t="s">
        <v>89</v>
      </c>
      <c r="I70" s="261" t="s">
        <v>176</v>
      </c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5">
        <f t="shared" si="16"/>
        <v>0</v>
      </c>
      <c r="W70" s="73" t="e">
        <f t="shared" si="13"/>
        <v>#DIV/0!</v>
      </c>
      <c r="X70" s="89"/>
      <c r="Y70" s="234">
        <v>0</v>
      </c>
      <c r="Z70" s="234">
        <v>0</v>
      </c>
      <c r="AA70" s="234">
        <v>0</v>
      </c>
      <c r="AB70" s="234">
        <v>0</v>
      </c>
      <c r="AC70" s="234">
        <v>0</v>
      </c>
      <c r="AD70" s="234">
        <v>0</v>
      </c>
      <c r="AE70" s="234">
        <v>0</v>
      </c>
      <c r="AF70" s="234">
        <v>0</v>
      </c>
      <c r="AG70" s="234">
        <v>0</v>
      </c>
      <c r="AH70" s="234">
        <v>0</v>
      </c>
      <c r="AI70" s="234">
        <v>0</v>
      </c>
      <c r="AJ70" s="234">
        <v>0</v>
      </c>
      <c r="AK70" s="235">
        <f t="shared" si="17"/>
        <v>0</v>
      </c>
      <c r="AL70" s="73" t="e">
        <f t="shared" si="15"/>
        <v>#DIV/0!</v>
      </c>
      <c r="AM70" s="14">
        <f t="shared" si="4"/>
        <v>0</v>
      </c>
      <c r="AN70" s="9"/>
    </row>
    <row r="71" spans="1:40" hidden="1" outlineLevel="1">
      <c r="A71" s="12" t="s">
        <v>154</v>
      </c>
      <c r="B71" s="8" t="s">
        <v>89</v>
      </c>
      <c r="I71" s="261" t="s">
        <v>177</v>
      </c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5">
        <f t="shared" si="16"/>
        <v>0</v>
      </c>
      <c r="W71" s="73" t="e">
        <f t="shared" si="13"/>
        <v>#DIV/0!</v>
      </c>
      <c r="X71" s="89"/>
      <c r="Y71" s="234">
        <v>0</v>
      </c>
      <c r="Z71" s="234">
        <v>0</v>
      </c>
      <c r="AA71" s="234">
        <v>0</v>
      </c>
      <c r="AB71" s="234">
        <v>0</v>
      </c>
      <c r="AC71" s="234">
        <v>0</v>
      </c>
      <c r="AD71" s="234">
        <v>0</v>
      </c>
      <c r="AE71" s="234">
        <v>0</v>
      </c>
      <c r="AF71" s="234">
        <v>0</v>
      </c>
      <c r="AG71" s="234">
        <v>0</v>
      </c>
      <c r="AH71" s="234">
        <v>0</v>
      </c>
      <c r="AI71" s="234">
        <v>0</v>
      </c>
      <c r="AJ71" s="234">
        <v>0</v>
      </c>
      <c r="AK71" s="235">
        <f t="shared" si="17"/>
        <v>0</v>
      </c>
      <c r="AL71" s="73" t="e">
        <f t="shared" si="15"/>
        <v>#DIV/0!</v>
      </c>
      <c r="AM71" s="14">
        <f t="shared" si="4"/>
        <v>0</v>
      </c>
      <c r="AN71" s="9"/>
    </row>
    <row r="72" spans="1:40" hidden="1" outlineLevel="1">
      <c r="A72" s="12" t="s">
        <v>154</v>
      </c>
      <c r="B72" s="8" t="s">
        <v>89</v>
      </c>
      <c r="I72" s="261" t="s">
        <v>178</v>
      </c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5">
        <f t="shared" si="16"/>
        <v>0</v>
      </c>
      <c r="W72" s="73" t="e">
        <f t="shared" si="13"/>
        <v>#DIV/0!</v>
      </c>
      <c r="X72" s="89"/>
      <c r="Y72" s="234">
        <v>0</v>
      </c>
      <c r="Z72" s="234">
        <v>0</v>
      </c>
      <c r="AA72" s="234">
        <v>0</v>
      </c>
      <c r="AB72" s="234">
        <v>0</v>
      </c>
      <c r="AC72" s="234">
        <v>0</v>
      </c>
      <c r="AD72" s="234">
        <v>0</v>
      </c>
      <c r="AE72" s="234">
        <v>0</v>
      </c>
      <c r="AF72" s="234">
        <v>0</v>
      </c>
      <c r="AG72" s="234">
        <v>0</v>
      </c>
      <c r="AH72" s="234">
        <v>0</v>
      </c>
      <c r="AI72" s="234">
        <v>0</v>
      </c>
      <c r="AJ72" s="234">
        <v>0</v>
      </c>
      <c r="AK72" s="235">
        <f t="shared" si="17"/>
        <v>0</v>
      </c>
      <c r="AL72" s="73" t="e">
        <f t="shared" si="15"/>
        <v>#DIV/0!</v>
      </c>
      <c r="AM72" s="14">
        <f t="shared" si="4"/>
        <v>0</v>
      </c>
      <c r="AN72" s="9"/>
    </row>
    <row r="73" spans="1:40" hidden="1" outlineLevel="1">
      <c r="A73" s="12" t="s">
        <v>154</v>
      </c>
      <c r="B73" s="8" t="s">
        <v>89</v>
      </c>
      <c r="I73" s="261" t="s">
        <v>179</v>
      </c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5">
        <f t="shared" si="16"/>
        <v>0</v>
      </c>
      <c r="W73" s="73" t="e">
        <f t="shared" si="13"/>
        <v>#DIV/0!</v>
      </c>
      <c r="X73" s="89"/>
      <c r="Y73" s="234">
        <v>0</v>
      </c>
      <c r="Z73" s="234">
        <v>0</v>
      </c>
      <c r="AA73" s="234">
        <v>0</v>
      </c>
      <c r="AB73" s="234">
        <v>0</v>
      </c>
      <c r="AC73" s="234">
        <v>0</v>
      </c>
      <c r="AD73" s="234">
        <v>0</v>
      </c>
      <c r="AE73" s="234">
        <v>0</v>
      </c>
      <c r="AF73" s="234">
        <v>0</v>
      </c>
      <c r="AG73" s="234">
        <v>0</v>
      </c>
      <c r="AH73" s="234">
        <v>0</v>
      </c>
      <c r="AI73" s="234">
        <v>0</v>
      </c>
      <c r="AJ73" s="234">
        <v>0</v>
      </c>
      <c r="AK73" s="235">
        <f t="shared" si="17"/>
        <v>0</v>
      </c>
      <c r="AL73" s="73" t="e">
        <f t="shared" si="15"/>
        <v>#DIV/0!</v>
      </c>
      <c r="AM73" s="14">
        <f t="shared" si="4"/>
        <v>0</v>
      </c>
      <c r="AN73" s="9"/>
    </row>
    <row r="74" spans="1:40" hidden="1" outlineLevel="1">
      <c r="A74" s="12"/>
      <c r="I74" s="261" t="s">
        <v>180</v>
      </c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5"/>
      <c r="W74" s="73"/>
      <c r="X74" s="89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5"/>
      <c r="AL74" s="73"/>
      <c r="AM74" s="14"/>
      <c r="AN74" s="9"/>
    </row>
    <row r="75" spans="1:40" hidden="1" outlineLevel="1">
      <c r="A75" s="12"/>
      <c r="I75" s="261" t="s">
        <v>181</v>
      </c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5"/>
      <c r="W75" s="73"/>
      <c r="X75" s="89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5"/>
      <c r="AL75" s="73"/>
      <c r="AM75" s="14"/>
      <c r="AN75" s="9"/>
    </row>
    <row r="76" spans="1:40" hidden="1" outlineLevel="1">
      <c r="A76" s="12"/>
      <c r="I76" s="261" t="s">
        <v>182</v>
      </c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5"/>
      <c r="W76" s="73"/>
      <c r="X76" s="89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5"/>
      <c r="AL76" s="73"/>
      <c r="AM76" s="14"/>
      <c r="AN76" s="9"/>
    </row>
    <row r="77" spans="1:40" hidden="1" outlineLevel="1">
      <c r="A77" s="12"/>
      <c r="I77" s="261" t="s">
        <v>183</v>
      </c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5"/>
      <c r="W77" s="73"/>
      <c r="X77" s="89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5"/>
      <c r="AL77" s="73"/>
      <c r="AM77" s="14"/>
      <c r="AN77" s="9"/>
    </row>
    <row r="78" spans="1:40" hidden="1" outlineLevel="1">
      <c r="A78" s="12"/>
      <c r="I78" s="261" t="s">
        <v>184</v>
      </c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5"/>
      <c r="W78" s="73"/>
      <c r="X78" s="89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5"/>
      <c r="AL78" s="73"/>
      <c r="AM78" s="14"/>
      <c r="AN78" s="9"/>
    </row>
    <row r="79" spans="1:40" hidden="1" outlineLevel="1">
      <c r="A79" s="12"/>
      <c r="I79" s="261" t="s">
        <v>185</v>
      </c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5"/>
      <c r="W79" s="73"/>
      <c r="X79" s="89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234"/>
      <c r="AK79" s="235"/>
      <c r="AL79" s="73"/>
      <c r="AM79" s="14"/>
      <c r="AN79" s="9"/>
    </row>
    <row r="80" spans="1:40" hidden="1" outlineLevel="1">
      <c r="A80" s="12"/>
      <c r="I80" s="261" t="s">
        <v>186</v>
      </c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5"/>
      <c r="W80" s="73"/>
      <c r="X80" s="89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5"/>
      <c r="AL80" s="73"/>
      <c r="AM80" s="14"/>
      <c r="AN80" s="9"/>
    </row>
    <row r="81" spans="1:40" hidden="1" outlineLevel="1">
      <c r="A81" s="12"/>
      <c r="I81" s="261" t="s">
        <v>187</v>
      </c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5"/>
      <c r="W81" s="73"/>
      <c r="X81" s="89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5"/>
      <c r="AL81" s="73"/>
      <c r="AM81" s="14"/>
      <c r="AN81" s="9"/>
    </row>
    <row r="82" spans="1:40" hidden="1" outlineLevel="1">
      <c r="A82" s="12"/>
      <c r="I82" s="261" t="s">
        <v>188</v>
      </c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5"/>
      <c r="W82" s="73"/>
      <c r="X82" s="89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5"/>
      <c r="AL82" s="73"/>
      <c r="AM82" s="14"/>
      <c r="AN82" s="9"/>
    </row>
    <row r="83" spans="1:40" hidden="1" outlineLevel="1">
      <c r="A83" s="12"/>
      <c r="I83" s="261" t="s">
        <v>189</v>
      </c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5"/>
      <c r="W83" s="73"/>
      <c r="X83" s="89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5"/>
      <c r="AL83" s="73"/>
      <c r="AM83" s="14"/>
      <c r="AN83" s="9"/>
    </row>
    <row r="84" spans="1:40" hidden="1" outlineLevel="1">
      <c r="A84" s="12"/>
      <c r="I84" s="261" t="s">
        <v>190</v>
      </c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5"/>
      <c r="W84" s="73"/>
      <c r="X84" s="89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5"/>
      <c r="AL84" s="73"/>
      <c r="AM84" s="14"/>
      <c r="AN84" s="9"/>
    </row>
    <row r="85" spans="1:40" hidden="1" outlineLevel="1">
      <c r="A85" s="12"/>
      <c r="I85" s="261" t="s">
        <v>191</v>
      </c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5"/>
      <c r="W85" s="73"/>
      <c r="X85" s="89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5"/>
      <c r="AL85" s="73"/>
      <c r="AM85" s="14"/>
      <c r="AN85" s="9"/>
    </row>
    <row r="86" spans="1:40" hidden="1" outlineLevel="1">
      <c r="A86" s="12"/>
      <c r="I86" s="261" t="s">
        <v>192</v>
      </c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5"/>
      <c r="W86" s="73"/>
      <c r="X86" s="89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5"/>
      <c r="AL86" s="73"/>
      <c r="AM86" s="14"/>
      <c r="AN86" s="9"/>
    </row>
    <row r="87" spans="1:40" hidden="1" outlineLevel="1">
      <c r="A87" s="12"/>
      <c r="I87" s="261" t="s">
        <v>193</v>
      </c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5"/>
      <c r="W87" s="73"/>
      <c r="X87" s="89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5"/>
      <c r="AL87" s="73"/>
      <c r="AM87" s="14"/>
      <c r="AN87" s="9"/>
    </row>
    <row r="88" spans="1:40" hidden="1" outlineLevel="1">
      <c r="A88" s="12"/>
      <c r="I88" s="261" t="s">
        <v>194</v>
      </c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5"/>
      <c r="W88" s="73"/>
      <c r="X88" s="89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5"/>
      <c r="AL88" s="73"/>
      <c r="AM88" s="14"/>
      <c r="AN88" s="9"/>
    </row>
    <row r="89" spans="1:40" hidden="1" outlineLevel="1">
      <c r="A89" s="12"/>
      <c r="I89" s="261" t="s">
        <v>195</v>
      </c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5"/>
      <c r="W89" s="73"/>
      <c r="X89" s="89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5"/>
      <c r="AL89" s="73"/>
      <c r="AM89" s="14"/>
      <c r="AN89" s="9"/>
    </row>
    <row r="90" spans="1:40" collapsed="1">
      <c r="A90" s="12" t="s">
        <v>196</v>
      </c>
      <c r="B90" s="8" t="s">
        <v>89</v>
      </c>
      <c r="I90" s="143" t="s">
        <v>197</v>
      </c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>
        <f>SUM(V91:V105)</f>
        <v>0</v>
      </c>
      <c r="W90" s="72" t="e">
        <f t="shared" si="13"/>
        <v>#DIV/0!</v>
      </c>
      <c r="X90" s="89"/>
      <c r="Y90" s="231">
        <f t="shared" ref="Y90:AK90" si="18">SUM(Y91:Y105)</f>
        <v>0</v>
      </c>
      <c r="Z90" s="231">
        <f t="shared" si="18"/>
        <v>0</v>
      </c>
      <c r="AA90" s="231">
        <f t="shared" si="18"/>
        <v>0</v>
      </c>
      <c r="AB90" s="231">
        <f t="shared" si="18"/>
        <v>0</v>
      </c>
      <c r="AC90" s="231">
        <f t="shared" si="18"/>
        <v>0</v>
      </c>
      <c r="AD90" s="231">
        <f t="shared" si="18"/>
        <v>0</v>
      </c>
      <c r="AE90" s="231">
        <f t="shared" si="18"/>
        <v>0</v>
      </c>
      <c r="AF90" s="231">
        <f t="shared" si="18"/>
        <v>0</v>
      </c>
      <c r="AG90" s="231">
        <f t="shared" si="18"/>
        <v>0</v>
      </c>
      <c r="AH90" s="231">
        <f t="shared" si="18"/>
        <v>0</v>
      </c>
      <c r="AI90" s="231">
        <f t="shared" si="18"/>
        <v>0</v>
      </c>
      <c r="AJ90" s="231">
        <f t="shared" si="18"/>
        <v>0</v>
      </c>
      <c r="AK90" s="231">
        <f t="shared" si="18"/>
        <v>0</v>
      </c>
      <c r="AL90" s="72" t="e">
        <f t="shared" si="15"/>
        <v>#DIV/0!</v>
      </c>
      <c r="AM90" s="10">
        <f t="shared" si="4"/>
        <v>0</v>
      </c>
      <c r="AN90" s="9"/>
    </row>
    <row r="91" spans="1:40" hidden="1" outlineLevel="1">
      <c r="A91" s="12" t="s">
        <v>196</v>
      </c>
      <c r="B91" s="8" t="s">
        <v>89</v>
      </c>
      <c r="E91" s="127"/>
      <c r="I91" t="s">
        <v>198</v>
      </c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5">
        <f>SUM(J91:U91)</f>
        <v>0</v>
      </c>
      <c r="W91" s="73" t="e">
        <f t="shared" si="13"/>
        <v>#DIV/0!</v>
      </c>
      <c r="X91" s="89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5">
        <f>SUM(Y91:AJ91)</f>
        <v>0</v>
      </c>
      <c r="AL91" s="73" t="e">
        <f t="shared" si="15"/>
        <v>#DIV/0!</v>
      </c>
      <c r="AM91" s="14">
        <f t="shared" si="4"/>
        <v>0</v>
      </c>
      <c r="AN91" s="9"/>
    </row>
    <row r="92" spans="1:40" hidden="1" outlineLevel="1">
      <c r="A92" s="12" t="s">
        <v>196</v>
      </c>
      <c r="B92" s="8" t="s">
        <v>89</v>
      </c>
      <c r="E92" s="127"/>
      <c r="I92" t="s">
        <v>199</v>
      </c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5">
        <f t="shared" ref="V92:V105" si="19">SUM(J92:U92)</f>
        <v>0</v>
      </c>
      <c r="W92" s="73" t="e">
        <f t="shared" si="13"/>
        <v>#DIV/0!</v>
      </c>
      <c r="X92" s="89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5">
        <f t="shared" ref="AK92:AK105" si="20">SUM(Y92:AJ92)</f>
        <v>0</v>
      </c>
      <c r="AL92" s="73" t="e">
        <f t="shared" si="15"/>
        <v>#DIV/0!</v>
      </c>
      <c r="AM92" s="14">
        <f t="shared" si="4"/>
        <v>0</v>
      </c>
      <c r="AN92" s="9"/>
    </row>
    <row r="93" spans="1:40" hidden="1" outlineLevel="1">
      <c r="A93" s="12" t="s">
        <v>196</v>
      </c>
      <c r="B93" s="8" t="s">
        <v>89</v>
      </c>
      <c r="E93" s="127"/>
      <c r="I93" t="s">
        <v>200</v>
      </c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5">
        <f t="shared" si="19"/>
        <v>0</v>
      </c>
      <c r="W93" s="73" t="e">
        <f t="shared" si="13"/>
        <v>#DIV/0!</v>
      </c>
      <c r="X93" s="89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5">
        <f t="shared" si="20"/>
        <v>0</v>
      </c>
      <c r="AL93" s="73" t="e">
        <f t="shared" si="15"/>
        <v>#DIV/0!</v>
      </c>
      <c r="AM93" s="14">
        <f t="shared" si="4"/>
        <v>0</v>
      </c>
      <c r="AN93" s="9"/>
    </row>
    <row r="94" spans="1:40" hidden="1" outlineLevel="1">
      <c r="A94" s="12" t="s">
        <v>196</v>
      </c>
      <c r="B94" s="8" t="s">
        <v>89</v>
      </c>
      <c r="E94" s="127"/>
      <c r="I94" t="s">
        <v>201</v>
      </c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5">
        <f t="shared" si="19"/>
        <v>0</v>
      </c>
      <c r="W94" s="73" t="e">
        <f t="shared" si="13"/>
        <v>#DIV/0!</v>
      </c>
      <c r="X94" s="89"/>
      <c r="Y94" s="234"/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234"/>
      <c r="AK94" s="235">
        <f t="shared" si="20"/>
        <v>0</v>
      </c>
      <c r="AL94" s="73" t="e">
        <f t="shared" si="15"/>
        <v>#DIV/0!</v>
      </c>
      <c r="AM94" s="14">
        <f t="shared" ref="AM94:AM191" si="21">IFERROR(AK94/V94-1,0)</f>
        <v>0</v>
      </c>
      <c r="AN94" s="9"/>
    </row>
    <row r="95" spans="1:40" hidden="1" outlineLevel="1">
      <c r="A95" s="12" t="s">
        <v>196</v>
      </c>
      <c r="B95" s="8" t="s">
        <v>89</v>
      </c>
      <c r="E95" s="127"/>
      <c r="I95" t="s">
        <v>202</v>
      </c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5">
        <f t="shared" si="19"/>
        <v>0</v>
      </c>
      <c r="W95" s="73" t="e">
        <f t="shared" si="13"/>
        <v>#DIV/0!</v>
      </c>
      <c r="X95" s="89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5">
        <f t="shared" si="20"/>
        <v>0</v>
      </c>
      <c r="AL95" s="73" t="e">
        <f t="shared" si="15"/>
        <v>#DIV/0!</v>
      </c>
      <c r="AM95" s="14">
        <f t="shared" si="21"/>
        <v>0</v>
      </c>
      <c r="AN95" s="9"/>
    </row>
    <row r="96" spans="1:40" hidden="1" outlineLevel="1">
      <c r="A96" s="12" t="s">
        <v>196</v>
      </c>
      <c r="B96" s="8" t="s">
        <v>89</v>
      </c>
      <c r="E96" s="127"/>
      <c r="I96" t="s">
        <v>203</v>
      </c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5">
        <f t="shared" si="19"/>
        <v>0</v>
      </c>
      <c r="W96" s="73" t="e">
        <f t="shared" si="13"/>
        <v>#DIV/0!</v>
      </c>
      <c r="X96" s="89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5">
        <f t="shared" si="20"/>
        <v>0</v>
      </c>
      <c r="AL96" s="73" t="e">
        <f t="shared" si="15"/>
        <v>#DIV/0!</v>
      </c>
      <c r="AM96" s="14">
        <f t="shared" si="21"/>
        <v>0</v>
      </c>
      <c r="AN96" s="9"/>
    </row>
    <row r="97" spans="1:40" hidden="1" outlineLevel="1">
      <c r="A97" s="12" t="s">
        <v>196</v>
      </c>
      <c r="B97" s="8" t="s">
        <v>89</v>
      </c>
      <c r="E97" s="127"/>
      <c r="I97" t="s">
        <v>204</v>
      </c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5">
        <f t="shared" si="19"/>
        <v>0</v>
      </c>
      <c r="W97" s="73" t="e">
        <f t="shared" si="13"/>
        <v>#DIV/0!</v>
      </c>
      <c r="X97" s="89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5">
        <f t="shared" si="20"/>
        <v>0</v>
      </c>
      <c r="AL97" s="73" t="e">
        <f t="shared" si="15"/>
        <v>#DIV/0!</v>
      </c>
      <c r="AM97" s="14">
        <f t="shared" si="21"/>
        <v>0</v>
      </c>
      <c r="AN97" s="9"/>
    </row>
    <row r="98" spans="1:40" hidden="1" outlineLevel="1">
      <c r="A98" s="12" t="s">
        <v>196</v>
      </c>
      <c r="B98" s="8" t="s">
        <v>89</v>
      </c>
      <c r="E98" s="127"/>
      <c r="I98" t="s">
        <v>205</v>
      </c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5">
        <f t="shared" si="19"/>
        <v>0</v>
      </c>
      <c r="W98" s="73" t="e">
        <f t="shared" si="13"/>
        <v>#DIV/0!</v>
      </c>
      <c r="X98" s="89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5">
        <f t="shared" si="20"/>
        <v>0</v>
      </c>
      <c r="AL98" s="73" t="e">
        <f t="shared" si="15"/>
        <v>#DIV/0!</v>
      </c>
      <c r="AM98" s="14">
        <f t="shared" si="21"/>
        <v>0</v>
      </c>
      <c r="AN98" s="9"/>
    </row>
    <row r="99" spans="1:40" hidden="1" outlineLevel="1">
      <c r="A99" s="12" t="s">
        <v>196</v>
      </c>
      <c r="B99" s="8" t="s">
        <v>89</v>
      </c>
      <c r="E99" s="127"/>
      <c r="I99" t="s">
        <v>206</v>
      </c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5">
        <f t="shared" si="19"/>
        <v>0</v>
      </c>
      <c r="W99" s="73" t="e">
        <f t="shared" si="13"/>
        <v>#DIV/0!</v>
      </c>
      <c r="X99" s="89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5">
        <f t="shared" si="20"/>
        <v>0</v>
      </c>
      <c r="AL99" s="73" t="e">
        <f t="shared" si="15"/>
        <v>#DIV/0!</v>
      </c>
      <c r="AM99" s="14">
        <f t="shared" si="21"/>
        <v>0</v>
      </c>
      <c r="AN99" s="9"/>
    </row>
    <row r="100" spans="1:40" hidden="1" outlineLevel="1">
      <c r="A100" s="12" t="s">
        <v>196</v>
      </c>
      <c r="B100" s="8" t="s">
        <v>89</v>
      </c>
      <c r="E100" s="127"/>
      <c r="I100" t="s">
        <v>207</v>
      </c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5">
        <f t="shared" si="19"/>
        <v>0</v>
      </c>
      <c r="W100" s="73" t="e">
        <f t="shared" si="13"/>
        <v>#DIV/0!</v>
      </c>
      <c r="X100" s="89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5">
        <f t="shared" si="20"/>
        <v>0</v>
      </c>
      <c r="AL100" s="73" t="e">
        <f t="shared" si="15"/>
        <v>#DIV/0!</v>
      </c>
      <c r="AM100" s="14">
        <f t="shared" si="21"/>
        <v>0</v>
      </c>
      <c r="AN100" s="9"/>
    </row>
    <row r="101" spans="1:40" hidden="1" outlineLevel="1">
      <c r="A101" s="12" t="s">
        <v>196</v>
      </c>
      <c r="B101" s="8" t="s">
        <v>89</v>
      </c>
      <c r="E101" s="127"/>
      <c r="I101" t="s">
        <v>208</v>
      </c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5">
        <f t="shared" si="19"/>
        <v>0</v>
      </c>
      <c r="W101" s="73" t="e">
        <f t="shared" si="13"/>
        <v>#DIV/0!</v>
      </c>
      <c r="X101" s="89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5">
        <f t="shared" si="20"/>
        <v>0</v>
      </c>
      <c r="AL101" s="73" t="e">
        <f t="shared" si="15"/>
        <v>#DIV/0!</v>
      </c>
      <c r="AM101" s="14">
        <f t="shared" si="21"/>
        <v>0</v>
      </c>
      <c r="AN101" s="9"/>
    </row>
    <row r="102" spans="1:40" hidden="1" outlineLevel="1">
      <c r="A102" s="12" t="s">
        <v>196</v>
      </c>
      <c r="B102" s="8" t="s">
        <v>89</v>
      </c>
      <c r="E102" s="127"/>
      <c r="I102" t="s">
        <v>209</v>
      </c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5">
        <f t="shared" si="19"/>
        <v>0</v>
      </c>
      <c r="W102" s="73" t="e">
        <f t="shared" si="13"/>
        <v>#DIV/0!</v>
      </c>
      <c r="X102" s="89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5">
        <f t="shared" si="20"/>
        <v>0</v>
      </c>
      <c r="AL102" s="73" t="e">
        <f t="shared" si="15"/>
        <v>#DIV/0!</v>
      </c>
      <c r="AM102" s="14">
        <f t="shared" si="21"/>
        <v>0</v>
      </c>
      <c r="AN102" s="9"/>
    </row>
    <row r="103" spans="1:40" hidden="1" outlineLevel="1">
      <c r="A103" s="12" t="s">
        <v>196</v>
      </c>
      <c r="B103" s="8" t="s">
        <v>89</v>
      </c>
      <c r="E103" s="127"/>
      <c r="I103" t="s">
        <v>210</v>
      </c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5">
        <f t="shared" si="19"/>
        <v>0</v>
      </c>
      <c r="W103" s="73" t="e">
        <f t="shared" si="13"/>
        <v>#DIV/0!</v>
      </c>
      <c r="X103" s="89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5">
        <f t="shared" si="20"/>
        <v>0</v>
      </c>
      <c r="AL103" s="73" t="e">
        <f t="shared" si="15"/>
        <v>#DIV/0!</v>
      </c>
      <c r="AM103" s="14">
        <f t="shared" si="21"/>
        <v>0</v>
      </c>
      <c r="AN103" s="9"/>
    </row>
    <row r="104" spans="1:40" hidden="1" outlineLevel="1">
      <c r="A104" s="12" t="s">
        <v>196</v>
      </c>
      <c r="B104" s="8" t="s">
        <v>89</v>
      </c>
      <c r="E104" s="127"/>
      <c r="I104" t="s">
        <v>211</v>
      </c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5">
        <f t="shared" si="19"/>
        <v>0</v>
      </c>
      <c r="W104" s="73" t="e">
        <f t="shared" si="13"/>
        <v>#DIV/0!</v>
      </c>
      <c r="X104" s="89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5">
        <f t="shared" si="20"/>
        <v>0</v>
      </c>
      <c r="AL104" s="73" t="e">
        <f t="shared" si="15"/>
        <v>#DIV/0!</v>
      </c>
      <c r="AM104" s="14">
        <f t="shared" si="21"/>
        <v>0</v>
      </c>
      <c r="AN104" s="9"/>
    </row>
    <row r="105" spans="1:40" hidden="1" outlineLevel="1">
      <c r="A105" s="12" t="s">
        <v>196</v>
      </c>
      <c r="B105" s="8" t="s">
        <v>89</v>
      </c>
      <c r="E105" s="127"/>
      <c r="I105" t="s">
        <v>212</v>
      </c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5">
        <f t="shared" si="19"/>
        <v>0</v>
      </c>
      <c r="W105" s="73" t="e">
        <f t="shared" si="13"/>
        <v>#DIV/0!</v>
      </c>
      <c r="X105" s="89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5">
        <f t="shared" si="20"/>
        <v>0</v>
      </c>
      <c r="AL105" s="73" t="e">
        <f t="shared" si="15"/>
        <v>#DIV/0!</v>
      </c>
      <c r="AM105" s="14">
        <f t="shared" si="21"/>
        <v>0</v>
      </c>
      <c r="AN105" s="9"/>
    </row>
    <row r="106" spans="1:40" collapsed="1">
      <c r="A106" s="12" t="s">
        <v>213</v>
      </c>
      <c r="B106" s="8" t="s">
        <v>89</v>
      </c>
      <c r="I106" s="143" t="s">
        <v>214</v>
      </c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>
        <f>SUM(V107:V110)</f>
        <v>0</v>
      </c>
      <c r="W106" s="72" t="e">
        <f t="shared" si="13"/>
        <v>#DIV/0!</v>
      </c>
      <c r="X106" s="89"/>
      <c r="Y106" s="231">
        <f>SUM(Y107:Y110)</f>
        <v>0</v>
      </c>
      <c r="Z106" s="231">
        <f t="shared" ref="Z106:AJ106" si="22">SUM(Z107:Z110)</f>
        <v>0</v>
      </c>
      <c r="AA106" s="231">
        <f t="shared" si="22"/>
        <v>0</v>
      </c>
      <c r="AB106" s="231">
        <f t="shared" si="22"/>
        <v>0</v>
      </c>
      <c r="AC106" s="231">
        <f t="shared" si="22"/>
        <v>0</v>
      </c>
      <c r="AD106" s="231">
        <f t="shared" si="22"/>
        <v>0</v>
      </c>
      <c r="AE106" s="231">
        <f t="shared" si="22"/>
        <v>0</v>
      </c>
      <c r="AF106" s="231">
        <f t="shared" si="22"/>
        <v>0</v>
      </c>
      <c r="AG106" s="231">
        <f t="shared" si="22"/>
        <v>0</v>
      </c>
      <c r="AH106" s="231">
        <f t="shared" si="22"/>
        <v>0</v>
      </c>
      <c r="AI106" s="231">
        <f t="shared" si="22"/>
        <v>0</v>
      </c>
      <c r="AJ106" s="231">
        <f t="shared" si="22"/>
        <v>0</v>
      </c>
      <c r="AK106" s="231">
        <f>SUM(AK107:AK110)</f>
        <v>0</v>
      </c>
      <c r="AL106" s="72" t="e">
        <f t="shared" si="15"/>
        <v>#DIV/0!</v>
      </c>
      <c r="AM106" s="10">
        <f t="shared" si="21"/>
        <v>0</v>
      </c>
      <c r="AN106" s="9"/>
    </row>
    <row r="107" spans="1:40" hidden="1" outlineLevel="1">
      <c r="A107" s="12" t="s">
        <v>213</v>
      </c>
      <c r="B107" s="8" t="s">
        <v>89</v>
      </c>
      <c r="E107" s="127"/>
      <c r="I107" s="136" t="s">
        <v>215</v>
      </c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5">
        <f>SUM(J107:U107)</f>
        <v>0</v>
      </c>
      <c r="W107" s="73" t="e">
        <f t="shared" si="13"/>
        <v>#DIV/0!</v>
      </c>
      <c r="X107" s="89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5">
        <f>SUM(Y107:AJ107)</f>
        <v>0</v>
      </c>
      <c r="AL107" s="73" t="e">
        <f t="shared" si="15"/>
        <v>#DIV/0!</v>
      </c>
      <c r="AM107" s="14">
        <f t="shared" si="21"/>
        <v>0</v>
      </c>
      <c r="AN107" s="9"/>
    </row>
    <row r="108" spans="1:40" hidden="1" outlineLevel="1">
      <c r="A108" s="12" t="s">
        <v>213</v>
      </c>
      <c r="B108" s="8" t="s">
        <v>89</v>
      </c>
      <c r="E108" s="127"/>
      <c r="I108" s="136" t="s">
        <v>216</v>
      </c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5">
        <f>SUM(J108:U108)</f>
        <v>0</v>
      </c>
      <c r="W108" s="73" t="e">
        <f t="shared" si="13"/>
        <v>#DIV/0!</v>
      </c>
      <c r="X108" s="89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234"/>
      <c r="AK108" s="235">
        <f>SUM(Y108:AJ108)</f>
        <v>0</v>
      </c>
      <c r="AL108" s="73" t="e">
        <f t="shared" si="15"/>
        <v>#DIV/0!</v>
      </c>
      <c r="AM108" s="14">
        <f t="shared" si="21"/>
        <v>0</v>
      </c>
      <c r="AN108" s="9"/>
    </row>
    <row r="109" spans="1:40" hidden="1" outlineLevel="1">
      <c r="A109" s="12" t="s">
        <v>213</v>
      </c>
      <c r="B109" s="8" t="s">
        <v>89</v>
      </c>
      <c r="E109" s="127"/>
      <c r="I109" s="136" t="s">
        <v>217</v>
      </c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5">
        <f>SUM(J109:U109)</f>
        <v>0</v>
      </c>
      <c r="W109" s="73" t="e">
        <f t="shared" si="13"/>
        <v>#DIV/0!</v>
      </c>
      <c r="X109" s="89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5">
        <f>SUM(Y109:AJ109)</f>
        <v>0</v>
      </c>
      <c r="AL109" s="73" t="e">
        <f t="shared" si="15"/>
        <v>#DIV/0!</v>
      </c>
      <c r="AM109" s="14">
        <f t="shared" si="21"/>
        <v>0</v>
      </c>
      <c r="AN109" s="9"/>
    </row>
    <row r="110" spans="1:40" hidden="1" outlineLevel="1">
      <c r="A110" s="12" t="s">
        <v>213</v>
      </c>
      <c r="B110" s="8" t="s">
        <v>89</v>
      </c>
      <c r="E110" s="127"/>
      <c r="I110" s="136" t="s">
        <v>218</v>
      </c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5">
        <f>SUM(J110:U110)</f>
        <v>0</v>
      </c>
      <c r="W110" s="73" t="e">
        <f t="shared" si="13"/>
        <v>#DIV/0!</v>
      </c>
      <c r="X110" s="89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5">
        <f>SUM(Y110:AJ110)</f>
        <v>0</v>
      </c>
      <c r="AL110" s="73" t="e">
        <f t="shared" si="15"/>
        <v>#DIV/0!</v>
      </c>
      <c r="AM110" s="14">
        <f t="shared" si="21"/>
        <v>0</v>
      </c>
      <c r="AN110" s="9"/>
    </row>
    <row r="111" spans="1:40" collapsed="1">
      <c r="A111" s="12" t="s">
        <v>219</v>
      </c>
      <c r="B111" s="8" t="s">
        <v>89</v>
      </c>
      <c r="C111" s="8" t="s">
        <v>81</v>
      </c>
      <c r="I111" s="143" t="s">
        <v>220</v>
      </c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>
        <f>SUM(V112:V114)</f>
        <v>0</v>
      </c>
      <c r="W111" s="72" t="e">
        <f t="shared" si="13"/>
        <v>#DIV/0!</v>
      </c>
      <c r="X111" s="89"/>
      <c r="Y111" s="231">
        <f>SUM(Y112:Y114)</f>
        <v>0</v>
      </c>
      <c r="Z111" s="231">
        <f t="shared" ref="Z111:AJ111" si="23">SUM(Z112:Z114)</f>
        <v>0</v>
      </c>
      <c r="AA111" s="231">
        <f t="shared" si="23"/>
        <v>0</v>
      </c>
      <c r="AB111" s="231">
        <f t="shared" si="23"/>
        <v>0</v>
      </c>
      <c r="AC111" s="231">
        <f t="shared" si="23"/>
        <v>0</v>
      </c>
      <c r="AD111" s="231">
        <f t="shared" si="23"/>
        <v>0</v>
      </c>
      <c r="AE111" s="231">
        <f t="shared" si="23"/>
        <v>0</v>
      </c>
      <c r="AF111" s="231">
        <f t="shared" si="23"/>
        <v>0</v>
      </c>
      <c r="AG111" s="231">
        <f t="shared" si="23"/>
        <v>0</v>
      </c>
      <c r="AH111" s="231">
        <f t="shared" si="23"/>
        <v>0</v>
      </c>
      <c r="AI111" s="231">
        <f t="shared" si="23"/>
        <v>0</v>
      </c>
      <c r="AJ111" s="231">
        <f t="shared" si="23"/>
        <v>0</v>
      </c>
      <c r="AK111" s="231">
        <f>SUM(AK112:AK114)</f>
        <v>0</v>
      </c>
      <c r="AL111" s="72" t="e">
        <f t="shared" si="15"/>
        <v>#DIV/0!</v>
      </c>
      <c r="AM111" s="10">
        <f t="shared" si="21"/>
        <v>0</v>
      </c>
      <c r="AN111" s="9"/>
    </row>
    <row r="112" spans="1:40" hidden="1" outlineLevel="1">
      <c r="A112" s="12" t="s">
        <v>219</v>
      </c>
      <c r="B112" s="8" t="s">
        <v>89</v>
      </c>
      <c r="I112" s="224" t="s">
        <v>221</v>
      </c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5">
        <f>SUM(J112:U112)</f>
        <v>0</v>
      </c>
      <c r="W112" s="73" t="e">
        <f t="shared" si="13"/>
        <v>#DIV/0!</v>
      </c>
      <c r="X112" s="89"/>
      <c r="Y112" s="234">
        <v>0</v>
      </c>
      <c r="Z112" s="234">
        <v>0</v>
      </c>
      <c r="AA112" s="234">
        <v>0</v>
      </c>
      <c r="AB112" s="234">
        <v>0</v>
      </c>
      <c r="AC112" s="234">
        <v>0</v>
      </c>
      <c r="AD112" s="234">
        <v>0</v>
      </c>
      <c r="AE112" s="234">
        <v>0</v>
      </c>
      <c r="AF112" s="234">
        <v>0</v>
      </c>
      <c r="AG112" s="234">
        <v>0</v>
      </c>
      <c r="AH112" s="234">
        <v>0</v>
      </c>
      <c r="AI112" s="234">
        <v>0</v>
      </c>
      <c r="AJ112" s="234">
        <v>0</v>
      </c>
      <c r="AK112" s="235">
        <f>SUM(Y112:AJ112)</f>
        <v>0</v>
      </c>
      <c r="AL112" s="73" t="e">
        <f t="shared" si="15"/>
        <v>#DIV/0!</v>
      </c>
      <c r="AM112" s="14">
        <f t="shared" si="21"/>
        <v>0</v>
      </c>
      <c r="AN112" s="9"/>
    </row>
    <row r="113" spans="1:40" hidden="1" outlineLevel="1">
      <c r="A113" s="12" t="s">
        <v>219</v>
      </c>
      <c r="B113" s="8" t="s">
        <v>89</v>
      </c>
      <c r="I113" s="223" t="s">
        <v>222</v>
      </c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5">
        <f>SUM(J113:U113)</f>
        <v>0</v>
      </c>
      <c r="W113" s="73" t="e">
        <f t="shared" si="13"/>
        <v>#DIV/0!</v>
      </c>
      <c r="X113" s="89"/>
      <c r="Y113" s="234">
        <v>0</v>
      </c>
      <c r="Z113" s="234">
        <v>0</v>
      </c>
      <c r="AA113" s="234">
        <v>0</v>
      </c>
      <c r="AB113" s="234">
        <v>0</v>
      </c>
      <c r="AC113" s="234">
        <v>0</v>
      </c>
      <c r="AD113" s="234">
        <v>0</v>
      </c>
      <c r="AE113" s="234">
        <v>0</v>
      </c>
      <c r="AF113" s="234">
        <v>0</v>
      </c>
      <c r="AG113" s="234">
        <v>0</v>
      </c>
      <c r="AH113" s="234">
        <v>0</v>
      </c>
      <c r="AI113" s="234">
        <v>0</v>
      </c>
      <c r="AJ113" s="234">
        <v>0</v>
      </c>
      <c r="AK113" s="235">
        <f>SUM(Y113:AJ113)</f>
        <v>0</v>
      </c>
      <c r="AL113" s="73" t="e">
        <f t="shared" si="15"/>
        <v>#DIV/0!</v>
      </c>
      <c r="AM113" s="14">
        <f t="shared" si="21"/>
        <v>0</v>
      </c>
      <c r="AN113" s="9"/>
    </row>
    <row r="114" spans="1:40" hidden="1" outlineLevel="1">
      <c r="A114" s="12" t="s">
        <v>219</v>
      </c>
      <c r="B114" s="8" t="s">
        <v>89</v>
      </c>
      <c r="I114" s="223" t="s">
        <v>223</v>
      </c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5">
        <f>SUM(J114:U114)</f>
        <v>0</v>
      </c>
      <c r="W114" s="73" t="e">
        <f t="shared" si="13"/>
        <v>#DIV/0!</v>
      </c>
      <c r="X114" s="89"/>
      <c r="Y114" s="234">
        <v>0</v>
      </c>
      <c r="Z114" s="234">
        <v>0</v>
      </c>
      <c r="AA114" s="234">
        <v>0</v>
      </c>
      <c r="AB114" s="234">
        <v>0</v>
      </c>
      <c r="AC114" s="234">
        <v>0</v>
      </c>
      <c r="AD114" s="234">
        <v>0</v>
      </c>
      <c r="AE114" s="234">
        <v>0</v>
      </c>
      <c r="AF114" s="234">
        <v>0</v>
      </c>
      <c r="AG114" s="234">
        <v>0</v>
      </c>
      <c r="AH114" s="234">
        <v>0</v>
      </c>
      <c r="AI114" s="234">
        <v>0</v>
      </c>
      <c r="AJ114" s="234">
        <v>0</v>
      </c>
      <c r="AK114" s="235">
        <f>SUM(Y114:AJ114)</f>
        <v>0</v>
      </c>
      <c r="AL114" s="73" t="e">
        <f t="shared" si="15"/>
        <v>#DIV/0!</v>
      </c>
      <c r="AM114" s="14">
        <f t="shared" si="21"/>
        <v>0</v>
      </c>
      <c r="AN114" s="9"/>
    </row>
    <row r="115" spans="1:40" hidden="1" outlineLevel="1">
      <c r="A115" s="12"/>
      <c r="I115" s="223" t="s">
        <v>224</v>
      </c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5"/>
      <c r="W115" s="73"/>
      <c r="X115" s="89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5"/>
      <c r="AL115" s="73"/>
      <c r="AM115" s="14"/>
      <c r="AN115" s="9"/>
    </row>
    <row r="116" spans="1:40" hidden="1" outlineLevel="1">
      <c r="A116" s="12"/>
      <c r="I116" s="223" t="s">
        <v>225</v>
      </c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5"/>
      <c r="W116" s="73"/>
      <c r="X116" s="89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5"/>
      <c r="AL116" s="73"/>
      <c r="AM116" s="14"/>
      <c r="AN116" s="9"/>
    </row>
    <row r="117" spans="1:40" hidden="1" outlineLevel="1">
      <c r="A117" s="12"/>
      <c r="I117" s="223" t="s">
        <v>226</v>
      </c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5"/>
      <c r="W117" s="73"/>
      <c r="X117" s="89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5"/>
      <c r="AL117" s="73"/>
      <c r="AM117" s="14"/>
      <c r="AN117" s="9"/>
    </row>
    <row r="118" spans="1:40" hidden="1" outlineLevel="1">
      <c r="A118" s="12"/>
      <c r="I118" s="223" t="s">
        <v>227</v>
      </c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5"/>
      <c r="W118" s="73"/>
      <c r="X118" s="89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234"/>
      <c r="AK118" s="235"/>
      <c r="AL118" s="73"/>
      <c r="AM118" s="14"/>
      <c r="AN118" s="9"/>
    </row>
    <row r="119" spans="1:40" hidden="1" outlineLevel="1">
      <c r="A119" s="12"/>
      <c r="I119" s="223" t="s">
        <v>228</v>
      </c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5"/>
      <c r="W119" s="73"/>
      <c r="X119" s="89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5"/>
      <c r="AL119" s="73"/>
      <c r="AM119" s="14"/>
      <c r="AN119" s="9"/>
    </row>
    <row r="120" spans="1:40" hidden="1" outlineLevel="1">
      <c r="A120" s="12"/>
      <c r="I120" s="223" t="s">
        <v>229</v>
      </c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5"/>
      <c r="W120" s="73"/>
      <c r="X120" s="89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5"/>
      <c r="AL120" s="73"/>
      <c r="AM120" s="14"/>
      <c r="AN120" s="9"/>
    </row>
    <row r="121" spans="1:40" hidden="1" outlineLevel="1">
      <c r="A121" s="12"/>
      <c r="I121" s="223" t="s">
        <v>230</v>
      </c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5"/>
      <c r="W121" s="73"/>
      <c r="X121" s="89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5"/>
      <c r="AL121" s="73"/>
      <c r="AM121" s="14"/>
      <c r="AN121" s="9"/>
    </row>
    <row r="122" spans="1:40" hidden="1" outlineLevel="1">
      <c r="A122" s="12"/>
      <c r="I122" s="223" t="s">
        <v>231</v>
      </c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5"/>
      <c r="W122" s="73"/>
      <c r="X122" s="89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5"/>
      <c r="AL122" s="73"/>
      <c r="AM122" s="14"/>
      <c r="AN122" s="9"/>
    </row>
    <row r="123" spans="1:40" hidden="1" outlineLevel="1">
      <c r="A123" s="12"/>
      <c r="I123" s="223" t="s">
        <v>232</v>
      </c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5"/>
      <c r="W123" s="73"/>
      <c r="X123" s="89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5"/>
      <c r="AL123" s="73"/>
      <c r="AM123" s="14"/>
      <c r="AN123" s="9"/>
    </row>
    <row r="124" spans="1:40" hidden="1" outlineLevel="1">
      <c r="A124" s="12"/>
      <c r="I124" s="223" t="s">
        <v>233</v>
      </c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5"/>
      <c r="W124" s="73"/>
      <c r="X124" s="89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5"/>
      <c r="AL124" s="73"/>
      <c r="AM124" s="14"/>
      <c r="AN124" s="9"/>
    </row>
    <row r="125" spans="1:40" hidden="1" outlineLevel="1">
      <c r="A125" s="12"/>
      <c r="I125" s="223" t="s">
        <v>234</v>
      </c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5"/>
      <c r="W125" s="73"/>
      <c r="X125" s="89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5"/>
      <c r="AL125" s="73"/>
      <c r="AM125" s="14"/>
      <c r="AN125" s="9"/>
    </row>
    <row r="126" spans="1:40" hidden="1" outlineLevel="1">
      <c r="A126" s="12"/>
      <c r="I126" s="223" t="s">
        <v>235</v>
      </c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5"/>
      <c r="W126" s="73"/>
      <c r="X126" s="89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234"/>
      <c r="AK126" s="235"/>
      <c r="AL126" s="73"/>
      <c r="AM126" s="14"/>
      <c r="AN126" s="9"/>
    </row>
    <row r="127" spans="1:40" hidden="1" outlineLevel="1">
      <c r="A127" s="12"/>
      <c r="I127" s="223" t="s">
        <v>236</v>
      </c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5"/>
      <c r="W127" s="73"/>
      <c r="X127" s="89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234"/>
      <c r="AK127" s="235"/>
      <c r="AL127" s="73"/>
      <c r="AM127" s="14"/>
      <c r="AN127" s="9"/>
    </row>
    <row r="128" spans="1:40" hidden="1" outlineLevel="1">
      <c r="A128" s="12"/>
      <c r="I128" s="223" t="s">
        <v>237</v>
      </c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5"/>
      <c r="W128" s="73"/>
      <c r="X128" s="89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234"/>
      <c r="AK128" s="235"/>
      <c r="AL128" s="73"/>
      <c r="AM128" s="14"/>
      <c r="AN128" s="9"/>
    </row>
    <row r="129" spans="1:40" hidden="1" outlineLevel="1">
      <c r="A129" s="12"/>
      <c r="I129" s="223" t="s">
        <v>238</v>
      </c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5"/>
      <c r="W129" s="73"/>
      <c r="X129" s="89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234"/>
      <c r="AK129" s="235"/>
      <c r="AL129" s="73"/>
      <c r="AM129" s="14"/>
      <c r="AN129" s="9"/>
    </row>
    <row r="130" spans="1:40" hidden="1" outlineLevel="1">
      <c r="A130" s="12"/>
      <c r="I130" s="223" t="s">
        <v>239</v>
      </c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5"/>
      <c r="W130" s="73"/>
      <c r="X130" s="89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234"/>
      <c r="AK130" s="235"/>
      <c r="AL130" s="73"/>
      <c r="AM130" s="14"/>
      <c r="AN130" s="9"/>
    </row>
    <row r="131" spans="1:40" hidden="1" outlineLevel="1">
      <c r="A131" s="12"/>
      <c r="I131" s="223" t="s">
        <v>240</v>
      </c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5"/>
      <c r="W131" s="73"/>
      <c r="X131" s="89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234"/>
      <c r="AK131" s="235"/>
      <c r="AL131" s="73"/>
      <c r="AM131" s="14"/>
      <c r="AN131" s="9"/>
    </row>
    <row r="132" spans="1:40" hidden="1" outlineLevel="1">
      <c r="A132" s="12"/>
      <c r="I132" s="223" t="s">
        <v>241</v>
      </c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5"/>
      <c r="W132" s="73"/>
      <c r="X132" s="89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234"/>
      <c r="AK132" s="235"/>
      <c r="AL132" s="73"/>
      <c r="AM132" s="14"/>
      <c r="AN132" s="9"/>
    </row>
    <row r="133" spans="1:40" hidden="1" outlineLevel="1">
      <c r="A133" s="12"/>
      <c r="I133" s="223" t="s">
        <v>242</v>
      </c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5"/>
      <c r="W133" s="73"/>
      <c r="X133" s="89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234"/>
      <c r="AK133" s="235"/>
      <c r="AL133" s="73"/>
      <c r="AM133" s="14"/>
      <c r="AN133" s="9"/>
    </row>
    <row r="134" spans="1:40" hidden="1" outlineLevel="1">
      <c r="A134" s="12"/>
      <c r="I134" s="223" t="s">
        <v>243</v>
      </c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5"/>
      <c r="W134" s="73"/>
      <c r="X134" s="89"/>
      <c r="Y134" s="234"/>
      <c r="Z134" s="234"/>
      <c r="AA134" s="234"/>
      <c r="AB134" s="234"/>
      <c r="AC134" s="234"/>
      <c r="AD134" s="234"/>
      <c r="AE134" s="234"/>
      <c r="AF134" s="234"/>
      <c r="AG134" s="234"/>
      <c r="AH134" s="234"/>
      <c r="AI134" s="234"/>
      <c r="AJ134" s="234"/>
      <c r="AK134" s="235"/>
      <c r="AL134" s="73"/>
      <c r="AM134" s="14"/>
      <c r="AN134" s="9"/>
    </row>
    <row r="135" spans="1:40" hidden="1" outlineLevel="1">
      <c r="A135" s="12"/>
      <c r="I135" s="223" t="s">
        <v>244</v>
      </c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5"/>
      <c r="W135" s="73"/>
      <c r="X135" s="89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234"/>
      <c r="AK135" s="235"/>
      <c r="AL135" s="73"/>
      <c r="AM135" s="14"/>
      <c r="AN135" s="9"/>
    </row>
    <row r="136" spans="1:40" hidden="1" outlineLevel="1">
      <c r="A136" s="12"/>
      <c r="I136" s="223" t="s">
        <v>245</v>
      </c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5"/>
      <c r="W136" s="73"/>
      <c r="X136" s="89"/>
      <c r="Y136" s="234"/>
      <c r="Z136" s="234"/>
      <c r="AA136" s="234"/>
      <c r="AB136" s="234"/>
      <c r="AC136" s="234"/>
      <c r="AD136" s="234"/>
      <c r="AE136" s="234"/>
      <c r="AF136" s="234"/>
      <c r="AG136" s="234"/>
      <c r="AH136" s="234"/>
      <c r="AI136" s="234"/>
      <c r="AJ136" s="234"/>
      <c r="AK136" s="235"/>
      <c r="AL136" s="73"/>
      <c r="AM136" s="14"/>
      <c r="AN136" s="9"/>
    </row>
    <row r="137" spans="1:40" hidden="1" outlineLevel="1">
      <c r="A137" s="12"/>
      <c r="I137" s="223" t="s">
        <v>246</v>
      </c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5"/>
      <c r="W137" s="73"/>
      <c r="X137" s="89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234"/>
      <c r="AK137" s="235"/>
      <c r="AL137" s="73"/>
      <c r="AM137" s="14"/>
      <c r="AN137" s="9"/>
    </row>
    <row r="138" spans="1:40" hidden="1" outlineLevel="1">
      <c r="A138" s="12"/>
      <c r="I138" s="223" t="s">
        <v>247</v>
      </c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5"/>
      <c r="W138" s="73"/>
      <c r="X138" s="89"/>
      <c r="Y138" s="234"/>
      <c r="Z138" s="234"/>
      <c r="AA138" s="234"/>
      <c r="AB138" s="234"/>
      <c r="AC138" s="234"/>
      <c r="AD138" s="234"/>
      <c r="AE138" s="234"/>
      <c r="AF138" s="234"/>
      <c r="AG138" s="234"/>
      <c r="AH138" s="234"/>
      <c r="AI138" s="234"/>
      <c r="AJ138" s="234"/>
      <c r="AK138" s="235"/>
      <c r="AL138" s="73"/>
      <c r="AM138" s="14"/>
      <c r="AN138" s="9"/>
    </row>
    <row r="139" spans="1:40" hidden="1" outlineLevel="1">
      <c r="A139" s="12"/>
      <c r="I139" s="223" t="s">
        <v>248</v>
      </c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5"/>
      <c r="W139" s="73"/>
      <c r="X139" s="89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234"/>
      <c r="AK139" s="235"/>
      <c r="AL139" s="73"/>
      <c r="AM139" s="14"/>
      <c r="AN139" s="9"/>
    </row>
    <row r="140" spans="1:40" hidden="1" outlineLevel="1">
      <c r="A140" s="12"/>
      <c r="I140" s="223" t="s">
        <v>249</v>
      </c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5"/>
      <c r="W140" s="73"/>
      <c r="X140" s="89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234"/>
      <c r="AK140" s="235"/>
      <c r="AL140" s="73"/>
      <c r="AM140" s="14"/>
      <c r="AN140" s="9"/>
    </row>
    <row r="141" spans="1:40" hidden="1" outlineLevel="1">
      <c r="A141" s="12"/>
      <c r="I141" s="223" t="s">
        <v>250</v>
      </c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5"/>
      <c r="W141" s="73"/>
      <c r="X141" s="89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4"/>
      <c r="AK141" s="235"/>
      <c r="AL141" s="73"/>
      <c r="AM141" s="14"/>
      <c r="AN141" s="9"/>
    </row>
    <row r="142" spans="1:40" hidden="1" outlineLevel="1">
      <c r="A142" s="12"/>
      <c r="I142" s="223" t="s">
        <v>251</v>
      </c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5"/>
      <c r="W142" s="73"/>
      <c r="X142" s="89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234"/>
      <c r="AK142" s="235"/>
      <c r="AL142" s="73"/>
      <c r="AM142" s="14"/>
      <c r="AN142" s="9"/>
    </row>
    <row r="143" spans="1:40" hidden="1" outlineLevel="1">
      <c r="A143" s="12"/>
      <c r="I143" s="223" t="s">
        <v>252</v>
      </c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5"/>
      <c r="W143" s="73"/>
      <c r="X143" s="89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234"/>
      <c r="AK143" s="235"/>
      <c r="AL143" s="73"/>
      <c r="AM143" s="14"/>
      <c r="AN143" s="9"/>
    </row>
    <row r="144" spans="1:40" hidden="1" outlineLevel="1">
      <c r="A144" s="12"/>
      <c r="I144" s="223" t="s">
        <v>253</v>
      </c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5"/>
      <c r="W144" s="73"/>
      <c r="X144" s="89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234"/>
      <c r="AK144" s="235"/>
      <c r="AL144" s="73"/>
      <c r="AM144" s="14"/>
      <c r="AN144" s="9"/>
    </row>
    <row r="145" spans="1:40" hidden="1" outlineLevel="1">
      <c r="A145" s="12"/>
      <c r="I145" s="223" t="s">
        <v>254</v>
      </c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5"/>
      <c r="W145" s="73"/>
      <c r="X145" s="89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5"/>
      <c r="AL145" s="73"/>
      <c r="AM145" s="14"/>
      <c r="AN145" s="9"/>
    </row>
    <row r="146" spans="1:40" hidden="1" outlineLevel="1">
      <c r="A146" s="12"/>
      <c r="I146" s="223" t="s">
        <v>255</v>
      </c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5"/>
      <c r="W146" s="73"/>
      <c r="X146" s="89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234"/>
      <c r="AK146" s="235"/>
      <c r="AL146" s="73"/>
      <c r="AM146" s="14"/>
      <c r="AN146" s="9"/>
    </row>
    <row r="147" spans="1:40" collapsed="1">
      <c r="A147" s="12" t="s">
        <v>256</v>
      </c>
      <c r="B147" s="8" t="s">
        <v>89</v>
      </c>
      <c r="I147" s="147" t="s">
        <v>257</v>
      </c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>
        <f>SUM(V148:V153)</f>
        <v>0</v>
      </c>
      <c r="W147" s="72" t="e">
        <f t="shared" si="13"/>
        <v>#DIV/0!</v>
      </c>
      <c r="X147" s="89"/>
      <c r="Y147" s="231">
        <f>SUM(Y148:Y153)</f>
        <v>0</v>
      </c>
      <c r="Z147" s="231">
        <f t="shared" ref="Z147:AJ147" si="24">SUM(Z148:Z153)</f>
        <v>0</v>
      </c>
      <c r="AA147" s="231">
        <f t="shared" si="24"/>
        <v>0</v>
      </c>
      <c r="AB147" s="231">
        <f t="shared" si="24"/>
        <v>0</v>
      </c>
      <c r="AC147" s="231">
        <f t="shared" si="24"/>
        <v>0</v>
      </c>
      <c r="AD147" s="231">
        <f t="shared" si="24"/>
        <v>0</v>
      </c>
      <c r="AE147" s="231">
        <f t="shared" si="24"/>
        <v>0</v>
      </c>
      <c r="AF147" s="231">
        <f t="shared" si="24"/>
        <v>0</v>
      </c>
      <c r="AG147" s="231">
        <f t="shared" si="24"/>
        <v>0</v>
      </c>
      <c r="AH147" s="231">
        <f t="shared" si="24"/>
        <v>0</v>
      </c>
      <c r="AI147" s="231">
        <f t="shared" si="24"/>
        <v>0</v>
      </c>
      <c r="AJ147" s="231">
        <f t="shared" si="24"/>
        <v>0</v>
      </c>
      <c r="AK147" s="231">
        <f>SUM(AK148:AK153)</f>
        <v>0</v>
      </c>
      <c r="AL147" s="72" t="e">
        <f t="shared" si="15"/>
        <v>#DIV/0!</v>
      </c>
      <c r="AM147" s="10">
        <f t="shared" si="21"/>
        <v>0</v>
      </c>
      <c r="AN147" s="9"/>
    </row>
    <row r="148" spans="1:40" hidden="1" outlineLevel="1">
      <c r="A148" s="12" t="s">
        <v>256</v>
      </c>
      <c r="B148" s="8" t="s">
        <v>89</v>
      </c>
      <c r="I148" t="s">
        <v>258</v>
      </c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35">
        <f>SUM(J148:U148)</f>
        <v>0</v>
      </c>
      <c r="W148" s="73" t="e">
        <f t="shared" si="13"/>
        <v>#DIV/0!</v>
      </c>
      <c r="X148" s="89"/>
      <c r="Y148" s="242">
        <v>0</v>
      </c>
      <c r="Z148" s="242">
        <v>0</v>
      </c>
      <c r="AA148" s="242">
        <v>0</v>
      </c>
      <c r="AB148" s="242">
        <v>0</v>
      </c>
      <c r="AC148" s="242">
        <v>0</v>
      </c>
      <c r="AD148" s="242">
        <v>0</v>
      </c>
      <c r="AE148" s="242">
        <v>0</v>
      </c>
      <c r="AF148" s="242">
        <v>0</v>
      </c>
      <c r="AG148" s="242">
        <v>0</v>
      </c>
      <c r="AH148" s="242">
        <v>0</v>
      </c>
      <c r="AI148" s="242">
        <v>0</v>
      </c>
      <c r="AJ148" s="242">
        <v>0</v>
      </c>
      <c r="AK148" s="235">
        <f>SUM(Y148:AJ148)</f>
        <v>0</v>
      </c>
      <c r="AL148" s="73" t="e">
        <f t="shared" si="15"/>
        <v>#DIV/0!</v>
      </c>
      <c r="AM148" s="14">
        <f t="shared" si="21"/>
        <v>0</v>
      </c>
      <c r="AN148" s="9"/>
    </row>
    <row r="149" spans="1:40" hidden="1" outlineLevel="1">
      <c r="A149" s="12" t="s">
        <v>256</v>
      </c>
      <c r="B149" s="8" t="s">
        <v>89</v>
      </c>
      <c r="I149" s="136" t="s">
        <v>259</v>
      </c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35">
        <f t="shared" ref="V149:V153" si="25">SUM(J149:U149)</f>
        <v>0</v>
      </c>
      <c r="W149" s="73" t="e">
        <f t="shared" si="13"/>
        <v>#DIV/0!</v>
      </c>
      <c r="X149" s="89"/>
      <c r="Y149" s="242">
        <v>0</v>
      </c>
      <c r="Z149" s="242">
        <v>0</v>
      </c>
      <c r="AA149" s="242">
        <v>0</v>
      </c>
      <c r="AB149" s="242">
        <v>0</v>
      </c>
      <c r="AC149" s="242">
        <v>0</v>
      </c>
      <c r="AD149" s="242">
        <v>0</v>
      </c>
      <c r="AE149" s="242">
        <v>0</v>
      </c>
      <c r="AF149" s="242">
        <v>0</v>
      </c>
      <c r="AG149" s="242">
        <v>0</v>
      </c>
      <c r="AH149" s="242">
        <v>0</v>
      </c>
      <c r="AI149" s="242">
        <v>0</v>
      </c>
      <c r="AJ149" s="242">
        <v>0</v>
      </c>
      <c r="AK149" s="235">
        <f t="shared" ref="AK149:AK153" si="26">SUM(Y149:AJ149)</f>
        <v>0</v>
      </c>
      <c r="AL149" s="73" t="e">
        <f t="shared" si="15"/>
        <v>#DIV/0!</v>
      </c>
      <c r="AM149" s="14">
        <f t="shared" si="21"/>
        <v>0</v>
      </c>
      <c r="AN149" s="9"/>
    </row>
    <row r="150" spans="1:40" hidden="1" outlineLevel="1">
      <c r="A150" s="12" t="s">
        <v>256</v>
      </c>
      <c r="B150" s="8" t="s">
        <v>89</v>
      </c>
      <c r="I150" s="136" t="s">
        <v>260</v>
      </c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35">
        <f t="shared" si="25"/>
        <v>0</v>
      </c>
      <c r="W150" s="73" t="e">
        <f t="shared" si="13"/>
        <v>#DIV/0!</v>
      </c>
      <c r="X150" s="89"/>
      <c r="Y150" s="242">
        <v>0</v>
      </c>
      <c r="Z150" s="242">
        <v>0</v>
      </c>
      <c r="AA150" s="242">
        <v>0</v>
      </c>
      <c r="AB150" s="242">
        <v>0</v>
      </c>
      <c r="AC150" s="242">
        <v>0</v>
      </c>
      <c r="AD150" s="242">
        <v>0</v>
      </c>
      <c r="AE150" s="242">
        <v>0</v>
      </c>
      <c r="AF150" s="242">
        <v>0</v>
      </c>
      <c r="AG150" s="242">
        <v>0</v>
      </c>
      <c r="AH150" s="242">
        <v>0</v>
      </c>
      <c r="AI150" s="242">
        <v>0</v>
      </c>
      <c r="AJ150" s="242">
        <v>0</v>
      </c>
      <c r="AK150" s="235">
        <f t="shared" si="26"/>
        <v>0</v>
      </c>
      <c r="AL150" s="73" t="e">
        <f t="shared" si="15"/>
        <v>#DIV/0!</v>
      </c>
      <c r="AM150" s="14">
        <f t="shared" si="21"/>
        <v>0</v>
      </c>
      <c r="AN150" s="9"/>
    </row>
    <row r="151" spans="1:40" hidden="1" outlineLevel="1">
      <c r="A151" s="12" t="s">
        <v>256</v>
      </c>
      <c r="B151" s="8" t="s">
        <v>89</v>
      </c>
      <c r="I151" s="136" t="s">
        <v>261</v>
      </c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35">
        <f t="shared" si="25"/>
        <v>0</v>
      </c>
      <c r="W151" s="73" t="e">
        <f t="shared" si="13"/>
        <v>#DIV/0!</v>
      </c>
      <c r="X151" s="89"/>
      <c r="Y151" s="242">
        <v>0</v>
      </c>
      <c r="Z151" s="242">
        <v>0</v>
      </c>
      <c r="AA151" s="242">
        <v>0</v>
      </c>
      <c r="AB151" s="242">
        <v>0</v>
      </c>
      <c r="AC151" s="242">
        <v>0</v>
      </c>
      <c r="AD151" s="242">
        <v>0</v>
      </c>
      <c r="AE151" s="242">
        <v>0</v>
      </c>
      <c r="AF151" s="242">
        <v>0</v>
      </c>
      <c r="AG151" s="242">
        <v>0</v>
      </c>
      <c r="AH151" s="242">
        <v>0</v>
      </c>
      <c r="AI151" s="242">
        <v>0</v>
      </c>
      <c r="AJ151" s="242">
        <v>0</v>
      </c>
      <c r="AK151" s="235">
        <f t="shared" si="26"/>
        <v>0</v>
      </c>
      <c r="AL151" s="73" t="e">
        <f t="shared" si="15"/>
        <v>#DIV/0!</v>
      </c>
      <c r="AM151" s="14">
        <f t="shared" si="21"/>
        <v>0</v>
      </c>
      <c r="AN151" s="9"/>
    </row>
    <row r="152" spans="1:40" hidden="1" outlineLevel="1">
      <c r="A152" s="12" t="s">
        <v>256</v>
      </c>
      <c r="B152" s="8" t="s">
        <v>89</v>
      </c>
      <c r="C152" s="19" t="s">
        <v>262</v>
      </c>
      <c r="D152" s="12"/>
      <c r="E152" s="20"/>
      <c r="F152" s="12"/>
      <c r="G152" s="12"/>
      <c r="H152" s="12"/>
      <c r="I152" s="136" t="s">
        <v>263</v>
      </c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35">
        <f t="shared" si="25"/>
        <v>0</v>
      </c>
      <c r="W152" s="73" t="e">
        <f t="shared" si="13"/>
        <v>#DIV/0!</v>
      </c>
      <c r="X152" s="89"/>
      <c r="Y152" s="242">
        <v>0</v>
      </c>
      <c r="Z152" s="242">
        <v>0</v>
      </c>
      <c r="AA152" s="242">
        <v>0</v>
      </c>
      <c r="AB152" s="242">
        <v>0</v>
      </c>
      <c r="AC152" s="242">
        <v>0</v>
      </c>
      <c r="AD152" s="242">
        <v>0</v>
      </c>
      <c r="AE152" s="242">
        <v>0</v>
      </c>
      <c r="AF152" s="242">
        <v>0</v>
      </c>
      <c r="AG152" s="242">
        <v>0</v>
      </c>
      <c r="AH152" s="242">
        <v>0</v>
      </c>
      <c r="AI152" s="242">
        <v>0</v>
      </c>
      <c r="AJ152" s="242">
        <v>0</v>
      </c>
      <c r="AK152" s="235">
        <f t="shared" si="26"/>
        <v>0</v>
      </c>
      <c r="AL152" s="73" t="e">
        <f t="shared" si="15"/>
        <v>#DIV/0!</v>
      </c>
      <c r="AM152" s="14">
        <f t="shared" si="21"/>
        <v>0</v>
      </c>
      <c r="AN152" s="9"/>
    </row>
    <row r="153" spans="1:40" hidden="1" outlineLevel="1">
      <c r="A153" s="12" t="s">
        <v>256</v>
      </c>
      <c r="B153" s="8" t="s">
        <v>89</v>
      </c>
      <c r="I153" t="s">
        <v>264</v>
      </c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35">
        <f t="shared" si="25"/>
        <v>0</v>
      </c>
      <c r="W153" s="73" t="e">
        <f t="shared" si="13"/>
        <v>#DIV/0!</v>
      </c>
      <c r="X153" s="89"/>
      <c r="Y153" s="242">
        <v>0</v>
      </c>
      <c r="Z153" s="242">
        <v>0</v>
      </c>
      <c r="AA153" s="242">
        <v>0</v>
      </c>
      <c r="AB153" s="242">
        <v>0</v>
      </c>
      <c r="AC153" s="242">
        <v>0</v>
      </c>
      <c r="AD153" s="242">
        <v>0</v>
      </c>
      <c r="AE153" s="242">
        <v>0</v>
      </c>
      <c r="AF153" s="242">
        <v>0</v>
      </c>
      <c r="AG153" s="242">
        <v>0</v>
      </c>
      <c r="AH153" s="242">
        <v>0</v>
      </c>
      <c r="AI153" s="242">
        <v>0</v>
      </c>
      <c r="AJ153" s="242">
        <v>0</v>
      </c>
      <c r="AK153" s="235">
        <f t="shared" si="26"/>
        <v>0</v>
      </c>
      <c r="AL153" s="73" t="e">
        <f t="shared" si="15"/>
        <v>#DIV/0!</v>
      </c>
      <c r="AM153" s="14">
        <f t="shared" si="21"/>
        <v>0</v>
      </c>
      <c r="AN153" s="9"/>
    </row>
    <row r="154" spans="1:40">
      <c r="I154" s="28" t="s">
        <v>265</v>
      </c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>
        <f>V50+V90+V106+V111+V147</f>
        <v>0</v>
      </c>
      <c r="W154" s="76" t="e">
        <f t="shared" si="13"/>
        <v>#DIV/0!</v>
      </c>
      <c r="X154" s="89"/>
      <c r="Y154" s="243">
        <f t="shared" ref="Y154:AK154" si="27">Y50+Y90+Y106+Y111+Y147</f>
        <v>0</v>
      </c>
      <c r="Z154" s="243">
        <f t="shared" si="27"/>
        <v>0</v>
      </c>
      <c r="AA154" s="243">
        <f t="shared" si="27"/>
        <v>0</v>
      </c>
      <c r="AB154" s="243">
        <f t="shared" si="27"/>
        <v>0</v>
      </c>
      <c r="AC154" s="243">
        <f t="shared" si="27"/>
        <v>0</v>
      </c>
      <c r="AD154" s="243">
        <f t="shared" si="27"/>
        <v>0</v>
      </c>
      <c r="AE154" s="243">
        <f t="shared" si="27"/>
        <v>0</v>
      </c>
      <c r="AF154" s="243">
        <f t="shared" si="27"/>
        <v>0</v>
      </c>
      <c r="AG154" s="243">
        <f t="shared" si="27"/>
        <v>0</v>
      </c>
      <c r="AH154" s="243">
        <f t="shared" si="27"/>
        <v>0</v>
      </c>
      <c r="AI154" s="243">
        <f t="shared" si="27"/>
        <v>0</v>
      </c>
      <c r="AJ154" s="243">
        <f t="shared" si="27"/>
        <v>0</v>
      </c>
      <c r="AK154" s="243">
        <f t="shared" si="27"/>
        <v>0</v>
      </c>
      <c r="AL154" s="76" t="e">
        <f t="shared" si="15"/>
        <v>#DIV/0!</v>
      </c>
      <c r="AM154" s="10">
        <f t="shared" si="21"/>
        <v>0</v>
      </c>
      <c r="AN154" s="9"/>
    </row>
    <row r="155" spans="1:40">
      <c r="I155" s="26" t="s">
        <v>266</v>
      </c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>
        <f>IFERROR(V153/V38,0)</f>
        <v>0</v>
      </c>
      <c r="W155" s="73" t="e">
        <f t="shared" si="13"/>
        <v>#DIV/0!</v>
      </c>
      <c r="X155" s="89"/>
      <c r="Y155" s="241">
        <f>IFERROR(Y153/Y38,0)</f>
        <v>0</v>
      </c>
      <c r="Z155" s="241">
        <f>IFERROR(Z153/Z38,0)</f>
        <v>0</v>
      </c>
      <c r="AA155" s="241">
        <f>IFERROR(AA153/AA38,0)</f>
        <v>0</v>
      </c>
      <c r="AB155" s="241">
        <f>IFERROR(AB153/AB38,0)</f>
        <v>0</v>
      </c>
      <c r="AC155" s="241">
        <f>IFERROR(AC153/AC38,0)</f>
        <v>0</v>
      </c>
      <c r="AD155" s="241">
        <f>IFERROR(AD153/AD38,0)</f>
        <v>0</v>
      </c>
      <c r="AE155" s="241">
        <f>IFERROR(AE153/AE38,0)</f>
        <v>0</v>
      </c>
      <c r="AF155" s="241">
        <f>IFERROR(AF153/AF38,0)</f>
        <v>0</v>
      </c>
      <c r="AG155" s="241">
        <f>IFERROR(AG153/AG38,0)</f>
        <v>0</v>
      </c>
      <c r="AH155" s="241">
        <f>IFERROR(AH153/AH38,0)</f>
        <v>0</v>
      </c>
      <c r="AI155" s="241">
        <f>IFERROR(AI153/AI38,0)</f>
        <v>0</v>
      </c>
      <c r="AJ155" s="241">
        <f>IFERROR(AJ153/AJ38,0)</f>
        <v>0</v>
      </c>
      <c r="AK155" s="241">
        <f>IFERROR(AK153/AK38,0)</f>
        <v>0</v>
      </c>
      <c r="AL155" s="73" t="e">
        <f t="shared" si="15"/>
        <v>#DIV/0!</v>
      </c>
      <c r="AM155" s="16">
        <f t="shared" si="21"/>
        <v>0</v>
      </c>
      <c r="AN155" s="9"/>
    </row>
    <row r="156" spans="1:40">
      <c r="I156" s="26" t="s">
        <v>267</v>
      </c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>
        <f>IFERROR(V154/V39,0)</f>
        <v>0</v>
      </c>
      <c r="W156" s="73" t="e">
        <f t="shared" si="13"/>
        <v>#DIV/0!</v>
      </c>
      <c r="X156" s="89"/>
      <c r="Y156" s="241">
        <f>IFERROR(Y154/Y39,0)</f>
        <v>0</v>
      </c>
      <c r="Z156" s="241">
        <f>IFERROR(Z154/Z39,0)</f>
        <v>0</v>
      </c>
      <c r="AA156" s="241">
        <f>IFERROR(AA154/AA39,0)</f>
        <v>0</v>
      </c>
      <c r="AB156" s="241">
        <f>IFERROR(AB154/AB39,0)</f>
        <v>0</v>
      </c>
      <c r="AC156" s="241">
        <f>IFERROR(AC154/AC39,0)</f>
        <v>0</v>
      </c>
      <c r="AD156" s="241">
        <f>IFERROR(AD154/AD39,0)</f>
        <v>0</v>
      </c>
      <c r="AE156" s="241">
        <f>IFERROR(AE154/AE39,0)</f>
        <v>0</v>
      </c>
      <c r="AF156" s="241">
        <f>IFERROR(AF154/AF39,0)</f>
        <v>0</v>
      </c>
      <c r="AG156" s="241">
        <f>IFERROR(AG154/AG39,0)</f>
        <v>0</v>
      </c>
      <c r="AH156" s="241">
        <f>IFERROR(AH154/AH39,0)</f>
        <v>0</v>
      </c>
      <c r="AI156" s="241">
        <f>IFERROR(AI154/AI39,0)</f>
        <v>0</v>
      </c>
      <c r="AJ156" s="241">
        <f>IFERROR(AJ154/AJ39,0)</f>
        <v>0</v>
      </c>
      <c r="AK156" s="241">
        <f>IFERROR(AK154/AK39,0)</f>
        <v>0</v>
      </c>
      <c r="AL156" s="73" t="e">
        <f t="shared" si="15"/>
        <v>#DIV/0!</v>
      </c>
      <c r="AM156" s="16">
        <f t="shared" si="21"/>
        <v>0</v>
      </c>
      <c r="AN156" s="9"/>
    </row>
    <row r="157" spans="1:40" ht="15.75">
      <c r="I157" s="25" t="s">
        <v>268</v>
      </c>
      <c r="J157" s="244"/>
      <c r="K157" s="244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>
        <f>V33-V154</f>
        <v>0</v>
      </c>
      <c r="W157" s="77" t="e">
        <f t="shared" si="13"/>
        <v>#DIV/0!</v>
      </c>
      <c r="X157" s="89"/>
      <c r="Y157" s="244">
        <f>Y33-Y154</f>
        <v>0</v>
      </c>
      <c r="Z157" s="244">
        <f>Z33-Z154</f>
        <v>0</v>
      </c>
      <c r="AA157" s="244">
        <f>AA33-AA154</f>
        <v>0</v>
      </c>
      <c r="AB157" s="244">
        <f>AB33-AB154</f>
        <v>0</v>
      </c>
      <c r="AC157" s="244">
        <f>AC33-AC154</f>
        <v>0</v>
      </c>
      <c r="AD157" s="244">
        <f>AD33-AD154</f>
        <v>0</v>
      </c>
      <c r="AE157" s="244">
        <f>AE33-AE154</f>
        <v>0</v>
      </c>
      <c r="AF157" s="244">
        <f>AF33-AF154</f>
        <v>0</v>
      </c>
      <c r="AG157" s="244">
        <f>AG33-AG154</f>
        <v>0</v>
      </c>
      <c r="AH157" s="244">
        <f>AH33-AH154</f>
        <v>0</v>
      </c>
      <c r="AI157" s="244">
        <f>AI33-AI154</f>
        <v>0</v>
      </c>
      <c r="AJ157" s="244">
        <f>AJ33-AJ154</f>
        <v>0</v>
      </c>
      <c r="AK157" s="244">
        <f>AK33-AK154</f>
        <v>0</v>
      </c>
      <c r="AL157" s="77" t="e">
        <f t="shared" si="15"/>
        <v>#DIV/0!</v>
      </c>
      <c r="AM157" s="23">
        <f t="shared" si="21"/>
        <v>0</v>
      </c>
      <c r="AN157" s="9"/>
    </row>
    <row r="158" spans="1:40">
      <c r="J158" s="135"/>
      <c r="W158" s="75"/>
      <c r="X158" s="89"/>
      <c r="Y158" s="135"/>
      <c r="AL158" s="75"/>
      <c r="AM158" s="13"/>
      <c r="AN158" s="9"/>
    </row>
    <row r="159" spans="1:40">
      <c r="E159" s="7" t="s">
        <v>108</v>
      </c>
      <c r="I159" s="138" t="s">
        <v>269</v>
      </c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75"/>
      <c r="X159" s="89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75"/>
      <c r="AM159" s="13"/>
      <c r="AN159" s="9"/>
    </row>
    <row r="160" spans="1:40" ht="5.25" customHeight="1">
      <c r="A160" s="21"/>
      <c r="B160" s="21"/>
      <c r="C160" s="21"/>
      <c r="D160" s="21"/>
      <c r="E160" s="22"/>
      <c r="F160" s="21"/>
      <c r="G160" s="21"/>
      <c r="H160" s="21"/>
      <c r="I160" s="138"/>
      <c r="W160" s="75"/>
      <c r="X160" s="89"/>
      <c r="AL160" s="75"/>
      <c r="AM160" s="13"/>
      <c r="AN160" s="9"/>
    </row>
    <row r="161" spans="1:40">
      <c r="A161" s="12" t="s">
        <v>154</v>
      </c>
      <c r="B161" s="8" t="s">
        <v>270</v>
      </c>
      <c r="I161" s="119" t="s">
        <v>155</v>
      </c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>
        <f>SUM(V162:V203)</f>
        <v>0</v>
      </c>
      <c r="W161" s="72" t="e">
        <f t="shared" ref="W161:W234" si="28">V161/V$6</f>
        <v>#DIV/0!</v>
      </c>
      <c r="X161" s="89"/>
      <c r="Y161" s="231">
        <f>SUM(Y162:Y210)</f>
        <v>51975</v>
      </c>
      <c r="Z161" s="231">
        <f t="shared" ref="Z161:AK161" si="29">SUM(Z162:Z210)</f>
        <v>0</v>
      </c>
      <c r="AA161" s="231">
        <f t="shared" si="29"/>
        <v>0</v>
      </c>
      <c r="AB161" s="231">
        <f t="shared" si="29"/>
        <v>51975</v>
      </c>
      <c r="AC161" s="231">
        <f t="shared" si="29"/>
        <v>0</v>
      </c>
      <c r="AD161" s="231">
        <f t="shared" si="29"/>
        <v>0</v>
      </c>
      <c r="AE161" s="231">
        <f t="shared" si="29"/>
        <v>0</v>
      </c>
      <c r="AF161" s="231">
        <f t="shared" si="29"/>
        <v>0</v>
      </c>
      <c r="AG161" s="231">
        <f t="shared" si="29"/>
        <v>0</v>
      </c>
      <c r="AH161" s="231">
        <f t="shared" si="29"/>
        <v>209505.6642</v>
      </c>
      <c r="AI161" s="231">
        <f t="shared" si="29"/>
        <v>0</v>
      </c>
      <c r="AJ161" s="231">
        <f t="shared" si="29"/>
        <v>0</v>
      </c>
      <c r="AK161" s="231">
        <f t="shared" si="29"/>
        <v>313455.6642</v>
      </c>
      <c r="AL161" s="72" t="e">
        <f t="shared" ref="AL161:AL234" si="30">AK161/AK$6</f>
        <v>#DIV/0!</v>
      </c>
      <c r="AM161" s="10">
        <f t="shared" si="21"/>
        <v>0</v>
      </c>
      <c r="AN161" s="9"/>
    </row>
    <row r="162" spans="1:40" outlineLevel="1">
      <c r="A162" s="12" t="s">
        <v>154</v>
      </c>
      <c r="B162" s="8" t="s">
        <v>270</v>
      </c>
      <c r="C162" s="8" t="s">
        <v>160</v>
      </c>
      <c r="I162" s="136" t="s">
        <v>162</v>
      </c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5">
        <f>SUM(J162:U162)</f>
        <v>0</v>
      </c>
      <c r="W162" s="73" t="e">
        <f t="shared" si="28"/>
        <v>#DIV/0!</v>
      </c>
      <c r="X162" s="89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234"/>
      <c r="AK162" s="235">
        <f>SUM(Y162:AJ162)</f>
        <v>0</v>
      </c>
      <c r="AL162" s="73" t="e">
        <f t="shared" si="30"/>
        <v>#DIV/0!</v>
      </c>
      <c r="AM162" s="14">
        <f t="shared" si="21"/>
        <v>0</v>
      </c>
      <c r="AN162" s="9"/>
    </row>
    <row r="163" spans="1:40" outlineLevel="1">
      <c r="A163" s="12" t="s">
        <v>154</v>
      </c>
      <c r="B163" s="8" t="s">
        <v>270</v>
      </c>
      <c r="I163" s="136" t="s">
        <v>158</v>
      </c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5">
        <f t="shared" ref="V163:V210" si="31">SUM(J163:U163)</f>
        <v>0</v>
      </c>
      <c r="W163" s="73" t="e">
        <f t="shared" si="28"/>
        <v>#DIV/0!</v>
      </c>
      <c r="X163" s="89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234"/>
      <c r="AK163" s="235">
        <f t="shared" ref="AK163:AK210" si="32">SUM(Y163:AJ163)</f>
        <v>0</v>
      </c>
      <c r="AL163" s="73" t="e">
        <f t="shared" si="30"/>
        <v>#DIV/0!</v>
      </c>
      <c r="AM163" s="14">
        <f t="shared" si="21"/>
        <v>0</v>
      </c>
      <c r="AN163" s="9"/>
    </row>
    <row r="164" spans="1:40" outlineLevel="1">
      <c r="A164" s="12" t="s">
        <v>154</v>
      </c>
      <c r="B164" s="8" t="s">
        <v>270</v>
      </c>
      <c r="I164" s="136" t="s">
        <v>271</v>
      </c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5">
        <f t="shared" si="31"/>
        <v>0</v>
      </c>
      <c r="W164" s="73" t="e">
        <f t="shared" si="28"/>
        <v>#DIV/0!</v>
      </c>
      <c r="X164" s="89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4"/>
      <c r="AI164" s="234"/>
      <c r="AJ164" s="234"/>
      <c r="AK164" s="235">
        <f t="shared" si="32"/>
        <v>0</v>
      </c>
      <c r="AL164" s="73" t="e">
        <f t="shared" si="30"/>
        <v>#DIV/0!</v>
      </c>
      <c r="AM164" s="14">
        <f t="shared" si="21"/>
        <v>0</v>
      </c>
      <c r="AN164" s="9"/>
    </row>
    <row r="165" spans="1:40" outlineLevel="1">
      <c r="A165" s="12"/>
      <c r="I165" s="136" t="s">
        <v>183</v>
      </c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5">
        <f>SUM(J165:U165)</f>
        <v>0</v>
      </c>
      <c r="W165" s="73" t="e">
        <f>V165/V$6</f>
        <v>#DIV/0!</v>
      </c>
      <c r="X165" s="89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234"/>
      <c r="AK165" s="235">
        <f t="shared" si="32"/>
        <v>0</v>
      </c>
      <c r="AL165" s="73" t="e">
        <f>AK165/AK$6</f>
        <v>#DIV/0!</v>
      </c>
      <c r="AM165" s="14">
        <f>IFERROR(AK165/V165-1,0)</f>
        <v>0</v>
      </c>
      <c r="AN165" s="9"/>
    </row>
    <row r="166" spans="1:40" outlineLevel="1">
      <c r="A166" s="12"/>
      <c r="I166" s="136" t="s">
        <v>194</v>
      </c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5">
        <f>SUM(J166:U166)</f>
        <v>0</v>
      </c>
      <c r="W166" s="73" t="e">
        <f>V166/V$6</f>
        <v>#DIV/0!</v>
      </c>
      <c r="X166" s="89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4"/>
      <c r="AI166" s="234"/>
      <c r="AJ166" s="234"/>
      <c r="AK166" s="235">
        <f t="shared" si="32"/>
        <v>0</v>
      </c>
      <c r="AL166" s="73" t="e">
        <f>AK166/AK$6</f>
        <v>#DIV/0!</v>
      </c>
      <c r="AM166" s="14">
        <f>IFERROR(AK166/V166-1,0)</f>
        <v>0</v>
      </c>
      <c r="AN166" s="9"/>
    </row>
    <row r="167" spans="1:40" outlineLevel="1">
      <c r="A167" s="12"/>
      <c r="I167" s="136" t="s">
        <v>272</v>
      </c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5">
        <f>SUM(J167:U167)</f>
        <v>0</v>
      </c>
      <c r="W167" s="73" t="e">
        <f>V167/V$6</f>
        <v>#DIV/0!</v>
      </c>
      <c r="X167" s="89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234"/>
      <c r="AK167" s="235">
        <f t="shared" si="32"/>
        <v>0</v>
      </c>
      <c r="AL167" s="73" t="e">
        <f>AK167/AK$6</f>
        <v>#DIV/0!</v>
      </c>
      <c r="AM167" s="14">
        <f>IFERROR(AK167/V167-1,0)</f>
        <v>0</v>
      </c>
      <c r="AN167" s="9"/>
    </row>
    <row r="168" spans="1:40" outlineLevel="1">
      <c r="A168" s="12" t="s">
        <v>154</v>
      </c>
      <c r="B168" s="8" t="s">
        <v>270</v>
      </c>
      <c r="I168" s="136" t="s">
        <v>273</v>
      </c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5">
        <f t="shared" si="31"/>
        <v>0</v>
      </c>
      <c r="W168" s="73" t="e">
        <f t="shared" si="28"/>
        <v>#DIV/0!</v>
      </c>
      <c r="X168" s="89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234"/>
      <c r="AK168" s="235">
        <f t="shared" si="32"/>
        <v>0</v>
      </c>
      <c r="AL168" s="73" t="e">
        <f t="shared" si="30"/>
        <v>#DIV/0!</v>
      </c>
      <c r="AM168" s="14">
        <f t="shared" si="21"/>
        <v>0</v>
      </c>
      <c r="AN168" s="9"/>
    </row>
    <row r="169" spans="1:40" outlineLevel="1">
      <c r="A169" s="12" t="s">
        <v>154</v>
      </c>
      <c r="B169" s="8" t="s">
        <v>270</v>
      </c>
      <c r="I169" s="136" t="s">
        <v>165</v>
      </c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5">
        <f t="shared" si="31"/>
        <v>0</v>
      </c>
      <c r="W169" s="73" t="e">
        <f t="shared" si="28"/>
        <v>#DIV/0!</v>
      </c>
      <c r="X169" s="89"/>
      <c r="Y169" s="234">
        <f>+VLOOKUP($I$169,[3]Resumen!$T$8:$AF$13,Y1,0)</f>
        <v>51975</v>
      </c>
      <c r="Z169" s="234">
        <f>+VLOOKUP($I$169,[3]Resumen!$T$8:$AF$13,Z1,0)</f>
        <v>0</v>
      </c>
      <c r="AA169" s="234">
        <f>+VLOOKUP($I$169,[3]Resumen!$T$8:$AF$13,AA1,0)</f>
        <v>0</v>
      </c>
      <c r="AB169" s="234">
        <f>+VLOOKUP($I$169,[3]Resumen!$T$8:$AF$13,AB1,0)</f>
        <v>51975</v>
      </c>
      <c r="AC169" s="234">
        <f>+VLOOKUP($I$169,[3]Resumen!$T$8:$AF$13,AC1,0)</f>
        <v>0</v>
      </c>
      <c r="AD169" s="234">
        <f>+VLOOKUP($I$169,[3]Resumen!$T$8:$AF$13,AD1,0)</f>
        <v>0</v>
      </c>
      <c r="AE169" s="234">
        <f>+VLOOKUP($I$169,[3]Resumen!$T$8:$AF$13,AE1,0)</f>
        <v>0</v>
      </c>
      <c r="AF169" s="234">
        <f>+VLOOKUP($I$169,[3]Resumen!$T$8:$AF$13,AF1,0)</f>
        <v>0</v>
      </c>
      <c r="AG169" s="234">
        <f>+VLOOKUP($I$169,[3]Resumen!$T$8:$AF$13,AG1,0)</f>
        <v>0</v>
      </c>
      <c r="AH169" s="234">
        <f>+VLOOKUP($I$169,[3]Resumen!$T$8:$AF$13,AH1,0)</f>
        <v>209505.6642</v>
      </c>
      <c r="AI169" s="234">
        <f>+VLOOKUP($I$169,[3]Resumen!$T$8:$AF$13,AI1,0)</f>
        <v>0</v>
      </c>
      <c r="AJ169" s="234">
        <f>+VLOOKUP($I$169,[3]Resumen!$T$8:$AF$13,AJ1,0)</f>
        <v>0</v>
      </c>
      <c r="AK169" s="235">
        <f t="shared" si="32"/>
        <v>313455.6642</v>
      </c>
      <c r="AL169" s="73" t="e">
        <f t="shared" si="30"/>
        <v>#DIV/0!</v>
      </c>
      <c r="AM169" s="14">
        <f t="shared" si="21"/>
        <v>0</v>
      </c>
      <c r="AN169" s="9"/>
    </row>
    <row r="170" spans="1:40" outlineLevel="1">
      <c r="A170" s="12" t="s">
        <v>154</v>
      </c>
      <c r="B170" s="8" t="s">
        <v>270</v>
      </c>
      <c r="I170" s="136" t="s">
        <v>178</v>
      </c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5">
        <f t="shared" si="31"/>
        <v>0</v>
      </c>
      <c r="W170" s="73" t="e">
        <f t="shared" si="28"/>
        <v>#DIV/0!</v>
      </c>
      <c r="X170" s="89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4"/>
      <c r="AI170" s="234"/>
      <c r="AJ170" s="234"/>
      <c r="AK170" s="235">
        <f t="shared" si="32"/>
        <v>0</v>
      </c>
      <c r="AL170" s="73" t="e">
        <f t="shared" si="30"/>
        <v>#DIV/0!</v>
      </c>
      <c r="AM170" s="14">
        <f t="shared" si="21"/>
        <v>0</v>
      </c>
      <c r="AN170" s="9"/>
    </row>
    <row r="171" spans="1:40" outlineLevel="1">
      <c r="A171" s="12" t="s">
        <v>154</v>
      </c>
      <c r="B171" s="8" t="s">
        <v>270</v>
      </c>
      <c r="I171" s="136" t="s">
        <v>274</v>
      </c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5">
        <f t="shared" si="31"/>
        <v>0</v>
      </c>
      <c r="W171" s="73" t="e">
        <f t="shared" si="28"/>
        <v>#DIV/0!</v>
      </c>
      <c r="X171" s="89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J171" s="234"/>
      <c r="AK171" s="235">
        <f t="shared" si="32"/>
        <v>0</v>
      </c>
      <c r="AL171" s="73" t="e">
        <f t="shared" si="30"/>
        <v>#DIV/0!</v>
      </c>
      <c r="AM171" s="14">
        <f t="shared" si="21"/>
        <v>0</v>
      </c>
      <c r="AN171" s="9"/>
    </row>
    <row r="172" spans="1:40" outlineLevel="1">
      <c r="A172" s="12" t="s">
        <v>154</v>
      </c>
      <c r="B172" s="8" t="s">
        <v>270</v>
      </c>
      <c r="I172" s="136" t="s">
        <v>185</v>
      </c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5">
        <f t="shared" si="31"/>
        <v>0</v>
      </c>
      <c r="W172" s="73" t="e">
        <f t="shared" si="28"/>
        <v>#DIV/0!</v>
      </c>
      <c r="X172" s="89"/>
      <c r="Y172" s="234"/>
      <c r="Z172" s="234"/>
      <c r="AA172" s="234"/>
      <c r="AB172" s="234"/>
      <c r="AC172" s="234"/>
      <c r="AD172" s="234"/>
      <c r="AE172" s="234"/>
      <c r="AF172" s="234"/>
      <c r="AG172" s="234"/>
      <c r="AH172" s="234"/>
      <c r="AI172" s="234"/>
      <c r="AJ172" s="234"/>
      <c r="AK172" s="235">
        <f t="shared" si="32"/>
        <v>0</v>
      </c>
      <c r="AL172" s="73" t="e">
        <f t="shared" si="30"/>
        <v>#DIV/0!</v>
      </c>
      <c r="AM172" s="14">
        <f t="shared" si="21"/>
        <v>0</v>
      </c>
      <c r="AN172" s="9"/>
    </row>
    <row r="173" spans="1:40" outlineLevel="1">
      <c r="A173" s="12" t="s">
        <v>154</v>
      </c>
      <c r="B173" s="8" t="s">
        <v>270</v>
      </c>
      <c r="I173" s="136" t="s">
        <v>164</v>
      </c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5">
        <f t="shared" si="31"/>
        <v>0</v>
      </c>
      <c r="W173" s="73" t="e">
        <f t="shared" si="28"/>
        <v>#DIV/0!</v>
      </c>
      <c r="X173" s="89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J173" s="234"/>
      <c r="AK173" s="235">
        <f t="shared" si="32"/>
        <v>0</v>
      </c>
      <c r="AL173" s="73" t="e">
        <f t="shared" si="30"/>
        <v>#DIV/0!</v>
      </c>
      <c r="AM173" s="14">
        <f t="shared" si="21"/>
        <v>0</v>
      </c>
      <c r="AN173" s="9"/>
    </row>
    <row r="174" spans="1:40" outlineLevel="1">
      <c r="A174" s="12" t="s">
        <v>154</v>
      </c>
      <c r="B174" s="8" t="s">
        <v>270</v>
      </c>
      <c r="I174" s="136" t="s">
        <v>275</v>
      </c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5">
        <f t="shared" si="31"/>
        <v>0</v>
      </c>
      <c r="W174" s="73" t="e">
        <f t="shared" si="28"/>
        <v>#DIV/0!</v>
      </c>
      <c r="X174" s="89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J174" s="234"/>
      <c r="AK174" s="235">
        <f t="shared" si="32"/>
        <v>0</v>
      </c>
      <c r="AL174" s="73" t="e">
        <f t="shared" si="30"/>
        <v>#DIV/0!</v>
      </c>
      <c r="AM174" s="14">
        <f t="shared" si="21"/>
        <v>0</v>
      </c>
      <c r="AN174" s="9"/>
    </row>
    <row r="175" spans="1:40" outlineLevel="1">
      <c r="A175" s="12" t="s">
        <v>154</v>
      </c>
      <c r="B175" s="8" t="s">
        <v>270</v>
      </c>
      <c r="I175" s="136" t="s">
        <v>276</v>
      </c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5">
        <f t="shared" si="31"/>
        <v>0</v>
      </c>
      <c r="W175" s="73" t="e">
        <f t="shared" si="28"/>
        <v>#DIV/0!</v>
      </c>
      <c r="X175" s="89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234"/>
      <c r="AK175" s="235">
        <f t="shared" si="32"/>
        <v>0</v>
      </c>
      <c r="AL175" s="73" t="e">
        <f t="shared" si="30"/>
        <v>#DIV/0!</v>
      </c>
      <c r="AM175" s="14">
        <f t="shared" si="21"/>
        <v>0</v>
      </c>
      <c r="AN175" s="9"/>
    </row>
    <row r="176" spans="1:40" outlineLevel="1">
      <c r="A176" s="12" t="s">
        <v>154</v>
      </c>
      <c r="B176" s="8" t="s">
        <v>270</v>
      </c>
      <c r="I176" s="136" t="s">
        <v>167</v>
      </c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5">
        <f t="shared" si="31"/>
        <v>0</v>
      </c>
      <c r="W176" s="73" t="e">
        <f t="shared" si="28"/>
        <v>#DIV/0!</v>
      </c>
      <c r="X176" s="89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J176" s="234"/>
      <c r="AK176" s="235">
        <f t="shared" si="32"/>
        <v>0</v>
      </c>
      <c r="AL176" s="73" t="e">
        <f t="shared" si="30"/>
        <v>#DIV/0!</v>
      </c>
      <c r="AM176" s="14">
        <f t="shared" si="21"/>
        <v>0</v>
      </c>
      <c r="AN176" s="9"/>
    </row>
    <row r="177" spans="1:40" outlineLevel="1">
      <c r="A177" s="12" t="s">
        <v>154</v>
      </c>
      <c r="B177" s="8" t="s">
        <v>270</v>
      </c>
      <c r="I177" s="136" t="s">
        <v>182</v>
      </c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5">
        <f t="shared" si="31"/>
        <v>0</v>
      </c>
      <c r="W177" s="73" t="e">
        <f t="shared" si="28"/>
        <v>#DIV/0!</v>
      </c>
      <c r="X177" s="89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234"/>
      <c r="AK177" s="235">
        <f t="shared" si="32"/>
        <v>0</v>
      </c>
      <c r="AL177" s="73" t="e">
        <f t="shared" si="30"/>
        <v>#DIV/0!</v>
      </c>
      <c r="AM177" s="14">
        <f t="shared" si="21"/>
        <v>0</v>
      </c>
      <c r="AN177" s="9"/>
    </row>
    <row r="178" spans="1:40" outlineLevel="1">
      <c r="A178" s="12" t="s">
        <v>154</v>
      </c>
      <c r="B178" s="8" t="s">
        <v>270</v>
      </c>
      <c r="I178" s="136" t="s">
        <v>193</v>
      </c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5">
        <f t="shared" si="31"/>
        <v>0</v>
      </c>
      <c r="W178" s="73" t="e">
        <f t="shared" si="28"/>
        <v>#DIV/0!</v>
      </c>
      <c r="X178" s="89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234"/>
      <c r="AK178" s="235">
        <f t="shared" si="32"/>
        <v>0</v>
      </c>
      <c r="AL178" s="73" t="e">
        <f t="shared" si="30"/>
        <v>#DIV/0!</v>
      </c>
      <c r="AM178" s="14">
        <f t="shared" si="21"/>
        <v>0</v>
      </c>
      <c r="AN178" s="9"/>
    </row>
    <row r="179" spans="1:40" outlineLevel="1">
      <c r="A179" s="12" t="s">
        <v>154</v>
      </c>
      <c r="B179" s="8" t="s">
        <v>270</v>
      </c>
      <c r="I179" s="136" t="s">
        <v>156</v>
      </c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5">
        <f t="shared" si="31"/>
        <v>0</v>
      </c>
      <c r="W179" s="73" t="e">
        <f t="shared" si="28"/>
        <v>#DIV/0!</v>
      </c>
      <c r="X179" s="89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234"/>
      <c r="AK179" s="235">
        <f t="shared" si="32"/>
        <v>0</v>
      </c>
      <c r="AL179" s="73" t="e">
        <f t="shared" si="30"/>
        <v>#DIV/0!</v>
      </c>
      <c r="AM179" s="14">
        <f t="shared" si="21"/>
        <v>0</v>
      </c>
      <c r="AN179" s="9"/>
    </row>
    <row r="180" spans="1:40" outlineLevel="1">
      <c r="A180" s="12" t="s">
        <v>154</v>
      </c>
      <c r="B180" s="8" t="s">
        <v>270</v>
      </c>
      <c r="I180" s="136" t="s">
        <v>184</v>
      </c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5">
        <f t="shared" si="31"/>
        <v>0</v>
      </c>
      <c r="W180" s="73" t="e">
        <f t="shared" si="28"/>
        <v>#DIV/0!</v>
      </c>
      <c r="X180" s="89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45"/>
      <c r="AI180" s="234"/>
      <c r="AJ180" s="234"/>
      <c r="AK180" s="235">
        <f t="shared" si="32"/>
        <v>0</v>
      </c>
      <c r="AL180" s="73" t="e">
        <f t="shared" si="30"/>
        <v>#DIV/0!</v>
      </c>
      <c r="AM180" s="14">
        <f t="shared" si="21"/>
        <v>0</v>
      </c>
      <c r="AN180" s="9"/>
    </row>
    <row r="181" spans="1:40" outlineLevel="1">
      <c r="A181" s="12" t="s">
        <v>154</v>
      </c>
      <c r="B181" s="8" t="s">
        <v>270</v>
      </c>
      <c r="C181" s="19"/>
      <c r="I181" s="136" t="s">
        <v>277</v>
      </c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5">
        <f t="shared" si="31"/>
        <v>0</v>
      </c>
      <c r="W181" s="73" t="e">
        <f t="shared" si="28"/>
        <v>#DIV/0!</v>
      </c>
      <c r="X181" s="89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4"/>
      <c r="AK181" s="235">
        <f t="shared" si="32"/>
        <v>0</v>
      </c>
      <c r="AL181" s="73" t="e">
        <f t="shared" si="30"/>
        <v>#DIV/0!</v>
      </c>
      <c r="AM181" s="14">
        <f t="shared" si="21"/>
        <v>0</v>
      </c>
      <c r="AN181" s="9"/>
    </row>
    <row r="182" spans="1:40" outlineLevel="1">
      <c r="A182" s="12" t="s">
        <v>154</v>
      </c>
      <c r="B182" s="8" t="s">
        <v>270</v>
      </c>
      <c r="C182" s="19"/>
      <c r="I182" s="136" t="s">
        <v>173</v>
      </c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5">
        <f t="shared" si="31"/>
        <v>0</v>
      </c>
      <c r="W182" s="73" t="e">
        <f t="shared" si="28"/>
        <v>#DIV/0!</v>
      </c>
      <c r="X182" s="89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4"/>
      <c r="AI182" s="234"/>
      <c r="AJ182" s="234"/>
      <c r="AK182" s="235">
        <f t="shared" si="32"/>
        <v>0</v>
      </c>
      <c r="AL182" s="73" t="e">
        <f t="shared" si="30"/>
        <v>#DIV/0!</v>
      </c>
      <c r="AM182" s="14">
        <f t="shared" si="21"/>
        <v>0</v>
      </c>
      <c r="AN182" s="9"/>
    </row>
    <row r="183" spans="1:40" outlineLevel="1">
      <c r="A183" s="12" t="s">
        <v>154</v>
      </c>
      <c r="B183" s="8" t="s">
        <v>270</v>
      </c>
      <c r="C183" s="19" t="s">
        <v>190</v>
      </c>
      <c r="D183" s="12"/>
      <c r="E183" s="20"/>
      <c r="F183" s="12"/>
      <c r="G183" s="12"/>
      <c r="H183" s="12"/>
      <c r="I183" s="136" t="s">
        <v>161</v>
      </c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5">
        <f t="shared" si="31"/>
        <v>0</v>
      </c>
      <c r="W183" s="73" t="e">
        <f t="shared" si="28"/>
        <v>#DIV/0!</v>
      </c>
      <c r="X183" s="89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234"/>
      <c r="AK183" s="235">
        <f t="shared" si="32"/>
        <v>0</v>
      </c>
      <c r="AL183" s="73" t="e">
        <f t="shared" si="30"/>
        <v>#DIV/0!</v>
      </c>
      <c r="AM183" s="14">
        <f t="shared" si="21"/>
        <v>0</v>
      </c>
      <c r="AN183" s="9"/>
    </row>
    <row r="184" spans="1:40" outlineLevel="1">
      <c r="A184" s="12" t="s">
        <v>154</v>
      </c>
      <c r="B184" s="8" t="s">
        <v>270</v>
      </c>
      <c r="I184" s="136" t="s">
        <v>171</v>
      </c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5">
        <f t="shared" si="31"/>
        <v>0</v>
      </c>
      <c r="W184" s="73" t="e">
        <f t="shared" si="28"/>
        <v>#DIV/0!</v>
      </c>
      <c r="X184" s="89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4"/>
      <c r="AI184" s="234"/>
      <c r="AJ184" s="234"/>
      <c r="AK184" s="235">
        <f t="shared" si="32"/>
        <v>0</v>
      </c>
      <c r="AL184" s="73" t="e">
        <f t="shared" si="30"/>
        <v>#DIV/0!</v>
      </c>
      <c r="AM184" s="14">
        <f t="shared" si="21"/>
        <v>0</v>
      </c>
      <c r="AN184" s="9"/>
    </row>
    <row r="185" spans="1:40" outlineLevel="1">
      <c r="A185" s="12" t="s">
        <v>154</v>
      </c>
      <c r="B185" s="8" t="s">
        <v>270</v>
      </c>
      <c r="I185" s="136" t="s">
        <v>180</v>
      </c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5">
        <f t="shared" si="31"/>
        <v>0</v>
      </c>
      <c r="W185" s="73" t="e">
        <f t="shared" si="28"/>
        <v>#DIV/0!</v>
      </c>
      <c r="X185" s="89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234"/>
      <c r="AK185" s="235">
        <f t="shared" si="32"/>
        <v>0</v>
      </c>
      <c r="AL185" s="73" t="e">
        <f t="shared" si="30"/>
        <v>#DIV/0!</v>
      </c>
      <c r="AM185" s="14">
        <f t="shared" si="21"/>
        <v>0</v>
      </c>
      <c r="AN185" s="9"/>
    </row>
    <row r="186" spans="1:40" outlineLevel="1">
      <c r="A186" s="12" t="s">
        <v>154</v>
      </c>
      <c r="B186" s="8" t="s">
        <v>270</v>
      </c>
      <c r="I186" s="136" t="s">
        <v>179</v>
      </c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5">
        <f t="shared" si="31"/>
        <v>0</v>
      </c>
      <c r="W186" s="73" t="e">
        <f t="shared" si="28"/>
        <v>#DIV/0!</v>
      </c>
      <c r="X186" s="89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4"/>
      <c r="AI186" s="234"/>
      <c r="AJ186" s="234"/>
      <c r="AK186" s="235">
        <f t="shared" si="32"/>
        <v>0</v>
      </c>
      <c r="AL186" s="73" t="e">
        <f t="shared" si="30"/>
        <v>#DIV/0!</v>
      </c>
      <c r="AM186" s="14">
        <f t="shared" si="21"/>
        <v>0</v>
      </c>
      <c r="AN186" s="9"/>
    </row>
    <row r="187" spans="1:40" outlineLevel="1">
      <c r="A187" s="12" t="s">
        <v>154</v>
      </c>
      <c r="B187" s="8" t="s">
        <v>270</v>
      </c>
      <c r="I187" s="136" t="s">
        <v>190</v>
      </c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5">
        <f t="shared" si="31"/>
        <v>0</v>
      </c>
      <c r="W187" s="73" t="e">
        <f t="shared" si="28"/>
        <v>#DIV/0!</v>
      </c>
      <c r="X187" s="89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234"/>
      <c r="AK187" s="235">
        <f t="shared" si="32"/>
        <v>0</v>
      </c>
      <c r="AL187" s="73" t="e">
        <f t="shared" si="30"/>
        <v>#DIV/0!</v>
      </c>
      <c r="AM187" s="14">
        <f t="shared" si="21"/>
        <v>0</v>
      </c>
      <c r="AN187" s="9"/>
    </row>
    <row r="188" spans="1:40" outlineLevel="1">
      <c r="A188" s="12" t="s">
        <v>154</v>
      </c>
      <c r="B188" s="8" t="s">
        <v>270</v>
      </c>
      <c r="I188" s="136" t="s">
        <v>163</v>
      </c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5">
        <f t="shared" si="31"/>
        <v>0</v>
      </c>
      <c r="W188" s="73" t="e">
        <f t="shared" si="28"/>
        <v>#DIV/0!</v>
      </c>
      <c r="X188" s="89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235">
        <f t="shared" si="32"/>
        <v>0</v>
      </c>
      <c r="AL188" s="73" t="e">
        <f t="shared" si="30"/>
        <v>#DIV/0!</v>
      </c>
      <c r="AM188" s="14">
        <f t="shared" si="21"/>
        <v>0</v>
      </c>
      <c r="AN188" s="9"/>
    </row>
    <row r="189" spans="1:40" outlineLevel="1">
      <c r="A189" s="12" t="s">
        <v>154</v>
      </c>
      <c r="B189" s="8" t="s">
        <v>270</v>
      </c>
      <c r="C189" s="8" t="s">
        <v>172</v>
      </c>
      <c r="I189" s="136" t="s">
        <v>278</v>
      </c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5">
        <f t="shared" si="31"/>
        <v>0</v>
      </c>
      <c r="W189" s="73" t="e">
        <f t="shared" si="28"/>
        <v>#DIV/0!</v>
      </c>
      <c r="X189" s="89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5">
        <f t="shared" si="32"/>
        <v>0</v>
      </c>
      <c r="AL189" s="73" t="e">
        <f t="shared" si="30"/>
        <v>#DIV/0!</v>
      </c>
      <c r="AM189" s="14">
        <f t="shared" si="21"/>
        <v>0</v>
      </c>
      <c r="AN189" s="9"/>
    </row>
    <row r="190" spans="1:40" outlineLevel="1">
      <c r="A190" s="12" t="s">
        <v>154</v>
      </c>
      <c r="B190" s="8" t="s">
        <v>270</v>
      </c>
      <c r="I190" s="136" t="s">
        <v>279</v>
      </c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5">
        <f t="shared" si="31"/>
        <v>0</v>
      </c>
      <c r="W190" s="73" t="e">
        <f t="shared" si="28"/>
        <v>#DIV/0!</v>
      </c>
      <c r="X190" s="89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234"/>
      <c r="AK190" s="235">
        <f t="shared" si="32"/>
        <v>0</v>
      </c>
      <c r="AL190" s="73" t="e">
        <f t="shared" si="30"/>
        <v>#DIV/0!</v>
      </c>
      <c r="AM190" s="14">
        <f t="shared" si="21"/>
        <v>0</v>
      </c>
      <c r="AN190" s="9"/>
    </row>
    <row r="191" spans="1:40" outlineLevel="1">
      <c r="A191" s="12" t="s">
        <v>154</v>
      </c>
      <c r="B191" s="8" t="s">
        <v>270</v>
      </c>
      <c r="I191" s="136" t="s">
        <v>280</v>
      </c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5">
        <f t="shared" si="31"/>
        <v>0</v>
      </c>
      <c r="W191" s="73" t="e">
        <f t="shared" si="28"/>
        <v>#DIV/0!</v>
      </c>
      <c r="X191" s="89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235">
        <f t="shared" si="32"/>
        <v>0</v>
      </c>
      <c r="AL191" s="73" t="e">
        <f t="shared" si="30"/>
        <v>#DIV/0!</v>
      </c>
      <c r="AM191" s="14">
        <f t="shared" si="21"/>
        <v>0</v>
      </c>
      <c r="AN191" s="9"/>
    </row>
    <row r="192" spans="1:40" outlineLevel="1">
      <c r="A192" s="12" t="s">
        <v>154</v>
      </c>
      <c r="B192" s="8" t="s">
        <v>270</v>
      </c>
      <c r="I192" s="136" t="s">
        <v>281</v>
      </c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5">
        <f t="shared" si="31"/>
        <v>0</v>
      </c>
      <c r="W192" s="73" t="e">
        <f t="shared" si="28"/>
        <v>#DIV/0!</v>
      </c>
      <c r="X192" s="89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234"/>
      <c r="AK192" s="235">
        <f t="shared" si="32"/>
        <v>0</v>
      </c>
      <c r="AL192" s="73" t="e">
        <f t="shared" si="30"/>
        <v>#DIV/0!</v>
      </c>
      <c r="AM192" s="14">
        <f t="shared" ref="AM192:AM282" si="33">IFERROR(AK192/V192-1,0)</f>
        <v>0</v>
      </c>
      <c r="AN192" s="9"/>
    </row>
    <row r="193" spans="1:40" outlineLevel="1">
      <c r="A193" s="12"/>
      <c r="I193" s="136" t="s">
        <v>282</v>
      </c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5">
        <f>SUM(J193:U193)</f>
        <v>0</v>
      </c>
      <c r="W193" s="73" t="e">
        <f>V193/V$6</f>
        <v>#DIV/0!</v>
      </c>
      <c r="X193" s="89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5">
        <f t="shared" si="32"/>
        <v>0</v>
      </c>
      <c r="AL193" s="73" t="e">
        <f>AK193/AK$6</f>
        <v>#DIV/0!</v>
      </c>
      <c r="AM193" s="14">
        <f>IFERROR(AK193/V193-1,0)</f>
        <v>0</v>
      </c>
      <c r="AN193" s="9"/>
    </row>
    <row r="194" spans="1:40" outlineLevel="1">
      <c r="A194" s="12" t="s">
        <v>154</v>
      </c>
      <c r="B194" s="8" t="s">
        <v>270</v>
      </c>
      <c r="I194" s="136" t="s">
        <v>177</v>
      </c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5">
        <f t="shared" si="31"/>
        <v>0</v>
      </c>
      <c r="W194" s="73" t="e">
        <f t="shared" si="28"/>
        <v>#DIV/0!</v>
      </c>
      <c r="X194" s="89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5">
        <f t="shared" si="32"/>
        <v>0</v>
      </c>
      <c r="AL194" s="73" t="e">
        <f t="shared" si="30"/>
        <v>#DIV/0!</v>
      </c>
      <c r="AM194" s="14">
        <f t="shared" si="33"/>
        <v>0</v>
      </c>
      <c r="AN194" s="9"/>
    </row>
    <row r="195" spans="1:40" outlineLevel="1">
      <c r="A195" s="12" t="s">
        <v>154</v>
      </c>
      <c r="B195" s="8" t="s">
        <v>270</v>
      </c>
      <c r="I195" s="136" t="s">
        <v>175</v>
      </c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5">
        <f t="shared" si="31"/>
        <v>0</v>
      </c>
      <c r="W195" s="73" t="e">
        <f t="shared" si="28"/>
        <v>#DIV/0!</v>
      </c>
      <c r="X195" s="89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235">
        <f t="shared" si="32"/>
        <v>0</v>
      </c>
      <c r="AL195" s="73" t="e">
        <f t="shared" si="30"/>
        <v>#DIV/0!</v>
      </c>
      <c r="AM195" s="14">
        <f t="shared" si="33"/>
        <v>0</v>
      </c>
      <c r="AN195" s="9"/>
    </row>
    <row r="196" spans="1:40" outlineLevel="1">
      <c r="A196" s="12" t="s">
        <v>154</v>
      </c>
      <c r="B196" s="8" t="s">
        <v>270</v>
      </c>
      <c r="I196" s="136" t="s">
        <v>168</v>
      </c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5">
        <f t="shared" si="31"/>
        <v>0</v>
      </c>
      <c r="W196" s="73" t="e">
        <f t="shared" si="28"/>
        <v>#DIV/0!</v>
      </c>
      <c r="X196" s="89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234"/>
      <c r="AK196" s="235">
        <f t="shared" si="32"/>
        <v>0</v>
      </c>
      <c r="AL196" s="73" t="e">
        <f t="shared" si="30"/>
        <v>#DIV/0!</v>
      </c>
      <c r="AM196" s="14">
        <f t="shared" si="33"/>
        <v>0</v>
      </c>
      <c r="AN196" s="9"/>
    </row>
    <row r="197" spans="1:40" outlineLevel="1">
      <c r="A197" s="12" t="s">
        <v>154</v>
      </c>
      <c r="B197" s="8" t="s">
        <v>270</v>
      </c>
      <c r="I197" s="136" t="s">
        <v>170</v>
      </c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5">
        <f t="shared" si="31"/>
        <v>0</v>
      </c>
      <c r="W197" s="73" t="e">
        <f t="shared" si="28"/>
        <v>#DIV/0!</v>
      </c>
      <c r="X197" s="89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5">
        <f t="shared" si="32"/>
        <v>0</v>
      </c>
      <c r="AL197" s="73" t="e">
        <f t="shared" si="30"/>
        <v>#DIV/0!</v>
      </c>
      <c r="AM197" s="14">
        <f t="shared" si="33"/>
        <v>0</v>
      </c>
      <c r="AN197" s="9"/>
    </row>
    <row r="198" spans="1:40" outlineLevel="1">
      <c r="A198" s="12" t="s">
        <v>154</v>
      </c>
      <c r="B198" s="8" t="s">
        <v>270</v>
      </c>
      <c r="I198" s="136" t="s">
        <v>159</v>
      </c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5">
        <f t="shared" si="31"/>
        <v>0</v>
      </c>
      <c r="W198" s="73" t="e">
        <f t="shared" si="28"/>
        <v>#DIV/0!</v>
      </c>
      <c r="X198" s="89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234"/>
      <c r="AK198" s="235">
        <f t="shared" si="32"/>
        <v>0</v>
      </c>
      <c r="AL198" s="73" t="e">
        <f t="shared" si="30"/>
        <v>#DIV/0!</v>
      </c>
      <c r="AM198" s="14">
        <f t="shared" si="33"/>
        <v>0</v>
      </c>
      <c r="AN198" s="9"/>
    </row>
    <row r="199" spans="1:40" outlineLevel="1">
      <c r="A199" s="12" t="s">
        <v>154</v>
      </c>
      <c r="B199" s="8" t="s">
        <v>270</v>
      </c>
      <c r="I199" s="136" t="s">
        <v>283</v>
      </c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5">
        <f t="shared" si="31"/>
        <v>0</v>
      </c>
      <c r="W199" s="73" t="e">
        <f t="shared" si="28"/>
        <v>#DIV/0!</v>
      </c>
      <c r="X199" s="89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235">
        <f t="shared" si="32"/>
        <v>0</v>
      </c>
      <c r="AL199" s="73" t="e">
        <f t="shared" si="30"/>
        <v>#DIV/0!</v>
      </c>
      <c r="AM199" s="14">
        <f t="shared" si="33"/>
        <v>0</v>
      </c>
      <c r="AN199" s="9"/>
    </row>
    <row r="200" spans="1:40" outlineLevel="1">
      <c r="A200" s="12" t="s">
        <v>154</v>
      </c>
      <c r="B200" s="8" t="s">
        <v>270</v>
      </c>
      <c r="I200" s="136" t="s">
        <v>284</v>
      </c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5">
        <f t="shared" si="31"/>
        <v>0</v>
      </c>
      <c r="W200" s="73" t="e">
        <f t="shared" si="28"/>
        <v>#DIV/0!</v>
      </c>
      <c r="X200" s="89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234"/>
      <c r="AK200" s="235">
        <f t="shared" si="32"/>
        <v>0</v>
      </c>
      <c r="AL200" s="73" t="e">
        <f t="shared" si="30"/>
        <v>#DIV/0!</v>
      </c>
      <c r="AM200" s="14">
        <f t="shared" si="33"/>
        <v>0</v>
      </c>
      <c r="AN200" s="9"/>
    </row>
    <row r="201" spans="1:40" outlineLevel="1">
      <c r="A201" s="12" t="s">
        <v>154</v>
      </c>
      <c r="B201" s="8" t="s">
        <v>270</v>
      </c>
      <c r="I201" s="136" t="s">
        <v>157</v>
      </c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5">
        <f t="shared" si="31"/>
        <v>0</v>
      </c>
      <c r="W201" s="73" t="e">
        <f t="shared" si="28"/>
        <v>#DIV/0!</v>
      </c>
      <c r="X201" s="89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235">
        <f t="shared" si="32"/>
        <v>0</v>
      </c>
      <c r="AL201" s="73" t="e">
        <f t="shared" si="30"/>
        <v>#DIV/0!</v>
      </c>
      <c r="AM201" s="14">
        <f t="shared" si="33"/>
        <v>0</v>
      </c>
      <c r="AN201" s="9"/>
    </row>
    <row r="202" spans="1:40" outlineLevel="1">
      <c r="A202" s="12" t="s">
        <v>154</v>
      </c>
      <c r="B202" s="8" t="s">
        <v>270</v>
      </c>
      <c r="I202" s="136" t="s">
        <v>189</v>
      </c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5">
        <f t="shared" si="31"/>
        <v>0</v>
      </c>
      <c r="W202" s="73" t="e">
        <f t="shared" si="28"/>
        <v>#DIV/0!</v>
      </c>
      <c r="X202" s="89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234"/>
      <c r="AK202" s="235">
        <f t="shared" si="32"/>
        <v>0</v>
      </c>
      <c r="AL202" s="73" t="e">
        <f t="shared" si="30"/>
        <v>#DIV/0!</v>
      </c>
      <c r="AM202" s="14">
        <f t="shared" si="33"/>
        <v>0</v>
      </c>
      <c r="AN202" s="9"/>
    </row>
    <row r="203" spans="1:40" outlineLevel="1">
      <c r="A203" s="12" t="s">
        <v>154</v>
      </c>
      <c r="B203" s="8" t="s">
        <v>270</v>
      </c>
      <c r="I203" s="136" t="s">
        <v>181</v>
      </c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5">
        <f t="shared" si="31"/>
        <v>0</v>
      </c>
      <c r="W203" s="73" t="e">
        <f t="shared" si="28"/>
        <v>#DIV/0!</v>
      </c>
      <c r="X203" s="89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235">
        <f t="shared" si="32"/>
        <v>0</v>
      </c>
      <c r="AL203" s="73" t="e">
        <f t="shared" si="30"/>
        <v>#DIV/0!</v>
      </c>
      <c r="AM203" s="14">
        <f t="shared" si="33"/>
        <v>0</v>
      </c>
      <c r="AN203" s="9"/>
    </row>
    <row r="204" spans="1:40" outlineLevel="1">
      <c r="A204" s="12"/>
      <c r="I204" s="136" t="s">
        <v>285</v>
      </c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5">
        <f t="shared" si="31"/>
        <v>0</v>
      </c>
      <c r="W204" s="73" t="e">
        <f t="shared" si="28"/>
        <v>#DIV/0!</v>
      </c>
      <c r="X204" s="89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235">
        <f t="shared" si="32"/>
        <v>0</v>
      </c>
      <c r="AL204" s="73" t="e">
        <f t="shared" si="30"/>
        <v>#DIV/0!</v>
      </c>
      <c r="AM204" s="14">
        <f t="shared" si="33"/>
        <v>0</v>
      </c>
      <c r="AN204" s="9"/>
    </row>
    <row r="205" spans="1:40" outlineLevel="1">
      <c r="A205" s="12"/>
      <c r="I205" s="136" t="s">
        <v>195</v>
      </c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5">
        <f t="shared" si="31"/>
        <v>0</v>
      </c>
      <c r="W205" s="73" t="e">
        <f t="shared" si="28"/>
        <v>#DIV/0!</v>
      </c>
      <c r="X205" s="89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234"/>
      <c r="AK205" s="235">
        <f t="shared" si="32"/>
        <v>0</v>
      </c>
      <c r="AL205" s="73" t="e">
        <f t="shared" si="30"/>
        <v>#DIV/0!</v>
      </c>
      <c r="AM205" s="14">
        <f t="shared" si="33"/>
        <v>0</v>
      </c>
      <c r="AN205" s="9"/>
    </row>
    <row r="206" spans="1:40" outlineLevel="1">
      <c r="A206" s="12"/>
      <c r="I206" s="136" t="s">
        <v>245</v>
      </c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5">
        <f t="shared" si="31"/>
        <v>0</v>
      </c>
      <c r="W206" s="73" t="e">
        <f t="shared" si="28"/>
        <v>#DIV/0!</v>
      </c>
      <c r="X206" s="89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235">
        <f t="shared" si="32"/>
        <v>0</v>
      </c>
      <c r="AL206" s="73" t="e">
        <f t="shared" si="30"/>
        <v>#DIV/0!</v>
      </c>
      <c r="AM206" s="14">
        <f t="shared" si="33"/>
        <v>0</v>
      </c>
      <c r="AN206" s="9"/>
    </row>
    <row r="207" spans="1:40" outlineLevel="1">
      <c r="A207" s="12"/>
      <c r="I207" s="136" t="s">
        <v>169</v>
      </c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5">
        <f t="shared" si="31"/>
        <v>0</v>
      </c>
      <c r="W207" s="73" t="e">
        <f t="shared" si="28"/>
        <v>#DIV/0!</v>
      </c>
      <c r="X207" s="89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234"/>
      <c r="AK207" s="235">
        <f t="shared" si="32"/>
        <v>0</v>
      </c>
      <c r="AL207" s="73" t="e">
        <f t="shared" si="30"/>
        <v>#DIV/0!</v>
      </c>
      <c r="AM207" s="14">
        <f t="shared" si="33"/>
        <v>0</v>
      </c>
      <c r="AN207" s="9"/>
    </row>
    <row r="208" spans="1:40" outlineLevel="1">
      <c r="A208" s="12"/>
      <c r="I208" s="136" t="s">
        <v>225</v>
      </c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5">
        <f t="shared" si="31"/>
        <v>0</v>
      </c>
      <c r="W208" s="73" t="e">
        <f t="shared" si="28"/>
        <v>#DIV/0!</v>
      </c>
      <c r="X208" s="89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235">
        <f t="shared" si="32"/>
        <v>0</v>
      </c>
      <c r="AL208" s="73" t="e">
        <f t="shared" si="30"/>
        <v>#DIV/0!</v>
      </c>
      <c r="AM208" s="14">
        <f t="shared" si="33"/>
        <v>0</v>
      </c>
      <c r="AN208" s="9"/>
    </row>
    <row r="209" spans="1:40" outlineLevel="1">
      <c r="A209" s="12"/>
      <c r="I209" s="136" t="s">
        <v>186</v>
      </c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5">
        <f t="shared" si="31"/>
        <v>0</v>
      </c>
      <c r="W209" s="73" t="e">
        <f t="shared" si="28"/>
        <v>#DIV/0!</v>
      </c>
      <c r="X209" s="89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234"/>
      <c r="AK209" s="235">
        <f t="shared" si="32"/>
        <v>0</v>
      </c>
      <c r="AL209" s="73" t="e">
        <f t="shared" si="30"/>
        <v>#DIV/0!</v>
      </c>
      <c r="AM209" s="14">
        <f t="shared" si="33"/>
        <v>0</v>
      </c>
      <c r="AN209" s="9"/>
    </row>
    <row r="210" spans="1:40" outlineLevel="1">
      <c r="A210" s="12"/>
      <c r="I210" s="136" t="s">
        <v>176</v>
      </c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5">
        <f t="shared" si="31"/>
        <v>0</v>
      </c>
      <c r="W210" s="73" t="e">
        <f t="shared" si="28"/>
        <v>#DIV/0!</v>
      </c>
      <c r="X210" s="89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235">
        <f t="shared" si="32"/>
        <v>0</v>
      </c>
      <c r="AL210" s="73" t="e">
        <f t="shared" si="30"/>
        <v>#DIV/0!</v>
      </c>
      <c r="AM210" s="14">
        <f t="shared" si="33"/>
        <v>0</v>
      </c>
      <c r="AN210" s="9"/>
    </row>
    <row r="211" spans="1:40" collapsed="1">
      <c r="A211" s="12" t="s">
        <v>196</v>
      </c>
      <c r="B211" s="8" t="s">
        <v>270</v>
      </c>
      <c r="I211" s="121" t="s">
        <v>197</v>
      </c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>
        <f>SUM(V212:V227)</f>
        <v>0</v>
      </c>
      <c r="W211" s="72" t="e">
        <f t="shared" si="28"/>
        <v>#DIV/0!</v>
      </c>
      <c r="X211" s="89"/>
      <c r="Y211" s="231">
        <f t="shared" ref="Y211:AK211" si="34">SUM(Y212:Y227)</f>
        <v>0</v>
      </c>
      <c r="Z211" s="231">
        <f t="shared" si="34"/>
        <v>0</v>
      </c>
      <c r="AA211" s="231">
        <f t="shared" si="34"/>
        <v>0</v>
      </c>
      <c r="AB211" s="231">
        <f t="shared" si="34"/>
        <v>0</v>
      </c>
      <c r="AC211" s="231">
        <f t="shared" si="34"/>
        <v>0</v>
      </c>
      <c r="AD211" s="231">
        <f t="shared" si="34"/>
        <v>0</v>
      </c>
      <c r="AE211" s="231">
        <f t="shared" si="34"/>
        <v>0</v>
      </c>
      <c r="AF211" s="231">
        <f t="shared" si="34"/>
        <v>0</v>
      </c>
      <c r="AG211" s="231">
        <f t="shared" si="34"/>
        <v>0</v>
      </c>
      <c r="AH211" s="231">
        <f t="shared" si="34"/>
        <v>0</v>
      </c>
      <c r="AI211" s="231">
        <f t="shared" si="34"/>
        <v>0</v>
      </c>
      <c r="AJ211" s="231">
        <f t="shared" si="34"/>
        <v>0</v>
      </c>
      <c r="AK211" s="231">
        <f t="shared" si="34"/>
        <v>0</v>
      </c>
      <c r="AL211" s="72" t="e">
        <f t="shared" si="30"/>
        <v>#DIV/0!</v>
      </c>
      <c r="AM211" s="10">
        <f t="shared" si="33"/>
        <v>0</v>
      </c>
      <c r="AN211" s="9"/>
    </row>
    <row r="212" spans="1:40" hidden="1" outlineLevel="1">
      <c r="A212" s="12" t="s">
        <v>196</v>
      </c>
      <c r="B212" s="8" t="s">
        <v>270</v>
      </c>
      <c r="I212" t="s">
        <v>198</v>
      </c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5">
        <f>SUM(J212:U212)</f>
        <v>0</v>
      </c>
      <c r="W212" s="73" t="e">
        <f t="shared" si="28"/>
        <v>#DIV/0!</v>
      </c>
      <c r="X212" s="89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234"/>
      <c r="AK212" s="235">
        <f>SUM(Y212:AJ212)</f>
        <v>0</v>
      </c>
      <c r="AL212" s="73" t="e">
        <f t="shared" si="30"/>
        <v>#DIV/0!</v>
      </c>
      <c r="AM212" s="14">
        <f t="shared" si="33"/>
        <v>0</v>
      </c>
      <c r="AN212" s="9"/>
    </row>
    <row r="213" spans="1:40" hidden="1" outlineLevel="1">
      <c r="A213" s="12" t="s">
        <v>196</v>
      </c>
      <c r="B213" s="8" t="s">
        <v>270</v>
      </c>
      <c r="I213" t="s">
        <v>199</v>
      </c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5">
        <f t="shared" ref="V213:V227" si="35">SUM(J213:U213)</f>
        <v>0</v>
      </c>
      <c r="W213" s="73" t="e">
        <f t="shared" si="28"/>
        <v>#DIV/0!</v>
      </c>
      <c r="X213" s="89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234"/>
      <c r="AK213" s="235">
        <f t="shared" ref="AK213:AK227" si="36">SUM(Y213:AJ213)</f>
        <v>0</v>
      </c>
      <c r="AL213" s="73" t="e">
        <f t="shared" si="30"/>
        <v>#DIV/0!</v>
      </c>
      <c r="AM213" s="14">
        <f t="shared" si="33"/>
        <v>0</v>
      </c>
      <c r="AN213" s="9"/>
    </row>
    <row r="214" spans="1:40" hidden="1" outlineLevel="1">
      <c r="A214" s="12" t="s">
        <v>196</v>
      </c>
      <c r="B214" s="8" t="s">
        <v>270</v>
      </c>
      <c r="I214" t="s">
        <v>200</v>
      </c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5">
        <f t="shared" si="35"/>
        <v>0</v>
      </c>
      <c r="W214" s="73" t="e">
        <f t="shared" si="28"/>
        <v>#DIV/0!</v>
      </c>
      <c r="X214" s="89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234"/>
      <c r="AK214" s="235">
        <f t="shared" si="36"/>
        <v>0</v>
      </c>
      <c r="AL214" s="73" t="e">
        <f t="shared" si="30"/>
        <v>#DIV/0!</v>
      </c>
      <c r="AM214" s="14">
        <f t="shared" si="33"/>
        <v>0</v>
      </c>
      <c r="AN214" s="9"/>
    </row>
    <row r="215" spans="1:40" hidden="1" outlineLevel="1">
      <c r="A215" s="12" t="s">
        <v>196</v>
      </c>
      <c r="B215" s="8" t="s">
        <v>270</v>
      </c>
      <c r="I215" t="s">
        <v>201</v>
      </c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5">
        <f t="shared" si="35"/>
        <v>0</v>
      </c>
      <c r="W215" s="73" t="e">
        <f t="shared" si="28"/>
        <v>#DIV/0!</v>
      </c>
      <c r="X215" s="89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234"/>
      <c r="AK215" s="235">
        <f t="shared" si="36"/>
        <v>0</v>
      </c>
      <c r="AL215" s="73" t="e">
        <f t="shared" si="30"/>
        <v>#DIV/0!</v>
      </c>
      <c r="AM215" s="14">
        <f t="shared" si="33"/>
        <v>0</v>
      </c>
      <c r="AN215" s="9"/>
    </row>
    <row r="216" spans="1:40" hidden="1" outlineLevel="1">
      <c r="A216" s="12" t="s">
        <v>196</v>
      </c>
      <c r="B216" s="8" t="s">
        <v>270</v>
      </c>
      <c r="I216" t="s">
        <v>286</v>
      </c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5">
        <f t="shared" si="35"/>
        <v>0</v>
      </c>
      <c r="W216" s="73" t="e">
        <f t="shared" si="28"/>
        <v>#DIV/0!</v>
      </c>
      <c r="X216" s="89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234"/>
      <c r="AK216" s="235">
        <f t="shared" si="36"/>
        <v>0</v>
      </c>
      <c r="AL216" s="73" t="e">
        <f t="shared" si="30"/>
        <v>#DIV/0!</v>
      </c>
      <c r="AM216" s="14">
        <f t="shared" si="33"/>
        <v>0</v>
      </c>
      <c r="AN216" s="9"/>
    </row>
    <row r="217" spans="1:40" hidden="1" outlineLevel="1">
      <c r="A217" s="12" t="s">
        <v>196</v>
      </c>
      <c r="B217" s="8" t="s">
        <v>270</v>
      </c>
      <c r="I217" t="s">
        <v>202</v>
      </c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5">
        <f t="shared" si="35"/>
        <v>0</v>
      </c>
      <c r="W217" s="73" t="e">
        <f t="shared" si="28"/>
        <v>#DIV/0!</v>
      </c>
      <c r="X217" s="89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235">
        <f t="shared" si="36"/>
        <v>0</v>
      </c>
      <c r="AL217" s="73" t="e">
        <f t="shared" si="30"/>
        <v>#DIV/0!</v>
      </c>
      <c r="AM217" s="14">
        <f t="shared" si="33"/>
        <v>0</v>
      </c>
      <c r="AN217" s="9"/>
    </row>
    <row r="218" spans="1:40" hidden="1" outlineLevel="1">
      <c r="A218" s="12" t="s">
        <v>196</v>
      </c>
      <c r="B218" s="8" t="s">
        <v>270</v>
      </c>
      <c r="I218" t="s">
        <v>203</v>
      </c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5">
        <f t="shared" si="35"/>
        <v>0</v>
      </c>
      <c r="W218" s="73" t="e">
        <f t="shared" si="28"/>
        <v>#DIV/0!</v>
      </c>
      <c r="X218" s="89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234"/>
      <c r="AK218" s="235">
        <f t="shared" si="36"/>
        <v>0</v>
      </c>
      <c r="AL218" s="73" t="e">
        <f t="shared" si="30"/>
        <v>#DIV/0!</v>
      </c>
      <c r="AM218" s="14">
        <f t="shared" si="33"/>
        <v>0</v>
      </c>
      <c r="AN218" s="9"/>
    </row>
    <row r="219" spans="1:40" hidden="1" outlineLevel="1">
      <c r="A219" s="12" t="s">
        <v>196</v>
      </c>
      <c r="B219" s="8" t="s">
        <v>270</v>
      </c>
      <c r="I219" t="s">
        <v>204</v>
      </c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5">
        <f t="shared" si="35"/>
        <v>0</v>
      </c>
      <c r="W219" s="73" t="e">
        <f t="shared" si="28"/>
        <v>#DIV/0!</v>
      </c>
      <c r="X219" s="89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234"/>
      <c r="AK219" s="235">
        <f t="shared" si="36"/>
        <v>0</v>
      </c>
      <c r="AL219" s="73" t="e">
        <f t="shared" si="30"/>
        <v>#DIV/0!</v>
      </c>
      <c r="AM219" s="14">
        <f t="shared" si="33"/>
        <v>0</v>
      </c>
      <c r="AN219" s="9"/>
    </row>
    <row r="220" spans="1:40" hidden="1" outlineLevel="1">
      <c r="A220" s="12" t="s">
        <v>196</v>
      </c>
      <c r="B220" s="8" t="s">
        <v>270</v>
      </c>
      <c r="I220" t="s">
        <v>205</v>
      </c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5">
        <f t="shared" si="35"/>
        <v>0</v>
      </c>
      <c r="W220" s="73" t="e">
        <f t="shared" si="28"/>
        <v>#DIV/0!</v>
      </c>
      <c r="X220" s="89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235">
        <f t="shared" si="36"/>
        <v>0</v>
      </c>
      <c r="AL220" s="73" t="e">
        <f t="shared" si="30"/>
        <v>#DIV/0!</v>
      </c>
      <c r="AM220" s="14">
        <f t="shared" si="33"/>
        <v>0</v>
      </c>
      <c r="AN220" s="9"/>
    </row>
    <row r="221" spans="1:40" hidden="1" outlineLevel="1">
      <c r="A221" s="12" t="s">
        <v>196</v>
      </c>
      <c r="B221" s="8" t="s">
        <v>270</v>
      </c>
      <c r="I221" t="s">
        <v>206</v>
      </c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5">
        <f t="shared" si="35"/>
        <v>0</v>
      </c>
      <c r="W221" s="73" t="e">
        <f t="shared" si="28"/>
        <v>#DIV/0!</v>
      </c>
      <c r="X221" s="89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235">
        <f t="shared" si="36"/>
        <v>0</v>
      </c>
      <c r="AL221" s="73" t="e">
        <f t="shared" si="30"/>
        <v>#DIV/0!</v>
      </c>
      <c r="AM221" s="14">
        <f t="shared" si="33"/>
        <v>0</v>
      </c>
      <c r="AN221" s="9"/>
    </row>
    <row r="222" spans="1:40" hidden="1" outlineLevel="1">
      <c r="A222" s="12" t="s">
        <v>196</v>
      </c>
      <c r="B222" s="8" t="s">
        <v>270</v>
      </c>
      <c r="I222" t="s">
        <v>207</v>
      </c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5">
        <f t="shared" si="35"/>
        <v>0</v>
      </c>
      <c r="W222" s="73" t="e">
        <f t="shared" si="28"/>
        <v>#DIV/0!</v>
      </c>
      <c r="X222" s="89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234"/>
      <c r="AK222" s="235">
        <f t="shared" si="36"/>
        <v>0</v>
      </c>
      <c r="AL222" s="73" t="e">
        <f t="shared" si="30"/>
        <v>#DIV/0!</v>
      </c>
      <c r="AM222" s="14">
        <f t="shared" si="33"/>
        <v>0</v>
      </c>
      <c r="AN222" s="9"/>
    </row>
    <row r="223" spans="1:40" hidden="1" outlineLevel="1">
      <c r="A223" s="12" t="s">
        <v>196</v>
      </c>
      <c r="B223" s="8" t="s">
        <v>270</v>
      </c>
      <c r="I223" t="s">
        <v>208</v>
      </c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5">
        <f t="shared" si="35"/>
        <v>0</v>
      </c>
      <c r="W223" s="73" t="e">
        <f t="shared" si="28"/>
        <v>#DIV/0!</v>
      </c>
      <c r="X223" s="89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234"/>
      <c r="AK223" s="235">
        <f t="shared" si="36"/>
        <v>0</v>
      </c>
      <c r="AL223" s="73" t="e">
        <f t="shared" si="30"/>
        <v>#DIV/0!</v>
      </c>
      <c r="AM223" s="14">
        <f t="shared" si="33"/>
        <v>0</v>
      </c>
      <c r="AN223" s="9"/>
    </row>
    <row r="224" spans="1:40" hidden="1" outlineLevel="1">
      <c r="A224" s="12" t="s">
        <v>196</v>
      </c>
      <c r="B224" s="8" t="s">
        <v>270</v>
      </c>
      <c r="I224" t="s">
        <v>209</v>
      </c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5">
        <f t="shared" si="35"/>
        <v>0</v>
      </c>
      <c r="W224" s="73" t="e">
        <f t="shared" si="28"/>
        <v>#DIV/0!</v>
      </c>
      <c r="X224" s="89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234"/>
      <c r="AK224" s="235">
        <f t="shared" si="36"/>
        <v>0</v>
      </c>
      <c r="AL224" s="73" t="e">
        <f t="shared" si="30"/>
        <v>#DIV/0!</v>
      </c>
      <c r="AM224" s="14">
        <f t="shared" si="33"/>
        <v>0</v>
      </c>
      <c r="AN224" s="9"/>
    </row>
    <row r="225" spans="1:40" hidden="1" outlineLevel="1">
      <c r="A225" s="12" t="s">
        <v>196</v>
      </c>
      <c r="B225" s="8" t="s">
        <v>270</v>
      </c>
      <c r="I225" t="s">
        <v>210</v>
      </c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5">
        <f t="shared" si="35"/>
        <v>0</v>
      </c>
      <c r="W225" s="73" t="e">
        <f t="shared" si="28"/>
        <v>#DIV/0!</v>
      </c>
      <c r="X225" s="89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234"/>
      <c r="AK225" s="235">
        <f t="shared" si="36"/>
        <v>0</v>
      </c>
      <c r="AL225" s="73" t="e">
        <f t="shared" si="30"/>
        <v>#DIV/0!</v>
      </c>
      <c r="AM225" s="14">
        <f t="shared" si="33"/>
        <v>0</v>
      </c>
      <c r="AN225" s="9"/>
    </row>
    <row r="226" spans="1:40" hidden="1" outlineLevel="1">
      <c r="A226" s="12" t="s">
        <v>196</v>
      </c>
      <c r="B226" s="8" t="s">
        <v>270</v>
      </c>
      <c r="I226" t="s">
        <v>211</v>
      </c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5">
        <f t="shared" si="35"/>
        <v>0</v>
      </c>
      <c r="W226" s="73" t="e">
        <f t="shared" si="28"/>
        <v>#DIV/0!</v>
      </c>
      <c r="X226" s="89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234"/>
      <c r="AK226" s="235">
        <f t="shared" si="36"/>
        <v>0</v>
      </c>
      <c r="AL226" s="73" t="e">
        <f t="shared" si="30"/>
        <v>#DIV/0!</v>
      </c>
      <c r="AM226" s="14">
        <f t="shared" si="33"/>
        <v>0</v>
      </c>
      <c r="AN226" s="9"/>
    </row>
    <row r="227" spans="1:40" hidden="1" outlineLevel="1">
      <c r="A227" s="12" t="s">
        <v>196</v>
      </c>
      <c r="B227" s="8" t="s">
        <v>270</v>
      </c>
      <c r="I227" t="s">
        <v>212</v>
      </c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5">
        <f t="shared" si="35"/>
        <v>0</v>
      </c>
      <c r="W227" s="73" t="e">
        <f t="shared" si="28"/>
        <v>#DIV/0!</v>
      </c>
      <c r="X227" s="89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234"/>
      <c r="AK227" s="235">
        <f t="shared" si="36"/>
        <v>0</v>
      </c>
      <c r="AL227" s="73" t="e">
        <f t="shared" si="30"/>
        <v>#DIV/0!</v>
      </c>
      <c r="AM227" s="14">
        <f t="shared" si="33"/>
        <v>0</v>
      </c>
      <c r="AN227" s="9"/>
    </row>
    <row r="228" spans="1:40" collapsed="1">
      <c r="A228" s="12" t="s">
        <v>213</v>
      </c>
      <c r="B228" s="8" t="s">
        <v>270</v>
      </c>
      <c r="I228" s="167" t="s">
        <v>214</v>
      </c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>
        <f>SUM(V229:V232)</f>
        <v>0</v>
      </c>
      <c r="W228" s="72" t="e">
        <f t="shared" si="28"/>
        <v>#DIV/0!</v>
      </c>
      <c r="X228" s="89"/>
      <c r="Y228" s="231">
        <f t="shared" ref="Y228:AK228" si="37">SUM(Y229:Y232)</f>
        <v>0</v>
      </c>
      <c r="Z228" s="231">
        <f t="shared" si="37"/>
        <v>0</v>
      </c>
      <c r="AA228" s="231">
        <f t="shared" si="37"/>
        <v>0</v>
      </c>
      <c r="AB228" s="231">
        <f t="shared" si="37"/>
        <v>0</v>
      </c>
      <c r="AC228" s="231">
        <f t="shared" si="37"/>
        <v>0</v>
      </c>
      <c r="AD228" s="231">
        <f t="shared" si="37"/>
        <v>0</v>
      </c>
      <c r="AE228" s="231">
        <f t="shared" si="37"/>
        <v>0</v>
      </c>
      <c r="AF228" s="231">
        <f t="shared" si="37"/>
        <v>0</v>
      </c>
      <c r="AG228" s="231">
        <f t="shared" si="37"/>
        <v>0</v>
      </c>
      <c r="AH228" s="231">
        <f t="shared" si="37"/>
        <v>0</v>
      </c>
      <c r="AI228" s="231">
        <f t="shared" si="37"/>
        <v>0</v>
      </c>
      <c r="AJ228" s="231">
        <f t="shared" si="37"/>
        <v>0</v>
      </c>
      <c r="AK228" s="231">
        <f t="shared" si="37"/>
        <v>0</v>
      </c>
      <c r="AL228" s="72" t="e">
        <f t="shared" si="30"/>
        <v>#DIV/0!</v>
      </c>
      <c r="AM228" s="10">
        <f t="shared" si="33"/>
        <v>0</v>
      </c>
      <c r="AN228" s="9"/>
    </row>
    <row r="229" spans="1:40" hidden="1" outlineLevel="1">
      <c r="A229" s="12" t="s">
        <v>213</v>
      </c>
      <c r="B229" s="8" t="s">
        <v>270</v>
      </c>
      <c r="I229" s="136" t="s">
        <v>215</v>
      </c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5">
        <f>SUM(J229:U229)</f>
        <v>0</v>
      </c>
      <c r="W229" s="73" t="e">
        <f t="shared" si="28"/>
        <v>#DIV/0!</v>
      </c>
      <c r="X229" s="89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234"/>
      <c r="AK229" s="235">
        <f>SUM(Y229:AJ229)</f>
        <v>0</v>
      </c>
      <c r="AL229" s="73" t="e">
        <f t="shared" si="30"/>
        <v>#DIV/0!</v>
      </c>
      <c r="AM229" s="14">
        <f t="shared" si="33"/>
        <v>0</v>
      </c>
      <c r="AN229" s="9"/>
    </row>
    <row r="230" spans="1:40" hidden="1" outlineLevel="1">
      <c r="A230" s="12" t="s">
        <v>213</v>
      </c>
      <c r="B230" s="8" t="s">
        <v>270</v>
      </c>
      <c r="I230" s="136" t="s">
        <v>216</v>
      </c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5">
        <f>SUM(J230:U230)</f>
        <v>0</v>
      </c>
      <c r="W230" s="73" t="e">
        <f t="shared" si="28"/>
        <v>#DIV/0!</v>
      </c>
      <c r="X230" s="89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234"/>
      <c r="AK230" s="235">
        <f t="shared" ref="AK230:AK232" si="38">SUM(Y230:AJ230)</f>
        <v>0</v>
      </c>
      <c r="AL230" s="73" t="e">
        <f t="shared" si="30"/>
        <v>#DIV/0!</v>
      </c>
      <c r="AM230" s="14">
        <f t="shared" si="33"/>
        <v>0</v>
      </c>
      <c r="AN230" s="9"/>
    </row>
    <row r="231" spans="1:40" hidden="1" outlineLevel="1">
      <c r="A231" s="12" t="s">
        <v>213</v>
      </c>
      <c r="B231" s="8" t="s">
        <v>270</v>
      </c>
      <c r="I231" s="136" t="s">
        <v>217</v>
      </c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5">
        <f>SUM(J231:U231)</f>
        <v>0</v>
      </c>
      <c r="W231" s="73" t="e">
        <f t="shared" si="28"/>
        <v>#DIV/0!</v>
      </c>
      <c r="X231" s="89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234"/>
      <c r="AK231" s="235">
        <f t="shared" si="38"/>
        <v>0</v>
      </c>
      <c r="AL231" s="73" t="e">
        <f t="shared" si="30"/>
        <v>#DIV/0!</v>
      </c>
      <c r="AM231" s="14">
        <f t="shared" si="33"/>
        <v>0</v>
      </c>
      <c r="AN231" s="9"/>
    </row>
    <row r="232" spans="1:40" hidden="1" outlineLevel="1">
      <c r="A232" s="12" t="s">
        <v>213</v>
      </c>
      <c r="B232" s="8" t="s">
        <v>270</v>
      </c>
      <c r="I232" s="136" t="s">
        <v>287</v>
      </c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5">
        <f>SUM(J232:U232)</f>
        <v>0</v>
      </c>
      <c r="W232" s="73" t="e">
        <f t="shared" si="28"/>
        <v>#DIV/0!</v>
      </c>
      <c r="X232" s="89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235">
        <f t="shared" si="38"/>
        <v>0</v>
      </c>
      <c r="AL232" s="73" t="e">
        <f t="shared" si="30"/>
        <v>#DIV/0!</v>
      </c>
      <c r="AM232" s="14">
        <f t="shared" si="33"/>
        <v>0</v>
      </c>
      <c r="AN232" s="9"/>
    </row>
    <row r="233" spans="1:40" collapsed="1">
      <c r="A233" s="12" t="s">
        <v>219</v>
      </c>
      <c r="B233" s="8" t="s">
        <v>270</v>
      </c>
      <c r="I233" s="119" t="s">
        <v>220</v>
      </c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>
        <f>SUM(V234:V238)</f>
        <v>0</v>
      </c>
      <c r="W233" s="72" t="e">
        <f t="shared" si="28"/>
        <v>#DIV/0!</v>
      </c>
      <c r="X233" s="89"/>
      <c r="Y233" s="231">
        <f>SUM(Y234:Y242)</f>
        <v>0</v>
      </c>
      <c r="Z233" s="231">
        <f t="shared" ref="Z233:AK233" si="39">SUM(Z234:Z242)</f>
        <v>0</v>
      </c>
      <c r="AA233" s="231">
        <f t="shared" si="39"/>
        <v>0</v>
      </c>
      <c r="AB233" s="231">
        <f t="shared" si="39"/>
        <v>0</v>
      </c>
      <c r="AC233" s="231">
        <f t="shared" si="39"/>
        <v>0</v>
      </c>
      <c r="AD233" s="231">
        <f t="shared" si="39"/>
        <v>0</v>
      </c>
      <c r="AE233" s="231">
        <f t="shared" si="39"/>
        <v>0</v>
      </c>
      <c r="AF233" s="231">
        <f t="shared" si="39"/>
        <v>0</v>
      </c>
      <c r="AG233" s="231">
        <f t="shared" si="39"/>
        <v>0</v>
      </c>
      <c r="AH233" s="231">
        <f t="shared" si="39"/>
        <v>0</v>
      </c>
      <c r="AI233" s="231">
        <f t="shared" si="39"/>
        <v>0</v>
      </c>
      <c r="AJ233" s="231">
        <f t="shared" si="39"/>
        <v>0</v>
      </c>
      <c r="AK233" s="231">
        <f t="shared" si="39"/>
        <v>0</v>
      </c>
      <c r="AL233" s="72" t="e">
        <f t="shared" si="30"/>
        <v>#DIV/0!</v>
      </c>
      <c r="AM233" s="10">
        <f t="shared" si="33"/>
        <v>0</v>
      </c>
      <c r="AN233" s="9"/>
    </row>
    <row r="234" spans="1:40" hidden="1" outlineLevel="1">
      <c r="A234" s="12" t="s">
        <v>219</v>
      </c>
      <c r="B234" s="8" t="s">
        <v>270</v>
      </c>
      <c r="I234" s="136" t="s">
        <v>226</v>
      </c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35">
        <f>SUM(J234:U234)</f>
        <v>0</v>
      </c>
      <c r="W234" s="73" t="e">
        <f t="shared" si="28"/>
        <v>#DIV/0!</v>
      </c>
      <c r="X234" s="89"/>
      <c r="Y234" s="242"/>
      <c r="Z234" s="242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35">
        <f>SUM(Y234:AJ234)</f>
        <v>0</v>
      </c>
      <c r="AL234" s="73" t="e">
        <f t="shared" si="30"/>
        <v>#DIV/0!</v>
      </c>
      <c r="AM234" s="14">
        <f t="shared" si="33"/>
        <v>0</v>
      </c>
      <c r="AN234" s="9"/>
    </row>
    <row r="235" spans="1:40" hidden="1" outlineLevel="1">
      <c r="A235" s="12" t="s">
        <v>219</v>
      </c>
      <c r="B235" s="8" t="s">
        <v>270</v>
      </c>
      <c r="I235" s="136" t="s">
        <v>244</v>
      </c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35">
        <f>SUM(J235:U235)</f>
        <v>0</v>
      </c>
      <c r="W235" s="73" t="e">
        <f t="shared" ref="W235:W258" si="40">V235/V$6</f>
        <v>#DIV/0!</v>
      </c>
      <c r="X235" s="89"/>
      <c r="Y235" s="242"/>
      <c r="Z235" s="242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35">
        <f t="shared" ref="AK235:AK242" si="41">SUM(Y235:AJ235)</f>
        <v>0</v>
      </c>
      <c r="AL235" s="73" t="e">
        <f t="shared" ref="AL235:AL258" si="42">AK235/AK$6</f>
        <v>#DIV/0!</v>
      </c>
      <c r="AM235" s="14">
        <f t="shared" si="33"/>
        <v>0</v>
      </c>
      <c r="AN235" s="9"/>
    </row>
    <row r="236" spans="1:40" hidden="1" outlineLevel="1">
      <c r="A236" s="12" t="s">
        <v>219</v>
      </c>
      <c r="B236" s="8" t="s">
        <v>270</v>
      </c>
      <c r="I236" s="136" t="s">
        <v>288</v>
      </c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35">
        <f>SUM(J236:U236)</f>
        <v>0</v>
      </c>
      <c r="W236" s="73" t="e">
        <f t="shared" si="40"/>
        <v>#DIV/0!</v>
      </c>
      <c r="X236" s="89"/>
      <c r="Y236" s="242"/>
      <c r="Z236" s="242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35">
        <f t="shared" si="41"/>
        <v>0</v>
      </c>
      <c r="AL236" s="73" t="e">
        <f t="shared" si="42"/>
        <v>#DIV/0!</v>
      </c>
      <c r="AM236" s="14">
        <f t="shared" si="33"/>
        <v>0</v>
      </c>
      <c r="AN236" s="9"/>
    </row>
    <row r="237" spans="1:40" hidden="1" outlineLevel="1">
      <c r="A237" s="12" t="s">
        <v>219</v>
      </c>
      <c r="B237" s="8" t="s">
        <v>270</v>
      </c>
      <c r="I237" s="136" t="s">
        <v>221</v>
      </c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35">
        <f>SUM(J237:U237)</f>
        <v>0</v>
      </c>
      <c r="W237" s="73" t="e">
        <f t="shared" si="40"/>
        <v>#DIV/0!</v>
      </c>
      <c r="X237" s="89"/>
      <c r="Y237" s="242"/>
      <c r="Z237" s="242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35">
        <f t="shared" si="41"/>
        <v>0</v>
      </c>
      <c r="AL237" s="73" t="e">
        <f t="shared" si="42"/>
        <v>#DIV/0!</v>
      </c>
      <c r="AM237" s="14">
        <f t="shared" si="33"/>
        <v>0</v>
      </c>
      <c r="AN237" s="9"/>
    </row>
    <row r="238" spans="1:40" hidden="1" outlineLevel="1">
      <c r="A238" s="12" t="s">
        <v>219</v>
      </c>
      <c r="B238" s="8" t="s">
        <v>270</v>
      </c>
      <c r="I238" s="136" t="s">
        <v>246</v>
      </c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35">
        <f>SUM(J238:U238)</f>
        <v>0</v>
      </c>
      <c r="W238" s="73" t="e">
        <f t="shared" si="40"/>
        <v>#DIV/0!</v>
      </c>
      <c r="X238" s="89"/>
      <c r="Y238" s="242"/>
      <c r="Z238" s="242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35">
        <f t="shared" si="41"/>
        <v>0</v>
      </c>
      <c r="AL238" s="73" t="e">
        <f t="shared" si="42"/>
        <v>#DIV/0!</v>
      </c>
      <c r="AM238" s="14">
        <f t="shared" si="33"/>
        <v>0</v>
      </c>
      <c r="AN238" s="9"/>
    </row>
    <row r="239" spans="1:40" hidden="1" outlineLevel="1">
      <c r="A239" s="12"/>
      <c r="I239" s="136" t="s">
        <v>289</v>
      </c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35">
        <f t="shared" ref="V239:V242" si="43">SUM(J239:U239)</f>
        <v>0</v>
      </c>
      <c r="W239" s="73" t="e">
        <f t="shared" si="40"/>
        <v>#DIV/0!</v>
      </c>
      <c r="X239" s="89"/>
      <c r="Y239" s="242"/>
      <c r="Z239" s="242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35">
        <f t="shared" si="41"/>
        <v>0</v>
      </c>
      <c r="AL239" s="73" t="e">
        <f t="shared" si="42"/>
        <v>#DIV/0!</v>
      </c>
      <c r="AM239" s="14">
        <f t="shared" si="33"/>
        <v>0</v>
      </c>
      <c r="AN239" s="9"/>
    </row>
    <row r="240" spans="1:40" hidden="1" outlineLevel="1">
      <c r="A240" s="12"/>
      <c r="I240" s="136" t="s">
        <v>225</v>
      </c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35">
        <f t="shared" si="43"/>
        <v>0</v>
      </c>
      <c r="W240" s="73" t="e">
        <f t="shared" si="40"/>
        <v>#DIV/0!</v>
      </c>
      <c r="X240" s="89"/>
      <c r="Y240" s="242"/>
      <c r="Z240" s="242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35">
        <f t="shared" si="41"/>
        <v>0</v>
      </c>
      <c r="AL240" s="73" t="e">
        <f t="shared" si="42"/>
        <v>#DIV/0!</v>
      </c>
      <c r="AM240" s="14">
        <f t="shared" si="33"/>
        <v>0</v>
      </c>
      <c r="AN240" s="9"/>
    </row>
    <row r="241" spans="1:40" hidden="1" outlineLevel="1">
      <c r="A241" s="12"/>
      <c r="I241" s="136" t="s">
        <v>290</v>
      </c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35">
        <f t="shared" si="43"/>
        <v>0</v>
      </c>
      <c r="W241" s="73" t="e">
        <f t="shared" si="40"/>
        <v>#DIV/0!</v>
      </c>
      <c r="X241" s="89"/>
      <c r="Y241" s="242"/>
      <c r="Z241" s="242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35">
        <f t="shared" si="41"/>
        <v>0</v>
      </c>
      <c r="AL241" s="73" t="e">
        <f t="shared" si="42"/>
        <v>#DIV/0!</v>
      </c>
      <c r="AM241" s="14">
        <f t="shared" si="33"/>
        <v>0</v>
      </c>
      <c r="AN241" s="9"/>
    </row>
    <row r="242" spans="1:40" hidden="1" outlineLevel="1">
      <c r="A242" s="12"/>
      <c r="I242" s="136" t="s">
        <v>81</v>
      </c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35">
        <f t="shared" si="43"/>
        <v>0</v>
      </c>
      <c r="W242" s="73" t="e">
        <f t="shared" si="40"/>
        <v>#DIV/0!</v>
      </c>
      <c r="X242" s="89"/>
      <c r="Y242" s="242"/>
      <c r="Z242" s="242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35">
        <f t="shared" si="41"/>
        <v>0</v>
      </c>
      <c r="AL242" s="73" t="e">
        <f t="shared" si="42"/>
        <v>#DIV/0!</v>
      </c>
      <c r="AM242" s="14">
        <f t="shared" si="33"/>
        <v>0</v>
      </c>
      <c r="AN242" s="9"/>
    </row>
    <row r="243" spans="1:40" collapsed="1">
      <c r="A243" s="12" t="s">
        <v>256</v>
      </c>
      <c r="B243" s="8" t="s">
        <v>270</v>
      </c>
      <c r="I243" s="120" t="s">
        <v>257</v>
      </c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>
        <f>SUM(V244:V249)</f>
        <v>0</v>
      </c>
      <c r="W243" s="72" t="e">
        <f t="shared" si="40"/>
        <v>#DIV/0!</v>
      </c>
      <c r="X243" s="89"/>
      <c r="Y243" s="231">
        <f t="shared" ref="Y243:AK243" si="44">SUM(Y244:Y249)</f>
        <v>0</v>
      </c>
      <c r="Z243" s="231">
        <f t="shared" si="44"/>
        <v>0</v>
      </c>
      <c r="AA243" s="231">
        <f t="shared" si="44"/>
        <v>0</v>
      </c>
      <c r="AB243" s="231">
        <f t="shared" si="44"/>
        <v>0</v>
      </c>
      <c r="AC243" s="231">
        <f t="shared" si="44"/>
        <v>0</v>
      </c>
      <c r="AD243" s="231">
        <f t="shared" si="44"/>
        <v>0</v>
      </c>
      <c r="AE243" s="231">
        <f t="shared" si="44"/>
        <v>0</v>
      </c>
      <c r="AF243" s="231">
        <f t="shared" si="44"/>
        <v>0</v>
      </c>
      <c r="AG243" s="231">
        <f t="shared" si="44"/>
        <v>0</v>
      </c>
      <c r="AH243" s="231">
        <f t="shared" si="44"/>
        <v>0</v>
      </c>
      <c r="AI243" s="231">
        <f t="shared" si="44"/>
        <v>0</v>
      </c>
      <c r="AJ243" s="231">
        <f t="shared" si="44"/>
        <v>0</v>
      </c>
      <c r="AK243" s="231">
        <f t="shared" si="44"/>
        <v>0</v>
      </c>
      <c r="AL243" s="72" t="e">
        <f t="shared" si="42"/>
        <v>#DIV/0!</v>
      </c>
      <c r="AM243" s="10">
        <f t="shared" si="33"/>
        <v>0</v>
      </c>
      <c r="AN243" s="9"/>
    </row>
    <row r="244" spans="1:40" hidden="1" outlineLevel="1">
      <c r="A244" s="12" t="s">
        <v>256</v>
      </c>
      <c r="B244" s="8" t="s">
        <v>270</v>
      </c>
      <c r="I244" s="136" t="s">
        <v>264</v>
      </c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35">
        <f t="shared" ref="V244:V249" si="45">SUM(J244:U244)</f>
        <v>0</v>
      </c>
      <c r="W244" s="73" t="e">
        <f t="shared" si="40"/>
        <v>#DIV/0!</v>
      </c>
      <c r="X244" s="89"/>
      <c r="Y244" s="242"/>
      <c r="Z244" s="242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35">
        <f t="shared" ref="AK244:AK249" si="46">SUM(Y244:AJ244)</f>
        <v>0</v>
      </c>
      <c r="AL244" s="73" t="e">
        <f t="shared" si="42"/>
        <v>#DIV/0!</v>
      </c>
      <c r="AM244" s="14">
        <f t="shared" si="33"/>
        <v>0</v>
      </c>
      <c r="AN244" s="9"/>
    </row>
    <row r="245" spans="1:40" hidden="1" outlineLevel="1">
      <c r="A245" s="12" t="s">
        <v>256</v>
      </c>
      <c r="B245" s="8" t="s">
        <v>270</v>
      </c>
      <c r="C245" s="19" t="s">
        <v>291</v>
      </c>
      <c r="I245" s="136" t="s">
        <v>259</v>
      </c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35">
        <f t="shared" si="45"/>
        <v>0</v>
      </c>
      <c r="W245" s="73" t="e">
        <f t="shared" si="40"/>
        <v>#DIV/0!</v>
      </c>
      <c r="X245" s="89"/>
      <c r="Y245" s="242"/>
      <c r="Z245" s="242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35">
        <f t="shared" si="46"/>
        <v>0</v>
      </c>
      <c r="AL245" s="73" t="e">
        <f t="shared" si="42"/>
        <v>#DIV/0!</v>
      </c>
      <c r="AM245" s="14">
        <f t="shared" si="33"/>
        <v>0</v>
      </c>
      <c r="AN245" s="9"/>
    </row>
    <row r="246" spans="1:40" hidden="1" outlineLevel="1">
      <c r="A246" s="12" t="s">
        <v>256</v>
      </c>
      <c r="B246" s="8" t="s">
        <v>270</v>
      </c>
      <c r="I246" s="136" t="s">
        <v>292</v>
      </c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35">
        <f t="shared" si="45"/>
        <v>0</v>
      </c>
      <c r="W246" s="73" t="e">
        <f t="shared" si="40"/>
        <v>#DIV/0!</v>
      </c>
      <c r="X246" s="89"/>
      <c r="Y246" s="242"/>
      <c r="Z246" s="242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35">
        <f t="shared" si="46"/>
        <v>0</v>
      </c>
      <c r="AL246" s="73" t="e">
        <f t="shared" si="42"/>
        <v>#DIV/0!</v>
      </c>
      <c r="AM246" s="14">
        <f t="shared" si="33"/>
        <v>0</v>
      </c>
      <c r="AN246" s="9"/>
    </row>
    <row r="247" spans="1:40" hidden="1" outlineLevel="1">
      <c r="A247" s="12" t="s">
        <v>256</v>
      </c>
      <c r="B247" s="8" t="s">
        <v>270</v>
      </c>
      <c r="I247" s="136" t="s">
        <v>263</v>
      </c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35">
        <f t="shared" si="45"/>
        <v>0</v>
      </c>
      <c r="W247" s="73" t="e">
        <f t="shared" si="40"/>
        <v>#DIV/0!</v>
      </c>
      <c r="X247" s="89"/>
      <c r="Y247" s="242"/>
      <c r="Z247" s="242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35">
        <f t="shared" si="46"/>
        <v>0</v>
      </c>
      <c r="AL247" s="73" t="e">
        <f t="shared" si="42"/>
        <v>#DIV/0!</v>
      </c>
      <c r="AM247" s="14">
        <f t="shared" si="33"/>
        <v>0</v>
      </c>
      <c r="AN247" s="9"/>
    </row>
    <row r="248" spans="1:40" hidden="1" outlineLevel="1">
      <c r="A248" s="12" t="s">
        <v>256</v>
      </c>
      <c r="B248" s="8" t="s">
        <v>270</v>
      </c>
      <c r="I248" s="136" t="s">
        <v>260</v>
      </c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35">
        <f t="shared" si="45"/>
        <v>0</v>
      </c>
      <c r="W248" s="73" t="e">
        <f t="shared" si="40"/>
        <v>#DIV/0!</v>
      </c>
      <c r="X248" s="89"/>
      <c r="Y248" s="242"/>
      <c r="Z248" s="242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35">
        <f t="shared" si="46"/>
        <v>0</v>
      </c>
      <c r="AL248" s="73" t="e">
        <f t="shared" si="42"/>
        <v>#DIV/0!</v>
      </c>
      <c r="AM248" s="14">
        <f t="shared" si="33"/>
        <v>0</v>
      </c>
      <c r="AN248" s="9"/>
    </row>
    <row r="249" spans="1:40" hidden="1" outlineLevel="1">
      <c r="A249" s="12" t="s">
        <v>256</v>
      </c>
      <c r="B249" s="8" t="s">
        <v>270</v>
      </c>
      <c r="I249" s="136" t="s">
        <v>293</v>
      </c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35">
        <f t="shared" si="45"/>
        <v>0</v>
      </c>
      <c r="W249" s="73" t="e">
        <f t="shared" si="40"/>
        <v>#DIV/0!</v>
      </c>
      <c r="X249" s="89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35">
        <f t="shared" si="46"/>
        <v>0</v>
      </c>
      <c r="AL249" s="73" t="e">
        <f t="shared" si="42"/>
        <v>#DIV/0!</v>
      </c>
      <c r="AM249" s="14">
        <f t="shared" si="33"/>
        <v>0</v>
      </c>
      <c r="AN249" s="9"/>
    </row>
    <row r="250" spans="1:40">
      <c r="I250" s="128" t="s">
        <v>294</v>
      </c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>
        <f>V161+V211+V228+V233+V243</f>
        <v>0</v>
      </c>
      <c r="W250" s="72" t="e">
        <f t="shared" si="40"/>
        <v>#DIV/0!</v>
      </c>
      <c r="X250" s="89"/>
      <c r="Y250" s="231">
        <f t="shared" ref="Y250:AJ250" si="47">Y161+Y211+Y228+Y233+Y243</f>
        <v>51975</v>
      </c>
      <c r="Z250" s="231">
        <f t="shared" si="47"/>
        <v>0</v>
      </c>
      <c r="AA250" s="231">
        <f t="shared" si="47"/>
        <v>0</v>
      </c>
      <c r="AB250" s="231">
        <f t="shared" si="47"/>
        <v>51975</v>
      </c>
      <c r="AC250" s="231">
        <f t="shared" si="47"/>
        <v>0</v>
      </c>
      <c r="AD250" s="231">
        <f t="shared" si="47"/>
        <v>0</v>
      </c>
      <c r="AE250" s="231">
        <f t="shared" si="47"/>
        <v>0</v>
      </c>
      <c r="AF250" s="231">
        <f t="shared" si="47"/>
        <v>0</v>
      </c>
      <c r="AG250" s="231">
        <f t="shared" si="47"/>
        <v>0</v>
      </c>
      <c r="AH250" s="231">
        <f t="shared" si="47"/>
        <v>209505.6642</v>
      </c>
      <c r="AI250" s="231">
        <f t="shared" si="47"/>
        <v>0</v>
      </c>
      <c r="AJ250" s="231">
        <f t="shared" si="47"/>
        <v>0</v>
      </c>
      <c r="AK250" s="231">
        <f>AK161+AK211+AK228+AK233+AK243</f>
        <v>313455.6642</v>
      </c>
      <c r="AL250" s="72" t="e">
        <f t="shared" si="42"/>
        <v>#DIV/0!</v>
      </c>
      <c r="AM250" s="10">
        <f t="shared" si="33"/>
        <v>0</v>
      </c>
      <c r="AN250" s="9"/>
    </row>
    <row r="251" spans="1:40">
      <c r="I251" s="128" t="s">
        <v>295</v>
      </c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72"/>
      <c r="X251" s="89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  <c r="AJ251" s="231"/>
      <c r="AK251" s="231"/>
      <c r="AL251" s="72"/>
      <c r="AM251" s="10"/>
      <c r="AN251" s="9"/>
    </row>
    <row r="252" spans="1:40">
      <c r="I252" s="18" t="s">
        <v>266</v>
      </c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>
        <f>IFERROR(V250/V39,0)</f>
        <v>0</v>
      </c>
      <c r="W252" s="73" t="e">
        <f t="shared" si="40"/>
        <v>#DIV/0!</v>
      </c>
      <c r="X252" s="89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1"/>
      <c r="AK252" s="241">
        <f>IFERROR(AK250/AK39,0)</f>
        <v>0</v>
      </c>
      <c r="AL252" s="73" t="e">
        <f t="shared" si="42"/>
        <v>#DIV/0!</v>
      </c>
      <c r="AM252" s="16">
        <f t="shared" si="33"/>
        <v>0</v>
      </c>
      <c r="AN252" s="9"/>
    </row>
    <row r="253" spans="1:40" ht="15.75">
      <c r="I253" s="139" t="s">
        <v>296</v>
      </c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>
        <f>V157-V250</f>
        <v>0</v>
      </c>
      <c r="W253" s="168" t="e">
        <f t="shared" si="40"/>
        <v>#DIV/0!</v>
      </c>
      <c r="X253" s="91"/>
      <c r="Y253" s="134">
        <f t="shared" ref="Y253:AK253" si="48">Y157-Y250</f>
        <v>-51975</v>
      </c>
      <c r="Z253" s="134">
        <f t="shared" si="48"/>
        <v>0</v>
      </c>
      <c r="AA253" s="134">
        <f t="shared" si="48"/>
        <v>0</v>
      </c>
      <c r="AB253" s="134">
        <f t="shared" si="48"/>
        <v>-51975</v>
      </c>
      <c r="AC253" s="134">
        <f t="shared" si="48"/>
        <v>0</v>
      </c>
      <c r="AD253" s="134">
        <f t="shared" si="48"/>
        <v>0</v>
      </c>
      <c r="AE253" s="134">
        <f t="shared" si="48"/>
        <v>0</v>
      </c>
      <c r="AF253" s="134">
        <f t="shared" si="48"/>
        <v>0</v>
      </c>
      <c r="AG253" s="134">
        <f t="shared" si="48"/>
        <v>0</v>
      </c>
      <c r="AH253" s="134">
        <f t="shared" si="48"/>
        <v>-209505.6642</v>
      </c>
      <c r="AI253" s="134">
        <f t="shared" si="48"/>
        <v>0</v>
      </c>
      <c r="AJ253" s="134">
        <f t="shared" si="48"/>
        <v>0</v>
      </c>
      <c r="AK253" s="134">
        <f t="shared" si="48"/>
        <v>-313455.6642</v>
      </c>
      <c r="AL253" s="168" t="e">
        <f t="shared" si="42"/>
        <v>#DIV/0!</v>
      </c>
      <c r="AM253" s="154">
        <f t="shared" si="33"/>
        <v>0</v>
      </c>
      <c r="AN253" s="9"/>
    </row>
    <row r="254" spans="1:40">
      <c r="I254" s="18" t="s">
        <v>297</v>
      </c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>
        <f>IFERROR(V156+V252,0)</f>
        <v>0</v>
      </c>
      <c r="W254" s="74" t="e">
        <f t="shared" si="40"/>
        <v>#DIV/0!</v>
      </c>
      <c r="X254" s="90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1"/>
      <c r="AK254" s="241">
        <f>IFERROR(AK156+AK252,0)</f>
        <v>0</v>
      </c>
      <c r="AL254" s="74" t="e">
        <f t="shared" si="42"/>
        <v>#DIV/0!</v>
      </c>
      <c r="AM254" s="16">
        <f t="shared" si="33"/>
        <v>0</v>
      </c>
      <c r="AN254" s="9"/>
    </row>
    <row r="255" spans="1:40">
      <c r="I255" s="18" t="s">
        <v>298</v>
      </c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>
        <f>IFERROR(V253/V39,0)</f>
        <v>0</v>
      </c>
      <c r="W255" s="74" t="e">
        <f t="shared" si="40"/>
        <v>#DIV/0!</v>
      </c>
      <c r="X255" s="90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>
        <f>IFERROR(AK253/AK39,0)</f>
        <v>0</v>
      </c>
      <c r="AL255" s="74" t="e">
        <f t="shared" si="42"/>
        <v>#DIV/0!</v>
      </c>
      <c r="AM255" s="16">
        <f t="shared" si="33"/>
        <v>0</v>
      </c>
      <c r="AN255" s="9"/>
    </row>
    <row r="256" spans="1:40" ht="15.75">
      <c r="I256" s="139" t="s">
        <v>299</v>
      </c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>
        <f>V160-V254</f>
        <v>0</v>
      </c>
      <c r="W256" s="168" t="e">
        <f t="shared" si="40"/>
        <v>#DIV/0!</v>
      </c>
      <c r="X256" s="91"/>
      <c r="Y256" s="134">
        <f t="shared" ref="Y256:AK256" si="49">Y160-Y254</f>
        <v>0</v>
      </c>
      <c r="Z256" s="134">
        <f t="shared" si="49"/>
        <v>0</v>
      </c>
      <c r="AA256" s="134">
        <f t="shared" si="49"/>
        <v>0</v>
      </c>
      <c r="AB256" s="134">
        <f t="shared" si="49"/>
        <v>0</v>
      </c>
      <c r="AC256" s="134">
        <f t="shared" si="49"/>
        <v>0</v>
      </c>
      <c r="AD256" s="134">
        <f t="shared" si="49"/>
        <v>0</v>
      </c>
      <c r="AE256" s="134">
        <f t="shared" si="49"/>
        <v>0</v>
      </c>
      <c r="AF256" s="134">
        <f t="shared" si="49"/>
        <v>0</v>
      </c>
      <c r="AG256" s="134">
        <f t="shared" si="49"/>
        <v>0</v>
      </c>
      <c r="AH256" s="134">
        <f t="shared" si="49"/>
        <v>0</v>
      </c>
      <c r="AI256" s="134">
        <f t="shared" si="49"/>
        <v>0</v>
      </c>
      <c r="AJ256" s="134">
        <f t="shared" si="49"/>
        <v>0</v>
      </c>
      <c r="AK256" s="134">
        <f t="shared" si="49"/>
        <v>0</v>
      </c>
      <c r="AL256" s="168" t="e">
        <f t="shared" si="42"/>
        <v>#DIV/0!</v>
      </c>
      <c r="AM256" s="154">
        <f t="shared" si="33"/>
        <v>0</v>
      </c>
      <c r="AN256" s="9"/>
    </row>
    <row r="257" spans="1:40">
      <c r="I257" s="18" t="s">
        <v>300</v>
      </c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>
        <f>IFERROR(V159+V255,0)</f>
        <v>0</v>
      </c>
      <c r="W257" s="74" t="e">
        <f t="shared" si="40"/>
        <v>#DIV/0!</v>
      </c>
      <c r="X257" s="90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>
        <f>IFERROR(AK159+AK255,0)</f>
        <v>0</v>
      </c>
      <c r="AL257" s="74" t="e">
        <f t="shared" si="42"/>
        <v>#DIV/0!</v>
      </c>
      <c r="AM257" s="16">
        <f t="shared" si="33"/>
        <v>0</v>
      </c>
      <c r="AN257" s="9"/>
    </row>
    <row r="258" spans="1:40">
      <c r="I258" s="18" t="s">
        <v>301</v>
      </c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>
        <f>IFERROR(V256/V42,0)</f>
        <v>0</v>
      </c>
      <c r="W258" s="74" t="e">
        <f t="shared" si="40"/>
        <v>#DIV/0!</v>
      </c>
      <c r="X258" s="90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>
        <f>IFERROR(AK256/AK42,0)</f>
        <v>0</v>
      </c>
      <c r="AL258" s="74" t="e">
        <f t="shared" si="42"/>
        <v>#DIV/0!</v>
      </c>
      <c r="AM258" s="16">
        <f t="shared" si="33"/>
        <v>0</v>
      </c>
      <c r="AN258" s="9"/>
    </row>
    <row r="259" spans="1:40">
      <c r="I259" s="136"/>
      <c r="J259" s="132"/>
      <c r="K259" s="132"/>
      <c r="L259" s="132"/>
      <c r="M259" s="133"/>
      <c r="N259" s="133"/>
      <c r="O259" s="133"/>
      <c r="P259" s="133"/>
      <c r="Q259" s="132"/>
      <c r="R259" s="133"/>
      <c r="S259" s="133"/>
      <c r="T259" s="133"/>
      <c r="U259" s="132"/>
      <c r="V259" s="132"/>
      <c r="W259" s="78"/>
      <c r="X259" s="89"/>
      <c r="Y259" s="132"/>
      <c r="Z259" s="132"/>
      <c r="AA259" s="132"/>
      <c r="AB259" s="133"/>
      <c r="AC259" s="133"/>
      <c r="AD259" s="133"/>
      <c r="AE259" s="133"/>
      <c r="AF259" s="132"/>
      <c r="AG259" s="133"/>
      <c r="AH259" s="133"/>
      <c r="AI259" s="133"/>
      <c r="AJ259" s="132"/>
      <c r="AK259" s="132"/>
      <c r="AL259" s="78"/>
      <c r="AM259" s="155"/>
      <c r="AN259" s="9"/>
    </row>
    <row r="260" spans="1:40" collapsed="1">
      <c r="A260" s="12" t="s">
        <v>302</v>
      </c>
      <c r="E260" s="7" t="s">
        <v>87</v>
      </c>
      <c r="I260" s="148" t="s">
        <v>303</v>
      </c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>
        <f>SUM(V261:V267)</f>
        <v>0</v>
      </c>
      <c r="W260" s="72" t="e">
        <f>V260/V$6</f>
        <v>#DIV/0!</v>
      </c>
      <c r="X260" s="89"/>
      <c r="Y260" s="231">
        <f t="shared" ref="Y260:AK260" si="50">SUM(Y261:Y267)</f>
        <v>0</v>
      </c>
      <c r="Z260" s="231">
        <f t="shared" si="50"/>
        <v>0</v>
      </c>
      <c r="AA260" s="231">
        <f t="shared" si="50"/>
        <v>0</v>
      </c>
      <c r="AB260" s="231">
        <f t="shared" si="50"/>
        <v>0</v>
      </c>
      <c r="AC260" s="231">
        <f t="shared" si="50"/>
        <v>0</v>
      </c>
      <c r="AD260" s="231">
        <f t="shared" si="50"/>
        <v>0</v>
      </c>
      <c r="AE260" s="231">
        <f t="shared" si="50"/>
        <v>0</v>
      </c>
      <c r="AF260" s="231">
        <f t="shared" si="50"/>
        <v>0</v>
      </c>
      <c r="AG260" s="231">
        <f t="shared" si="50"/>
        <v>0</v>
      </c>
      <c r="AH260" s="231">
        <f t="shared" si="50"/>
        <v>0</v>
      </c>
      <c r="AI260" s="231">
        <f t="shared" si="50"/>
        <v>0</v>
      </c>
      <c r="AJ260" s="231">
        <f t="shared" si="50"/>
        <v>0</v>
      </c>
      <c r="AK260" s="231">
        <f t="shared" si="50"/>
        <v>0</v>
      </c>
      <c r="AL260" s="72" t="e">
        <f>AK260/AK$6</f>
        <v>#DIV/0!</v>
      </c>
      <c r="AM260" s="10">
        <f t="shared" si="33"/>
        <v>0</v>
      </c>
      <c r="AN260" s="9"/>
    </row>
    <row r="261" spans="1:40" hidden="1" outlineLevel="1">
      <c r="A261" s="12" t="s">
        <v>302</v>
      </c>
      <c r="I261" s="136" t="s">
        <v>304</v>
      </c>
      <c r="J261" s="242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35">
        <f>SUM(J261:U261)</f>
        <v>0</v>
      </c>
      <c r="W261" s="73" t="e">
        <f>V261/V$6</f>
        <v>#DIV/0!</v>
      </c>
      <c r="X261" s="89"/>
      <c r="Y261" s="242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35">
        <f>SUM(Y261:AJ261)</f>
        <v>0</v>
      </c>
      <c r="AL261" s="73" t="e">
        <f>AK261/AK$6</f>
        <v>#DIV/0!</v>
      </c>
      <c r="AM261" s="14">
        <f t="shared" si="33"/>
        <v>0</v>
      </c>
      <c r="AN261" s="9"/>
    </row>
    <row r="262" spans="1:40">
      <c r="I262" s="211" t="s">
        <v>305</v>
      </c>
    </row>
    <row r="263" spans="1:40" collapsed="1">
      <c r="I263" s="211" t="s">
        <v>306</v>
      </c>
    </row>
    <row r="264" spans="1:40" hidden="1" outlineLevel="1">
      <c r="A264" s="12"/>
      <c r="I264" s="211" t="s">
        <v>307</v>
      </c>
      <c r="J264" s="247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09"/>
      <c r="X264" s="89"/>
      <c r="Y264" s="247"/>
      <c r="Z264" s="248"/>
      <c r="AA264" s="248"/>
      <c r="AB264" s="248"/>
      <c r="AC264" s="248"/>
      <c r="AD264" s="248"/>
      <c r="AE264" s="248"/>
      <c r="AF264" s="248"/>
      <c r="AG264" s="248"/>
      <c r="AH264" s="248"/>
      <c r="AI264" s="248"/>
      <c r="AJ264" s="248"/>
      <c r="AK264" s="248"/>
      <c r="AL264" s="209"/>
      <c r="AM264" s="210"/>
      <c r="AN264" s="9"/>
    </row>
    <row r="265" spans="1:40" hidden="1" outlineLevel="1">
      <c r="A265" s="12"/>
      <c r="I265" s="136" t="s">
        <v>308</v>
      </c>
      <c r="J265" s="242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35">
        <f>SUM(J265:U265)</f>
        <v>0</v>
      </c>
      <c r="W265" s="73" t="e">
        <f>V265/V$6</f>
        <v>#DIV/0!</v>
      </c>
      <c r="X265" s="89"/>
      <c r="Y265" s="242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35">
        <f>SUM(Y265:AJ265)</f>
        <v>0</v>
      </c>
      <c r="AL265" s="73" t="e">
        <f>AK265/AK$6</f>
        <v>#DIV/0!</v>
      </c>
      <c r="AM265" s="14">
        <f>IFERROR(AK265/V265-1,0)</f>
        <v>0</v>
      </c>
      <c r="AN265" s="9"/>
    </row>
    <row r="266" spans="1:40" collapsed="1">
      <c r="I266" s="5" t="s">
        <v>309</v>
      </c>
    </row>
    <row r="267" spans="1:40" hidden="1" outlineLevel="1">
      <c r="A267" s="12" t="s">
        <v>302</v>
      </c>
      <c r="I267" s="136" t="s">
        <v>310</v>
      </c>
      <c r="J267" s="242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35">
        <f>SUM(J267:U267)</f>
        <v>0</v>
      </c>
      <c r="W267" s="73" t="e">
        <f>V267/V$6</f>
        <v>#DIV/0!</v>
      </c>
      <c r="X267" s="89"/>
      <c r="Y267" s="242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35">
        <f>SUM(Y267:AJ267)</f>
        <v>0</v>
      </c>
      <c r="AL267" s="73" t="e">
        <f>AK267/AK$6</f>
        <v>#DIV/0!</v>
      </c>
      <c r="AM267" s="14">
        <f>IFERROR(AK267/V267-1,0)</f>
        <v>0</v>
      </c>
      <c r="AN267" s="9"/>
    </row>
    <row r="268" spans="1:40" hidden="1" outlineLevel="1">
      <c r="A268" s="12"/>
      <c r="I268" s="212" t="s">
        <v>311</v>
      </c>
      <c r="J268" s="247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09"/>
      <c r="X268" s="89"/>
      <c r="Y268" s="247"/>
      <c r="Z268" s="248"/>
      <c r="AA268" s="248"/>
      <c r="AB268" s="248"/>
      <c r="AC268" s="248"/>
      <c r="AD268" s="248"/>
      <c r="AE268" s="248"/>
      <c r="AF268" s="248"/>
      <c r="AG268" s="248"/>
      <c r="AH268" s="248"/>
      <c r="AI268" s="248"/>
      <c r="AJ268" s="248"/>
      <c r="AK268" s="248"/>
      <c r="AL268" s="209"/>
      <c r="AM268" s="210"/>
      <c r="AN268" s="9"/>
    </row>
    <row r="269" spans="1:40" hidden="1" outlineLevel="1">
      <c r="A269" s="12"/>
      <c r="I269" s="212" t="s">
        <v>312</v>
      </c>
      <c r="J269" s="247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09"/>
      <c r="X269" s="89"/>
      <c r="Y269" s="247"/>
      <c r="Z269" s="248"/>
      <c r="AA269" s="248"/>
      <c r="AB269" s="248"/>
      <c r="AC269" s="248"/>
      <c r="AD269" s="248"/>
      <c r="AE269" s="248"/>
      <c r="AF269" s="248"/>
      <c r="AG269" s="248"/>
      <c r="AH269" s="248"/>
      <c r="AI269" s="248"/>
      <c r="AJ269" s="248"/>
      <c r="AK269" s="248"/>
      <c r="AL269" s="209"/>
      <c r="AM269" s="210"/>
      <c r="AN269" s="9"/>
    </row>
    <row r="270" spans="1:40" hidden="1" outlineLevel="1">
      <c r="A270" s="12"/>
      <c r="I270" s="212" t="s">
        <v>313</v>
      </c>
      <c r="J270" s="247"/>
      <c r="K270" s="248"/>
      <c r="L270" s="248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09"/>
      <c r="X270" s="89"/>
      <c r="Y270" s="247"/>
      <c r="Z270" s="248"/>
      <c r="AA270" s="248"/>
      <c r="AB270" s="248"/>
      <c r="AC270" s="248"/>
      <c r="AD270" s="248"/>
      <c r="AE270" s="248"/>
      <c r="AF270" s="248"/>
      <c r="AG270" s="248"/>
      <c r="AH270" s="248"/>
      <c r="AI270" s="248"/>
      <c r="AJ270" s="248"/>
      <c r="AK270" s="248"/>
      <c r="AL270" s="209"/>
      <c r="AM270" s="210"/>
      <c r="AN270" s="9"/>
    </row>
    <row r="271" spans="1:40" hidden="1" outlineLevel="1">
      <c r="A271" s="12"/>
      <c r="I271" s="212" t="s">
        <v>314</v>
      </c>
      <c r="J271" s="247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09"/>
      <c r="X271" s="89"/>
      <c r="Y271" s="247"/>
      <c r="Z271" s="248"/>
      <c r="AA271" s="248"/>
      <c r="AB271" s="248"/>
      <c r="AC271" s="248"/>
      <c r="AD271" s="248"/>
      <c r="AE271" s="248"/>
      <c r="AF271" s="248"/>
      <c r="AG271" s="248"/>
      <c r="AH271" s="248"/>
      <c r="AI271" s="248"/>
      <c r="AJ271" s="248"/>
      <c r="AK271" s="248"/>
      <c r="AL271" s="209"/>
      <c r="AM271" s="210"/>
      <c r="AN271" s="9"/>
    </row>
    <row r="272" spans="1:40" hidden="1" outlineLevel="1">
      <c r="A272" s="12"/>
      <c r="I272" s="212" t="s">
        <v>315</v>
      </c>
      <c r="J272" s="247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09"/>
      <c r="X272" s="89"/>
      <c r="Y272" s="247"/>
      <c r="Z272" s="248"/>
      <c r="AA272" s="248"/>
      <c r="AB272" s="248"/>
      <c r="AC272" s="248"/>
      <c r="AD272" s="248"/>
      <c r="AE272" s="248"/>
      <c r="AF272" s="248"/>
      <c r="AG272" s="248"/>
      <c r="AH272" s="248"/>
      <c r="AI272" s="248"/>
      <c r="AJ272" s="248"/>
      <c r="AK272" s="248"/>
      <c r="AL272" s="209"/>
      <c r="AM272" s="210"/>
      <c r="AN272" s="9"/>
    </row>
    <row r="273" spans="1:40" hidden="1" outlineLevel="1">
      <c r="A273" s="12"/>
      <c r="I273" s="212" t="s">
        <v>316</v>
      </c>
      <c r="J273" s="247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09"/>
      <c r="X273" s="89"/>
      <c r="Y273" s="247"/>
      <c r="Z273" s="248"/>
      <c r="AA273" s="248"/>
      <c r="AB273" s="248"/>
      <c r="AC273" s="248"/>
      <c r="AD273" s="248"/>
      <c r="AE273" s="248"/>
      <c r="AF273" s="248"/>
      <c r="AG273" s="248"/>
      <c r="AH273" s="248"/>
      <c r="AI273" s="248"/>
      <c r="AJ273" s="248"/>
      <c r="AK273" s="248"/>
      <c r="AL273" s="209"/>
      <c r="AM273" s="210"/>
      <c r="AN273" s="9"/>
    </row>
    <row r="274" spans="1:40">
      <c r="A274" s="12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 s="163"/>
      <c r="X274" s="92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 s="163"/>
      <c r="AM274" s="156"/>
      <c r="AN274" s="9"/>
    </row>
    <row r="275" spans="1:40" collapsed="1">
      <c r="A275" s="12" t="s">
        <v>317</v>
      </c>
      <c r="E275" s="7" t="s">
        <v>108</v>
      </c>
      <c r="I275" s="149" t="s">
        <v>318</v>
      </c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>
        <f>SUM(V276:V280)</f>
        <v>0</v>
      </c>
      <c r="W275" s="72" t="e">
        <f>V275/V$6</f>
        <v>#DIV/0!</v>
      </c>
      <c r="X275" s="89"/>
      <c r="Y275" s="231">
        <f t="shared" ref="Y275:AK275" si="51">SUM(Y276:Y280)</f>
        <v>0</v>
      </c>
      <c r="Z275" s="231">
        <f t="shared" si="51"/>
        <v>0</v>
      </c>
      <c r="AA275" s="231">
        <f t="shared" si="51"/>
        <v>0</v>
      </c>
      <c r="AB275" s="231">
        <f t="shared" si="51"/>
        <v>0</v>
      </c>
      <c r="AC275" s="231">
        <f t="shared" si="51"/>
        <v>0</v>
      </c>
      <c r="AD275" s="231">
        <f t="shared" si="51"/>
        <v>0</v>
      </c>
      <c r="AE275" s="231">
        <f t="shared" si="51"/>
        <v>0</v>
      </c>
      <c r="AF275" s="231">
        <f t="shared" si="51"/>
        <v>0</v>
      </c>
      <c r="AG275" s="231">
        <f t="shared" si="51"/>
        <v>0</v>
      </c>
      <c r="AH275" s="231">
        <f t="shared" si="51"/>
        <v>0</v>
      </c>
      <c r="AI275" s="231">
        <f t="shared" si="51"/>
        <v>0</v>
      </c>
      <c r="AJ275" s="231">
        <f t="shared" si="51"/>
        <v>0</v>
      </c>
      <c r="AK275" s="231">
        <f t="shared" si="51"/>
        <v>0</v>
      </c>
      <c r="AL275" s="72" t="e">
        <f>AK275/AK$6</f>
        <v>#DIV/0!</v>
      </c>
      <c r="AM275" s="10">
        <f t="shared" si="33"/>
        <v>0</v>
      </c>
      <c r="AN275" s="9"/>
    </row>
    <row r="276" spans="1:40" hidden="1" outlineLevel="1">
      <c r="A276" s="12" t="s">
        <v>317</v>
      </c>
      <c r="I276" s="213" t="s">
        <v>319</v>
      </c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35">
        <f>SUM(J276:U276)</f>
        <v>0</v>
      </c>
      <c r="W276" s="73" t="e">
        <f>V276/V$6</f>
        <v>#DIV/0!</v>
      </c>
      <c r="X276" s="89"/>
      <c r="Y276" s="242"/>
      <c r="Z276" s="242"/>
      <c r="AA276" s="242"/>
      <c r="AB276" s="242"/>
      <c r="AC276" s="242"/>
      <c r="AD276" s="242"/>
      <c r="AE276" s="242"/>
      <c r="AF276" s="242"/>
      <c r="AG276" s="242"/>
      <c r="AH276" s="242"/>
      <c r="AI276" s="242"/>
      <c r="AJ276" s="242"/>
      <c r="AK276" s="235">
        <f>SUM(Y276:AJ276)</f>
        <v>0</v>
      </c>
      <c r="AL276" s="73" t="e">
        <f>AK276/AK$6</f>
        <v>#DIV/0!</v>
      </c>
      <c r="AM276" s="14">
        <f t="shared" si="33"/>
        <v>0</v>
      </c>
      <c r="AN276" s="9"/>
    </row>
    <row r="277" spans="1:40" hidden="1" outlineLevel="1">
      <c r="A277" s="12" t="s">
        <v>317</v>
      </c>
      <c r="I277" s="213" t="s">
        <v>320</v>
      </c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35">
        <f>SUM(J277:U277)</f>
        <v>0</v>
      </c>
      <c r="W277" s="73" t="e">
        <f>V277/V$6</f>
        <v>#DIV/0!</v>
      </c>
      <c r="X277" s="89"/>
      <c r="Y277" s="242"/>
      <c r="Z277" s="242"/>
      <c r="AA277" s="242"/>
      <c r="AB277" s="242"/>
      <c r="AC277" s="242"/>
      <c r="AD277" s="242"/>
      <c r="AE277" s="242"/>
      <c r="AF277" s="242"/>
      <c r="AG277" s="242"/>
      <c r="AH277" s="242"/>
      <c r="AI277" s="242"/>
      <c r="AJ277" s="242"/>
      <c r="AK277" s="235">
        <f>SUM(Y277:AJ277)</f>
        <v>0</v>
      </c>
      <c r="AL277" s="73" t="e">
        <f>AK277/AK$6</f>
        <v>#DIV/0!</v>
      </c>
      <c r="AM277" s="14">
        <f t="shared" si="33"/>
        <v>0</v>
      </c>
      <c r="AN277" s="9"/>
    </row>
    <row r="278" spans="1:40" hidden="1" outlineLevel="1">
      <c r="A278" s="12" t="s">
        <v>317</v>
      </c>
      <c r="I278" s="213" t="s">
        <v>321</v>
      </c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35">
        <f>SUM(J278:U278)</f>
        <v>0</v>
      </c>
      <c r="W278" s="73" t="e">
        <f>V278/V$6</f>
        <v>#DIV/0!</v>
      </c>
      <c r="X278" s="89"/>
      <c r="Y278" s="242"/>
      <c r="Z278" s="242"/>
      <c r="AA278" s="242"/>
      <c r="AB278" s="242"/>
      <c r="AC278" s="242"/>
      <c r="AD278" s="242"/>
      <c r="AE278" s="242"/>
      <c r="AF278" s="242"/>
      <c r="AG278" s="242"/>
      <c r="AH278" s="242"/>
      <c r="AI278" s="242"/>
      <c r="AJ278" s="242"/>
      <c r="AK278" s="235">
        <f>SUM(Y278:AJ278)</f>
        <v>0</v>
      </c>
      <c r="AL278" s="73" t="e">
        <f>AK278/AK$6</f>
        <v>#DIV/0!</v>
      </c>
      <c r="AM278" s="14">
        <f t="shared" si="33"/>
        <v>0</v>
      </c>
      <c r="AN278" s="9"/>
    </row>
    <row r="279" spans="1:40" hidden="1" outlineLevel="1">
      <c r="A279" s="12"/>
      <c r="I279" s="213" t="s">
        <v>322</v>
      </c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35"/>
      <c r="W279" s="73"/>
      <c r="X279" s="89"/>
      <c r="Y279" s="242"/>
      <c r="Z279" s="242"/>
      <c r="AA279" s="242"/>
      <c r="AB279" s="242"/>
      <c r="AC279" s="242"/>
      <c r="AD279" s="242"/>
      <c r="AE279" s="242"/>
      <c r="AF279" s="242"/>
      <c r="AG279" s="242"/>
      <c r="AH279" s="242"/>
      <c r="AI279" s="242"/>
      <c r="AJ279" s="242"/>
      <c r="AK279" s="235"/>
      <c r="AL279" s="73"/>
      <c r="AM279" s="14"/>
      <c r="AN279" s="9"/>
    </row>
    <row r="280" spans="1:40" hidden="1" outlineLevel="1">
      <c r="A280" s="12" t="s">
        <v>317</v>
      </c>
      <c r="I280" s="213" t="s">
        <v>323</v>
      </c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35">
        <f>SUM(J280:U280)</f>
        <v>0</v>
      </c>
      <c r="W280" s="73" t="e">
        <f>V280/V$6</f>
        <v>#DIV/0!</v>
      </c>
      <c r="X280" s="89"/>
      <c r="Y280" s="242"/>
      <c r="Z280" s="242"/>
      <c r="AA280" s="242"/>
      <c r="AB280" s="242"/>
      <c r="AC280" s="242"/>
      <c r="AD280" s="242"/>
      <c r="AE280" s="242"/>
      <c r="AF280" s="242"/>
      <c r="AG280" s="242"/>
      <c r="AH280" s="242"/>
      <c r="AI280" s="242"/>
      <c r="AJ280" s="242"/>
      <c r="AK280" s="235">
        <f>SUM(Y280:AJ280)</f>
        <v>0</v>
      </c>
      <c r="AL280" s="73" t="e">
        <f>AK280/AK$6</f>
        <v>#DIV/0!</v>
      </c>
      <c r="AM280" s="14">
        <f t="shared" si="33"/>
        <v>0</v>
      </c>
      <c r="AN280" s="9"/>
    </row>
    <row r="281" spans="1:40">
      <c r="A281" s="12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64"/>
      <c r="X281" s="89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64"/>
      <c r="AM281" s="157"/>
      <c r="AN281" s="9"/>
    </row>
    <row r="282" spans="1:40" collapsed="1">
      <c r="A282" s="12"/>
      <c r="E282" s="7" t="s">
        <v>108</v>
      </c>
      <c r="I282" s="149" t="s">
        <v>324</v>
      </c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>
        <f>SUM(V283:V288)</f>
        <v>0</v>
      </c>
      <c r="W282" s="72" t="e">
        <f t="shared" ref="W282:W288" si="52">V282/V$6</f>
        <v>#DIV/0!</v>
      </c>
      <c r="X282" s="89"/>
      <c r="Y282" s="165">
        <f>SUM(Y283:Y288)</f>
        <v>0</v>
      </c>
      <c r="Z282" s="165">
        <f>SUM(Z283:Z288)</f>
        <v>0</v>
      </c>
      <c r="AA282" s="165">
        <f>SUM(AA283:AA288)</f>
        <v>0</v>
      </c>
      <c r="AB282" s="165">
        <f>SUM(AB283:AB288)</f>
        <v>0</v>
      </c>
      <c r="AC282" s="165">
        <f>SUM(AC283:AC288)</f>
        <v>0</v>
      </c>
      <c r="AD282" s="165">
        <f t="shared" ref="AD282:AJ282" si="53">SUM(AD283:AD288)</f>
        <v>0</v>
      </c>
      <c r="AE282" s="165">
        <f t="shared" si="53"/>
        <v>0</v>
      </c>
      <c r="AF282" s="165">
        <f t="shared" si="53"/>
        <v>0</v>
      </c>
      <c r="AG282" s="165">
        <f t="shared" si="53"/>
        <v>0</v>
      </c>
      <c r="AH282" s="165">
        <f t="shared" si="53"/>
        <v>0</v>
      </c>
      <c r="AI282" s="165">
        <f t="shared" si="53"/>
        <v>0</v>
      </c>
      <c r="AJ282" s="165">
        <f t="shared" si="53"/>
        <v>0</v>
      </c>
      <c r="AK282" s="165">
        <f>SUM(AK283:AK288)</f>
        <v>0</v>
      </c>
      <c r="AL282" s="72" t="e">
        <f t="shared" ref="AL282:AL288" si="54">AK282/AK$6</f>
        <v>#DIV/0!</v>
      </c>
      <c r="AM282" s="10">
        <f t="shared" si="33"/>
        <v>0</v>
      </c>
      <c r="AN282" s="9"/>
    </row>
    <row r="283" spans="1:40" hidden="1" outlineLevel="1">
      <c r="A283" s="12" t="s">
        <v>256</v>
      </c>
      <c r="B283" s="8" t="s">
        <v>270</v>
      </c>
      <c r="I283" s="136" t="s">
        <v>325</v>
      </c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35">
        <f t="shared" ref="V283:V288" si="55">SUM(J283:U283)</f>
        <v>0</v>
      </c>
      <c r="W283" s="73" t="e">
        <f t="shared" si="52"/>
        <v>#DIV/0!</v>
      </c>
      <c r="X283" s="89"/>
      <c r="Y283" s="242"/>
      <c r="Z283" s="242"/>
      <c r="AA283" s="242"/>
      <c r="AB283" s="242"/>
      <c r="AC283" s="242"/>
      <c r="AD283" s="242"/>
      <c r="AE283" s="242"/>
      <c r="AF283" s="242"/>
      <c r="AG283" s="242"/>
      <c r="AH283" s="242"/>
      <c r="AI283" s="242"/>
      <c r="AJ283" s="242"/>
      <c r="AK283" s="235">
        <f t="shared" ref="AK283:AK288" si="56">SUM(Y283:AJ283)</f>
        <v>0</v>
      </c>
      <c r="AL283" s="73" t="e">
        <f t="shared" si="54"/>
        <v>#DIV/0!</v>
      </c>
      <c r="AM283" s="14">
        <f t="shared" ref="AM283:AM355" si="57">IFERROR(AK283/V283-1,0)</f>
        <v>0</v>
      </c>
      <c r="AN283" s="9"/>
    </row>
    <row r="284" spans="1:40" hidden="1" outlineLevel="1">
      <c r="A284" s="12" t="s">
        <v>256</v>
      </c>
      <c r="B284" s="8" t="s">
        <v>270</v>
      </c>
      <c r="I284" s="136" t="s">
        <v>326</v>
      </c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35">
        <f t="shared" si="55"/>
        <v>0</v>
      </c>
      <c r="W284" s="73" t="e">
        <f t="shared" si="52"/>
        <v>#DIV/0!</v>
      </c>
      <c r="X284" s="89"/>
      <c r="Y284" s="242"/>
      <c r="Z284" s="242"/>
      <c r="AA284" s="242"/>
      <c r="AB284" s="242"/>
      <c r="AC284" s="242"/>
      <c r="AD284" s="242"/>
      <c r="AE284" s="242"/>
      <c r="AF284" s="242"/>
      <c r="AG284" s="242"/>
      <c r="AH284" s="242"/>
      <c r="AI284" s="242"/>
      <c r="AJ284" s="242"/>
      <c r="AK284" s="235">
        <f t="shared" si="56"/>
        <v>0</v>
      </c>
      <c r="AL284" s="73" t="e">
        <f t="shared" si="54"/>
        <v>#DIV/0!</v>
      </c>
      <c r="AM284" s="14">
        <f t="shared" si="57"/>
        <v>0</v>
      </c>
      <c r="AN284" s="9"/>
    </row>
    <row r="285" spans="1:40" hidden="1" outlineLevel="1">
      <c r="A285" s="12" t="s">
        <v>256</v>
      </c>
      <c r="B285" s="8" t="s">
        <v>270</v>
      </c>
      <c r="I285" s="136" t="s">
        <v>327</v>
      </c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35">
        <f t="shared" si="55"/>
        <v>0</v>
      </c>
      <c r="W285" s="73" t="e">
        <f t="shared" si="52"/>
        <v>#DIV/0!</v>
      </c>
      <c r="X285" s="89"/>
      <c r="Y285" s="242"/>
      <c r="Z285" s="242"/>
      <c r="AA285" s="242"/>
      <c r="AB285" s="242"/>
      <c r="AC285" s="242"/>
      <c r="AD285" s="242"/>
      <c r="AE285" s="242"/>
      <c r="AF285" s="242"/>
      <c r="AG285" s="242"/>
      <c r="AH285" s="242"/>
      <c r="AI285" s="242"/>
      <c r="AJ285" s="242"/>
      <c r="AK285" s="235">
        <f t="shared" si="56"/>
        <v>0</v>
      </c>
      <c r="AL285" s="73" t="e">
        <f t="shared" si="54"/>
        <v>#DIV/0!</v>
      </c>
      <c r="AM285" s="14">
        <f t="shared" si="57"/>
        <v>0</v>
      </c>
      <c r="AN285" s="9"/>
    </row>
    <row r="286" spans="1:40" hidden="1" outlineLevel="1">
      <c r="A286" s="12" t="s">
        <v>256</v>
      </c>
      <c r="B286" s="8" t="s">
        <v>270</v>
      </c>
      <c r="I286" s="136" t="s">
        <v>328</v>
      </c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35">
        <f t="shared" si="55"/>
        <v>0</v>
      </c>
      <c r="W286" s="73" t="e">
        <f t="shared" si="52"/>
        <v>#DIV/0!</v>
      </c>
      <c r="X286" s="89"/>
      <c r="Y286" s="242"/>
      <c r="Z286" s="242"/>
      <c r="AA286" s="242"/>
      <c r="AB286" s="242"/>
      <c r="AC286" s="242"/>
      <c r="AD286" s="242"/>
      <c r="AE286" s="242"/>
      <c r="AF286" s="242"/>
      <c r="AG286" s="242"/>
      <c r="AH286" s="242"/>
      <c r="AI286" s="242"/>
      <c r="AJ286" s="242"/>
      <c r="AK286" s="235">
        <f t="shared" si="56"/>
        <v>0</v>
      </c>
      <c r="AL286" s="73" t="e">
        <f t="shared" si="54"/>
        <v>#DIV/0!</v>
      </c>
      <c r="AM286" s="14">
        <f t="shared" si="57"/>
        <v>0</v>
      </c>
      <c r="AN286" s="9"/>
    </row>
    <row r="287" spans="1:40" hidden="1" outlineLevel="1">
      <c r="A287" s="12" t="s">
        <v>256</v>
      </c>
      <c r="B287" s="8" t="s">
        <v>270</v>
      </c>
      <c r="I287" s="136" t="s">
        <v>329</v>
      </c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35">
        <f t="shared" si="55"/>
        <v>0</v>
      </c>
      <c r="W287" s="73" t="e">
        <f t="shared" si="52"/>
        <v>#DIV/0!</v>
      </c>
      <c r="X287" s="89"/>
      <c r="Y287" s="242"/>
      <c r="Z287" s="242"/>
      <c r="AA287" s="242"/>
      <c r="AB287" s="242"/>
      <c r="AC287" s="242"/>
      <c r="AD287" s="242"/>
      <c r="AE287" s="242"/>
      <c r="AF287" s="242"/>
      <c r="AG287" s="242"/>
      <c r="AH287" s="242"/>
      <c r="AI287" s="242"/>
      <c r="AJ287" s="242"/>
      <c r="AK287" s="235">
        <f t="shared" si="56"/>
        <v>0</v>
      </c>
      <c r="AL287" s="73" t="e">
        <f t="shared" si="54"/>
        <v>#DIV/0!</v>
      </c>
      <c r="AM287" s="14">
        <f t="shared" si="57"/>
        <v>0</v>
      </c>
      <c r="AN287" s="9"/>
    </row>
    <row r="288" spans="1:40" hidden="1" outlineLevel="1">
      <c r="A288" s="12" t="s">
        <v>256</v>
      </c>
      <c r="B288" s="8" t="s">
        <v>270</v>
      </c>
      <c r="I288" s="136" t="s">
        <v>330</v>
      </c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35">
        <f t="shared" si="55"/>
        <v>0</v>
      </c>
      <c r="W288" s="73" t="e">
        <f t="shared" si="52"/>
        <v>#DIV/0!</v>
      </c>
      <c r="X288" s="89"/>
      <c r="Y288" s="242"/>
      <c r="Z288" s="242"/>
      <c r="AA288" s="242"/>
      <c r="AB288" s="242"/>
      <c r="AC288" s="242"/>
      <c r="AD288" s="242"/>
      <c r="AE288" s="242"/>
      <c r="AF288" s="242"/>
      <c r="AG288" s="242"/>
      <c r="AH288" s="242"/>
      <c r="AI288" s="242"/>
      <c r="AJ288" s="242"/>
      <c r="AK288" s="235">
        <f t="shared" si="56"/>
        <v>0</v>
      </c>
      <c r="AL288" s="73" t="e">
        <f t="shared" si="54"/>
        <v>#DIV/0!</v>
      </c>
      <c r="AM288" s="14">
        <f t="shared" si="57"/>
        <v>0</v>
      </c>
      <c r="AN288" s="9"/>
    </row>
    <row r="289" spans="1:118">
      <c r="A289" s="12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64"/>
      <c r="X289" s="89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64"/>
      <c r="AM289" s="157"/>
      <c r="AN289" s="9"/>
    </row>
    <row r="290" spans="1:118" ht="15.75">
      <c r="I290" s="139" t="s">
        <v>331</v>
      </c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>
        <f>+V253+V260-V275-V282</f>
        <v>0</v>
      </c>
      <c r="W290" s="168" t="e">
        <f>V290/V$6</f>
        <v>#DIV/0!</v>
      </c>
      <c r="X290" s="91"/>
      <c r="Y290" s="134">
        <f t="shared" ref="Y290:AK290" si="58">+Y253+Y260-Y275-Y282</f>
        <v>-51975</v>
      </c>
      <c r="Z290" s="134">
        <f t="shared" si="58"/>
        <v>0</v>
      </c>
      <c r="AA290" s="134">
        <f t="shared" si="58"/>
        <v>0</v>
      </c>
      <c r="AB290" s="134">
        <f t="shared" si="58"/>
        <v>-51975</v>
      </c>
      <c r="AC290" s="134">
        <f t="shared" si="58"/>
        <v>0</v>
      </c>
      <c r="AD290" s="134">
        <f t="shared" si="58"/>
        <v>0</v>
      </c>
      <c r="AE290" s="134">
        <f t="shared" si="58"/>
        <v>0</v>
      </c>
      <c r="AF290" s="134">
        <f t="shared" si="58"/>
        <v>0</v>
      </c>
      <c r="AG290" s="134">
        <f t="shared" si="58"/>
        <v>0</v>
      </c>
      <c r="AH290" s="134">
        <f t="shared" si="58"/>
        <v>-209505.6642</v>
      </c>
      <c r="AI290" s="134">
        <f t="shared" si="58"/>
        <v>0</v>
      </c>
      <c r="AJ290" s="134">
        <f t="shared" si="58"/>
        <v>0</v>
      </c>
      <c r="AK290" s="134">
        <f t="shared" si="58"/>
        <v>-313455.6642</v>
      </c>
      <c r="AL290" s="168" t="e">
        <f>AK290/AK$6</f>
        <v>#DIV/0!</v>
      </c>
      <c r="AM290" s="154">
        <f t="shared" si="57"/>
        <v>0</v>
      </c>
      <c r="AN290" s="9"/>
    </row>
    <row r="291" spans="1:118">
      <c r="A291" s="12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64"/>
      <c r="X291" s="89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64"/>
      <c r="AM291" s="157"/>
      <c r="AN291" s="9"/>
    </row>
    <row r="292" spans="1:118" s="219" customFormat="1" ht="13.5">
      <c r="A292" s="215"/>
      <c r="B292" s="215"/>
      <c r="C292" s="215"/>
      <c r="D292" s="215"/>
      <c r="E292" s="249"/>
      <c r="F292" s="215"/>
      <c r="G292" s="215"/>
      <c r="H292" s="215"/>
      <c r="I292" s="214" t="s">
        <v>332</v>
      </c>
      <c r="J292" s="214"/>
      <c r="K292" s="214"/>
      <c r="L292" s="216"/>
      <c r="M292" s="217"/>
      <c r="N292" s="216"/>
      <c r="O292" s="217"/>
      <c r="P292" s="216"/>
      <c r="Q292" s="217"/>
      <c r="R292" s="160"/>
      <c r="S292" s="160"/>
      <c r="T292" s="216"/>
      <c r="U292" s="217"/>
      <c r="V292" s="216"/>
      <c r="W292" s="217"/>
      <c r="X292" s="216"/>
      <c r="Y292" s="217"/>
      <c r="Z292" s="160"/>
      <c r="AA292" s="160"/>
      <c r="AB292" s="216"/>
      <c r="AC292" s="217"/>
      <c r="AD292" s="216"/>
      <c r="AE292" s="217"/>
      <c r="AF292" s="216"/>
      <c r="AG292" s="217"/>
      <c r="AH292" s="160"/>
      <c r="AI292" s="160"/>
      <c r="AJ292" s="216"/>
      <c r="AK292" s="217"/>
      <c r="AL292" s="216"/>
      <c r="AM292" s="217"/>
      <c r="AN292" s="216"/>
      <c r="AO292" s="217"/>
      <c r="AP292" s="160"/>
      <c r="AQ292" s="160"/>
      <c r="AR292" s="216"/>
      <c r="AS292" s="217"/>
      <c r="AT292" s="216"/>
      <c r="AU292" s="217"/>
      <c r="AV292" s="216"/>
      <c r="AW292" s="217"/>
      <c r="AX292" s="160"/>
      <c r="AY292" s="160"/>
      <c r="AZ292" s="216"/>
      <c r="BA292" s="217"/>
      <c r="BB292" s="216"/>
      <c r="BC292" s="217"/>
      <c r="BD292" s="216"/>
      <c r="BE292" s="217"/>
      <c r="BF292" s="160"/>
      <c r="BG292" s="160"/>
      <c r="BH292" s="216"/>
      <c r="BI292" s="217"/>
      <c r="BJ292" s="216"/>
      <c r="BK292" s="217"/>
      <c r="BL292" s="216"/>
      <c r="BM292" s="217"/>
      <c r="BN292" s="160"/>
      <c r="BO292" s="160"/>
      <c r="BP292" s="216"/>
      <c r="BQ292" s="217"/>
      <c r="BR292" s="216"/>
      <c r="BS292" s="217"/>
      <c r="BT292" s="216"/>
      <c r="BU292" s="217"/>
      <c r="BV292" s="160"/>
      <c r="BW292" s="160"/>
      <c r="BX292" s="216"/>
      <c r="BY292" s="217"/>
      <c r="BZ292" s="216"/>
      <c r="CA292" s="217"/>
      <c r="CB292" s="216"/>
      <c r="CC292" s="217"/>
      <c r="CD292" s="160"/>
      <c r="CE292" s="160"/>
      <c r="CF292" s="216"/>
      <c r="CG292" s="217"/>
      <c r="CH292" s="216"/>
      <c r="CI292" s="217"/>
      <c r="CJ292" s="216"/>
      <c r="CK292" s="217"/>
      <c r="CL292" s="160"/>
      <c r="CM292" s="160"/>
      <c r="CN292" s="216"/>
      <c r="CO292" s="217"/>
      <c r="CP292" s="216"/>
      <c r="CQ292" s="217"/>
      <c r="CR292" s="216"/>
      <c r="CS292" s="217"/>
      <c r="CT292" s="160"/>
      <c r="CU292" s="160"/>
      <c r="CV292" s="216"/>
      <c r="CW292" s="217"/>
      <c r="CX292" s="216"/>
      <c r="CY292" s="217"/>
      <c r="CZ292" s="216"/>
      <c r="DA292" s="217"/>
      <c r="DB292" s="160"/>
      <c r="DC292" s="160"/>
      <c r="DD292" s="216"/>
      <c r="DE292" s="217"/>
      <c r="DF292" s="216"/>
      <c r="DG292" s="217"/>
      <c r="DH292" s="216"/>
      <c r="DI292" s="217"/>
      <c r="DJ292" s="160"/>
      <c r="DK292" s="160"/>
      <c r="DL292" s="218"/>
      <c r="DM292" s="250"/>
      <c r="DN292" s="250"/>
    </row>
    <row r="293" spans="1:118">
      <c r="A293" s="12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64"/>
      <c r="X293" s="89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64"/>
      <c r="AM293" s="157"/>
      <c r="AN293" s="9"/>
    </row>
    <row r="294" spans="1:118" collapsed="1">
      <c r="A294" s="12" t="s">
        <v>219</v>
      </c>
      <c r="B294" s="8" t="s">
        <v>89</v>
      </c>
      <c r="C294" s="8" t="s">
        <v>81</v>
      </c>
      <c r="D294" s="137"/>
      <c r="E294" s="7" t="s">
        <v>108</v>
      </c>
      <c r="I294" s="220" t="s">
        <v>333</v>
      </c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>
        <f>SUM(V295:V319)</f>
        <v>0</v>
      </c>
      <c r="W294" s="72" t="e">
        <f t="shared" ref="W294:W313" si="59">V294/V$6</f>
        <v>#DIV/0!</v>
      </c>
      <c r="X294" s="89"/>
      <c r="Y294" s="251">
        <f t="shared" ref="Y294:AK294" si="60">SUM(Y295:Y319)</f>
        <v>0</v>
      </c>
      <c r="Z294" s="251">
        <f t="shared" si="60"/>
        <v>0</v>
      </c>
      <c r="AA294" s="251">
        <f t="shared" si="60"/>
        <v>0</v>
      </c>
      <c r="AB294" s="251">
        <f t="shared" si="60"/>
        <v>0</v>
      </c>
      <c r="AC294" s="251">
        <f t="shared" si="60"/>
        <v>0</v>
      </c>
      <c r="AD294" s="251">
        <f t="shared" si="60"/>
        <v>0</v>
      </c>
      <c r="AE294" s="251">
        <f t="shared" si="60"/>
        <v>0</v>
      </c>
      <c r="AF294" s="251">
        <f t="shared" si="60"/>
        <v>0</v>
      </c>
      <c r="AG294" s="251">
        <f t="shared" si="60"/>
        <v>0</v>
      </c>
      <c r="AH294" s="251">
        <f t="shared" si="60"/>
        <v>0</v>
      </c>
      <c r="AI294" s="251">
        <f t="shared" si="60"/>
        <v>0</v>
      </c>
      <c r="AJ294" s="251">
        <f t="shared" si="60"/>
        <v>0</v>
      </c>
      <c r="AK294" s="251">
        <f t="shared" si="60"/>
        <v>0</v>
      </c>
      <c r="AL294" s="72" t="e">
        <f t="shared" ref="AL294:AL313" si="61">AK294/AK$6</f>
        <v>#DIV/0!</v>
      </c>
      <c r="AM294" s="10">
        <f t="shared" si="57"/>
        <v>0</v>
      </c>
      <c r="AN294" s="9"/>
    </row>
    <row r="295" spans="1:118" hidden="1" outlineLevel="2">
      <c r="A295" s="12" t="s">
        <v>81</v>
      </c>
      <c r="I295" s="221" t="s">
        <v>334</v>
      </c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35">
        <f>SUM(J295:U295)</f>
        <v>0</v>
      </c>
      <c r="W295" s="73" t="e">
        <f t="shared" si="59"/>
        <v>#DIV/0!</v>
      </c>
      <c r="X295" s="89"/>
      <c r="Y295" s="242"/>
      <c r="Z295" s="242"/>
      <c r="AA295" s="242"/>
      <c r="AB295" s="242"/>
      <c r="AC295" s="242"/>
      <c r="AD295" s="242">
        <v>0</v>
      </c>
      <c r="AE295" s="242">
        <v>0</v>
      </c>
      <c r="AF295" s="242">
        <v>0</v>
      </c>
      <c r="AG295" s="242">
        <v>0</v>
      </c>
      <c r="AH295" s="242">
        <v>0</v>
      </c>
      <c r="AI295" s="242">
        <v>0</v>
      </c>
      <c r="AJ295" s="242">
        <v>0</v>
      </c>
      <c r="AK295" s="235">
        <f>SUM(Y295:AJ295)</f>
        <v>0</v>
      </c>
      <c r="AL295" s="73" t="e">
        <f t="shared" si="61"/>
        <v>#DIV/0!</v>
      </c>
      <c r="AM295" s="158">
        <f t="shared" si="57"/>
        <v>0</v>
      </c>
      <c r="AN295" s="9"/>
    </row>
    <row r="296" spans="1:118" hidden="1" outlineLevel="2">
      <c r="A296" s="12" t="s">
        <v>81</v>
      </c>
      <c r="I296" s="221" t="s">
        <v>335</v>
      </c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35">
        <f t="shared" ref="V296:V313" si="62">SUM(J296:U296)</f>
        <v>0</v>
      </c>
      <c r="W296" s="73" t="e">
        <f t="shared" si="59"/>
        <v>#DIV/0!</v>
      </c>
      <c r="X296" s="89"/>
      <c r="Y296" s="242"/>
      <c r="Z296" s="242"/>
      <c r="AA296" s="242"/>
      <c r="AB296" s="242"/>
      <c r="AC296" s="242"/>
      <c r="AD296" s="242">
        <v>0</v>
      </c>
      <c r="AE296" s="242">
        <v>0</v>
      </c>
      <c r="AF296" s="242">
        <v>0</v>
      </c>
      <c r="AG296" s="242">
        <v>0</v>
      </c>
      <c r="AH296" s="242">
        <v>0</v>
      </c>
      <c r="AI296" s="242">
        <v>0</v>
      </c>
      <c r="AJ296" s="242">
        <v>0</v>
      </c>
      <c r="AK296" s="235">
        <f t="shared" ref="AK296:AK313" si="63">SUM(Y296:AJ296)</f>
        <v>0</v>
      </c>
      <c r="AL296" s="73" t="e">
        <f t="shared" si="61"/>
        <v>#DIV/0!</v>
      </c>
      <c r="AM296" s="158">
        <f t="shared" si="57"/>
        <v>0</v>
      </c>
      <c r="AN296" s="9"/>
    </row>
    <row r="297" spans="1:118" hidden="1" outlineLevel="2">
      <c r="A297" s="12" t="s">
        <v>81</v>
      </c>
      <c r="I297" s="221" t="s">
        <v>336</v>
      </c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35">
        <f t="shared" si="62"/>
        <v>0</v>
      </c>
      <c r="W297" s="73" t="e">
        <f t="shared" si="59"/>
        <v>#DIV/0!</v>
      </c>
      <c r="X297" s="89"/>
      <c r="Y297" s="242"/>
      <c r="Z297" s="242"/>
      <c r="AA297" s="242"/>
      <c r="AB297" s="242"/>
      <c r="AC297" s="242"/>
      <c r="AD297" s="242">
        <v>0</v>
      </c>
      <c r="AE297" s="242">
        <v>0</v>
      </c>
      <c r="AF297" s="242">
        <v>0</v>
      </c>
      <c r="AG297" s="242">
        <v>0</v>
      </c>
      <c r="AH297" s="242">
        <v>0</v>
      </c>
      <c r="AI297" s="242">
        <v>0</v>
      </c>
      <c r="AJ297" s="242">
        <v>0</v>
      </c>
      <c r="AK297" s="235">
        <f t="shared" si="63"/>
        <v>0</v>
      </c>
      <c r="AL297" s="73" t="e">
        <f t="shared" si="61"/>
        <v>#DIV/0!</v>
      </c>
      <c r="AM297" s="158">
        <f t="shared" si="57"/>
        <v>0</v>
      </c>
      <c r="AN297" s="9"/>
    </row>
    <row r="298" spans="1:118" hidden="1" outlineLevel="2">
      <c r="A298" s="12" t="s">
        <v>81</v>
      </c>
      <c r="I298" s="221" t="s">
        <v>337</v>
      </c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35">
        <f t="shared" si="62"/>
        <v>0</v>
      </c>
      <c r="W298" s="73" t="e">
        <f t="shared" si="59"/>
        <v>#DIV/0!</v>
      </c>
      <c r="X298" s="89"/>
      <c r="Y298" s="242"/>
      <c r="Z298" s="242"/>
      <c r="AA298" s="242"/>
      <c r="AB298" s="242"/>
      <c r="AC298" s="242"/>
      <c r="AD298" s="242">
        <v>0</v>
      </c>
      <c r="AE298" s="242">
        <v>0</v>
      </c>
      <c r="AF298" s="242">
        <v>0</v>
      </c>
      <c r="AG298" s="242">
        <v>0</v>
      </c>
      <c r="AH298" s="242">
        <v>0</v>
      </c>
      <c r="AI298" s="242">
        <v>0</v>
      </c>
      <c r="AJ298" s="242">
        <v>0</v>
      </c>
      <c r="AK298" s="235">
        <f t="shared" si="63"/>
        <v>0</v>
      </c>
      <c r="AL298" s="73" t="e">
        <f t="shared" si="61"/>
        <v>#DIV/0!</v>
      </c>
      <c r="AM298" s="158">
        <f t="shared" si="57"/>
        <v>0</v>
      </c>
      <c r="AN298" s="9"/>
    </row>
    <row r="299" spans="1:118" hidden="1" outlineLevel="2">
      <c r="A299" s="12" t="s">
        <v>81</v>
      </c>
      <c r="I299" s="221" t="s">
        <v>338</v>
      </c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35">
        <f t="shared" si="62"/>
        <v>0</v>
      </c>
      <c r="W299" s="73" t="e">
        <f t="shared" si="59"/>
        <v>#DIV/0!</v>
      </c>
      <c r="X299" s="89"/>
      <c r="Y299" s="242"/>
      <c r="Z299" s="242"/>
      <c r="AA299" s="242"/>
      <c r="AB299" s="242"/>
      <c r="AC299" s="242"/>
      <c r="AD299" s="242">
        <v>0</v>
      </c>
      <c r="AE299" s="242">
        <v>0</v>
      </c>
      <c r="AF299" s="242">
        <v>0</v>
      </c>
      <c r="AG299" s="242">
        <v>0</v>
      </c>
      <c r="AH299" s="242">
        <v>0</v>
      </c>
      <c r="AI299" s="242">
        <v>0</v>
      </c>
      <c r="AJ299" s="242">
        <v>0</v>
      </c>
      <c r="AK299" s="235">
        <f t="shared" si="63"/>
        <v>0</v>
      </c>
      <c r="AL299" s="73" t="e">
        <f t="shared" si="61"/>
        <v>#DIV/0!</v>
      </c>
      <c r="AM299" s="158">
        <f t="shared" si="57"/>
        <v>0</v>
      </c>
      <c r="AN299" s="9"/>
    </row>
    <row r="300" spans="1:118" hidden="1" outlineLevel="2">
      <c r="A300" s="12" t="s">
        <v>81</v>
      </c>
      <c r="I300" s="221" t="s">
        <v>339</v>
      </c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35">
        <f t="shared" si="62"/>
        <v>0</v>
      </c>
      <c r="W300" s="73" t="e">
        <f t="shared" si="59"/>
        <v>#DIV/0!</v>
      </c>
      <c r="X300" s="89"/>
      <c r="Y300" s="242"/>
      <c r="Z300" s="242"/>
      <c r="AA300" s="242"/>
      <c r="AB300" s="242"/>
      <c r="AC300" s="242"/>
      <c r="AD300" s="242">
        <v>0</v>
      </c>
      <c r="AE300" s="242">
        <v>0</v>
      </c>
      <c r="AF300" s="242">
        <v>0</v>
      </c>
      <c r="AG300" s="242">
        <v>0</v>
      </c>
      <c r="AH300" s="242">
        <v>0</v>
      </c>
      <c r="AI300" s="242">
        <v>0</v>
      </c>
      <c r="AJ300" s="242">
        <v>0</v>
      </c>
      <c r="AK300" s="235">
        <f t="shared" si="63"/>
        <v>0</v>
      </c>
      <c r="AL300" s="73" t="e">
        <f t="shared" si="61"/>
        <v>#DIV/0!</v>
      </c>
      <c r="AM300" s="158">
        <f t="shared" si="57"/>
        <v>0</v>
      </c>
      <c r="AN300" s="9"/>
    </row>
    <row r="301" spans="1:118" hidden="1" outlineLevel="2">
      <c r="A301" s="12" t="s">
        <v>81</v>
      </c>
      <c r="I301" s="221" t="s">
        <v>340</v>
      </c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35">
        <f t="shared" si="62"/>
        <v>0</v>
      </c>
      <c r="W301" s="73" t="e">
        <f t="shared" si="59"/>
        <v>#DIV/0!</v>
      </c>
      <c r="X301" s="89"/>
      <c r="Y301" s="242"/>
      <c r="Z301" s="242"/>
      <c r="AA301" s="242"/>
      <c r="AB301" s="242"/>
      <c r="AC301" s="242"/>
      <c r="AD301" s="242">
        <v>0</v>
      </c>
      <c r="AE301" s="242">
        <v>0</v>
      </c>
      <c r="AF301" s="242">
        <v>0</v>
      </c>
      <c r="AG301" s="242">
        <v>0</v>
      </c>
      <c r="AH301" s="242">
        <v>0</v>
      </c>
      <c r="AI301" s="242">
        <v>0</v>
      </c>
      <c r="AJ301" s="242">
        <v>0</v>
      </c>
      <c r="AK301" s="235">
        <f t="shared" si="63"/>
        <v>0</v>
      </c>
      <c r="AL301" s="73" t="e">
        <f t="shared" si="61"/>
        <v>#DIV/0!</v>
      </c>
      <c r="AM301" s="158">
        <f t="shared" si="57"/>
        <v>0</v>
      </c>
      <c r="AN301" s="9"/>
    </row>
    <row r="302" spans="1:118" hidden="1" outlineLevel="2">
      <c r="A302" s="12" t="s">
        <v>81</v>
      </c>
      <c r="I302" s="221" t="s">
        <v>341</v>
      </c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35">
        <f t="shared" si="62"/>
        <v>0</v>
      </c>
      <c r="W302" s="73" t="e">
        <f t="shared" si="59"/>
        <v>#DIV/0!</v>
      </c>
      <c r="X302" s="89"/>
      <c r="Y302" s="242"/>
      <c r="Z302" s="242"/>
      <c r="AA302" s="242"/>
      <c r="AB302" s="242"/>
      <c r="AC302" s="242"/>
      <c r="AD302" s="242">
        <v>0</v>
      </c>
      <c r="AE302" s="242">
        <v>0</v>
      </c>
      <c r="AF302" s="242">
        <v>0</v>
      </c>
      <c r="AG302" s="242">
        <v>0</v>
      </c>
      <c r="AH302" s="242">
        <v>0</v>
      </c>
      <c r="AI302" s="242">
        <v>0</v>
      </c>
      <c r="AJ302" s="242">
        <v>0</v>
      </c>
      <c r="AK302" s="235">
        <f t="shared" si="63"/>
        <v>0</v>
      </c>
      <c r="AL302" s="73" t="e">
        <f t="shared" si="61"/>
        <v>#DIV/0!</v>
      </c>
      <c r="AM302" s="158">
        <f t="shared" si="57"/>
        <v>0</v>
      </c>
      <c r="AN302" s="9"/>
    </row>
    <row r="303" spans="1:118" hidden="1" outlineLevel="2">
      <c r="A303" s="12" t="s">
        <v>81</v>
      </c>
      <c r="I303" s="221" t="s">
        <v>342</v>
      </c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35">
        <f t="shared" si="62"/>
        <v>0</v>
      </c>
      <c r="W303" s="73" t="e">
        <f t="shared" si="59"/>
        <v>#DIV/0!</v>
      </c>
      <c r="X303" s="89"/>
      <c r="Y303" s="242"/>
      <c r="Z303" s="242"/>
      <c r="AA303" s="242"/>
      <c r="AB303" s="242"/>
      <c r="AC303" s="242"/>
      <c r="AD303" s="242">
        <v>0</v>
      </c>
      <c r="AE303" s="242">
        <v>0</v>
      </c>
      <c r="AF303" s="242">
        <v>0</v>
      </c>
      <c r="AG303" s="242">
        <v>0</v>
      </c>
      <c r="AH303" s="242">
        <v>0</v>
      </c>
      <c r="AI303" s="242">
        <v>0</v>
      </c>
      <c r="AJ303" s="242">
        <v>0</v>
      </c>
      <c r="AK303" s="235">
        <f t="shared" si="63"/>
        <v>0</v>
      </c>
      <c r="AL303" s="73" t="e">
        <f t="shared" si="61"/>
        <v>#DIV/0!</v>
      </c>
      <c r="AM303" s="158">
        <f t="shared" si="57"/>
        <v>0</v>
      </c>
      <c r="AN303" s="9"/>
    </row>
    <row r="304" spans="1:118" hidden="1" outlineLevel="2">
      <c r="A304" s="12" t="s">
        <v>81</v>
      </c>
      <c r="I304" s="221" t="s">
        <v>343</v>
      </c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35">
        <f t="shared" si="62"/>
        <v>0</v>
      </c>
      <c r="W304" s="73" t="e">
        <f t="shared" si="59"/>
        <v>#DIV/0!</v>
      </c>
      <c r="X304" s="89"/>
      <c r="Y304" s="242"/>
      <c r="Z304" s="242"/>
      <c r="AA304" s="242"/>
      <c r="AB304" s="242"/>
      <c r="AC304" s="242"/>
      <c r="AD304" s="242">
        <v>0</v>
      </c>
      <c r="AE304" s="242">
        <v>0</v>
      </c>
      <c r="AF304" s="242">
        <v>0</v>
      </c>
      <c r="AG304" s="242">
        <v>0</v>
      </c>
      <c r="AH304" s="242">
        <v>0</v>
      </c>
      <c r="AI304" s="242">
        <v>0</v>
      </c>
      <c r="AJ304" s="242">
        <v>0</v>
      </c>
      <c r="AK304" s="235">
        <f t="shared" si="63"/>
        <v>0</v>
      </c>
      <c r="AL304" s="73" t="e">
        <f t="shared" si="61"/>
        <v>#DIV/0!</v>
      </c>
      <c r="AM304" s="158">
        <f t="shared" si="57"/>
        <v>0</v>
      </c>
      <c r="AN304" s="9"/>
    </row>
    <row r="305" spans="1:40" hidden="1" outlineLevel="2">
      <c r="A305" s="12" t="s">
        <v>81</v>
      </c>
      <c r="I305" s="221" t="s">
        <v>344</v>
      </c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35">
        <f t="shared" si="62"/>
        <v>0</v>
      </c>
      <c r="W305" s="73" t="e">
        <f t="shared" si="59"/>
        <v>#DIV/0!</v>
      </c>
      <c r="X305" s="89"/>
      <c r="Y305" s="242"/>
      <c r="Z305" s="242"/>
      <c r="AA305" s="242"/>
      <c r="AB305" s="242"/>
      <c r="AC305" s="242"/>
      <c r="AD305" s="242">
        <v>0</v>
      </c>
      <c r="AE305" s="242">
        <v>0</v>
      </c>
      <c r="AF305" s="242">
        <v>0</v>
      </c>
      <c r="AG305" s="242">
        <v>0</v>
      </c>
      <c r="AH305" s="242">
        <v>0</v>
      </c>
      <c r="AI305" s="242">
        <v>0</v>
      </c>
      <c r="AJ305" s="242">
        <v>0</v>
      </c>
      <c r="AK305" s="235">
        <f t="shared" si="63"/>
        <v>0</v>
      </c>
      <c r="AL305" s="73" t="e">
        <f t="shared" si="61"/>
        <v>#DIV/0!</v>
      </c>
      <c r="AM305" s="158">
        <f t="shared" si="57"/>
        <v>0</v>
      </c>
      <c r="AN305" s="9"/>
    </row>
    <row r="306" spans="1:40" hidden="1" outlineLevel="2">
      <c r="A306" s="12" t="s">
        <v>81</v>
      </c>
      <c r="I306" s="221" t="s">
        <v>345</v>
      </c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35">
        <f t="shared" si="62"/>
        <v>0</v>
      </c>
      <c r="W306" s="73" t="e">
        <f t="shared" si="59"/>
        <v>#DIV/0!</v>
      </c>
      <c r="X306" s="89"/>
      <c r="Y306" s="242"/>
      <c r="Z306" s="242"/>
      <c r="AA306" s="242"/>
      <c r="AB306" s="242"/>
      <c r="AC306" s="242"/>
      <c r="AD306" s="242">
        <v>0</v>
      </c>
      <c r="AE306" s="242">
        <v>0</v>
      </c>
      <c r="AF306" s="242">
        <v>0</v>
      </c>
      <c r="AG306" s="242">
        <v>0</v>
      </c>
      <c r="AH306" s="242">
        <v>0</v>
      </c>
      <c r="AI306" s="242">
        <v>0</v>
      </c>
      <c r="AJ306" s="242">
        <v>0</v>
      </c>
      <c r="AK306" s="235">
        <f t="shared" si="63"/>
        <v>0</v>
      </c>
      <c r="AL306" s="73" t="e">
        <f t="shared" si="61"/>
        <v>#DIV/0!</v>
      </c>
      <c r="AM306" s="158">
        <f t="shared" si="57"/>
        <v>0</v>
      </c>
      <c r="AN306" s="9"/>
    </row>
    <row r="307" spans="1:40" hidden="1" outlineLevel="2">
      <c r="A307" s="12" t="s">
        <v>81</v>
      </c>
      <c r="I307" s="221" t="s">
        <v>346</v>
      </c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35">
        <f t="shared" si="62"/>
        <v>0</v>
      </c>
      <c r="W307" s="73" t="e">
        <f t="shared" si="59"/>
        <v>#DIV/0!</v>
      </c>
      <c r="X307" s="89"/>
      <c r="Y307" s="242"/>
      <c r="Z307" s="242"/>
      <c r="AA307" s="242"/>
      <c r="AB307" s="242"/>
      <c r="AC307" s="242"/>
      <c r="AD307" s="242">
        <v>0</v>
      </c>
      <c r="AE307" s="242">
        <v>0</v>
      </c>
      <c r="AF307" s="242">
        <v>0</v>
      </c>
      <c r="AG307" s="242">
        <v>0</v>
      </c>
      <c r="AH307" s="242">
        <v>0</v>
      </c>
      <c r="AI307" s="242">
        <v>0</v>
      </c>
      <c r="AJ307" s="242">
        <v>0</v>
      </c>
      <c r="AK307" s="235">
        <f t="shared" si="63"/>
        <v>0</v>
      </c>
      <c r="AL307" s="73" t="e">
        <f t="shared" si="61"/>
        <v>#DIV/0!</v>
      </c>
      <c r="AM307" s="158">
        <f t="shared" si="57"/>
        <v>0</v>
      </c>
      <c r="AN307" s="9"/>
    </row>
    <row r="308" spans="1:40" hidden="1" outlineLevel="2">
      <c r="A308" s="12" t="s">
        <v>81</v>
      </c>
      <c r="I308" s="221" t="s">
        <v>347</v>
      </c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35">
        <f t="shared" si="62"/>
        <v>0</v>
      </c>
      <c r="W308" s="73" t="e">
        <f t="shared" si="59"/>
        <v>#DIV/0!</v>
      </c>
      <c r="X308" s="89"/>
      <c r="Y308" s="242"/>
      <c r="Z308" s="242"/>
      <c r="AA308" s="242"/>
      <c r="AB308" s="242"/>
      <c r="AC308" s="242"/>
      <c r="AD308" s="242">
        <v>0</v>
      </c>
      <c r="AE308" s="242">
        <v>0</v>
      </c>
      <c r="AF308" s="242">
        <v>0</v>
      </c>
      <c r="AG308" s="242">
        <v>0</v>
      </c>
      <c r="AH308" s="242">
        <v>0</v>
      </c>
      <c r="AI308" s="242">
        <v>0</v>
      </c>
      <c r="AJ308" s="242">
        <v>0</v>
      </c>
      <c r="AK308" s="235">
        <f t="shared" si="63"/>
        <v>0</v>
      </c>
      <c r="AL308" s="73" t="e">
        <f t="shared" si="61"/>
        <v>#DIV/0!</v>
      </c>
      <c r="AM308" s="158">
        <f t="shared" si="57"/>
        <v>0</v>
      </c>
      <c r="AN308" s="9"/>
    </row>
    <row r="309" spans="1:40" hidden="1" outlineLevel="2">
      <c r="A309" s="12" t="s">
        <v>81</v>
      </c>
      <c r="I309" s="221" t="s">
        <v>348</v>
      </c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35">
        <f t="shared" si="62"/>
        <v>0</v>
      </c>
      <c r="W309" s="73" t="e">
        <f t="shared" si="59"/>
        <v>#DIV/0!</v>
      </c>
      <c r="X309" s="89"/>
      <c r="Y309" s="242"/>
      <c r="Z309" s="242"/>
      <c r="AA309" s="242"/>
      <c r="AB309" s="242"/>
      <c r="AC309" s="242"/>
      <c r="AD309" s="242">
        <v>0</v>
      </c>
      <c r="AE309" s="242">
        <v>0</v>
      </c>
      <c r="AF309" s="242">
        <v>0</v>
      </c>
      <c r="AG309" s="242">
        <v>0</v>
      </c>
      <c r="AH309" s="242">
        <v>0</v>
      </c>
      <c r="AI309" s="242">
        <v>0</v>
      </c>
      <c r="AJ309" s="242">
        <v>0</v>
      </c>
      <c r="AK309" s="235">
        <f t="shared" si="63"/>
        <v>0</v>
      </c>
      <c r="AL309" s="73" t="e">
        <f t="shared" si="61"/>
        <v>#DIV/0!</v>
      </c>
      <c r="AM309" s="158">
        <f t="shared" si="57"/>
        <v>0</v>
      </c>
      <c r="AN309" s="9"/>
    </row>
    <row r="310" spans="1:40" hidden="1" outlineLevel="2">
      <c r="A310" s="12" t="s">
        <v>81</v>
      </c>
      <c r="D310" s="137"/>
      <c r="I310" s="221" t="s">
        <v>349</v>
      </c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35">
        <f t="shared" si="62"/>
        <v>0</v>
      </c>
      <c r="W310" s="73" t="e">
        <f t="shared" si="59"/>
        <v>#DIV/0!</v>
      </c>
      <c r="X310" s="89"/>
      <c r="Y310" s="242"/>
      <c r="Z310" s="242"/>
      <c r="AA310" s="242"/>
      <c r="AB310" s="242"/>
      <c r="AC310" s="242"/>
      <c r="AD310" s="242">
        <v>0</v>
      </c>
      <c r="AE310" s="242">
        <v>0</v>
      </c>
      <c r="AF310" s="242">
        <v>0</v>
      </c>
      <c r="AG310" s="242">
        <v>0</v>
      </c>
      <c r="AH310" s="242">
        <v>0</v>
      </c>
      <c r="AI310" s="242">
        <v>0</v>
      </c>
      <c r="AJ310" s="242">
        <v>0</v>
      </c>
      <c r="AK310" s="235">
        <f t="shared" si="63"/>
        <v>0</v>
      </c>
      <c r="AL310" s="73" t="e">
        <f t="shared" si="61"/>
        <v>#DIV/0!</v>
      </c>
      <c r="AM310" s="158">
        <f t="shared" si="57"/>
        <v>0</v>
      </c>
      <c r="AN310" s="9"/>
    </row>
    <row r="311" spans="1:40" hidden="1" outlineLevel="2">
      <c r="A311" s="12" t="s">
        <v>81</v>
      </c>
      <c r="D311" s="137"/>
      <c r="I311" s="221" t="s">
        <v>350</v>
      </c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35">
        <f t="shared" si="62"/>
        <v>0</v>
      </c>
      <c r="W311" s="73" t="e">
        <f t="shared" si="59"/>
        <v>#DIV/0!</v>
      </c>
      <c r="X311" s="89"/>
      <c r="Y311" s="242"/>
      <c r="Z311" s="242"/>
      <c r="AA311" s="242"/>
      <c r="AB311" s="242"/>
      <c r="AC311" s="242"/>
      <c r="AD311" s="242">
        <v>0</v>
      </c>
      <c r="AE311" s="242">
        <v>0</v>
      </c>
      <c r="AF311" s="242">
        <v>0</v>
      </c>
      <c r="AG311" s="242">
        <v>0</v>
      </c>
      <c r="AH311" s="242">
        <v>0</v>
      </c>
      <c r="AI311" s="242">
        <v>0</v>
      </c>
      <c r="AJ311" s="242">
        <v>0</v>
      </c>
      <c r="AK311" s="235">
        <f t="shared" si="63"/>
        <v>0</v>
      </c>
      <c r="AL311" s="73" t="e">
        <f t="shared" si="61"/>
        <v>#DIV/0!</v>
      </c>
      <c r="AM311" s="158">
        <f t="shared" si="57"/>
        <v>0</v>
      </c>
      <c r="AN311" s="9"/>
    </row>
    <row r="312" spans="1:40" hidden="1" outlineLevel="2">
      <c r="A312" s="12" t="s">
        <v>81</v>
      </c>
      <c r="D312" s="137"/>
      <c r="I312" s="221" t="s">
        <v>351</v>
      </c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35">
        <f t="shared" si="62"/>
        <v>0</v>
      </c>
      <c r="W312" s="73" t="e">
        <f t="shared" si="59"/>
        <v>#DIV/0!</v>
      </c>
      <c r="X312" s="89"/>
      <c r="Y312" s="242"/>
      <c r="Z312" s="242"/>
      <c r="AA312" s="242"/>
      <c r="AB312" s="242"/>
      <c r="AC312" s="242"/>
      <c r="AD312" s="242">
        <v>0</v>
      </c>
      <c r="AE312" s="242">
        <v>0</v>
      </c>
      <c r="AF312" s="242">
        <v>0</v>
      </c>
      <c r="AG312" s="242">
        <v>0</v>
      </c>
      <c r="AH312" s="242">
        <v>0</v>
      </c>
      <c r="AI312" s="242">
        <v>0</v>
      </c>
      <c r="AJ312" s="242">
        <v>0</v>
      </c>
      <c r="AK312" s="235">
        <f t="shared" si="63"/>
        <v>0</v>
      </c>
      <c r="AL312" s="73" t="e">
        <f t="shared" si="61"/>
        <v>#DIV/0!</v>
      </c>
      <c r="AM312" s="158">
        <f t="shared" si="57"/>
        <v>0</v>
      </c>
      <c r="AN312" s="9"/>
    </row>
    <row r="313" spans="1:40" hidden="1" outlineLevel="2">
      <c r="A313" s="12" t="s">
        <v>81</v>
      </c>
      <c r="D313" s="137"/>
      <c r="I313" s="221" t="s">
        <v>352</v>
      </c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35">
        <f t="shared" si="62"/>
        <v>0</v>
      </c>
      <c r="W313" s="73" t="e">
        <f t="shared" si="59"/>
        <v>#DIV/0!</v>
      </c>
      <c r="X313" s="89"/>
      <c r="Y313" s="242"/>
      <c r="Z313" s="242"/>
      <c r="AA313" s="242"/>
      <c r="AB313" s="242"/>
      <c r="AC313" s="242"/>
      <c r="AD313" s="242">
        <v>0</v>
      </c>
      <c r="AE313" s="242">
        <v>0</v>
      </c>
      <c r="AF313" s="242">
        <v>0</v>
      </c>
      <c r="AG313" s="242">
        <v>0</v>
      </c>
      <c r="AH313" s="242">
        <v>0</v>
      </c>
      <c r="AI313" s="242">
        <v>0</v>
      </c>
      <c r="AJ313" s="242">
        <v>0</v>
      </c>
      <c r="AK313" s="235">
        <f t="shared" si="63"/>
        <v>0</v>
      </c>
      <c r="AL313" s="73" t="e">
        <f t="shared" si="61"/>
        <v>#DIV/0!</v>
      </c>
      <c r="AM313" s="158">
        <f t="shared" si="57"/>
        <v>0</v>
      </c>
      <c r="AN313" s="9"/>
    </row>
    <row r="314" spans="1:40" hidden="1" outlineLevel="2">
      <c r="A314" s="12"/>
      <c r="D314" s="137"/>
      <c r="I314" s="221" t="s">
        <v>353</v>
      </c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35"/>
      <c r="W314" s="73"/>
      <c r="X314" s="89"/>
      <c r="Y314" s="242"/>
      <c r="Z314" s="242"/>
      <c r="AA314" s="242"/>
      <c r="AB314" s="242"/>
      <c r="AC314" s="242"/>
      <c r="AD314" s="242"/>
      <c r="AE314" s="242"/>
      <c r="AF314" s="242"/>
      <c r="AG314" s="242"/>
      <c r="AH314" s="242"/>
      <c r="AI314" s="242"/>
      <c r="AJ314" s="242"/>
      <c r="AK314" s="235"/>
      <c r="AL314" s="73"/>
      <c r="AM314" s="158"/>
      <c r="AN314" s="9"/>
    </row>
    <row r="315" spans="1:40" hidden="1" outlineLevel="2">
      <c r="A315" s="12"/>
      <c r="D315" s="137"/>
      <c r="I315" s="221" t="s">
        <v>354</v>
      </c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35"/>
      <c r="W315" s="73"/>
      <c r="X315" s="89"/>
      <c r="Y315" s="242"/>
      <c r="Z315" s="242"/>
      <c r="AA315" s="242"/>
      <c r="AB315" s="242"/>
      <c r="AC315" s="242"/>
      <c r="AD315" s="242"/>
      <c r="AE315" s="242"/>
      <c r="AF315" s="242"/>
      <c r="AG315" s="242"/>
      <c r="AH315" s="242"/>
      <c r="AI315" s="242"/>
      <c r="AJ315" s="242"/>
      <c r="AK315" s="235"/>
      <c r="AL315" s="73"/>
      <c r="AM315" s="158"/>
      <c r="AN315" s="9"/>
    </row>
    <row r="316" spans="1:40" hidden="1" outlineLevel="2">
      <c r="A316" s="12"/>
      <c r="D316" s="137"/>
      <c r="I316" s="221" t="s">
        <v>355</v>
      </c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35"/>
      <c r="W316" s="73"/>
      <c r="X316" s="89"/>
      <c r="Y316" s="242"/>
      <c r="Z316" s="242"/>
      <c r="AA316" s="242"/>
      <c r="AB316" s="242"/>
      <c r="AC316" s="242"/>
      <c r="AD316" s="242"/>
      <c r="AE316" s="242"/>
      <c r="AF316" s="242"/>
      <c r="AG316" s="242"/>
      <c r="AH316" s="242"/>
      <c r="AI316" s="242"/>
      <c r="AJ316" s="242"/>
      <c r="AK316" s="235"/>
      <c r="AL316" s="73"/>
      <c r="AM316" s="158"/>
      <c r="AN316" s="9"/>
    </row>
    <row r="317" spans="1:40" hidden="1" outlineLevel="2">
      <c r="A317" s="12"/>
      <c r="D317" s="137"/>
      <c r="I317" s="221" t="s">
        <v>356</v>
      </c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35"/>
      <c r="W317" s="73"/>
      <c r="X317" s="89"/>
      <c r="Y317" s="242"/>
      <c r="Z317" s="242"/>
      <c r="AA317" s="242"/>
      <c r="AB317" s="242"/>
      <c r="AC317" s="242"/>
      <c r="AD317" s="242"/>
      <c r="AE317" s="242"/>
      <c r="AF317" s="242"/>
      <c r="AG317" s="242"/>
      <c r="AH317" s="242"/>
      <c r="AI317" s="242"/>
      <c r="AJ317" s="242"/>
      <c r="AK317" s="235"/>
      <c r="AL317" s="73"/>
      <c r="AM317" s="158"/>
      <c r="AN317" s="9"/>
    </row>
    <row r="318" spans="1:40" hidden="1" outlineLevel="2">
      <c r="A318" s="12"/>
      <c r="D318" s="137"/>
      <c r="I318" s="221" t="s">
        <v>357</v>
      </c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35"/>
      <c r="W318" s="73"/>
      <c r="X318" s="89"/>
      <c r="Y318" s="242"/>
      <c r="Z318" s="242"/>
      <c r="AA318" s="242"/>
      <c r="AB318" s="242"/>
      <c r="AC318" s="242"/>
      <c r="AD318" s="242"/>
      <c r="AE318" s="242"/>
      <c r="AF318" s="242"/>
      <c r="AG318" s="242"/>
      <c r="AH318" s="242"/>
      <c r="AI318" s="242"/>
      <c r="AJ318" s="242"/>
      <c r="AK318" s="235"/>
      <c r="AL318" s="73"/>
      <c r="AM318" s="158"/>
      <c r="AN318" s="9"/>
    </row>
    <row r="319" spans="1:40" hidden="1" outlineLevel="2">
      <c r="A319" s="12"/>
      <c r="D319" s="137"/>
      <c r="I319" s="221" t="s">
        <v>358</v>
      </c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35"/>
      <c r="W319" s="73"/>
      <c r="X319" s="89"/>
      <c r="Y319" s="242"/>
      <c r="Z319" s="242"/>
      <c r="AA319" s="242"/>
      <c r="AB319" s="242"/>
      <c r="AC319" s="242"/>
      <c r="AD319" s="242"/>
      <c r="AE319" s="242"/>
      <c r="AF319" s="242"/>
      <c r="AG319" s="242"/>
      <c r="AH319" s="242"/>
      <c r="AI319" s="242"/>
      <c r="AJ319" s="242"/>
      <c r="AK319" s="235"/>
      <c r="AL319" s="73"/>
      <c r="AM319" s="158"/>
      <c r="AN319" s="9"/>
    </row>
    <row r="320" spans="1:40">
      <c r="A320" s="12"/>
      <c r="D320" s="137"/>
      <c r="I320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79"/>
      <c r="X320" s="89"/>
      <c r="Y320" s="252"/>
      <c r="Z320" s="252"/>
      <c r="AA320" s="252"/>
      <c r="AB320" s="252"/>
      <c r="AC320" s="252"/>
      <c r="AD320" s="252"/>
      <c r="AE320" s="252"/>
      <c r="AF320" s="252"/>
      <c r="AG320" s="252"/>
      <c r="AH320" s="252"/>
      <c r="AI320" s="252"/>
      <c r="AJ320" s="252"/>
      <c r="AK320" s="252"/>
      <c r="AL320" s="79"/>
      <c r="AM320" s="159"/>
      <c r="AN320" s="9"/>
    </row>
    <row r="321" spans="1:40" collapsed="1">
      <c r="A321" s="12"/>
      <c r="D321" s="137"/>
      <c r="E321" s="7" t="s">
        <v>108</v>
      </c>
      <c r="I321" s="141" t="s">
        <v>359</v>
      </c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>
        <f>SUM(V322:V351)</f>
        <v>0</v>
      </c>
      <c r="W321" s="79" t="e">
        <f t="shared" ref="W321:W330" si="64">V321/V$6</f>
        <v>#DIV/0!</v>
      </c>
      <c r="X321" s="89"/>
      <c r="Y321" s="252">
        <f t="shared" ref="Y321:AK321" si="65">SUM(Y322:Y351)</f>
        <v>0</v>
      </c>
      <c r="Z321" s="252">
        <f t="shared" si="65"/>
        <v>0</v>
      </c>
      <c r="AA321" s="252">
        <f t="shared" si="65"/>
        <v>0</v>
      </c>
      <c r="AB321" s="252">
        <f t="shared" si="65"/>
        <v>0</v>
      </c>
      <c r="AC321" s="252">
        <f t="shared" si="65"/>
        <v>0</v>
      </c>
      <c r="AD321" s="252">
        <f t="shared" si="65"/>
        <v>0</v>
      </c>
      <c r="AE321" s="252">
        <f t="shared" si="65"/>
        <v>0</v>
      </c>
      <c r="AF321" s="252">
        <f t="shared" si="65"/>
        <v>0</v>
      </c>
      <c r="AG321" s="252">
        <f t="shared" si="65"/>
        <v>0</v>
      </c>
      <c r="AH321" s="252">
        <f t="shared" si="65"/>
        <v>0</v>
      </c>
      <c r="AI321" s="252">
        <f t="shared" si="65"/>
        <v>0</v>
      </c>
      <c r="AJ321" s="252">
        <f t="shared" si="65"/>
        <v>0</v>
      </c>
      <c r="AK321" s="252">
        <f t="shared" si="65"/>
        <v>0</v>
      </c>
      <c r="AL321" s="79" t="e">
        <f t="shared" ref="AL321:AL330" si="66">AK321/AK$6</f>
        <v>#DIV/0!</v>
      </c>
      <c r="AM321" s="10">
        <f t="shared" si="57"/>
        <v>0</v>
      </c>
      <c r="AN321" s="9"/>
    </row>
    <row r="322" spans="1:40" hidden="1" outlineLevel="1">
      <c r="A322" s="12" t="s">
        <v>339</v>
      </c>
      <c r="I322" s="213" t="s">
        <v>360</v>
      </c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35">
        <f>SUM(J322:U322)</f>
        <v>0</v>
      </c>
      <c r="W322" s="73" t="e">
        <f t="shared" si="64"/>
        <v>#DIV/0!</v>
      </c>
      <c r="X322" s="89"/>
      <c r="Y322" s="242">
        <v>0</v>
      </c>
      <c r="Z322" s="242">
        <v>0</v>
      </c>
      <c r="AA322" s="242">
        <v>0</v>
      </c>
      <c r="AB322" s="242">
        <v>0</v>
      </c>
      <c r="AC322" s="242">
        <v>0</v>
      </c>
      <c r="AD322" s="242">
        <v>0</v>
      </c>
      <c r="AE322" s="242">
        <v>0</v>
      </c>
      <c r="AF322" s="242">
        <v>0</v>
      </c>
      <c r="AG322" s="242">
        <v>0</v>
      </c>
      <c r="AH322" s="242">
        <v>0</v>
      </c>
      <c r="AI322" s="242">
        <v>0</v>
      </c>
      <c r="AJ322" s="242">
        <v>0</v>
      </c>
      <c r="AK322" s="235">
        <f>SUM(Y322:AJ322)</f>
        <v>0</v>
      </c>
      <c r="AL322" s="73" t="e">
        <f t="shared" si="66"/>
        <v>#DIV/0!</v>
      </c>
      <c r="AM322" s="14">
        <f t="shared" si="57"/>
        <v>0</v>
      </c>
      <c r="AN322" s="9"/>
    </row>
    <row r="323" spans="1:40" hidden="1" outlineLevel="1">
      <c r="A323" s="12" t="s">
        <v>361</v>
      </c>
      <c r="I323" s="213" t="s">
        <v>362</v>
      </c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35">
        <f t="shared" ref="V323:V330" si="67">SUM(J323:U323)</f>
        <v>0</v>
      </c>
      <c r="W323" s="73" t="e">
        <f t="shared" si="64"/>
        <v>#DIV/0!</v>
      </c>
      <c r="X323" s="89"/>
      <c r="Y323" s="242">
        <v>0</v>
      </c>
      <c r="Z323" s="242">
        <v>0</v>
      </c>
      <c r="AA323" s="242">
        <v>0</v>
      </c>
      <c r="AB323" s="242">
        <v>0</v>
      </c>
      <c r="AC323" s="242">
        <v>0</v>
      </c>
      <c r="AD323" s="242">
        <v>0</v>
      </c>
      <c r="AE323" s="242">
        <v>0</v>
      </c>
      <c r="AF323" s="242">
        <v>0</v>
      </c>
      <c r="AG323" s="242">
        <v>0</v>
      </c>
      <c r="AH323" s="242">
        <v>0</v>
      </c>
      <c r="AI323" s="242">
        <v>0</v>
      </c>
      <c r="AJ323" s="242">
        <v>0</v>
      </c>
      <c r="AK323" s="235">
        <f t="shared" ref="AK323:AK330" si="68">SUM(Y323:AJ323)</f>
        <v>0</v>
      </c>
      <c r="AL323" s="73" t="e">
        <f t="shared" si="66"/>
        <v>#DIV/0!</v>
      </c>
      <c r="AM323" s="14">
        <f t="shared" si="57"/>
        <v>0</v>
      </c>
      <c r="AN323" s="9"/>
    </row>
    <row r="324" spans="1:40" hidden="1" outlineLevel="1">
      <c r="A324" s="12" t="s">
        <v>363</v>
      </c>
      <c r="I324" s="213" t="s">
        <v>364</v>
      </c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35">
        <f t="shared" si="67"/>
        <v>0</v>
      </c>
      <c r="W324" s="73" t="e">
        <f t="shared" si="64"/>
        <v>#DIV/0!</v>
      </c>
      <c r="X324" s="89"/>
      <c r="Y324" s="242">
        <v>0</v>
      </c>
      <c r="Z324" s="242">
        <v>0</v>
      </c>
      <c r="AA324" s="242">
        <v>0</v>
      </c>
      <c r="AB324" s="242">
        <v>0</v>
      </c>
      <c r="AC324" s="242">
        <v>0</v>
      </c>
      <c r="AD324" s="242">
        <v>0</v>
      </c>
      <c r="AE324" s="242">
        <v>0</v>
      </c>
      <c r="AF324" s="242">
        <v>0</v>
      </c>
      <c r="AG324" s="242">
        <v>0</v>
      </c>
      <c r="AH324" s="242">
        <v>0</v>
      </c>
      <c r="AI324" s="242">
        <v>0</v>
      </c>
      <c r="AJ324" s="242">
        <v>0</v>
      </c>
      <c r="AK324" s="235">
        <f t="shared" si="68"/>
        <v>0</v>
      </c>
      <c r="AL324" s="73" t="e">
        <f t="shared" si="66"/>
        <v>#DIV/0!</v>
      </c>
      <c r="AM324" s="14">
        <f t="shared" si="57"/>
        <v>0</v>
      </c>
      <c r="AN324" s="9"/>
    </row>
    <row r="325" spans="1:40" hidden="1" outlineLevel="1">
      <c r="A325" s="12" t="s">
        <v>365</v>
      </c>
      <c r="I325" s="213" t="s">
        <v>366</v>
      </c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35">
        <f t="shared" si="67"/>
        <v>0</v>
      </c>
      <c r="W325" s="73" t="e">
        <f t="shared" si="64"/>
        <v>#DIV/0!</v>
      </c>
      <c r="X325" s="89"/>
      <c r="Y325" s="242">
        <v>0</v>
      </c>
      <c r="Z325" s="242">
        <v>0</v>
      </c>
      <c r="AA325" s="242">
        <v>0</v>
      </c>
      <c r="AB325" s="242">
        <v>0</v>
      </c>
      <c r="AC325" s="242">
        <v>0</v>
      </c>
      <c r="AD325" s="242">
        <v>0</v>
      </c>
      <c r="AE325" s="242">
        <v>0</v>
      </c>
      <c r="AF325" s="242">
        <v>0</v>
      </c>
      <c r="AG325" s="242">
        <v>0</v>
      </c>
      <c r="AH325" s="242">
        <v>0</v>
      </c>
      <c r="AI325" s="242">
        <v>0</v>
      </c>
      <c r="AJ325" s="242">
        <v>0</v>
      </c>
      <c r="AK325" s="235">
        <f t="shared" si="68"/>
        <v>0</v>
      </c>
      <c r="AL325" s="73" t="e">
        <f t="shared" si="66"/>
        <v>#DIV/0!</v>
      </c>
      <c r="AM325" s="14">
        <f t="shared" si="57"/>
        <v>0</v>
      </c>
      <c r="AN325" s="9"/>
    </row>
    <row r="326" spans="1:40" hidden="1" outlineLevel="1">
      <c r="A326" s="12" t="s">
        <v>367</v>
      </c>
      <c r="I326" s="213" t="s">
        <v>368</v>
      </c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35">
        <f t="shared" si="67"/>
        <v>0</v>
      </c>
      <c r="W326" s="73" t="e">
        <f t="shared" si="64"/>
        <v>#DIV/0!</v>
      </c>
      <c r="X326" s="89"/>
      <c r="Y326" s="242">
        <v>0</v>
      </c>
      <c r="Z326" s="242">
        <v>0</v>
      </c>
      <c r="AA326" s="242">
        <v>0</v>
      </c>
      <c r="AB326" s="242">
        <v>0</v>
      </c>
      <c r="AC326" s="242">
        <v>0</v>
      </c>
      <c r="AD326" s="242">
        <v>0</v>
      </c>
      <c r="AE326" s="242">
        <v>0</v>
      </c>
      <c r="AF326" s="242">
        <v>0</v>
      </c>
      <c r="AG326" s="242">
        <v>0</v>
      </c>
      <c r="AH326" s="242">
        <v>0</v>
      </c>
      <c r="AI326" s="242">
        <v>0</v>
      </c>
      <c r="AJ326" s="242">
        <v>0</v>
      </c>
      <c r="AK326" s="235">
        <f t="shared" si="68"/>
        <v>0</v>
      </c>
      <c r="AL326" s="73" t="e">
        <f t="shared" si="66"/>
        <v>#DIV/0!</v>
      </c>
      <c r="AM326" s="14">
        <f t="shared" si="57"/>
        <v>0</v>
      </c>
      <c r="AN326" s="9"/>
    </row>
    <row r="327" spans="1:40" hidden="1" outlineLevel="1">
      <c r="A327" s="12" t="s">
        <v>369</v>
      </c>
      <c r="I327" s="213" t="s">
        <v>370</v>
      </c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35">
        <f t="shared" si="67"/>
        <v>0</v>
      </c>
      <c r="W327" s="73" t="e">
        <f t="shared" si="64"/>
        <v>#DIV/0!</v>
      </c>
      <c r="X327" s="89"/>
      <c r="Y327" s="242">
        <v>0</v>
      </c>
      <c r="Z327" s="242">
        <v>0</v>
      </c>
      <c r="AA327" s="242">
        <v>0</v>
      </c>
      <c r="AB327" s="242">
        <v>0</v>
      </c>
      <c r="AC327" s="242">
        <v>0</v>
      </c>
      <c r="AD327" s="242">
        <v>0</v>
      </c>
      <c r="AE327" s="242">
        <v>0</v>
      </c>
      <c r="AF327" s="242">
        <v>0</v>
      </c>
      <c r="AG327" s="242">
        <v>0</v>
      </c>
      <c r="AH327" s="242">
        <v>0</v>
      </c>
      <c r="AI327" s="242">
        <v>0</v>
      </c>
      <c r="AJ327" s="242">
        <v>0</v>
      </c>
      <c r="AK327" s="235">
        <f t="shared" si="68"/>
        <v>0</v>
      </c>
      <c r="AL327" s="73" t="e">
        <f t="shared" si="66"/>
        <v>#DIV/0!</v>
      </c>
      <c r="AM327" s="14">
        <f t="shared" si="57"/>
        <v>0</v>
      </c>
      <c r="AN327" s="9"/>
    </row>
    <row r="328" spans="1:40" hidden="1" outlineLevel="1">
      <c r="A328" s="12"/>
      <c r="I328" s="213" t="s">
        <v>361</v>
      </c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35">
        <f t="shared" si="67"/>
        <v>0</v>
      </c>
      <c r="W328" s="73" t="e">
        <f t="shared" si="64"/>
        <v>#DIV/0!</v>
      </c>
      <c r="X328" s="89"/>
      <c r="Y328" s="242">
        <v>0</v>
      </c>
      <c r="Z328" s="242">
        <v>0</v>
      </c>
      <c r="AA328" s="242">
        <v>0</v>
      </c>
      <c r="AB328" s="242">
        <v>0</v>
      </c>
      <c r="AC328" s="242">
        <v>0</v>
      </c>
      <c r="AD328" s="242">
        <v>0</v>
      </c>
      <c r="AE328" s="242">
        <v>0</v>
      </c>
      <c r="AF328" s="242">
        <v>0</v>
      </c>
      <c r="AG328" s="242">
        <v>0</v>
      </c>
      <c r="AH328" s="242">
        <v>0</v>
      </c>
      <c r="AI328" s="242">
        <v>0</v>
      </c>
      <c r="AJ328" s="242">
        <v>0</v>
      </c>
      <c r="AK328" s="235">
        <f t="shared" si="68"/>
        <v>0</v>
      </c>
      <c r="AL328" s="73" t="e">
        <f t="shared" si="66"/>
        <v>#DIV/0!</v>
      </c>
      <c r="AM328" s="14">
        <f t="shared" si="57"/>
        <v>0</v>
      </c>
      <c r="AN328" s="9"/>
    </row>
    <row r="329" spans="1:40" hidden="1" outlineLevel="1">
      <c r="A329" s="12"/>
      <c r="I329" s="213" t="s">
        <v>371</v>
      </c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35">
        <f t="shared" si="67"/>
        <v>0</v>
      </c>
      <c r="W329" s="73" t="e">
        <f t="shared" si="64"/>
        <v>#DIV/0!</v>
      </c>
      <c r="X329" s="89"/>
      <c r="Y329" s="242">
        <v>0</v>
      </c>
      <c r="Z329" s="242">
        <v>0</v>
      </c>
      <c r="AA329" s="242">
        <v>0</v>
      </c>
      <c r="AB329" s="242">
        <v>0</v>
      </c>
      <c r="AC329" s="242">
        <v>0</v>
      </c>
      <c r="AD329" s="242">
        <v>0</v>
      </c>
      <c r="AE329" s="242">
        <v>0</v>
      </c>
      <c r="AF329" s="242">
        <v>0</v>
      </c>
      <c r="AG329" s="242">
        <v>0</v>
      </c>
      <c r="AH329" s="242">
        <v>0</v>
      </c>
      <c r="AI329" s="242">
        <v>0</v>
      </c>
      <c r="AJ329" s="242">
        <v>0</v>
      </c>
      <c r="AK329" s="235">
        <f t="shared" si="68"/>
        <v>0</v>
      </c>
      <c r="AL329" s="73" t="e">
        <f t="shared" si="66"/>
        <v>#DIV/0!</v>
      </c>
      <c r="AM329" s="14">
        <f t="shared" si="57"/>
        <v>0</v>
      </c>
      <c r="AN329" s="9"/>
    </row>
    <row r="330" spans="1:40" hidden="1" outlineLevel="1">
      <c r="A330" s="12" t="s">
        <v>372</v>
      </c>
      <c r="I330" s="213" t="s">
        <v>373</v>
      </c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35">
        <f t="shared" si="67"/>
        <v>0</v>
      </c>
      <c r="W330" s="73" t="e">
        <f t="shared" si="64"/>
        <v>#DIV/0!</v>
      </c>
      <c r="X330" s="89"/>
      <c r="Y330" s="242">
        <v>0</v>
      </c>
      <c r="Z330" s="242">
        <v>0</v>
      </c>
      <c r="AA330" s="242">
        <v>0</v>
      </c>
      <c r="AB330" s="242">
        <v>0</v>
      </c>
      <c r="AC330" s="242">
        <v>0</v>
      </c>
      <c r="AD330" s="242">
        <v>0</v>
      </c>
      <c r="AE330" s="242">
        <v>0</v>
      </c>
      <c r="AF330" s="242">
        <v>0</v>
      </c>
      <c r="AG330" s="242">
        <v>0</v>
      </c>
      <c r="AH330" s="242">
        <v>0</v>
      </c>
      <c r="AI330" s="242">
        <v>0</v>
      </c>
      <c r="AJ330" s="242">
        <v>0</v>
      </c>
      <c r="AK330" s="235">
        <f t="shared" si="68"/>
        <v>0</v>
      </c>
      <c r="AL330" s="73" t="e">
        <f t="shared" si="66"/>
        <v>#DIV/0!</v>
      </c>
      <c r="AM330" s="14">
        <f t="shared" si="57"/>
        <v>0</v>
      </c>
      <c r="AN330" s="9"/>
    </row>
    <row r="331" spans="1:40" hidden="1" outlineLevel="1">
      <c r="A331" s="12"/>
      <c r="I331" s="213" t="s">
        <v>374</v>
      </c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35"/>
      <c r="W331" s="73"/>
      <c r="X331" s="89"/>
      <c r="Y331" s="242"/>
      <c r="Z331" s="242"/>
      <c r="AA331" s="242"/>
      <c r="AB331" s="242"/>
      <c r="AC331" s="242"/>
      <c r="AD331" s="242"/>
      <c r="AE331" s="242"/>
      <c r="AF331" s="242"/>
      <c r="AG331" s="242"/>
      <c r="AH331" s="242"/>
      <c r="AI331" s="242"/>
      <c r="AJ331" s="242"/>
      <c r="AK331" s="235"/>
      <c r="AL331" s="73"/>
      <c r="AM331" s="14"/>
      <c r="AN331" s="9"/>
    </row>
    <row r="332" spans="1:40" hidden="1" outlineLevel="1">
      <c r="A332" s="12"/>
      <c r="I332" s="213" t="s">
        <v>375</v>
      </c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35"/>
      <c r="W332" s="73"/>
      <c r="X332" s="89"/>
      <c r="Y332" s="242"/>
      <c r="Z332" s="242"/>
      <c r="AA332" s="242"/>
      <c r="AB332" s="242"/>
      <c r="AC332" s="242"/>
      <c r="AD332" s="242"/>
      <c r="AE332" s="242"/>
      <c r="AF332" s="242"/>
      <c r="AG332" s="242"/>
      <c r="AH332" s="242"/>
      <c r="AI332" s="242"/>
      <c r="AJ332" s="242"/>
      <c r="AK332" s="235"/>
      <c r="AL332" s="73"/>
      <c r="AM332" s="14"/>
      <c r="AN332" s="9"/>
    </row>
    <row r="333" spans="1:40" hidden="1" outlineLevel="1">
      <c r="A333" s="12"/>
      <c r="I333" s="213" t="s">
        <v>376</v>
      </c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35"/>
      <c r="W333" s="73"/>
      <c r="X333" s="89"/>
      <c r="Y333" s="242"/>
      <c r="Z333" s="242"/>
      <c r="AA333" s="242"/>
      <c r="AB333" s="242"/>
      <c r="AC333" s="242"/>
      <c r="AD333" s="242"/>
      <c r="AE333" s="242"/>
      <c r="AF333" s="242"/>
      <c r="AG333" s="242"/>
      <c r="AH333" s="242"/>
      <c r="AI333" s="242"/>
      <c r="AJ333" s="242"/>
      <c r="AK333" s="235"/>
      <c r="AL333" s="73"/>
      <c r="AM333" s="14"/>
      <c r="AN333" s="9"/>
    </row>
    <row r="334" spans="1:40" hidden="1" outlineLevel="1">
      <c r="A334" s="12"/>
      <c r="I334" s="213" t="s">
        <v>377</v>
      </c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35"/>
      <c r="W334" s="73"/>
      <c r="X334" s="89"/>
      <c r="Y334" s="242"/>
      <c r="Z334" s="242"/>
      <c r="AA334" s="242"/>
      <c r="AB334" s="242"/>
      <c r="AC334" s="242"/>
      <c r="AD334" s="242"/>
      <c r="AE334" s="242"/>
      <c r="AF334" s="242"/>
      <c r="AG334" s="242"/>
      <c r="AH334" s="242"/>
      <c r="AI334" s="242"/>
      <c r="AJ334" s="242"/>
      <c r="AK334" s="235"/>
      <c r="AL334" s="73"/>
      <c r="AM334" s="14"/>
      <c r="AN334" s="9"/>
    </row>
    <row r="335" spans="1:40" hidden="1" outlineLevel="1">
      <c r="A335" s="12"/>
      <c r="I335" s="213" t="s">
        <v>378</v>
      </c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35"/>
      <c r="W335" s="73"/>
      <c r="X335" s="89"/>
      <c r="Y335" s="242"/>
      <c r="Z335" s="242"/>
      <c r="AA335" s="242"/>
      <c r="AB335" s="242"/>
      <c r="AC335" s="242"/>
      <c r="AD335" s="242"/>
      <c r="AE335" s="242"/>
      <c r="AF335" s="242"/>
      <c r="AG335" s="242"/>
      <c r="AH335" s="242"/>
      <c r="AI335" s="242"/>
      <c r="AJ335" s="242"/>
      <c r="AK335" s="235"/>
      <c r="AL335" s="73"/>
      <c r="AM335" s="14"/>
      <c r="AN335" s="9"/>
    </row>
    <row r="336" spans="1:40" hidden="1" outlineLevel="1">
      <c r="A336" s="12"/>
      <c r="I336" s="213" t="s">
        <v>379</v>
      </c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35"/>
      <c r="W336" s="73"/>
      <c r="X336" s="89"/>
      <c r="Y336" s="242"/>
      <c r="Z336" s="242"/>
      <c r="AA336" s="242"/>
      <c r="AB336" s="242"/>
      <c r="AC336" s="242"/>
      <c r="AD336" s="242"/>
      <c r="AE336" s="242"/>
      <c r="AF336" s="242"/>
      <c r="AG336" s="242"/>
      <c r="AH336" s="242"/>
      <c r="AI336" s="242"/>
      <c r="AJ336" s="242"/>
      <c r="AK336" s="235"/>
      <c r="AL336" s="73"/>
      <c r="AM336" s="14"/>
      <c r="AN336" s="9"/>
    </row>
    <row r="337" spans="1:40" hidden="1" outlineLevel="1">
      <c r="A337" s="12"/>
      <c r="I337" s="213" t="s">
        <v>380</v>
      </c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35"/>
      <c r="W337" s="73"/>
      <c r="X337" s="89"/>
      <c r="Y337" s="242"/>
      <c r="Z337" s="242"/>
      <c r="AA337" s="242"/>
      <c r="AB337" s="242"/>
      <c r="AC337" s="242"/>
      <c r="AD337" s="242"/>
      <c r="AE337" s="242"/>
      <c r="AF337" s="242"/>
      <c r="AG337" s="242"/>
      <c r="AH337" s="242"/>
      <c r="AI337" s="242"/>
      <c r="AJ337" s="242"/>
      <c r="AK337" s="235"/>
      <c r="AL337" s="73"/>
      <c r="AM337" s="14"/>
      <c r="AN337" s="9"/>
    </row>
    <row r="338" spans="1:40" hidden="1" outlineLevel="1">
      <c r="A338" s="12"/>
      <c r="I338" s="213" t="s">
        <v>381</v>
      </c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35"/>
      <c r="W338" s="73"/>
      <c r="X338" s="89"/>
      <c r="Y338" s="242"/>
      <c r="Z338" s="242"/>
      <c r="AA338" s="242"/>
      <c r="AB338" s="242"/>
      <c r="AC338" s="242"/>
      <c r="AD338" s="242"/>
      <c r="AE338" s="242"/>
      <c r="AF338" s="242"/>
      <c r="AG338" s="242"/>
      <c r="AH338" s="242"/>
      <c r="AI338" s="242"/>
      <c r="AJ338" s="242"/>
      <c r="AK338" s="235"/>
      <c r="AL338" s="73"/>
      <c r="AM338" s="14"/>
      <c r="AN338" s="9"/>
    </row>
    <row r="339" spans="1:40" hidden="1" outlineLevel="1">
      <c r="A339" s="12"/>
      <c r="I339" s="213" t="s">
        <v>382</v>
      </c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35"/>
      <c r="W339" s="73"/>
      <c r="X339" s="89"/>
      <c r="Y339" s="242"/>
      <c r="Z339" s="242"/>
      <c r="AA339" s="242"/>
      <c r="AB339" s="242"/>
      <c r="AC339" s="242"/>
      <c r="AD339" s="242"/>
      <c r="AE339" s="242"/>
      <c r="AF339" s="242"/>
      <c r="AG339" s="242"/>
      <c r="AH339" s="242"/>
      <c r="AI339" s="242"/>
      <c r="AJ339" s="242"/>
      <c r="AK339" s="235"/>
      <c r="AL339" s="73"/>
      <c r="AM339" s="14"/>
      <c r="AN339" s="9"/>
    </row>
    <row r="340" spans="1:40" hidden="1" outlineLevel="1">
      <c r="A340" s="12"/>
      <c r="I340" s="213" t="s">
        <v>383</v>
      </c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35"/>
      <c r="W340" s="73"/>
      <c r="X340" s="89"/>
      <c r="Y340" s="242"/>
      <c r="Z340" s="242"/>
      <c r="AA340" s="242"/>
      <c r="AB340" s="242"/>
      <c r="AC340" s="242"/>
      <c r="AD340" s="242"/>
      <c r="AE340" s="242"/>
      <c r="AF340" s="242"/>
      <c r="AG340" s="242"/>
      <c r="AH340" s="242"/>
      <c r="AI340" s="242"/>
      <c r="AJ340" s="242"/>
      <c r="AK340" s="235"/>
      <c r="AL340" s="73"/>
      <c r="AM340" s="14"/>
      <c r="AN340" s="9"/>
    </row>
    <row r="341" spans="1:40" hidden="1" outlineLevel="1">
      <c r="A341" s="12"/>
      <c r="I341" s="213" t="s">
        <v>384</v>
      </c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35"/>
      <c r="W341" s="73"/>
      <c r="X341" s="89"/>
      <c r="Y341" s="242"/>
      <c r="Z341" s="242"/>
      <c r="AA341" s="242"/>
      <c r="AB341" s="242"/>
      <c r="AC341" s="242"/>
      <c r="AD341" s="242"/>
      <c r="AE341" s="242"/>
      <c r="AF341" s="242"/>
      <c r="AG341" s="242"/>
      <c r="AH341" s="242"/>
      <c r="AI341" s="242"/>
      <c r="AJ341" s="242"/>
      <c r="AK341" s="235"/>
      <c r="AL341" s="73"/>
      <c r="AM341" s="14"/>
      <c r="AN341" s="9"/>
    </row>
    <row r="342" spans="1:40" hidden="1" outlineLevel="1">
      <c r="A342" s="12"/>
      <c r="I342" s="213" t="s">
        <v>385</v>
      </c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35"/>
      <c r="W342" s="73"/>
      <c r="X342" s="89"/>
      <c r="Y342" s="242"/>
      <c r="Z342" s="242"/>
      <c r="AA342" s="242"/>
      <c r="AB342" s="242"/>
      <c r="AC342" s="242"/>
      <c r="AD342" s="242"/>
      <c r="AE342" s="242"/>
      <c r="AF342" s="242"/>
      <c r="AG342" s="242"/>
      <c r="AH342" s="242"/>
      <c r="AI342" s="242"/>
      <c r="AJ342" s="242"/>
      <c r="AK342" s="235"/>
      <c r="AL342" s="73"/>
      <c r="AM342" s="14"/>
      <c r="AN342" s="9"/>
    </row>
    <row r="343" spans="1:40" hidden="1" outlineLevel="1">
      <c r="A343" s="12"/>
      <c r="I343" s="213" t="s">
        <v>386</v>
      </c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35"/>
      <c r="W343" s="73"/>
      <c r="X343" s="89"/>
      <c r="Y343" s="242"/>
      <c r="Z343" s="242"/>
      <c r="AA343" s="242"/>
      <c r="AB343" s="242"/>
      <c r="AC343" s="242"/>
      <c r="AD343" s="242"/>
      <c r="AE343" s="242"/>
      <c r="AF343" s="242"/>
      <c r="AG343" s="242"/>
      <c r="AH343" s="242"/>
      <c r="AI343" s="242"/>
      <c r="AJ343" s="242"/>
      <c r="AK343" s="235"/>
      <c r="AL343" s="73"/>
      <c r="AM343" s="14"/>
      <c r="AN343" s="9"/>
    </row>
    <row r="344" spans="1:40" hidden="1" outlineLevel="1">
      <c r="A344" s="12"/>
      <c r="I344" s="213" t="s">
        <v>387</v>
      </c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35"/>
      <c r="W344" s="73"/>
      <c r="X344" s="89"/>
      <c r="Y344" s="242"/>
      <c r="Z344" s="242"/>
      <c r="AA344" s="242"/>
      <c r="AB344" s="242"/>
      <c r="AC344" s="242"/>
      <c r="AD344" s="242"/>
      <c r="AE344" s="242"/>
      <c r="AF344" s="242"/>
      <c r="AG344" s="242"/>
      <c r="AH344" s="242"/>
      <c r="AI344" s="242"/>
      <c r="AJ344" s="242"/>
      <c r="AK344" s="235"/>
      <c r="AL344" s="73"/>
      <c r="AM344" s="14"/>
      <c r="AN344" s="9"/>
    </row>
    <row r="345" spans="1:40" hidden="1" outlineLevel="1">
      <c r="A345" s="12"/>
      <c r="I345" s="213" t="s">
        <v>388</v>
      </c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35"/>
      <c r="W345" s="73"/>
      <c r="X345" s="89"/>
      <c r="Y345" s="242"/>
      <c r="Z345" s="242"/>
      <c r="AA345" s="242"/>
      <c r="AB345" s="242"/>
      <c r="AC345" s="242"/>
      <c r="AD345" s="242"/>
      <c r="AE345" s="242"/>
      <c r="AF345" s="242"/>
      <c r="AG345" s="242"/>
      <c r="AH345" s="242"/>
      <c r="AI345" s="242"/>
      <c r="AJ345" s="242"/>
      <c r="AK345" s="235"/>
      <c r="AL345" s="73"/>
      <c r="AM345" s="14"/>
      <c r="AN345" s="9"/>
    </row>
    <row r="346" spans="1:40" hidden="1" outlineLevel="1">
      <c r="A346" s="12"/>
      <c r="I346" s="213" t="s">
        <v>389</v>
      </c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35"/>
      <c r="W346" s="73"/>
      <c r="X346" s="89"/>
      <c r="Y346" s="242"/>
      <c r="Z346" s="242"/>
      <c r="AA346" s="242"/>
      <c r="AB346" s="242"/>
      <c r="AC346" s="242"/>
      <c r="AD346" s="242"/>
      <c r="AE346" s="242"/>
      <c r="AF346" s="242"/>
      <c r="AG346" s="242"/>
      <c r="AH346" s="242"/>
      <c r="AI346" s="242"/>
      <c r="AJ346" s="242"/>
      <c r="AK346" s="235"/>
      <c r="AL346" s="73"/>
      <c r="AM346" s="14"/>
      <c r="AN346" s="9"/>
    </row>
    <row r="347" spans="1:40" hidden="1" outlineLevel="1">
      <c r="A347" s="12"/>
      <c r="I347" s="213" t="s">
        <v>390</v>
      </c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35"/>
      <c r="W347" s="73"/>
      <c r="X347" s="89"/>
      <c r="Y347" s="242"/>
      <c r="Z347" s="242"/>
      <c r="AA347" s="242"/>
      <c r="AB347" s="242"/>
      <c r="AC347" s="242"/>
      <c r="AD347" s="242"/>
      <c r="AE347" s="242"/>
      <c r="AF347" s="242"/>
      <c r="AG347" s="242"/>
      <c r="AH347" s="242"/>
      <c r="AI347" s="242"/>
      <c r="AJ347" s="242"/>
      <c r="AK347" s="235"/>
      <c r="AL347" s="73"/>
      <c r="AM347" s="14"/>
      <c r="AN347" s="9"/>
    </row>
    <row r="348" spans="1:40" hidden="1" outlineLevel="1">
      <c r="A348" s="12"/>
      <c r="I348" s="213" t="s">
        <v>391</v>
      </c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35"/>
      <c r="W348" s="73"/>
      <c r="X348" s="89"/>
      <c r="Y348" s="242"/>
      <c r="Z348" s="242"/>
      <c r="AA348" s="242"/>
      <c r="AB348" s="242"/>
      <c r="AC348" s="242"/>
      <c r="AD348" s="242"/>
      <c r="AE348" s="242"/>
      <c r="AF348" s="242"/>
      <c r="AG348" s="242"/>
      <c r="AH348" s="242"/>
      <c r="AI348" s="242"/>
      <c r="AJ348" s="242"/>
      <c r="AK348" s="235"/>
      <c r="AL348" s="73"/>
      <c r="AM348" s="14"/>
      <c r="AN348" s="9"/>
    </row>
    <row r="349" spans="1:40" hidden="1" outlineLevel="1">
      <c r="A349" s="12"/>
      <c r="I349" s="213" t="s">
        <v>392</v>
      </c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35"/>
      <c r="W349" s="73"/>
      <c r="X349" s="89"/>
      <c r="Y349" s="242"/>
      <c r="Z349" s="242"/>
      <c r="AA349" s="242"/>
      <c r="AB349" s="242"/>
      <c r="AC349" s="242"/>
      <c r="AD349" s="242"/>
      <c r="AE349" s="242"/>
      <c r="AF349" s="242"/>
      <c r="AG349" s="242"/>
      <c r="AH349" s="242"/>
      <c r="AI349" s="242"/>
      <c r="AJ349" s="242"/>
      <c r="AK349" s="235"/>
      <c r="AL349" s="73"/>
      <c r="AM349" s="14"/>
      <c r="AN349" s="9"/>
    </row>
    <row r="350" spans="1:40" hidden="1" outlineLevel="1">
      <c r="A350" s="12"/>
      <c r="I350" s="213" t="s">
        <v>393</v>
      </c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35"/>
      <c r="W350" s="73"/>
      <c r="X350" s="89"/>
      <c r="Y350" s="242"/>
      <c r="Z350" s="242"/>
      <c r="AA350" s="242"/>
      <c r="AB350" s="242"/>
      <c r="AC350" s="242"/>
      <c r="AD350" s="242"/>
      <c r="AE350" s="242"/>
      <c r="AF350" s="242"/>
      <c r="AG350" s="242"/>
      <c r="AH350" s="242"/>
      <c r="AI350" s="242"/>
      <c r="AJ350" s="242"/>
      <c r="AK350" s="235"/>
      <c r="AL350" s="73"/>
      <c r="AM350" s="14"/>
      <c r="AN350" s="9"/>
    </row>
    <row r="351" spans="1:40" hidden="1" outlineLevel="1">
      <c r="A351" s="12"/>
      <c r="I351" s="213" t="s">
        <v>394</v>
      </c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35"/>
      <c r="W351" s="73"/>
      <c r="X351" s="89"/>
      <c r="Y351" s="242"/>
      <c r="Z351" s="242"/>
      <c r="AA351" s="242"/>
      <c r="AB351" s="242"/>
      <c r="AC351" s="242"/>
      <c r="AD351" s="242"/>
      <c r="AE351" s="242"/>
      <c r="AF351" s="242"/>
      <c r="AG351" s="242"/>
      <c r="AH351" s="242"/>
      <c r="AI351" s="242"/>
      <c r="AJ351" s="242"/>
      <c r="AK351" s="235"/>
      <c r="AL351" s="73"/>
      <c r="AM351" s="14"/>
      <c r="AN351" s="9"/>
    </row>
    <row r="352" spans="1:40" ht="15.75">
      <c r="I352" s="150" t="s">
        <v>395</v>
      </c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>
        <f>+V290-V294-V321</f>
        <v>0</v>
      </c>
      <c r="W352" s="80" t="e">
        <f>V352/V$6</f>
        <v>#DIV/0!</v>
      </c>
      <c r="X352" s="89"/>
      <c r="Y352" s="151">
        <f t="shared" ref="Y352:AK352" si="69">+Y290-Y294-Y321</f>
        <v>-51975</v>
      </c>
      <c r="Z352" s="151">
        <f t="shared" si="69"/>
        <v>0</v>
      </c>
      <c r="AA352" s="151">
        <f t="shared" si="69"/>
        <v>0</v>
      </c>
      <c r="AB352" s="151">
        <f t="shared" si="69"/>
        <v>-51975</v>
      </c>
      <c r="AC352" s="151">
        <f t="shared" si="69"/>
        <v>0</v>
      </c>
      <c r="AD352" s="151">
        <f t="shared" si="69"/>
        <v>0</v>
      </c>
      <c r="AE352" s="151">
        <f t="shared" si="69"/>
        <v>0</v>
      </c>
      <c r="AF352" s="151">
        <f t="shared" si="69"/>
        <v>0</v>
      </c>
      <c r="AG352" s="151">
        <f t="shared" si="69"/>
        <v>0</v>
      </c>
      <c r="AH352" s="151">
        <f t="shared" si="69"/>
        <v>-209505.6642</v>
      </c>
      <c r="AI352" s="151">
        <f t="shared" si="69"/>
        <v>0</v>
      </c>
      <c r="AJ352" s="151">
        <f t="shared" si="69"/>
        <v>0</v>
      </c>
      <c r="AK352" s="151">
        <f t="shared" si="69"/>
        <v>-313455.6642</v>
      </c>
      <c r="AL352" s="80" t="e">
        <f>AK352/AK$6</f>
        <v>#DIV/0!</v>
      </c>
      <c r="AM352" s="160">
        <f t="shared" si="57"/>
        <v>0</v>
      </c>
      <c r="AN352" s="9"/>
    </row>
    <row r="353" spans="1:40" ht="18.75" customHeight="1">
      <c r="W353" s="75"/>
      <c r="X353" s="89"/>
      <c r="AL353" s="75"/>
      <c r="AM353" s="13"/>
      <c r="AN353" s="9"/>
    </row>
    <row r="354" spans="1:40">
      <c r="A354" s="12" t="s">
        <v>396</v>
      </c>
      <c r="E354" s="7" t="s">
        <v>108</v>
      </c>
      <c r="I354" s="142" t="s">
        <v>397</v>
      </c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>
        <f>SUM(J354:U354)</f>
        <v>0</v>
      </c>
      <c r="W354" s="169" t="e">
        <f>V354/V$6</f>
        <v>#DIV/0!</v>
      </c>
      <c r="X354" s="89"/>
      <c r="Y354" s="242">
        <v>0</v>
      </c>
      <c r="Z354" s="242">
        <v>0</v>
      </c>
      <c r="AA354" s="242">
        <v>0</v>
      </c>
      <c r="AB354" s="242">
        <v>0</v>
      </c>
      <c r="AC354" s="242">
        <v>0</v>
      </c>
      <c r="AD354" s="242">
        <v>0</v>
      </c>
      <c r="AE354" s="242">
        <v>0</v>
      </c>
      <c r="AF354" s="242">
        <v>0</v>
      </c>
      <c r="AG354" s="242">
        <v>0</v>
      </c>
      <c r="AH354" s="242">
        <v>0</v>
      </c>
      <c r="AI354" s="242">
        <v>0</v>
      </c>
      <c r="AJ354" s="242">
        <v>0</v>
      </c>
      <c r="AK354" s="242">
        <f>SUM(Y354:AJ354)</f>
        <v>0</v>
      </c>
      <c r="AL354" s="169" t="e">
        <f>AK354/AK$6</f>
        <v>#DIV/0!</v>
      </c>
      <c r="AM354" s="10">
        <f t="shared" si="57"/>
        <v>0</v>
      </c>
      <c r="AN354" s="9"/>
    </row>
    <row r="355" spans="1:40" ht="15.75">
      <c r="I355" s="152" t="s">
        <v>398</v>
      </c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>
        <f>+V352-V354</f>
        <v>0</v>
      </c>
      <c r="W355" s="170" t="e">
        <f>V355/V$6</f>
        <v>#DIV/0!</v>
      </c>
      <c r="X355" s="89"/>
      <c r="Y355" s="153">
        <f>+Y352-Y354</f>
        <v>-51975</v>
      </c>
      <c r="Z355" s="153">
        <f>+Z352-Z354</f>
        <v>0</v>
      </c>
      <c r="AA355" s="153">
        <f>+AA352-AA354</f>
        <v>0</v>
      </c>
      <c r="AB355" s="153">
        <f>+AB352-AB354</f>
        <v>-51975</v>
      </c>
      <c r="AC355" s="153">
        <f>+AC352-AC354</f>
        <v>0</v>
      </c>
      <c r="AD355" s="153">
        <f t="shared" ref="AD355:AK355" si="70">+AD352-AD354</f>
        <v>0</v>
      </c>
      <c r="AE355" s="153">
        <f t="shared" si="70"/>
        <v>0</v>
      </c>
      <c r="AF355" s="153">
        <f t="shared" si="70"/>
        <v>0</v>
      </c>
      <c r="AG355" s="153">
        <f t="shared" si="70"/>
        <v>0</v>
      </c>
      <c r="AH355" s="153">
        <f t="shared" si="70"/>
        <v>-209505.6642</v>
      </c>
      <c r="AI355" s="153">
        <f t="shared" si="70"/>
        <v>0</v>
      </c>
      <c r="AJ355" s="153">
        <f t="shared" si="70"/>
        <v>0</v>
      </c>
      <c r="AK355" s="153">
        <f t="shared" si="70"/>
        <v>-313455.6642</v>
      </c>
      <c r="AL355" s="170" t="e">
        <f>AK355/AK$6</f>
        <v>#DIV/0!</v>
      </c>
      <c r="AM355" s="161">
        <f t="shared" si="57"/>
        <v>0</v>
      </c>
      <c r="AN355" s="9"/>
    </row>
    <row r="356" spans="1:40">
      <c r="I356" s="140"/>
      <c r="J356" s="132"/>
      <c r="K356" s="132"/>
      <c r="L356" s="132"/>
      <c r="M356" s="132"/>
      <c r="N356" s="133"/>
      <c r="O356" s="133"/>
      <c r="P356" s="133"/>
      <c r="Q356" s="132"/>
      <c r="R356" s="133"/>
      <c r="S356" s="133"/>
      <c r="T356" s="133"/>
      <c r="U356" s="132"/>
      <c r="V356" s="132"/>
      <c r="W356" s="81"/>
      <c r="Y356" s="132"/>
      <c r="Z356" s="132"/>
      <c r="AA356" s="132"/>
      <c r="AB356" s="132"/>
      <c r="AC356" s="133"/>
      <c r="AD356" s="133"/>
      <c r="AE356" s="133"/>
      <c r="AF356" s="132"/>
      <c r="AG356" s="133"/>
      <c r="AH356" s="133"/>
      <c r="AI356" s="133"/>
      <c r="AJ356" s="132"/>
      <c r="AK356" s="132"/>
      <c r="AL356" s="81"/>
      <c r="AM356" s="162"/>
    </row>
    <row r="357" spans="1:40">
      <c r="J357" s="135"/>
      <c r="K357" s="135"/>
      <c r="L357" s="135"/>
      <c r="M357" s="135"/>
      <c r="N357" s="135"/>
      <c r="O357" s="135"/>
      <c r="P357" s="135"/>
      <c r="Q357" s="135"/>
      <c r="U357" s="135"/>
      <c r="V357" s="135"/>
      <c r="W357" s="82"/>
      <c r="X357" s="94"/>
      <c r="Y357" s="135"/>
      <c r="Z357" s="135"/>
      <c r="AA357" s="135"/>
      <c r="AB357" s="135"/>
      <c r="AC357" s="135"/>
      <c r="AD357" s="135"/>
      <c r="AE357" s="135"/>
      <c r="AF357" s="135"/>
      <c r="AJ357" s="135"/>
      <c r="AK357" s="135"/>
      <c r="AL357" s="82"/>
    </row>
  </sheetData>
  <mergeCells count="4">
    <mergeCell ref="J2:U2"/>
    <mergeCell ref="V2:W2"/>
    <mergeCell ref="Y2:AJ2"/>
    <mergeCell ref="AK2:AL2"/>
  </mergeCells>
  <conditionalFormatting sqref="R292:S292 AM1:AM46 AM48:AM261">
    <cfRule type="cellIs" dxfId="42" priority="12" operator="lessThan">
      <formula>0</formula>
    </cfRule>
  </conditionalFormatting>
  <conditionalFormatting sqref="Z292:AA292">
    <cfRule type="cellIs" dxfId="41" priority="11" operator="lessThan">
      <formula>0</formula>
    </cfRule>
  </conditionalFormatting>
  <conditionalFormatting sqref="AH292:AI292">
    <cfRule type="cellIs" dxfId="40" priority="10" operator="lessThan">
      <formula>0</formula>
    </cfRule>
  </conditionalFormatting>
  <conditionalFormatting sqref="AM264:AM265">
    <cfRule type="cellIs" dxfId="39" priority="17" operator="lessThan">
      <formula>0</formula>
    </cfRule>
  </conditionalFormatting>
  <conditionalFormatting sqref="AM267:AM291">
    <cfRule type="cellIs" dxfId="38" priority="14" operator="lessThan">
      <formula>0</formula>
    </cfRule>
  </conditionalFormatting>
  <conditionalFormatting sqref="AM293:AM1048576">
    <cfRule type="cellIs" dxfId="37" priority="18" operator="lessThan">
      <formula>0</formula>
    </cfRule>
  </conditionalFormatting>
  <conditionalFormatting sqref="AP292:AQ292">
    <cfRule type="cellIs" dxfId="36" priority="9" operator="lessThan">
      <formula>0</formula>
    </cfRule>
  </conditionalFormatting>
  <conditionalFormatting sqref="AX292:AY292">
    <cfRule type="cellIs" dxfId="35" priority="1" operator="lessThan">
      <formula>0</formula>
    </cfRule>
  </conditionalFormatting>
  <conditionalFormatting sqref="BF292:BG292">
    <cfRule type="cellIs" dxfId="34" priority="8" operator="lessThan">
      <formula>0</formula>
    </cfRule>
  </conditionalFormatting>
  <conditionalFormatting sqref="BN292:BO292">
    <cfRule type="cellIs" dxfId="33" priority="7" operator="lessThan">
      <formula>0</formula>
    </cfRule>
  </conditionalFormatting>
  <conditionalFormatting sqref="BV292:BW292">
    <cfRule type="cellIs" dxfId="32" priority="6" operator="lessThan">
      <formula>0</formula>
    </cfRule>
  </conditionalFormatting>
  <conditionalFormatting sqref="CD292:CE292">
    <cfRule type="cellIs" dxfId="31" priority="5" operator="lessThan">
      <formula>0</formula>
    </cfRule>
  </conditionalFormatting>
  <conditionalFormatting sqref="CL292:CM292">
    <cfRule type="cellIs" dxfId="30" priority="4" operator="lessThan">
      <formula>0</formula>
    </cfRule>
  </conditionalFormatting>
  <conditionalFormatting sqref="CT292:CU292">
    <cfRule type="cellIs" dxfId="29" priority="3" operator="lessThan">
      <formula>0</formula>
    </cfRule>
  </conditionalFormatting>
  <conditionalFormatting sqref="DB292:DC292">
    <cfRule type="cellIs" dxfId="28" priority="2" operator="lessThan">
      <formula>0</formula>
    </cfRule>
  </conditionalFormatting>
  <conditionalFormatting sqref="DJ292:DL292">
    <cfRule type="cellIs" dxfId="27" priority="13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7700-436F-468B-8EA9-5536F67E9CE5}">
  <sheetPr>
    <tabColor rgb="FF00B050"/>
    <outlinePr summaryBelow="0" summaryRight="0"/>
  </sheetPr>
  <dimension ref="A1:DN362"/>
  <sheetViews>
    <sheetView showGridLines="0" zoomScale="70" zoomScaleNormal="70" workbookViewId="0">
      <pane xSplit="9" ySplit="3" topLeftCell="V43" activePane="bottomRight" state="frozen"/>
      <selection pane="bottomRight" activeCell="Z165" sqref="Z165"/>
      <selection pane="bottomLeft" activeCell="O31" sqref="O31"/>
      <selection pane="topRight" activeCell="O31" sqref="O31"/>
    </sheetView>
  </sheetViews>
  <sheetFormatPr defaultColWidth="11.42578125" defaultRowHeight="14.45" outlineLevelRow="2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11.42578125" style="5" customWidth="1" collapsed="1"/>
    <col min="10" max="10" width="13.5703125" style="4" hidden="1" customWidth="1" outlineLevel="1"/>
    <col min="11" max="12" width="12.85546875" style="4" hidden="1" customWidth="1" outlineLevel="1"/>
    <col min="13" max="13" width="14.28515625" style="3" hidden="1" customWidth="1" outlineLevel="1"/>
    <col min="14" max="15" width="13.5703125" style="3" hidden="1" customWidth="1" outlineLevel="1"/>
    <col min="16" max="16" width="12.85546875" style="3" hidden="1" customWidth="1" outlineLevel="1"/>
    <col min="17" max="17" width="14.5703125" style="4" hidden="1" customWidth="1" outlineLevel="1"/>
    <col min="18" max="18" width="12.42578125" style="3" hidden="1" customWidth="1" outlineLevel="1"/>
    <col min="19" max="19" width="12.7109375" style="3" hidden="1" customWidth="1" outlineLevel="1"/>
    <col min="20" max="20" width="12.42578125" style="3" hidden="1" customWidth="1" outlineLevel="1"/>
    <col min="21" max="21" width="14.5703125" style="4" hidden="1" customWidth="1" outlineLevel="1"/>
    <col min="22" max="22" width="11.42578125" style="4" customWidth="1"/>
    <col min="23" max="23" width="11.42578125" style="83" customWidth="1"/>
    <col min="24" max="24" width="11.42578125" style="93" customWidth="1"/>
    <col min="25" max="27" width="17.7109375" style="4" customWidth="1" outlineLevel="1"/>
    <col min="28" max="28" width="17.28515625" style="3" customWidth="1" outlineLevel="1"/>
    <col min="29" max="31" width="17.7109375" style="3" customWidth="1" outlineLevel="1"/>
    <col min="32" max="32" width="17.7109375" style="4" customWidth="1" outlineLevel="1"/>
    <col min="33" max="33" width="17.28515625" style="3" customWidth="1" outlineLevel="1"/>
    <col min="34" max="34" width="16.85546875" style="3" customWidth="1" outlineLevel="1"/>
    <col min="35" max="35" width="17.7109375" style="3" customWidth="1" outlineLevel="1"/>
    <col min="36" max="36" width="17.7109375" style="4" customWidth="1" outlineLevel="1"/>
    <col min="37" max="37" width="11.42578125" style="4" customWidth="1"/>
    <col min="38" max="38" width="11.42578125" style="83" customWidth="1"/>
    <col min="39" max="39" width="11.42578125" style="2" customWidth="1"/>
    <col min="40" max="119" width="11.42578125" style="1" customWidth="1"/>
    <col min="120" max="16384" width="11.42578125" style="1"/>
  </cols>
  <sheetData>
    <row r="1" spans="1:40" s="57" customFormat="1" ht="6.75" customHeight="1">
      <c r="A1" s="6"/>
      <c r="B1" s="8"/>
      <c r="C1" s="8"/>
      <c r="D1" s="6"/>
      <c r="E1" s="7"/>
      <c r="F1" s="6"/>
      <c r="G1" s="6"/>
      <c r="H1" s="6"/>
      <c r="I1" s="60" t="s">
        <v>81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v>3</v>
      </c>
      <c r="AA1" s="59">
        <v>4</v>
      </c>
      <c r="AB1" s="59">
        <v>5</v>
      </c>
      <c r="AC1" s="59">
        <v>6</v>
      </c>
      <c r="AD1" s="59">
        <v>7</v>
      </c>
      <c r="AE1" s="59">
        <v>8</v>
      </c>
      <c r="AF1" s="59">
        <v>9</v>
      </c>
      <c r="AG1" s="59">
        <v>10</v>
      </c>
      <c r="AH1" s="59">
        <v>11</v>
      </c>
      <c r="AI1" s="59">
        <v>12</v>
      </c>
      <c r="AJ1" s="59">
        <v>13</v>
      </c>
      <c r="AK1" s="59"/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0">
        <v>2024</v>
      </c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2"/>
      <c r="V2" s="303" t="s">
        <v>82</v>
      </c>
      <c r="W2" s="304"/>
      <c r="X2" s="85"/>
      <c r="Y2" s="300">
        <v>2025</v>
      </c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2"/>
      <c r="AK2" s="303" t="s">
        <v>82</v>
      </c>
      <c r="AL2" s="305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1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2024</v>
      </c>
      <c r="W3" s="69" t="s">
        <v>83</v>
      </c>
      <c r="X3" s="86"/>
      <c r="Y3" s="131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2025</v>
      </c>
      <c r="AL3" s="69" t="s">
        <v>83</v>
      </c>
      <c r="AM3" s="45" t="s">
        <v>84</v>
      </c>
    </row>
    <row r="4" spans="1:40">
      <c r="I4" s="43" t="s">
        <v>85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>
      <c r="A5" s="8"/>
      <c r="D5" s="8"/>
      <c r="E5" s="42"/>
      <c r="F5" s="8"/>
      <c r="G5" s="8"/>
      <c r="H5" s="8"/>
      <c r="I5" s="41"/>
      <c r="J5" s="231"/>
      <c r="K5" s="231"/>
      <c r="L5" s="231"/>
      <c r="M5" s="231"/>
      <c r="N5" s="231"/>
      <c r="O5" s="231"/>
      <c r="P5" s="1"/>
      <c r="Q5" s="231"/>
      <c r="R5" s="1"/>
      <c r="S5" s="1"/>
      <c r="T5" s="1"/>
      <c r="U5" s="231"/>
      <c r="V5" s="231"/>
      <c r="W5" s="232"/>
      <c r="X5" s="233"/>
      <c r="Y5" s="231"/>
      <c r="Z5" s="231"/>
      <c r="AA5" s="231"/>
      <c r="AB5" s="231"/>
      <c r="AC5" s="231"/>
      <c r="AD5" s="231"/>
      <c r="AE5" s="1"/>
      <c r="AF5" s="231"/>
      <c r="AG5" s="1"/>
      <c r="AH5" s="1"/>
      <c r="AI5" s="1"/>
      <c r="AJ5" s="231"/>
      <c r="AK5" s="231"/>
      <c r="AL5" s="232"/>
      <c r="AM5" s="40"/>
    </row>
    <row r="6" spans="1:40" collapsed="1">
      <c r="A6" s="12" t="s">
        <v>86</v>
      </c>
      <c r="B6" s="19"/>
      <c r="C6" s="19"/>
      <c r="D6" s="12"/>
      <c r="E6" s="7" t="s">
        <v>87</v>
      </c>
      <c r="I6" s="143" t="s">
        <v>88</v>
      </c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>
        <f t="shared" ref="V6:V32" si="0">SUM(J6:U6)</f>
        <v>0</v>
      </c>
      <c r="W6" s="72" t="e">
        <f t="shared" ref="W6:W33" si="1">V6/V$6</f>
        <v>#DIV/0!</v>
      </c>
      <c r="X6" s="89"/>
      <c r="Y6" s="231">
        <f>SUM(Y7:Y9)</f>
        <v>0</v>
      </c>
      <c r="Z6" s="231">
        <f>SUM(Z7:Z9)</f>
        <v>0</v>
      </c>
      <c r="AA6" s="231">
        <f>SUM(AA7:AA9)</f>
        <v>0</v>
      </c>
      <c r="AB6" s="231">
        <f>SUM(AB7:AB9)</f>
        <v>0</v>
      </c>
      <c r="AC6" s="231">
        <f>SUM(AC7:AC9)</f>
        <v>0</v>
      </c>
      <c r="AD6" s="231">
        <f>SUM(AD7:AD9)</f>
        <v>0</v>
      </c>
      <c r="AE6" s="231">
        <f>SUM(AE7:AE9)</f>
        <v>0</v>
      </c>
      <c r="AF6" s="231">
        <f>SUM(AF7:AF9)</f>
        <v>0</v>
      </c>
      <c r="AG6" s="231">
        <f>SUM(AG7:AG9)</f>
        <v>0</v>
      </c>
      <c r="AH6" s="231">
        <f>SUM(AH7:AH9)</f>
        <v>0</v>
      </c>
      <c r="AI6" s="231">
        <f>SUM(AI7:AI9)</f>
        <v>0</v>
      </c>
      <c r="AJ6" s="231">
        <f>SUM(AJ7:AJ9)</f>
        <v>0</v>
      </c>
      <c r="AK6" s="231">
        <f t="shared" ref="AK6:AK32" si="2">SUM(Y6:AJ6)</f>
        <v>0</v>
      </c>
      <c r="AL6" s="72" t="e">
        <f t="shared" ref="AL6:AL33" si="3">AK6/AK$6</f>
        <v>#DIV/0!</v>
      </c>
      <c r="AM6" s="10">
        <f>IFERROR(AK6/V6-1,0)</f>
        <v>0</v>
      </c>
      <c r="AN6" s="9"/>
    </row>
    <row r="7" spans="1:40" ht="15" hidden="1" customHeight="1" outlineLevel="1">
      <c r="A7" s="12" t="s">
        <v>86</v>
      </c>
      <c r="B7" s="19" t="s">
        <v>89</v>
      </c>
      <c r="C7" s="19" t="s">
        <v>90</v>
      </c>
      <c r="D7" s="12" t="s">
        <v>91</v>
      </c>
      <c r="E7" s="20"/>
      <c r="F7" s="12"/>
      <c r="G7" s="12"/>
      <c r="H7" s="12"/>
      <c r="I7" s="144" t="s">
        <v>92</v>
      </c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5">
        <f t="shared" si="0"/>
        <v>0</v>
      </c>
      <c r="W7" s="73" t="e">
        <f t="shared" si="1"/>
        <v>#DIV/0!</v>
      </c>
      <c r="X7" s="89"/>
      <c r="Y7" s="234">
        <v>0</v>
      </c>
      <c r="Z7" s="234">
        <v>0</v>
      </c>
      <c r="AA7" s="234">
        <v>0</v>
      </c>
      <c r="AB7" s="234">
        <v>0</v>
      </c>
      <c r="AC7" s="234">
        <v>0</v>
      </c>
      <c r="AD7" s="234">
        <v>0</v>
      </c>
      <c r="AE7" s="234">
        <v>0</v>
      </c>
      <c r="AF7" s="234">
        <v>0</v>
      </c>
      <c r="AG7" s="234">
        <v>0</v>
      </c>
      <c r="AH7" s="234">
        <v>0</v>
      </c>
      <c r="AI7" s="234">
        <v>0</v>
      </c>
      <c r="AJ7" s="234">
        <v>0</v>
      </c>
      <c r="AK7" s="235">
        <f t="shared" si="2"/>
        <v>0</v>
      </c>
      <c r="AL7" s="73" t="e">
        <f t="shared" si="3"/>
        <v>#DIV/0!</v>
      </c>
      <c r="AM7" s="14">
        <f t="shared" ref="AM7:AM93" si="4">IFERROR(AK7/V7-1,0)</f>
        <v>0</v>
      </c>
      <c r="AN7" s="9"/>
    </row>
    <row r="8" spans="1:40" ht="15" hidden="1" customHeight="1" outlineLevel="1">
      <c r="A8" s="12" t="s">
        <v>86</v>
      </c>
      <c r="B8" s="19" t="s">
        <v>89</v>
      </c>
      <c r="C8" s="19" t="s">
        <v>93</v>
      </c>
      <c r="D8" s="12" t="s">
        <v>94</v>
      </c>
      <c r="E8" s="20"/>
      <c r="F8" s="12"/>
      <c r="G8" s="12"/>
      <c r="H8" s="12"/>
      <c r="I8" s="144" t="s">
        <v>95</v>
      </c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5">
        <f t="shared" si="0"/>
        <v>0</v>
      </c>
      <c r="W8" s="73" t="e">
        <f t="shared" si="1"/>
        <v>#DIV/0!</v>
      </c>
      <c r="X8" s="89"/>
      <c r="Y8" s="234">
        <v>0</v>
      </c>
      <c r="Z8" s="234">
        <v>0</v>
      </c>
      <c r="AA8" s="234">
        <v>0</v>
      </c>
      <c r="AB8" s="234">
        <v>0</v>
      </c>
      <c r="AC8" s="234">
        <v>0</v>
      </c>
      <c r="AD8" s="234">
        <v>0</v>
      </c>
      <c r="AE8" s="234">
        <v>0</v>
      </c>
      <c r="AF8" s="234">
        <v>0</v>
      </c>
      <c r="AG8" s="234">
        <v>0</v>
      </c>
      <c r="AH8" s="234">
        <v>0</v>
      </c>
      <c r="AI8" s="234">
        <v>0</v>
      </c>
      <c r="AJ8" s="234">
        <v>0</v>
      </c>
      <c r="AK8" s="235">
        <f t="shared" si="2"/>
        <v>0</v>
      </c>
      <c r="AL8" s="73" t="e">
        <f t="shared" si="3"/>
        <v>#DIV/0!</v>
      </c>
      <c r="AM8" s="14">
        <f t="shared" si="4"/>
        <v>0</v>
      </c>
      <c r="AN8" s="9"/>
    </row>
    <row r="9" spans="1:40" ht="15" hidden="1" customHeight="1" outlineLevel="1">
      <c r="A9" s="12" t="s">
        <v>86</v>
      </c>
      <c r="B9" s="19" t="s">
        <v>89</v>
      </c>
      <c r="C9" s="19" t="s">
        <v>96</v>
      </c>
      <c r="D9" s="12" t="s">
        <v>97</v>
      </c>
      <c r="E9" s="20"/>
      <c r="F9" s="12"/>
      <c r="G9" s="12"/>
      <c r="H9" s="12"/>
      <c r="I9" s="144" t="s">
        <v>98</v>
      </c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5">
        <f t="shared" si="0"/>
        <v>0</v>
      </c>
      <c r="W9" s="73" t="e">
        <f t="shared" si="1"/>
        <v>#DIV/0!</v>
      </c>
      <c r="X9" s="89"/>
      <c r="Y9" s="234">
        <v>0</v>
      </c>
      <c r="Z9" s="234">
        <v>0</v>
      </c>
      <c r="AA9" s="234">
        <v>0</v>
      </c>
      <c r="AB9" s="234">
        <v>0</v>
      </c>
      <c r="AC9" s="234">
        <v>0</v>
      </c>
      <c r="AD9" s="234">
        <v>0</v>
      </c>
      <c r="AE9" s="234">
        <v>0</v>
      </c>
      <c r="AF9" s="234">
        <v>0</v>
      </c>
      <c r="AG9" s="234">
        <v>0</v>
      </c>
      <c r="AH9" s="234">
        <v>0</v>
      </c>
      <c r="AI9" s="234">
        <v>0</v>
      </c>
      <c r="AJ9" s="234">
        <v>0</v>
      </c>
      <c r="AK9" s="235">
        <f t="shared" si="2"/>
        <v>0</v>
      </c>
      <c r="AL9" s="73" t="e">
        <f t="shared" si="3"/>
        <v>#DIV/0!</v>
      </c>
      <c r="AM9" s="14">
        <f t="shared" si="4"/>
        <v>0</v>
      </c>
      <c r="AN9" s="9"/>
    </row>
    <row r="10" spans="1:40" ht="15" hidden="1" customHeight="1" outlineLevel="1">
      <c r="A10" s="12" t="s">
        <v>86</v>
      </c>
      <c r="B10" s="19" t="s">
        <v>89</v>
      </c>
      <c r="C10" s="19" t="s">
        <v>99</v>
      </c>
      <c r="D10" s="12" t="s">
        <v>100</v>
      </c>
      <c r="E10" s="20" t="s">
        <v>101</v>
      </c>
      <c r="F10" s="12" t="s">
        <v>102</v>
      </c>
      <c r="G10" s="12" t="s">
        <v>103</v>
      </c>
      <c r="H10" s="12" t="s">
        <v>104</v>
      </c>
      <c r="I10" s="144" t="s">
        <v>105</v>
      </c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5">
        <f t="shared" si="0"/>
        <v>0</v>
      </c>
      <c r="W10" s="73" t="e">
        <f t="shared" si="1"/>
        <v>#DIV/0!</v>
      </c>
      <c r="X10" s="89"/>
      <c r="Y10" s="234">
        <v>0</v>
      </c>
      <c r="Z10" s="234">
        <v>0</v>
      </c>
      <c r="AA10" s="234">
        <v>0</v>
      </c>
      <c r="AB10" s="234">
        <v>0</v>
      </c>
      <c r="AC10" s="234">
        <v>0</v>
      </c>
      <c r="AD10" s="234">
        <v>0</v>
      </c>
      <c r="AE10" s="234">
        <v>0</v>
      </c>
      <c r="AF10" s="234">
        <v>0</v>
      </c>
      <c r="AG10" s="234">
        <v>0</v>
      </c>
      <c r="AH10" s="234">
        <v>0</v>
      </c>
      <c r="AI10" s="234">
        <v>0</v>
      </c>
      <c r="AJ10" s="234">
        <v>0</v>
      </c>
      <c r="AK10" s="235">
        <f t="shared" si="2"/>
        <v>0</v>
      </c>
      <c r="AL10" s="73" t="e">
        <f t="shared" si="3"/>
        <v>#DIV/0!</v>
      </c>
      <c r="AM10" s="14">
        <f t="shared" si="4"/>
        <v>0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106</v>
      </c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5"/>
      <c r="W11" s="73"/>
      <c r="X11" s="89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5"/>
      <c r="AL11" s="73"/>
      <c r="AM11" s="14"/>
      <c r="AN11" s="9"/>
    </row>
    <row r="12" spans="1:40" collapsed="1">
      <c r="A12" s="12" t="s">
        <v>107</v>
      </c>
      <c r="B12" s="19"/>
      <c r="E12" s="7" t="s">
        <v>108</v>
      </c>
      <c r="I12" s="143" t="s">
        <v>109</v>
      </c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>
        <f t="shared" si="0"/>
        <v>0</v>
      </c>
      <c r="W12" s="72" t="e">
        <f t="shared" si="1"/>
        <v>#DIV/0!</v>
      </c>
      <c r="X12" s="89"/>
      <c r="Y12" s="231">
        <f>SUM(Y13:Y32)</f>
        <v>0</v>
      </c>
      <c r="Z12" s="231">
        <f t="shared" ref="Z12:AJ12" si="5">SUM(Z13:Z32)</f>
        <v>0</v>
      </c>
      <c r="AA12" s="231">
        <f t="shared" si="5"/>
        <v>0</v>
      </c>
      <c r="AB12" s="231">
        <f t="shared" si="5"/>
        <v>0</v>
      </c>
      <c r="AC12" s="231">
        <f t="shared" si="5"/>
        <v>0</v>
      </c>
      <c r="AD12" s="231">
        <f t="shared" si="5"/>
        <v>0</v>
      </c>
      <c r="AE12" s="231">
        <f t="shared" si="5"/>
        <v>0</v>
      </c>
      <c r="AF12" s="231">
        <f t="shared" si="5"/>
        <v>0</v>
      </c>
      <c r="AG12" s="231">
        <f t="shared" si="5"/>
        <v>0</v>
      </c>
      <c r="AH12" s="231">
        <f t="shared" si="5"/>
        <v>0</v>
      </c>
      <c r="AI12" s="231">
        <f t="shared" si="5"/>
        <v>0</v>
      </c>
      <c r="AJ12" s="231">
        <f t="shared" si="5"/>
        <v>0</v>
      </c>
      <c r="AK12" s="231">
        <f t="shared" si="2"/>
        <v>0</v>
      </c>
      <c r="AL12" s="72" t="e">
        <f t="shared" si="3"/>
        <v>#DIV/0!</v>
      </c>
      <c r="AM12" s="10">
        <f t="shared" si="4"/>
        <v>0</v>
      </c>
      <c r="AN12" s="9"/>
    </row>
    <row r="13" spans="1:40" hidden="1" outlineLevel="1">
      <c r="A13" s="37" t="s">
        <v>107</v>
      </c>
      <c r="B13" s="39"/>
      <c r="C13" s="39" t="s">
        <v>110</v>
      </c>
      <c r="D13" s="37" t="s">
        <v>111</v>
      </c>
      <c r="E13" s="38"/>
      <c r="F13" s="37"/>
      <c r="G13" s="37"/>
      <c r="H13" s="37"/>
      <c r="I13" s="208" t="s">
        <v>112</v>
      </c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5">
        <f t="shared" si="0"/>
        <v>0</v>
      </c>
      <c r="W13" s="73" t="e">
        <f t="shared" si="1"/>
        <v>#DIV/0!</v>
      </c>
      <c r="X13" s="89"/>
      <c r="Y13" s="234">
        <v>0</v>
      </c>
      <c r="Z13" s="234">
        <v>0</v>
      </c>
      <c r="AA13" s="234">
        <v>0</v>
      </c>
      <c r="AB13" s="234">
        <v>0</v>
      </c>
      <c r="AC13" s="234">
        <v>0</v>
      </c>
      <c r="AD13" s="234">
        <v>0</v>
      </c>
      <c r="AE13" s="234">
        <v>0</v>
      </c>
      <c r="AF13" s="234">
        <v>0</v>
      </c>
      <c r="AG13" s="234">
        <v>0</v>
      </c>
      <c r="AH13" s="234">
        <v>0</v>
      </c>
      <c r="AI13" s="234">
        <v>0</v>
      </c>
      <c r="AJ13" s="234">
        <v>0</v>
      </c>
      <c r="AK13" s="235">
        <f t="shared" si="2"/>
        <v>0</v>
      </c>
      <c r="AL13" s="73" t="e">
        <f t="shared" si="3"/>
        <v>#DIV/0!</v>
      </c>
      <c r="AM13" s="14">
        <f t="shared" si="4"/>
        <v>0</v>
      </c>
      <c r="AN13" s="9"/>
    </row>
    <row r="14" spans="1:40" hidden="1" outlineLevel="1">
      <c r="A14" s="37" t="s">
        <v>107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208" t="s">
        <v>115</v>
      </c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5">
        <f t="shared" si="0"/>
        <v>0</v>
      </c>
      <c r="W14" s="73" t="e">
        <f t="shared" si="1"/>
        <v>#DIV/0!</v>
      </c>
      <c r="X14" s="89"/>
      <c r="Y14" s="234">
        <v>0</v>
      </c>
      <c r="Z14" s="234">
        <v>0</v>
      </c>
      <c r="AA14" s="234">
        <v>0</v>
      </c>
      <c r="AB14" s="234">
        <v>0</v>
      </c>
      <c r="AC14" s="234">
        <v>0</v>
      </c>
      <c r="AD14" s="234">
        <v>0</v>
      </c>
      <c r="AE14" s="234">
        <v>0</v>
      </c>
      <c r="AF14" s="234">
        <v>0</v>
      </c>
      <c r="AG14" s="234">
        <v>0</v>
      </c>
      <c r="AH14" s="234">
        <v>0</v>
      </c>
      <c r="AI14" s="234">
        <v>0</v>
      </c>
      <c r="AJ14" s="234">
        <v>0</v>
      </c>
      <c r="AK14" s="235">
        <f t="shared" si="2"/>
        <v>0</v>
      </c>
      <c r="AL14" s="73" t="e">
        <f t="shared" si="3"/>
        <v>#DIV/0!</v>
      </c>
      <c r="AM14" s="14">
        <f t="shared" si="4"/>
        <v>0</v>
      </c>
      <c r="AN14" s="9"/>
    </row>
    <row r="15" spans="1:40" hidden="1" outlineLevel="1">
      <c r="A15" s="37" t="s">
        <v>107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208" t="s">
        <v>5</v>
      </c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5">
        <f t="shared" si="0"/>
        <v>0</v>
      </c>
      <c r="W15" s="73" t="e">
        <f t="shared" si="1"/>
        <v>#DIV/0!</v>
      </c>
      <c r="X15" s="89"/>
      <c r="Y15" s="234">
        <v>0</v>
      </c>
      <c r="Z15" s="234">
        <v>0</v>
      </c>
      <c r="AA15" s="234">
        <v>0</v>
      </c>
      <c r="AB15" s="234">
        <v>0</v>
      </c>
      <c r="AC15" s="234">
        <v>0</v>
      </c>
      <c r="AD15" s="234">
        <v>0</v>
      </c>
      <c r="AE15" s="234">
        <v>0</v>
      </c>
      <c r="AF15" s="234">
        <v>0</v>
      </c>
      <c r="AG15" s="234">
        <v>0</v>
      </c>
      <c r="AH15" s="234">
        <v>0</v>
      </c>
      <c r="AI15" s="234">
        <v>0</v>
      </c>
      <c r="AJ15" s="234">
        <v>0</v>
      </c>
      <c r="AK15" s="235">
        <f t="shared" si="2"/>
        <v>0</v>
      </c>
      <c r="AL15" s="73" t="e">
        <f t="shared" si="3"/>
        <v>#DIV/0!</v>
      </c>
      <c r="AM15" s="14">
        <f t="shared" si="4"/>
        <v>0</v>
      </c>
      <c r="AN15" s="9"/>
    </row>
    <row r="16" spans="1:40" hidden="1" outlineLevel="1">
      <c r="A16" s="37" t="s">
        <v>107</v>
      </c>
      <c r="B16" s="39"/>
      <c r="C16" s="39" t="s">
        <v>118</v>
      </c>
      <c r="D16" s="37"/>
      <c r="E16" s="38"/>
      <c r="F16" s="37"/>
      <c r="G16" s="37"/>
      <c r="H16" s="37"/>
      <c r="I16" s="208" t="s">
        <v>119</v>
      </c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5">
        <f t="shared" si="0"/>
        <v>0</v>
      </c>
      <c r="W16" s="73" t="e">
        <f t="shared" si="1"/>
        <v>#DIV/0!</v>
      </c>
      <c r="X16" s="89"/>
      <c r="Y16" s="236">
        <v>0</v>
      </c>
      <c r="Z16" s="236">
        <v>0</v>
      </c>
      <c r="AA16" s="236">
        <v>0</v>
      </c>
      <c r="AB16" s="236">
        <v>0</v>
      </c>
      <c r="AC16" s="236">
        <v>0</v>
      </c>
      <c r="AD16" s="236">
        <v>0</v>
      </c>
      <c r="AE16" s="236">
        <v>0</v>
      </c>
      <c r="AF16" s="236">
        <v>0</v>
      </c>
      <c r="AG16" s="236">
        <v>0</v>
      </c>
      <c r="AH16" s="236">
        <v>0</v>
      </c>
      <c r="AI16" s="236">
        <v>0</v>
      </c>
      <c r="AJ16" s="236">
        <v>0</v>
      </c>
      <c r="AK16" s="235">
        <f t="shared" si="2"/>
        <v>0</v>
      </c>
      <c r="AL16" s="73" t="e">
        <f t="shared" si="3"/>
        <v>#DIV/0!</v>
      </c>
      <c r="AM16" s="14">
        <f t="shared" si="4"/>
        <v>0</v>
      </c>
      <c r="AN16" s="9"/>
    </row>
    <row r="17" spans="1:40" hidden="1" outlineLevel="1">
      <c r="A17" s="37" t="s">
        <v>107</v>
      </c>
      <c r="B17" s="39"/>
      <c r="C17" s="39" t="s">
        <v>120</v>
      </c>
      <c r="D17" s="37"/>
      <c r="E17" s="38"/>
      <c r="F17" s="37"/>
      <c r="G17" s="37"/>
      <c r="H17" s="37"/>
      <c r="I17" s="208" t="s">
        <v>121</v>
      </c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5">
        <f t="shared" si="0"/>
        <v>0</v>
      </c>
      <c r="W17" s="73" t="e">
        <f t="shared" si="1"/>
        <v>#DIV/0!</v>
      </c>
      <c r="X17" s="89"/>
      <c r="Y17" s="236">
        <v>0</v>
      </c>
      <c r="Z17" s="236">
        <v>0</v>
      </c>
      <c r="AA17" s="236">
        <v>0</v>
      </c>
      <c r="AB17" s="236">
        <v>0</v>
      </c>
      <c r="AC17" s="236">
        <v>0</v>
      </c>
      <c r="AD17" s="236">
        <v>0</v>
      </c>
      <c r="AE17" s="236">
        <v>0</v>
      </c>
      <c r="AF17" s="236">
        <v>0</v>
      </c>
      <c r="AG17" s="236">
        <v>0</v>
      </c>
      <c r="AH17" s="236">
        <v>0</v>
      </c>
      <c r="AI17" s="236">
        <v>0</v>
      </c>
      <c r="AJ17" s="236">
        <v>0</v>
      </c>
      <c r="AK17" s="235">
        <f t="shared" si="2"/>
        <v>0</v>
      </c>
      <c r="AL17" s="73" t="e">
        <f t="shared" si="3"/>
        <v>#DIV/0!</v>
      </c>
      <c r="AM17" s="14">
        <f t="shared" si="4"/>
        <v>0</v>
      </c>
      <c r="AN17" s="9"/>
    </row>
    <row r="18" spans="1:40" hidden="1" outlineLevel="1">
      <c r="A18" s="37" t="s">
        <v>107</v>
      </c>
      <c r="B18" s="39"/>
      <c r="C18" s="39" t="s">
        <v>122</v>
      </c>
      <c r="D18" s="37"/>
      <c r="E18" s="38"/>
      <c r="F18" s="37"/>
      <c r="G18" s="37"/>
      <c r="H18" s="37"/>
      <c r="I18" s="208" t="s">
        <v>123</v>
      </c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5">
        <f t="shared" si="0"/>
        <v>0</v>
      </c>
      <c r="W18" s="73" t="e">
        <f t="shared" si="1"/>
        <v>#DIV/0!</v>
      </c>
      <c r="X18" s="89"/>
      <c r="Y18" s="236">
        <v>0</v>
      </c>
      <c r="Z18" s="236">
        <v>0</v>
      </c>
      <c r="AA18" s="236">
        <v>0</v>
      </c>
      <c r="AB18" s="236">
        <v>0</v>
      </c>
      <c r="AC18" s="236">
        <v>0</v>
      </c>
      <c r="AD18" s="236">
        <v>0</v>
      </c>
      <c r="AE18" s="236">
        <v>0</v>
      </c>
      <c r="AF18" s="236">
        <v>0</v>
      </c>
      <c r="AG18" s="236">
        <v>0</v>
      </c>
      <c r="AH18" s="236">
        <v>0</v>
      </c>
      <c r="AI18" s="236">
        <v>0</v>
      </c>
      <c r="AJ18" s="236">
        <v>0</v>
      </c>
      <c r="AK18" s="235">
        <f t="shared" si="2"/>
        <v>0</v>
      </c>
      <c r="AL18" s="73" t="e">
        <f t="shared" si="3"/>
        <v>#DIV/0!</v>
      </c>
      <c r="AM18" s="14">
        <f t="shared" si="4"/>
        <v>0</v>
      </c>
      <c r="AN18" s="9"/>
    </row>
    <row r="19" spans="1:40" hidden="1" outlineLevel="1">
      <c r="A19" s="37" t="s">
        <v>107</v>
      </c>
      <c r="B19" s="39"/>
      <c r="C19" s="39" t="s">
        <v>124</v>
      </c>
      <c r="D19" s="37" t="s">
        <v>125</v>
      </c>
      <c r="E19" s="38"/>
      <c r="F19" s="37"/>
      <c r="G19" s="37"/>
      <c r="H19" s="37"/>
      <c r="I19" s="208" t="s">
        <v>126</v>
      </c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5">
        <f t="shared" si="0"/>
        <v>0</v>
      </c>
      <c r="W19" s="73" t="e">
        <f t="shared" si="1"/>
        <v>#DIV/0!</v>
      </c>
      <c r="X19" s="89"/>
      <c r="Y19" s="234">
        <v>0</v>
      </c>
      <c r="Z19" s="234">
        <v>0</v>
      </c>
      <c r="AA19" s="234">
        <v>0</v>
      </c>
      <c r="AB19" s="234">
        <v>0</v>
      </c>
      <c r="AC19" s="234">
        <v>0</v>
      </c>
      <c r="AD19" s="234">
        <v>0</v>
      </c>
      <c r="AE19" s="234">
        <v>0</v>
      </c>
      <c r="AF19" s="234">
        <v>0</v>
      </c>
      <c r="AG19" s="234">
        <v>0</v>
      </c>
      <c r="AH19" s="234">
        <v>0</v>
      </c>
      <c r="AI19" s="234">
        <v>0</v>
      </c>
      <c r="AJ19" s="234">
        <v>0</v>
      </c>
      <c r="AK19" s="235">
        <f t="shared" si="2"/>
        <v>0</v>
      </c>
      <c r="AL19" s="73" t="e">
        <f t="shared" si="3"/>
        <v>#DIV/0!</v>
      </c>
      <c r="AM19" s="14">
        <f t="shared" si="4"/>
        <v>0</v>
      </c>
      <c r="AN19" s="9"/>
    </row>
    <row r="20" spans="1:40" hidden="1" outlineLevel="1">
      <c r="A20" s="37" t="s">
        <v>107</v>
      </c>
      <c r="B20" s="39"/>
      <c r="C20" s="39" t="s">
        <v>127</v>
      </c>
      <c r="D20" s="37"/>
      <c r="E20" s="38"/>
      <c r="F20" s="37"/>
      <c r="G20" s="37"/>
      <c r="H20" s="37"/>
      <c r="I20" s="208" t="s">
        <v>128</v>
      </c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5">
        <f t="shared" si="0"/>
        <v>0</v>
      </c>
      <c r="W20" s="73" t="e">
        <f t="shared" si="1"/>
        <v>#DIV/0!</v>
      </c>
      <c r="X20" s="89"/>
      <c r="Y20" s="234">
        <v>0</v>
      </c>
      <c r="Z20" s="234">
        <v>0</v>
      </c>
      <c r="AA20" s="234">
        <v>0</v>
      </c>
      <c r="AB20" s="234">
        <v>0</v>
      </c>
      <c r="AC20" s="234">
        <v>0</v>
      </c>
      <c r="AD20" s="234">
        <v>0</v>
      </c>
      <c r="AE20" s="234">
        <v>0</v>
      </c>
      <c r="AF20" s="234">
        <v>0</v>
      </c>
      <c r="AG20" s="234">
        <v>0</v>
      </c>
      <c r="AH20" s="234">
        <v>0</v>
      </c>
      <c r="AI20" s="234">
        <v>0</v>
      </c>
      <c r="AJ20" s="234">
        <v>0</v>
      </c>
      <c r="AK20" s="235">
        <f t="shared" si="2"/>
        <v>0</v>
      </c>
      <c r="AL20" s="73" t="e">
        <f t="shared" si="3"/>
        <v>#DIV/0!</v>
      </c>
      <c r="AM20" s="14">
        <f t="shared" si="4"/>
        <v>0</v>
      </c>
      <c r="AN20" s="9"/>
    </row>
    <row r="21" spans="1:40" hidden="1" outlineLevel="1">
      <c r="A21" s="37" t="s">
        <v>107</v>
      </c>
      <c r="B21" s="39"/>
      <c r="C21" s="39" t="s">
        <v>129</v>
      </c>
      <c r="D21" s="37"/>
      <c r="E21" s="38"/>
      <c r="F21" s="37"/>
      <c r="G21" s="37"/>
      <c r="H21" s="37"/>
      <c r="I21" s="208" t="s">
        <v>130</v>
      </c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5">
        <f t="shared" si="0"/>
        <v>0</v>
      </c>
      <c r="W21" s="73" t="e">
        <f t="shared" si="1"/>
        <v>#DIV/0!</v>
      </c>
      <c r="X21" s="89"/>
      <c r="Y21" s="234">
        <v>0</v>
      </c>
      <c r="Z21" s="234">
        <v>0</v>
      </c>
      <c r="AA21" s="234">
        <v>0</v>
      </c>
      <c r="AB21" s="234">
        <v>0</v>
      </c>
      <c r="AC21" s="234">
        <v>0</v>
      </c>
      <c r="AD21" s="234">
        <v>0</v>
      </c>
      <c r="AE21" s="234">
        <v>0</v>
      </c>
      <c r="AF21" s="234">
        <v>0</v>
      </c>
      <c r="AG21" s="234">
        <v>0</v>
      </c>
      <c r="AH21" s="234">
        <v>0</v>
      </c>
      <c r="AI21" s="234">
        <v>0</v>
      </c>
      <c r="AJ21" s="234">
        <v>0</v>
      </c>
      <c r="AK21" s="235">
        <f t="shared" si="2"/>
        <v>0</v>
      </c>
      <c r="AL21" s="73" t="e">
        <f t="shared" si="3"/>
        <v>#DIV/0!</v>
      </c>
      <c r="AM21" s="14">
        <f t="shared" si="4"/>
        <v>0</v>
      </c>
      <c r="AN21" s="9"/>
    </row>
    <row r="22" spans="1:40" hidden="1" outlineLevel="1">
      <c r="A22" s="37" t="s">
        <v>107</v>
      </c>
      <c r="B22" s="39"/>
      <c r="C22" s="39" t="s">
        <v>131</v>
      </c>
      <c r="D22" s="37"/>
      <c r="E22" s="38"/>
      <c r="F22" s="37"/>
      <c r="G22" s="37"/>
      <c r="H22" s="37"/>
      <c r="I22" s="208" t="s">
        <v>132</v>
      </c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>
        <f t="shared" si="0"/>
        <v>0</v>
      </c>
      <c r="W22" s="73" t="e">
        <f t="shared" si="1"/>
        <v>#DIV/0!</v>
      </c>
      <c r="X22" s="89"/>
      <c r="Y22" s="234">
        <v>0</v>
      </c>
      <c r="Z22" s="234">
        <v>0</v>
      </c>
      <c r="AA22" s="234">
        <v>0</v>
      </c>
      <c r="AB22" s="234">
        <v>0</v>
      </c>
      <c r="AC22" s="234">
        <v>0</v>
      </c>
      <c r="AD22" s="234">
        <v>0</v>
      </c>
      <c r="AE22" s="234">
        <v>0</v>
      </c>
      <c r="AF22" s="234">
        <v>0</v>
      </c>
      <c r="AG22" s="234">
        <v>0</v>
      </c>
      <c r="AH22" s="234">
        <v>0</v>
      </c>
      <c r="AI22" s="234">
        <v>0</v>
      </c>
      <c r="AJ22" s="234">
        <v>0</v>
      </c>
      <c r="AK22" s="235">
        <f t="shared" si="2"/>
        <v>0</v>
      </c>
      <c r="AL22" s="73" t="e">
        <f t="shared" si="3"/>
        <v>#DIV/0!</v>
      </c>
      <c r="AM22" s="14">
        <f t="shared" si="4"/>
        <v>0</v>
      </c>
      <c r="AN22" s="9"/>
    </row>
    <row r="23" spans="1:40" hidden="1" outlineLevel="1">
      <c r="A23" s="37" t="s">
        <v>107</v>
      </c>
      <c r="B23" s="39"/>
      <c r="C23" s="39" t="s">
        <v>133</v>
      </c>
      <c r="D23" s="37"/>
      <c r="E23" s="38"/>
      <c r="F23" s="37"/>
      <c r="G23" s="37"/>
      <c r="H23" s="37"/>
      <c r="I23" s="208" t="s">
        <v>133</v>
      </c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5">
        <f t="shared" si="0"/>
        <v>0</v>
      </c>
      <c r="W23" s="73" t="e">
        <f t="shared" si="1"/>
        <v>#DIV/0!</v>
      </c>
      <c r="X23" s="89"/>
      <c r="Y23" s="234">
        <v>0</v>
      </c>
      <c r="Z23" s="234">
        <v>0</v>
      </c>
      <c r="AA23" s="234">
        <v>0</v>
      </c>
      <c r="AB23" s="234">
        <v>0</v>
      </c>
      <c r="AC23" s="234">
        <v>0</v>
      </c>
      <c r="AD23" s="234">
        <v>0</v>
      </c>
      <c r="AE23" s="234">
        <v>0</v>
      </c>
      <c r="AF23" s="234">
        <v>0</v>
      </c>
      <c r="AG23" s="234">
        <v>0</v>
      </c>
      <c r="AH23" s="234">
        <v>0</v>
      </c>
      <c r="AI23" s="234">
        <v>0</v>
      </c>
      <c r="AJ23" s="234">
        <v>0</v>
      </c>
      <c r="AK23" s="235">
        <f t="shared" si="2"/>
        <v>0</v>
      </c>
      <c r="AL23" s="73" t="e">
        <f t="shared" si="3"/>
        <v>#DIV/0!</v>
      </c>
      <c r="AM23" s="14">
        <f t="shared" si="4"/>
        <v>0</v>
      </c>
      <c r="AN23" s="9"/>
    </row>
    <row r="24" spans="1:40" hidden="1" outlineLevel="1">
      <c r="A24" s="37" t="s">
        <v>107</v>
      </c>
      <c r="B24" s="39"/>
      <c r="C24" s="39" t="s">
        <v>134</v>
      </c>
      <c r="D24" s="37" t="s">
        <v>91</v>
      </c>
      <c r="E24" s="38"/>
      <c r="F24" s="37"/>
      <c r="G24" s="37"/>
      <c r="H24" s="37"/>
      <c r="I24" s="208" t="s">
        <v>135</v>
      </c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5">
        <f t="shared" si="0"/>
        <v>0</v>
      </c>
      <c r="W24" s="73" t="e">
        <f t="shared" si="1"/>
        <v>#DIV/0!</v>
      </c>
      <c r="X24" s="89"/>
      <c r="Y24" s="236">
        <v>0</v>
      </c>
      <c r="Z24" s="236">
        <v>0</v>
      </c>
      <c r="AA24" s="236">
        <v>0</v>
      </c>
      <c r="AB24" s="236">
        <v>0</v>
      </c>
      <c r="AC24" s="236">
        <v>0</v>
      </c>
      <c r="AD24" s="236">
        <v>0</v>
      </c>
      <c r="AE24" s="236">
        <v>0</v>
      </c>
      <c r="AF24" s="236">
        <v>0</v>
      </c>
      <c r="AG24" s="236">
        <v>0</v>
      </c>
      <c r="AH24" s="236">
        <v>0</v>
      </c>
      <c r="AI24" s="236">
        <v>0</v>
      </c>
      <c r="AJ24" s="236">
        <v>0</v>
      </c>
      <c r="AK24" s="235">
        <f t="shared" si="2"/>
        <v>0</v>
      </c>
      <c r="AL24" s="73" t="e">
        <f t="shared" si="3"/>
        <v>#DIV/0!</v>
      </c>
      <c r="AM24" s="14">
        <f t="shared" si="4"/>
        <v>0</v>
      </c>
      <c r="AN24" s="9"/>
    </row>
    <row r="25" spans="1:40" hidden="1" outlineLevel="1">
      <c r="A25" s="37" t="s">
        <v>107</v>
      </c>
      <c r="B25" s="39"/>
      <c r="C25" s="39" t="s">
        <v>136</v>
      </c>
      <c r="D25" s="37" t="s">
        <v>91</v>
      </c>
      <c r="E25" s="38"/>
      <c r="F25" s="37"/>
      <c r="G25" s="37"/>
      <c r="H25" s="37"/>
      <c r="I25" s="208" t="s">
        <v>137</v>
      </c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5">
        <f t="shared" si="0"/>
        <v>0</v>
      </c>
      <c r="W25" s="73" t="e">
        <f t="shared" si="1"/>
        <v>#DIV/0!</v>
      </c>
      <c r="X25" s="89"/>
      <c r="Y25" s="236">
        <v>0</v>
      </c>
      <c r="Z25" s="236">
        <v>0</v>
      </c>
      <c r="AA25" s="236">
        <v>0</v>
      </c>
      <c r="AB25" s="236">
        <v>0</v>
      </c>
      <c r="AC25" s="236">
        <v>0</v>
      </c>
      <c r="AD25" s="236">
        <v>0</v>
      </c>
      <c r="AE25" s="236">
        <v>0</v>
      </c>
      <c r="AF25" s="236">
        <v>0</v>
      </c>
      <c r="AG25" s="236">
        <v>0</v>
      </c>
      <c r="AH25" s="236">
        <v>0</v>
      </c>
      <c r="AI25" s="236">
        <v>0</v>
      </c>
      <c r="AJ25" s="236">
        <v>0</v>
      </c>
      <c r="AK25" s="235">
        <f t="shared" si="2"/>
        <v>0</v>
      </c>
      <c r="AL25" s="73" t="e">
        <f t="shared" si="3"/>
        <v>#DIV/0!</v>
      </c>
      <c r="AM25" s="14">
        <f t="shared" si="4"/>
        <v>0</v>
      </c>
      <c r="AN25" s="9"/>
    </row>
    <row r="26" spans="1:40" ht="15" hidden="1" outlineLevel="1">
      <c r="A26" s="37"/>
      <c r="B26" s="39"/>
      <c r="C26" s="39"/>
      <c r="D26" s="37"/>
      <c r="E26" s="38"/>
      <c r="F26" s="37"/>
      <c r="G26" s="37"/>
      <c r="H26" s="37"/>
      <c r="I26" s="208" t="s">
        <v>138</v>
      </c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5"/>
      <c r="W26" s="73"/>
      <c r="X26" s="89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5"/>
      <c r="AL26" s="73"/>
      <c r="AM26" s="14"/>
      <c r="AN26" s="9"/>
    </row>
    <row r="27" spans="1:40" ht="15" hidden="1" outlineLevel="1">
      <c r="A27" s="37"/>
      <c r="B27" s="39"/>
      <c r="C27" s="39"/>
      <c r="D27" s="37"/>
      <c r="E27" s="38"/>
      <c r="F27" s="37"/>
      <c r="G27" s="37"/>
      <c r="H27" s="37"/>
      <c r="I27" s="208" t="s">
        <v>139</v>
      </c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5"/>
      <c r="W27" s="73"/>
      <c r="X27" s="89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5"/>
      <c r="AL27" s="73"/>
      <c r="AM27" s="14"/>
      <c r="AN27" s="9"/>
    </row>
    <row r="28" spans="1:40" ht="15" hidden="1" outlineLevel="1">
      <c r="A28" s="37"/>
      <c r="B28" s="39"/>
      <c r="C28" s="39"/>
      <c r="D28" s="37"/>
      <c r="E28" s="38"/>
      <c r="F28" s="37"/>
      <c r="G28" s="37"/>
      <c r="H28" s="37"/>
      <c r="I28" s="208" t="s">
        <v>140</v>
      </c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5"/>
      <c r="W28" s="73"/>
      <c r="X28" s="89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5"/>
      <c r="AL28" s="73"/>
      <c r="AM28" s="14"/>
      <c r="AN28" s="9"/>
    </row>
    <row r="29" spans="1:40" ht="15" hidden="1" outlineLevel="1">
      <c r="A29" s="37"/>
      <c r="B29" s="39"/>
      <c r="C29" s="39"/>
      <c r="D29" s="37"/>
      <c r="E29" s="38"/>
      <c r="F29" s="37"/>
      <c r="G29" s="37"/>
      <c r="H29" s="37"/>
      <c r="I29" s="208" t="s">
        <v>141</v>
      </c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5"/>
      <c r="W29" s="73"/>
      <c r="X29" s="89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5"/>
      <c r="AL29" s="73"/>
      <c r="AM29" s="14"/>
      <c r="AN29" s="9"/>
    </row>
    <row r="30" spans="1:40" ht="15" hidden="1" outlineLevel="1">
      <c r="A30" s="37"/>
      <c r="B30" s="39"/>
      <c r="C30" s="39"/>
      <c r="D30" s="37"/>
      <c r="E30" s="38"/>
      <c r="F30" s="37"/>
      <c r="G30" s="37"/>
      <c r="H30" s="37"/>
      <c r="I30" s="208" t="s">
        <v>142</v>
      </c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5"/>
      <c r="W30" s="73"/>
      <c r="X30" s="89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5"/>
      <c r="AL30" s="73"/>
      <c r="AM30" s="14"/>
      <c r="AN30" s="9"/>
    </row>
    <row r="31" spans="1:40" ht="15" hidden="1" outlineLevel="1">
      <c r="A31" s="37"/>
      <c r="B31" s="39"/>
      <c r="C31" s="39"/>
      <c r="D31" s="37"/>
      <c r="E31" s="38"/>
      <c r="F31" s="37"/>
      <c r="G31" s="37"/>
      <c r="H31" s="37"/>
      <c r="I31" s="208" t="s">
        <v>143</v>
      </c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5"/>
      <c r="W31" s="73"/>
      <c r="X31" s="89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5"/>
      <c r="AL31" s="73"/>
      <c r="AM31" s="14"/>
      <c r="AN31" s="9"/>
    </row>
    <row r="32" spans="1:40" hidden="1" outlineLevel="1">
      <c r="A32" s="37"/>
      <c r="B32" s="39"/>
      <c r="C32" s="39"/>
      <c r="D32" s="37"/>
      <c r="E32" s="38"/>
      <c r="F32" s="37"/>
      <c r="G32" s="37"/>
      <c r="H32" s="37"/>
      <c r="I32" s="208" t="s">
        <v>144</v>
      </c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5">
        <f t="shared" si="0"/>
        <v>0</v>
      </c>
      <c r="W32" s="73" t="e">
        <f t="shared" si="1"/>
        <v>#DIV/0!</v>
      </c>
      <c r="X32" s="89"/>
      <c r="Y32" s="234">
        <v>0</v>
      </c>
      <c r="Z32" s="234">
        <v>0</v>
      </c>
      <c r="AA32" s="234">
        <v>0</v>
      </c>
      <c r="AB32" s="234">
        <v>0</v>
      </c>
      <c r="AC32" s="234">
        <v>0</v>
      </c>
      <c r="AD32" s="234">
        <v>0</v>
      </c>
      <c r="AE32" s="234">
        <v>0</v>
      </c>
      <c r="AF32" s="234">
        <v>0</v>
      </c>
      <c r="AG32" s="234">
        <v>0</v>
      </c>
      <c r="AH32" s="234">
        <v>0</v>
      </c>
      <c r="AI32" s="234">
        <v>0</v>
      </c>
      <c r="AJ32" s="234">
        <v>0</v>
      </c>
      <c r="AK32" s="235">
        <f t="shared" si="2"/>
        <v>0</v>
      </c>
      <c r="AL32" s="73" t="e">
        <f t="shared" si="3"/>
        <v>#DIV/0!</v>
      </c>
      <c r="AM32" s="14">
        <f t="shared" si="4"/>
        <v>0</v>
      </c>
      <c r="AN32" s="9"/>
    </row>
    <row r="33" spans="1:40" ht="15.6" collapsed="1">
      <c r="I33" s="36" t="s">
        <v>145</v>
      </c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>
        <f>V6-V12</f>
        <v>0</v>
      </c>
      <c r="W33" s="73" t="e">
        <f t="shared" si="1"/>
        <v>#DIV/0!</v>
      </c>
      <c r="X33" s="89"/>
      <c r="Y33" s="237">
        <f>Y6-Y12</f>
        <v>0</v>
      </c>
      <c r="Z33" s="237">
        <f>Z6-Z12</f>
        <v>0</v>
      </c>
      <c r="AA33" s="237">
        <f>AA6-AA12</f>
        <v>0</v>
      </c>
      <c r="AB33" s="237">
        <f>AB6-AB12</f>
        <v>0</v>
      </c>
      <c r="AC33" s="237">
        <f>AC6-AC12</f>
        <v>0</v>
      </c>
      <c r="AD33" s="237">
        <f>AD6-AD12</f>
        <v>0</v>
      </c>
      <c r="AE33" s="237">
        <f>AE6-AE12</f>
        <v>0</v>
      </c>
      <c r="AF33" s="237">
        <f>AF6-AF12</f>
        <v>0</v>
      </c>
      <c r="AG33" s="237">
        <f>AG6-AG12</f>
        <v>0</v>
      </c>
      <c r="AH33" s="237">
        <f>AH6-AH12</f>
        <v>0</v>
      </c>
      <c r="AI33" s="237">
        <f>AI6-AI12</f>
        <v>0</v>
      </c>
      <c r="AJ33" s="237">
        <f>AJ6-AJ12</f>
        <v>0</v>
      </c>
      <c r="AK33" s="237">
        <f>AK6-AK12</f>
        <v>0</v>
      </c>
      <c r="AL33" s="73" t="e">
        <f t="shared" si="3"/>
        <v>#DIV/0!</v>
      </c>
      <c r="AM33" s="34">
        <f t="shared" si="4"/>
        <v>0</v>
      </c>
      <c r="AN33" s="9"/>
    </row>
    <row r="34" spans="1:40" hidden="1" outlineLevel="1">
      <c r="I34" s="31" t="s">
        <v>146</v>
      </c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9">
        <f>SUM(J34:U34)</f>
        <v>0</v>
      </c>
      <c r="W34" s="74"/>
      <c r="X34" s="90"/>
      <c r="Y34" s="238">
        <f t="shared" ref="Y34:AJ36" si="6">+Y44*Y40</f>
        <v>0</v>
      </c>
      <c r="Z34" s="238">
        <f t="shared" si="6"/>
        <v>0</v>
      </c>
      <c r="AA34" s="238">
        <f t="shared" si="6"/>
        <v>0</v>
      </c>
      <c r="AB34" s="238">
        <f t="shared" si="6"/>
        <v>0</v>
      </c>
      <c r="AC34" s="238">
        <f t="shared" si="6"/>
        <v>0</v>
      </c>
      <c r="AD34" s="238">
        <f t="shared" si="6"/>
        <v>0</v>
      </c>
      <c r="AE34" s="238">
        <f t="shared" si="6"/>
        <v>0</v>
      </c>
      <c r="AF34" s="238">
        <f t="shared" si="6"/>
        <v>0</v>
      </c>
      <c r="AG34" s="238">
        <f t="shared" si="6"/>
        <v>0</v>
      </c>
      <c r="AH34" s="238">
        <f t="shared" si="6"/>
        <v>0</v>
      </c>
      <c r="AI34" s="238">
        <f t="shared" si="6"/>
        <v>0</v>
      </c>
      <c r="AJ34" s="238">
        <f t="shared" si="6"/>
        <v>0</v>
      </c>
      <c r="AK34" s="239">
        <f>SUM(Y34:AJ34)</f>
        <v>0</v>
      </c>
      <c r="AL34" s="74"/>
      <c r="AM34" s="29">
        <f>IFERROR(AK34/V34-1,0)</f>
        <v>0</v>
      </c>
      <c r="AN34" s="9"/>
    </row>
    <row r="35" spans="1:40" hidden="1" outlineLevel="1">
      <c r="I35" s="31" t="s">
        <v>147</v>
      </c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9">
        <f>SUM(J35:U35)</f>
        <v>0</v>
      </c>
      <c r="W35" s="74"/>
      <c r="X35" s="90"/>
      <c r="Y35" s="238">
        <f t="shared" si="6"/>
        <v>0</v>
      </c>
      <c r="Z35" s="238">
        <f t="shared" si="6"/>
        <v>0</v>
      </c>
      <c r="AA35" s="238">
        <f t="shared" si="6"/>
        <v>0</v>
      </c>
      <c r="AB35" s="238">
        <f t="shared" si="6"/>
        <v>0</v>
      </c>
      <c r="AC35" s="238">
        <f t="shared" si="6"/>
        <v>0</v>
      </c>
      <c r="AD35" s="238">
        <f t="shared" si="6"/>
        <v>0</v>
      </c>
      <c r="AE35" s="238">
        <f t="shared" si="6"/>
        <v>0</v>
      </c>
      <c r="AF35" s="238">
        <f t="shared" si="6"/>
        <v>0</v>
      </c>
      <c r="AG35" s="238">
        <f t="shared" si="6"/>
        <v>0</v>
      </c>
      <c r="AH35" s="238">
        <f t="shared" si="6"/>
        <v>0</v>
      </c>
      <c r="AI35" s="238">
        <f t="shared" si="6"/>
        <v>0</v>
      </c>
      <c r="AJ35" s="238">
        <f t="shared" si="6"/>
        <v>0</v>
      </c>
      <c r="AK35" s="239">
        <f>SUM(Y35:AJ35)</f>
        <v>0</v>
      </c>
      <c r="AL35" s="74"/>
      <c r="AM35" s="29">
        <f>IFERROR(AK35/V35-1,0)</f>
        <v>0</v>
      </c>
      <c r="AN35" s="9"/>
    </row>
    <row r="36" spans="1:40" hidden="1" outlineLevel="1">
      <c r="I36" s="31" t="s">
        <v>148</v>
      </c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9">
        <f>SUM(J36:U36)</f>
        <v>0</v>
      </c>
      <c r="W36" s="74"/>
      <c r="X36" s="90"/>
      <c r="Y36" s="238">
        <f t="shared" si="6"/>
        <v>0</v>
      </c>
      <c r="Z36" s="238">
        <f t="shared" si="6"/>
        <v>0</v>
      </c>
      <c r="AA36" s="238">
        <f t="shared" si="6"/>
        <v>0</v>
      </c>
      <c r="AB36" s="238">
        <f t="shared" si="6"/>
        <v>0</v>
      </c>
      <c r="AC36" s="238">
        <f t="shared" si="6"/>
        <v>0</v>
      </c>
      <c r="AD36" s="238">
        <f t="shared" si="6"/>
        <v>0</v>
      </c>
      <c r="AE36" s="238">
        <f t="shared" si="6"/>
        <v>0</v>
      </c>
      <c r="AF36" s="238">
        <f t="shared" si="6"/>
        <v>0</v>
      </c>
      <c r="AG36" s="238">
        <f t="shared" si="6"/>
        <v>0</v>
      </c>
      <c r="AH36" s="238">
        <f t="shared" si="6"/>
        <v>0</v>
      </c>
      <c r="AI36" s="238">
        <f t="shared" si="6"/>
        <v>0</v>
      </c>
      <c r="AJ36" s="238">
        <f t="shared" si="6"/>
        <v>0</v>
      </c>
      <c r="AK36" s="239">
        <f>SUM(Y36:AJ36)</f>
        <v>0</v>
      </c>
      <c r="AL36" s="74"/>
      <c r="AM36" s="29">
        <f>IFERROR(AK36/V36-1,0)</f>
        <v>0</v>
      </c>
      <c r="AN36" s="9"/>
    </row>
    <row r="37" spans="1:40" hidden="1" outlineLevel="1">
      <c r="I37" s="31" t="s">
        <v>149</v>
      </c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9"/>
      <c r="W37" s="74"/>
      <c r="X37" s="90"/>
      <c r="Y37" s="238"/>
      <c r="Z37" s="238"/>
      <c r="AA37" s="238"/>
      <c r="AB37" s="238"/>
      <c r="AC37" s="238"/>
      <c r="AD37" s="238"/>
      <c r="AE37" s="238"/>
      <c r="AF37" s="238"/>
      <c r="AG37" s="238"/>
      <c r="AH37" s="238"/>
      <c r="AI37" s="238"/>
      <c r="AJ37" s="238"/>
      <c r="AK37" s="239"/>
      <c r="AL37" s="74"/>
      <c r="AM37" s="29"/>
      <c r="AN37" s="9"/>
    </row>
    <row r="38" spans="1:40" hidden="1" outlineLevel="1">
      <c r="I38" s="31" t="s">
        <v>150</v>
      </c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9"/>
      <c r="W38" s="74"/>
      <c r="X38" s="90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9"/>
      <c r="AL38" s="74"/>
      <c r="AM38" s="29"/>
      <c r="AN38" s="9"/>
    </row>
    <row r="39" spans="1:40" collapsed="1">
      <c r="I39" s="18" t="s">
        <v>151</v>
      </c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>
        <f>SUM(J39:U39)</f>
        <v>0</v>
      </c>
      <c r="W39" s="74" t="e">
        <f>V39/V$39</f>
        <v>#DIV/0!</v>
      </c>
      <c r="X39" s="90"/>
      <c r="Y39" s="240">
        <f t="shared" ref="Y39:AJ39" si="7">SUM(Y40:Y42)</f>
        <v>0</v>
      </c>
      <c r="Z39" s="240">
        <f t="shared" si="7"/>
        <v>0</v>
      </c>
      <c r="AA39" s="240">
        <f t="shared" si="7"/>
        <v>0</v>
      </c>
      <c r="AB39" s="240">
        <f t="shared" si="7"/>
        <v>0</v>
      </c>
      <c r="AC39" s="240">
        <f t="shared" si="7"/>
        <v>0</v>
      </c>
      <c r="AD39" s="240">
        <f t="shared" si="7"/>
        <v>0</v>
      </c>
      <c r="AE39" s="240">
        <f t="shared" si="7"/>
        <v>0</v>
      </c>
      <c r="AF39" s="240">
        <f t="shared" si="7"/>
        <v>0</v>
      </c>
      <c r="AG39" s="240">
        <f t="shared" si="7"/>
        <v>0</v>
      </c>
      <c r="AH39" s="240">
        <f t="shared" si="7"/>
        <v>0</v>
      </c>
      <c r="AI39" s="240">
        <f t="shared" si="7"/>
        <v>0</v>
      </c>
      <c r="AJ39" s="240">
        <f t="shared" si="7"/>
        <v>0</v>
      </c>
      <c r="AK39" s="240">
        <f>SUM(Y39:AJ39)</f>
        <v>0</v>
      </c>
      <c r="AL39" s="74" t="e">
        <f>AK39/AK$39</f>
        <v>#DIV/0!</v>
      </c>
      <c r="AM39" s="16">
        <f t="shared" si="4"/>
        <v>0</v>
      </c>
      <c r="AN39" s="9"/>
    </row>
    <row r="40" spans="1:40" hidden="1" outlineLevel="1">
      <c r="I40" s="31" t="s">
        <v>146</v>
      </c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>
        <f>SUM(J40:U40)</f>
        <v>0</v>
      </c>
      <c r="W40" s="74" t="e">
        <f>V40/V$39</f>
        <v>#DIV/0!</v>
      </c>
      <c r="X40" s="90"/>
      <c r="Y40" s="239">
        <v>0</v>
      </c>
      <c r="Z40" s="239">
        <v>0</v>
      </c>
      <c r="AA40" s="239">
        <v>0</v>
      </c>
      <c r="AB40" s="239">
        <v>0</v>
      </c>
      <c r="AC40" s="239">
        <v>0</v>
      </c>
      <c r="AD40" s="239">
        <v>0</v>
      </c>
      <c r="AE40" s="239">
        <v>0</v>
      </c>
      <c r="AF40" s="239">
        <v>0</v>
      </c>
      <c r="AG40" s="239">
        <v>0</v>
      </c>
      <c r="AH40" s="239">
        <v>0</v>
      </c>
      <c r="AI40" s="239">
        <v>0</v>
      </c>
      <c r="AJ40" s="239">
        <v>0</v>
      </c>
      <c r="AK40" s="239">
        <f>SUM(Y40:AJ40)</f>
        <v>0</v>
      </c>
      <c r="AL40" s="74" t="e">
        <f>AK40/AK$39</f>
        <v>#DIV/0!</v>
      </c>
      <c r="AM40" s="29">
        <f t="shared" si="4"/>
        <v>0</v>
      </c>
      <c r="AN40" s="9"/>
    </row>
    <row r="41" spans="1:40" hidden="1" outlineLevel="1">
      <c r="I41" s="31" t="s">
        <v>147</v>
      </c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>
        <f>SUM(J41:U41)</f>
        <v>0</v>
      </c>
      <c r="W41" s="74" t="e">
        <f>V41/V$39</f>
        <v>#DIV/0!</v>
      </c>
      <c r="X41" s="90"/>
      <c r="Y41" s="239">
        <v>0</v>
      </c>
      <c r="Z41" s="239">
        <v>0</v>
      </c>
      <c r="AA41" s="239">
        <v>0</v>
      </c>
      <c r="AB41" s="239">
        <v>0</v>
      </c>
      <c r="AC41" s="239">
        <v>0</v>
      </c>
      <c r="AD41" s="239">
        <v>0</v>
      </c>
      <c r="AE41" s="239">
        <v>0</v>
      </c>
      <c r="AF41" s="239">
        <v>0</v>
      </c>
      <c r="AG41" s="239">
        <v>0</v>
      </c>
      <c r="AH41" s="239">
        <v>0</v>
      </c>
      <c r="AI41" s="239">
        <v>0</v>
      </c>
      <c r="AJ41" s="239">
        <v>0</v>
      </c>
      <c r="AK41" s="239">
        <f>SUM(Y41:AJ41)</f>
        <v>0</v>
      </c>
      <c r="AL41" s="74" t="e">
        <f>AK41/AK$39</f>
        <v>#DIV/0!</v>
      </c>
      <c r="AM41" s="29">
        <f t="shared" si="4"/>
        <v>0</v>
      </c>
      <c r="AN41" s="9"/>
    </row>
    <row r="42" spans="1:40" hidden="1" outlineLevel="1">
      <c r="I42" s="31" t="s">
        <v>148</v>
      </c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>
        <f>SUM(J42:U42)</f>
        <v>0</v>
      </c>
      <c r="W42" s="74" t="e">
        <f>V42/V$39</f>
        <v>#DIV/0!</v>
      </c>
      <c r="X42" s="90"/>
      <c r="Y42" s="239">
        <v>0</v>
      </c>
      <c r="Z42" s="239">
        <v>0</v>
      </c>
      <c r="AA42" s="239">
        <v>0</v>
      </c>
      <c r="AB42" s="239">
        <v>0</v>
      </c>
      <c r="AC42" s="239">
        <v>0</v>
      </c>
      <c r="AD42" s="239">
        <v>0</v>
      </c>
      <c r="AE42" s="239">
        <v>0</v>
      </c>
      <c r="AF42" s="239">
        <v>0</v>
      </c>
      <c r="AG42" s="239">
        <v>0</v>
      </c>
      <c r="AH42" s="239">
        <v>0</v>
      </c>
      <c r="AI42" s="239">
        <v>0</v>
      </c>
      <c r="AJ42" s="239">
        <v>0</v>
      </c>
      <c r="AK42" s="239">
        <f>SUM(Y42:AJ42)</f>
        <v>0</v>
      </c>
      <c r="AL42" s="74" t="e">
        <f>AK42/AK$39</f>
        <v>#DIV/0!</v>
      </c>
      <c r="AM42" s="29">
        <f t="shared" si="4"/>
        <v>0</v>
      </c>
      <c r="AN42" s="9"/>
    </row>
    <row r="43" spans="1:40" collapsed="1">
      <c r="I43" s="18" t="s">
        <v>152</v>
      </c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0">
        <f>SUM(J43:U43)</f>
        <v>0</v>
      </c>
      <c r="W43" s="74"/>
      <c r="X43" s="90"/>
      <c r="Y43" s="241">
        <f t="shared" ref="Y43:AJ43" si="8">IFERROR(Y33/Y39,0)</f>
        <v>0</v>
      </c>
      <c r="Z43" s="241">
        <f t="shared" si="8"/>
        <v>0</v>
      </c>
      <c r="AA43" s="241">
        <f t="shared" si="8"/>
        <v>0</v>
      </c>
      <c r="AB43" s="241">
        <f t="shared" si="8"/>
        <v>0</v>
      </c>
      <c r="AC43" s="241">
        <f t="shared" si="8"/>
        <v>0</v>
      </c>
      <c r="AD43" s="241">
        <f t="shared" si="8"/>
        <v>0</v>
      </c>
      <c r="AE43" s="241">
        <f t="shared" si="8"/>
        <v>0</v>
      </c>
      <c r="AF43" s="241">
        <f t="shared" si="8"/>
        <v>0</v>
      </c>
      <c r="AG43" s="241">
        <f t="shared" si="8"/>
        <v>0</v>
      </c>
      <c r="AH43" s="241">
        <f t="shared" si="8"/>
        <v>0</v>
      </c>
      <c r="AI43" s="241">
        <f t="shared" si="8"/>
        <v>0</v>
      </c>
      <c r="AJ43" s="241">
        <f t="shared" si="8"/>
        <v>0</v>
      </c>
      <c r="AK43" s="240">
        <f>SUM(Y43:AJ43)</f>
        <v>0</v>
      </c>
      <c r="AL43" s="74"/>
      <c r="AM43" s="16">
        <f t="shared" si="4"/>
        <v>0</v>
      </c>
      <c r="AN43" s="9"/>
    </row>
    <row r="44" spans="1:40" hidden="1" outlineLevel="1">
      <c r="I44" s="31" t="s">
        <v>146</v>
      </c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>
        <f>IFERROR((V7-(V13+V16+V19+V21+V24))/V40,0)</f>
        <v>0</v>
      </c>
      <c r="W44" s="74"/>
      <c r="X44" s="90"/>
      <c r="Y44" s="238">
        <f>IFERROR((Y7-(Y13+Y16+Y19+Y21+Y24))/Y40,0)</f>
        <v>0</v>
      </c>
      <c r="Z44" s="238">
        <f>IFERROR((Z7-(Z13+Z16+Z19+Z21+Z24))/Z40,0)</f>
        <v>0</v>
      </c>
      <c r="AA44" s="238">
        <f>IFERROR((AA7-(AA13+AA16+AA19+AA21+AA24))/AA40,0)</f>
        <v>0</v>
      </c>
      <c r="AB44" s="238">
        <f>IFERROR((AB7-(AB13+AB16+AB19+AB21+AB24))/AB40,0)</f>
        <v>0</v>
      </c>
      <c r="AC44" s="238">
        <f>IFERROR((AC7-(AC13+AC16+AC19+AC21+AC24))/AC40,0)</f>
        <v>0</v>
      </c>
      <c r="AD44" s="238">
        <f>IFERROR((AD7-(AD13+AD16+AD19+AD21+AD24))/AD40,0)</f>
        <v>0</v>
      </c>
      <c r="AE44" s="238">
        <f>IFERROR((AE7-(AE13+AE16+AE19+AE21+AE24))/AE40,0)</f>
        <v>0</v>
      </c>
      <c r="AF44" s="238">
        <f>IFERROR((AF7-(AF13+AF16+AF19+AF21+AF24))/AF40,0)</f>
        <v>0</v>
      </c>
      <c r="AG44" s="238">
        <f>IFERROR((AG7-(AG13+AG16+AG19+AG21+AG24))/AG40,0)</f>
        <v>0</v>
      </c>
      <c r="AH44" s="238">
        <f>IFERROR((AH7-(AH13+AH16+AH19+AH21+AH24))/AH40,0)</f>
        <v>0</v>
      </c>
      <c r="AI44" s="238">
        <f>IFERROR((AI7-(AI13+AI16+AI19+AI21+AI24))/AI40,0)</f>
        <v>0</v>
      </c>
      <c r="AJ44" s="238">
        <f>IFERROR((AJ7-(AJ13+AJ16+AJ19+AJ21+AJ24))/AJ40,0)</f>
        <v>0</v>
      </c>
      <c r="AK44" s="238">
        <f>IFERROR((AK7-(AK13+AK16+AK19+AK21+AK24))/AK40,0)</f>
        <v>0</v>
      </c>
      <c r="AL44" s="74"/>
      <c r="AM44" s="29">
        <f t="shared" si="4"/>
        <v>0</v>
      </c>
      <c r="AN44" s="9"/>
    </row>
    <row r="45" spans="1:40" hidden="1" outlineLevel="1">
      <c r="I45" s="31" t="s">
        <v>147</v>
      </c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>
        <f>IFERROR((V8-(V14+V17+V20+V22+V25))/V41,0)</f>
        <v>0</v>
      </c>
      <c r="W45" s="74"/>
      <c r="X45" s="90"/>
      <c r="Y45" s="238">
        <f>IFERROR((Y8-(Y14+Y17+Y20+Y22+Y25))/Y41,0)</f>
        <v>0</v>
      </c>
      <c r="Z45" s="238">
        <f>IFERROR((Z8-(Z14+Z17+Z20+Z22+Z25))/Z41,0)</f>
        <v>0</v>
      </c>
      <c r="AA45" s="238">
        <f>IFERROR((AA8-(AA14+AA17+AA20+AA22+AA25))/AA41,0)</f>
        <v>0</v>
      </c>
      <c r="AB45" s="238">
        <f>IFERROR((AB8-(AB14+AB17+AB20+AB22+AB25))/AB41,0)</f>
        <v>0</v>
      </c>
      <c r="AC45" s="238">
        <f>IFERROR((AC8-(AC14+AC17+AC20+AC22+AC25))/AC41,0)</f>
        <v>0</v>
      </c>
      <c r="AD45" s="238">
        <f>IFERROR((AD8-(AD14+AD17+AD20+AD22+AD25))/AD41,0)</f>
        <v>0</v>
      </c>
      <c r="AE45" s="238">
        <f>IFERROR((AE8-(AE14+AE17+AE20+AE22+AE25))/AE41,0)</f>
        <v>0</v>
      </c>
      <c r="AF45" s="238">
        <f>IFERROR((AF8-(AF14+AF17+AF20+AF22+AF25))/AF41,0)</f>
        <v>0</v>
      </c>
      <c r="AG45" s="238">
        <f>IFERROR((AG8-(AG14+AG17+AG20+AG22+AG25))/AG41,0)</f>
        <v>0</v>
      </c>
      <c r="AH45" s="238">
        <f>IFERROR((AH8-(AH14+AH17+AH20+AH22+AH25))/AH41,0)</f>
        <v>0</v>
      </c>
      <c r="AI45" s="238">
        <f>IFERROR((AI8-(AI14+AI17+AI20+AI22+AI25))/AI41,0)</f>
        <v>0</v>
      </c>
      <c r="AJ45" s="238">
        <f>IFERROR((AJ8-(AJ14+AJ17+AJ20+AJ22+AJ25))/AJ41,0)</f>
        <v>0</v>
      </c>
      <c r="AK45" s="238">
        <f>IFERROR((AK8-(AK14+AK17+AK20+AK22+AK25))/AK41,0)</f>
        <v>0</v>
      </c>
      <c r="AL45" s="74"/>
      <c r="AM45" s="29">
        <f t="shared" si="4"/>
        <v>0</v>
      </c>
      <c r="AN45" s="9"/>
    </row>
    <row r="46" spans="1:40" hidden="1" outlineLevel="1">
      <c r="I46" s="31" t="s">
        <v>148</v>
      </c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>
        <f>IFERROR((V9-(V15+V18+V23))/V42,0)</f>
        <v>0</v>
      </c>
      <c r="W46" s="74"/>
      <c r="X46" s="90"/>
      <c r="Y46" s="238">
        <f>IFERROR((Y9-(Y15+Y18+Y23))/Y42,0)</f>
        <v>0</v>
      </c>
      <c r="Z46" s="238">
        <f>IFERROR((Z9-(Z15+Z18+Z23))/Z42,0)</f>
        <v>0</v>
      </c>
      <c r="AA46" s="238">
        <f>IFERROR((AA9-(AA15+AA18+AA23))/AA42,0)</f>
        <v>0</v>
      </c>
      <c r="AB46" s="238">
        <f>IFERROR((AB9-(AB15+AB18+AB23))/AB42,0)</f>
        <v>0</v>
      </c>
      <c r="AC46" s="238">
        <f>IFERROR((AC9-(AC15+AC18+AC23))/AC42,0)</f>
        <v>0</v>
      </c>
      <c r="AD46" s="238">
        <f>IFERROR((AD9-(AD15+AD18+AD23))/AD42,0)</f>
        <v>0</v>
      </c>
      <c r="AE46" s="238">
        <f>IFERROR((AE9-(AE15+AE18+AE23))/AE42,0)</f>
        <v>0</v>
      </c>
      <c r="AF46" s="238">
        <f>IFERROR((AF9-(AF15+AF18+AF23))/AF42,0)</f>
        <v>0</v>
      </c>
      <c r="AG46" s="238">
        <f>IFERROR((AG9-(AG15+AG18+AG23))/AG42,0)</f>
        <v>0</v>
      </c>
      <c r="AH46" s="238">
        <f>IFERROR((AH9-(AH15+AH18+AH23))/AH42,0)</f>
        <v>0</v>
      </c>
      <c r="AI46" s="238">
        <f>IFERROR((AI9-(AI15+AI18+AI23))/AI42,0)</f>
        <v>0</v>
      </c>
      <c r="AJ46" s="238">
        <f>IFERROR((AJ9-(AJ15+AJ18+AJ23))/AJ42,0)</f>
        <v>0</v>
      </c>
      <c r="AK46" s="238">
        <f>IFERROR((AK9-(AK15+AK18+AK23))/AK42,0)</f>
        <v>0</v>
      </c>
      <c r="AL46" s="74"/>
      <c r="AM46" s="29">
        <f t="shared" si="4"/>
        <v>0</v>
      </c>
      <c r="AN46" s="9"/>
    </row>
    <row r="48" spans="1:40">
      <c r="A48" s="21"/>
      <c r="B48" s="21"/>
      <c r="C48" s="21"/>
      <c r="D48" s="21"/>
      <c r="E48" s="7" t="s">
        <v>108</v>
      </c>
      <c r="I48" s="138" t="s">
        <v>153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6" customHeight="1">
      <c r="A49" s="21"/>
      <c r="B49" s="21"/>
      <c r="C49" s="21"/>
      <c r="D49" s="21"/>
      <c r="E49" s="22"/>
      <c r="F49" s="21"/>
      <c r="G49" s="21"/>
      <c r="H49" s="21"/>
      <c r="I49" s="138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collapsed="1">
      <c r="A50" s="12" t="s">
        <v>154</v>
      </c>
      <c r="B50" s="19" t="s">
        <v>89</v>
      </c>
      <c r="I50" s="146" t="s">
        <v>155</v>
      </c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>
        <f>SUM(V51:V89)</f>
        <v>0</v>
      </c>
      <c r="W50" s="72" t="e">
        <f t="shared" ref="W50:W157" si="9">V50/V$6</f>
        <v>#DIV/0!</v>
      </c>
      <c r="X50" s="89"/>
      <c r="Y50" s="231">
        <f t="shared" ref="Y50:AK50" si="10">SUM(Y51:Y89)</f>
        <v>0</v>
      </c>
      <c r="Z50" s="231">
        <f t="shared" si="10"/>
        <v>0</v>
      </c>
      <c r="AA50" s="231">
        <f t="shared" si="10"/>
        <v>0</v>
      </c>
      <c r="AB50" s="231">
        <f t="shared" si="10"/>
        <v>0</v>
      </c>
      <c r="AC50" s="231">
        <f t="shared" si="10"/>
        <v>0</v>
      </c>
      <c r="AD50" s="231">
        <f t="shared" si="10"/>
        <v>0</v>
      </c>
      <c r="AE50" s="231">
        <f t="shared" si="10"/>
        <v>0</v>
      </c>
      <c r="AF50" s="231">
        <f t="shared" si="10"/>
        <v>0</v>
      </c>
      <c r="AG50" s="231">
        <f t="shared" si="10"/>
        <v>0</v>
      </c>
      <c r="AH50" s="231">
        <f t="shared" si="10"/>
        <v>0</v>
      </c>
      <c r="AI50" s="231">
        <f t="shared" si="10"/>
        <v>0</v>
      </c>
      <c r="AJ50" s="231">
        <f t="shared" si="10"/>
        <v>0</v>
      </c>
      <c r="AK50" s="231">
        <f t="shared" si="10"/>
        <v>0</v>
      </c>
      <c r="AL50" s="72" t="e">
        <f t="shared" ref="AL50:AL157" si="11">AK50/AK$6</f>
        <v>#DIV/0!</v>
      </c>
      <c r="AM50" s="10">
        <f t="shared" si="4"/>
        <v>0</v>
      </c>
      <c r="AN50" s="9"/>
    </row>
    <row r="51" spans="1:40" ht="15" hidden="1" outlineLevel="1">
      <c r="A51" s="12" t="s">
        <v>154</v>
      </c>
      <c r="B51" s="8" t="s">
        <v>89</v>
      </c>
      <c r="C51" s="19" t="s">
        <v>156</v>
      </c>
      <c r="D51" s="12"/>
      <c r="E51" s="20"/>
      <c r="F51" s="12"/>
      <c r="G51" s="12"/>
      <c r="H51" s="12"/>
      <c r="I51" s="261" t="s">
        <v>157</v>
      </c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5">
        <f>SUM(J51:U51)</f>
        <v>0</v>
      </c>
      <c r="W51" s="73" t="e">
        <f t="shared" si="9"/>
        <v>#DIV/0!</v>
      </c>
      <c r="X51" s="89"/>
      <c r="Y51" s="234">
        <v>0</v>
      </c>
      <c r="Z51" s="234">
        <v>0</v>
      </c>
      <c r="AA51" s="234">
        <v>0</v>
      </c>
      <c r="AB51" s="234">
        <v>0</v>
      </c>
      <c r="AC51" s="234">
        <v>0</v>
      </c>
      <c r="AD51" s="234">
        <v>0</v>
      </c>
      <c r="AE51" s="234">
        <v>0</v>
      </c>
      <c r="AF51" s="234">
        <v>0</v>
      </c>
      <c r="AG51" s="234">
        <v>0</v>
      </c>
      <c r="AH51" s="234">
        <v>0</v>
      </c>
      <c r="AI51" s="234">
        <v>0</v>
      </c>
      <c r="AJ51" s="234">
        <v>0</v>
      </c>
      <c r="AK51" s="235">
        <f>SUM(Y51:AJ51)</f>
        <v>0</v>
      </c>
      <c r="AL51" s="73" t="e">
        <f t="shared" si="11"/>
        <v>#DIV/0!</v>
      </c>
      <c r="AM51" s="14">
        <f t="shared" si="4"/>
        <v>0</v>
      </c>
      <c r="AN51" s="9"/>
    </row>
    <row r="52" spans="1:40" ht="15" hidden="1" outlineLevel="1">
      <c r="A52" s="12" t="s">
        <v>154</v>
      </c>
      <c r="B52" s="8" t="s">
        <v>89</v>
      </c>
      <c r="I52" s="261" t="s">
        <v>156</v>
      </c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5">
        <f t="shared" ref="V52:V73" si="12">SUM(J52:U52)</f>
        <v>0</v>
      </c>
      <c r="W52" s="73" t="e">
        <f t="shared" si="9"/>
        <v>#DIV/0!</v>
      </c>
      <c r="X52" s="89"/>
      <c r="Y52" s="234">
        <v>0</v>
      </c>
      <c r="Z52" s="234">
        <v>0</v>
      </c>
      <c r="AA52" s="234">
        <v>0</v>
      </c>
      <c r="AB52" s="234">
        <v>0</v>
      </c>
      <c r="AC52" s="234">
        <v>0</v>
      </c>
      <c r="AD52" s="234">
        <v>0</v>
      </c>
      <c r="AE52" s="234">
        <v>0</v>
      </c>
      <c r="AF52" s="234">
        <v>0</v>
      </c>
      <c r="AG52" s="234">
        <v>0</v>
      </c>
      <c r="AH52" s="234">
        <v>0</v>
      </c>
      <c r="AI52" s="234">
        <v>0</v>
      </c>
      <c r="AJ52" s="234">
        <v>0</v>
      </c>
      <c r="AK52" s="235">
        <f t="shared" ref="AK52:AK73" si="13">SUM(Y52:AJ52)</f>
        <v>0</v>
      </c>
      <c r="AL52" s="73" t="e">
        <f t="shared" si="11"/>
        <v>#DIV/0!</v>
      </c>
      <c r="AM52" s="14">
        <f t="shared" si="4"/>
        <v>0</v>
      </c>
      <c r="AN52" s="9"/>
    </row>
    <row r="53" spans="1:40" ht="15" hidden="1" outlineLevel="1">
      <c r="A53" s="12" t="s">
        <v>154</v>
      </c>
      <c r="B53" s="8" t="s">
        <v>89</v>
      </c>
      <c r="I53" s="261" t="s">
        <v>158</v>
      </c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>
        <f t="shared" si="12"/>
        <v>0</v>
      </c>
      <c r="W53" s="73" t="e">
        <f t="shared" si="9"/>
        <v>#DIV/0!</v>
      </c>
      <c r="X53" s="89"/>
      <c r="Y53" s="234">
        <v>0</v>
      </c>
      <c r="Z53" s="234">
        <v>0</v>
      </c>
      <c r="AA53" s="234">
        <v>0</v>
      </c>
      <c r="AB53" s="234">
        <v>0</v>
      </c>
      <c r="AC53" s="234">
        <v>0</v>
      </c>
      <c r="AD53" s="234">
        <v>0</v>
      </c>
      <c r="AE53" s="234">
        <v>0</v>
      </c>
      <c r="AF53" s="234">
        <v>0</v>
      </c>
      <c r="AG53" s="234">
        <v>0</v>
      </c>
      <c r="AH53" s="234">
        <v>0</v>
      </c>
      <c r="AI53" s="234">
        <v>0</v>
      </c>
      <c r="AJ53" s="234">
        <v>0</v>
      </c>
      <c r="AK53" s="235">
        <f t="shared" si="13"/>
        <v>0</v>
      </c>
      <c r="AL53" s="73" t="e">
        <f t="shared" si="11"/>
        <v>#DIV/0!</v>
      </c>
      <c r="AM53" s="14">
        <f t="shared" si="4"/>
        <v>0</v>
      </c>
      <c r="AN53" s="9"/>
    </row>
    <row r="54" spans="1:40" ht="15" hidden="1" outlineLevel="1">
      <c r="A54" s="12" t="s">
        <v>154</v>
      </c>
      <c r="B54" s="8" t="s">
        <v>89</v>
      </c>
      <c r="I54" s="261" t="s">
        <v>159</v>
      </c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5">
        <f t="shared" si="12"/>
        <v>0</v>
      </c>
      <c r="W54" s="73" t="e">
        <f t="shared" si="9"/>
        <v>#DIV/0!</v>
      </c>
      <c r="X54" s="89"/>
      <c r="Y54" s="234">
        <v>0</v>
      </c>
      <c r="Z54" s="234">
        <v>0</v>
      </c>
      <c r="AA54" s="234">
        <v>0</v>
      </c>
      <c r="AB54" s="234">
        <v>0</v>
      </c>
      <c r="AC54" s="234">
        <v>0</v>
      </c>
      <c r="AD54" s="234">
        <v>0</v>
      </c>
      <c r="AE54" s="234">
        <v>0</v>
      </c>
      <c r="AF54" s="234">
        <v>0</v>
      </c>
      <c r="AG54" s="234">
        <v>0</v>
      </c>
      <c r="AH54" s="234">
        <v>0</v>
      </c>
      <c r="AI54" s="234">
        <v>0</v>
      </c>
      <c r="AJ54" s="234">
        <v>0</v>
      </c>
      <c r="AK54" s="235">
        <f t="shared" si="13"/>
        <v>0</v>
      </c>
      <c r="AL54" s="73" t="e">
        <f t="shared" si="11"/>
        <v>#DIV/0!</v>
      </c>
      <c r="AM54" s="14">
        <f t="shared" si="4"/>
        <v>0</v>
      </c>
      <c r="AN54" s="9"/>
    </row>
    <row r="55" spans="1:40" ht="15" hidden="1" outlineLevel="1">
      <c r="A55" s="12" t="s">
        <v>154</v>
      </c>
      <c r="B55" s="8" t="s">
        <v>89</v>
      </c>
      <c r="C55" s="8" t="s">
        <v>160</v>
      </c>
      <c r="I55" s="261" t="s">
        <v>161</v>
      </c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5">
        <f t="shared" si="12"/>
        <v>0</v>
      </c>
      <c r="W55" s="73" t="e">
        <f t="shared" si="9"/>
        <v>#DIV/0!</v>
      </c>
      <c r="X55" s="89"/>
      <c r="Y55" s="234">
        <v>0</v>
      </c>
      <c r="Z55" s="234">
        <v>0</v>
      </c>
      <c r="AA55" s="234">
        <v>0</v>
      </c>
      <c r="AB55" s="234">
        <v>0</v>
      </c>
      <c r="AC55" s="234">
        <v>0</v>
      </c>
      <c r="AD55" s="234">
        <v>0</v>
      </c>
      <c r="AE55" s="234">
        <v>0</v>
      </c>
      <c r="AF55" s="234">
        <v>0</v>
      </c>
      <c r="AG55" s="234">
        <v>0</v>
      </c>
      <c r="AH55" s="234">
        <v>0</v>
      </c>
      <c r="AI55" s="234">
        <v>0</v>
      </c>
      <c r="AJ55" s="234">
        <v>0</v>
      </c>
      <c r="AK55" s="235">
        <f t="shared" si="13"/>
        <v>0</v>
      </c>
      <c r="AL55" s="73" t="e">
        <f t="shared" si="11"/>
        <v>#DIV/0!</v>
      </c>
      <c r="AM55" s="14">
        <f t="shared" si="4"/>
        <v>0</v>
      </c>
      <c r="AN55" s="9"/>
    </row>
    <row r="56" spans="1:40" ht="15" hidden="1" outlineLevel="1">
      <c r="A56" s="12" t="s">
        <v>154</v>
      </c>
      <c r="B56" s="8" t="s">
        <v>89</v>
      </c>
      <c r="I56" s="261" t="s">
        <v>162</v>
      </c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5">
        <f t="shared" si="12"/>
        <v>0</v>
      </c>
      <c r="W56" s="73" t="e">
        <f t="shared" si="9"/>
        <v>#DIV/0!</v>
      </c>
      <c r="X56" s="89"/>
      <c r="Y56" s="234">
        <v>0</v>
      </c>
      <c r="Z56" s="234">
        <v>0</v>
      </c>
      <c r="AA56" s="234">
        <v>0</v>
      </c>
      <c r="AB56" s="234">
        <v>0</v>
      </c>
      <c r="AC56" s="234">
        <v>0</v>
      </c>
      <c r="AD56" s="234">
        <v>0</v>
      </c>
      <c r="AE56" s="234">
        <v>0</v>
      </c>
      <c r="AF56" s="234">
        <v>0</v>
      </c>
      <c r="AG56" s="234">
        <v>0</v>
      </c>
      <c r="AH56" s="234">
        <v>0</v>
      </c>
      <c r="AI56" s="234">
        <v>0</v>
      </c>
      <c r="AJ56" s="234">
        <v>0</v>
      </c>
      <c r="AK56" s="235">
        <f t="shared" si="13"/>
        <v>0</v>
      </c>
      <c r="AL56" s="73" t="e">
        <f t="shared" si="11"/>
        <v>#DIV/0!</v>
      </c>
      <c r="AM56" s="14">
        <f t="shared" si="4"/>
        <v>0</v>
      </c>
      <c r="AN56" s="9"/>
    </row>
    <row r="57" spans="1:40" ht="15" hidden="1" outlineLevel="1">
      <c r="A57" s="12" t="s">
        <v>154</v>
      </c>
      <c r="B57" s="8" t="s">
        <v>89</v>
      </c>
      <c r="I57" s="261" t="s">
        <v>163</v>
      </c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5">
        <f t="shared" si="12"/>
        <v>0</v>
      </c>
      <c r="W57" s="73" t="e">
        <f t="shared" si="9"/>
        <v>#DIV/0!</v>
      </c>
      <c r="X57" s="89"/>
      <c r="Y57" s="234">
        <v>0</v>
      </c>
      <c r="Z57" s="234">
        <v>0</v>
      </c>
      <c r="AA57" s="234">
        <v>0</v>
      </c>
      <c r="AB57" s="234">
        <v>0</v>
      </c>
      <c r="AC57" s="234">
        <v>0</v>
      </c>
      <c r="AD57" s="234">
        <v>0</v>
      </c>
      <c r="AE57" s="234">
        <v>0</v>
      </c>
      <c r="AF57" s="234">
        <v>0</v>
      </c>
      <c r="AG57" s="234">
        <v>0</v>
      </c>
      <c r="AH57" s="234">
        <v>0</v>
      </c>
      <c r="AI57" s="234">
        <v>0</v>
      </c>
      <c r="AJ57" s="234">
        <v>0</v>
      </c>
      <c r="AK57" s="235">
        <f t="shared" si="13"/>
        <v>0</v>
      </c>
      <c r="AL57" s="73" t="e">
        <f t="shared" si="11"/>
        <v>#DIV/0!</v>
      </c>
      <c r="AM57" s="14">
        <f t="shared" si="4"/>
        <v>0</v>
      </c>
      <c r="AN57" s="9"/>
    </row>
    <row r="58" spans="1:40" ht="15" hidden="1" outlineLevel="1">
      <c r="A58" s="12" t="s">
        <v>154</v>
      </c>
      <c r="B58" s="8" t="s">
        <v>89</v>
      </c>
      <c r="I58" s="261" t="s">
        <v>164</v>
      </c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5">
        <f t="shared" si="12"/>
        <v>0</v>
      </c>
      <c r="W58" s="73" t="e">
        <f t="shared" si="9"/>
        <v>#DIV/0!</v>
      </c>
      <c r="X58" s="89"/>
      <c r="Y58" s="234">
        <v>0</v>
      </c>
      <c r="Z58" s="234">
        <v>0</v>
      </c>
      <c r="AA58" s="234">
        <v>0</v>
      </c>
      <c r="AB58" s="234">
        <v>0</v>
      </c>
      <c r="AC58" s="234">
        <v>0</v>
      </c>
      <c r="AD58" s="234">
        <v>0</v>
      </c>
      <c r="AE58" s="234">
        <v>0</v>
      </c>
      <c r="AF58" s="234">
        <v>0</v>
      </c>
      <c r="AG58" s="234">
        <v>0</v>
      </c>
      <c r="AH58" s="234">
        <v>0</v>
      </c>
      <c r="AI58" s="234">
        <v>0</v>
      </c>
      <c r="AJ58" s="234">
        <v>0</v>
      </c>
      <c r="AK58" s="235">
        <f t="shared" si="13"/>
        <v>0</v>
      </c>
      <c r="AL58" s="73" t="e">
        <f t="shared" si="11"/>
        <v>#DIV/0!</v>
      </c>
      <c r="AM58" s="14">
        <f t="shared" si="4"/>
        <v>0</v>
      </c>
      <c r="AN58" s="9"/>
    </row>
    <row r="59" spans="1:40" ht="15" hidden="1" outlineLevel="1">
      <c r="A59" s="12" t="s">
        <v>154</v>
      </c>
      <c r="B59" s="8" t="s">
        <v>89</v>
      </c>
      <c r="I59" s="261" t="s">
        <v>165</v>
      </c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5">
        <f t="shared" si="12"/>
        <v>0</v>
      </c>
      <c r="W59" s="73" t="e">
        <f t="shared" si="9"/>
        <v>#DIV/0!</v>
      </c>
      <c r="X59" s="89"/>
      <c r="Y59" s="234">
        <v>0</v>
      </c>
      <c r="Z59" s="234">
        <v>0</v>
      </c>
      <c r="AA59" s="234">
        <v>0</v>
      </c>
      <c r="AB59" s="234">
        <v>0</v>
      </c>
      <c r="AC59" s="234">
        <v>0</v>
      </c>
      <c r="AD59" s="234">
        <v>0</v>
      </c>
      <c r="AE59" s="234">
        <v>0</v>
      </c>
      <c r="AF59" s="234">
        <v>0</v>
      </c>
      <c r="AG59" s="234">
        <v>0</v>
      </c>
      <c r="AH59" s="234">
        <v>0</v>
      </c>
      <c r="AI59" s="234">
        <v>0</v>
      </c>
      <c r="AJ59" s="234">
        <v>0</v>
      </c>
      <c r="AK59" s="235">
        <f t="shared" si="13"/>
        <v>0</v>
      </c>
      <c r="AL59" s="73" t="e">
        <f t="shared" si="11"/>
        <v>#DIV/0!</v>
      </c>
      <c r="AM59" s="14">
        <f t="shared" si="4"/>
        <v>0</v>
      </c>
      <c r="AN59" s="9"/>
    </row>
    <row r="60" spans="1:40" ht="15" hidden="1" outlineLevel="1">
      <c r="A60" s="12" t="s">
        <v>154</v>
      </c>
      <c r="B60" s="8" t="s">
        <v>89</v>
      </c>
      <c r="I60" s="261" t="s">
        <v>166</v>
      </c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5">
        <f t="shared" si="12"/>
        <v>0</v>
      </c>
      <c r="W60" s="73" t="e">
        <f t="shared" si="9"/>
        <v>#DIV/0!</v>
      </c>
      <c r="X60" s="89"/>
      <c r="Y60" s="234">
        <v>0</v>
      </c>
      <c r="Z60" s="234">
        <v>0</v>
      </c>
      <c r="AA60" s="234">
        <v>0</v>
      </c>
      <c r="AB60" s="234">
        <v>0</v>
      </c>
      <c r="AC60" s="234">
        <v>0</v>
      </c>
      <c r="AD60" s="234">
        <v>0</v>
      </c>
      <c r="AE60" s="234">
        <v>0</v>
      </c>
      <c r="AF60" s="234">
        <v>0</v>
      </c>
      <c r="AG60" s="234">
        <v>0</v>
      </c>
      <c r="AH60" s="234">
        <v>0</v>
      </c>
      <c r="AI60" s="234">
        <v>0</v>
      </c>
      <c r="AJ60" s="234">
        <v>0</v>
      </c>
      <c r="AK60" s="235">
        <f t="shared" si="13"/>
        <v>0</v>
      </c>
      <c r="AL60" s="73" t="e">
        <f t="shared" si="11"/>
        <v>#DIV/0!</v>
      </c>
      <c r="AM60" s="14">
        <f t="shared" si="4"/>
        <v>0</v>
      </c>
      <c r="AN60" s="9"/>
    </row>
    <row r="61" spans="1:40" ht="15" hidden="1" outlineLevel="1">
      <c r="A61" s="12" t="s">
        <v>154</v>
      </c>
      <c r="B61" s="8" t="s">
        <v>89</v>
      </c>
      <c r="I61" s="261" t="s">
        <v>167</v>
      </c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5">
        <f t="shared" si="12"/>
        <v>0</v>
      </c>
      <c r="W61" s="73" t="e">
        <f t="shared" si="9"/>
        <v>#DIV/0!</v>
      </c>
      <c r="X61" s="89"/>
      <c r="Y61" s="234">
        <v>0</v>
      </c>
      <c r="Z61" s="234">
        <v>0</v>
      </c>
      <c r="AA61" s="234">
        <v>0</v>
      </c>
      <c r="AB61" s="234">
        <v>0</v>
      </c>
      <c r="AC61" s="234">
        <v>0</v>
      </c>
      <c r="AD61" s="234">
        <v>0</v>
      </c>
      <c r="AE61" s="234">
        <v>0</v>
      </c>
      <c r="AF61" s="234">
        <v>0</v>
      </c>
      <c r="AG61" s="234">
        <v>0</v>
      </c>
      <c r="AH61" s="234">
        <v>0</v>
      </c>
      <c r="AI61" s="234">
        <v>0</v>
      </c>
      <c r="AJ61" s="234">
        <v>0</v>
      </c>
      <c r="AK61" s="235">
        <f t="shared" si="13"/>
        <v>0</v>
      </c>
      <c r="AL61" s="73" t="e">
        <f t="shared" si="11"/>
        <v>#DIV/0!</v>
      </c>
      <c r="AM61" s="14">
        <f t="shared" si="4"/>
        <v>0</v>
      </c>
      <c r="AN61" s="9"/>
    </row>
    <row r="62" spans="1:40" ht="15" hidden="1" outlineLevel="1">
      <c r="A62" s="12" t="s">
        <v>154</v>
      </c>
      <c r="B62" s="8" t="s">
        <v>89</v>
      </c>
      <c r="I62" s="261" t="s">
        <v>168</v>
      </c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5">
        <f t="shared" si="12"/>
        <v>0</v>
      </c>
      <c r="W62" s="73" t="e">
        <f t="shared" si="9"/>
        <v>#DIV/0!</v>
      </c>
      <c r="X62" s="89"/>
      <c r="Y62" s="234">
        <v>0</v>
      </c>
      <c r="Z62" s="234">
        <v>0</v>
      </c>
      <c r="AA62" s="234">
        <v>0</v>
      </c>
      <c r="AB62" s="234">
        <v>0</v>
      </c>
      <c r="AC62" s="234">
        <v>0</v>
      </c>
      <c r="AD62" s="234">
        <v>0</v>
      </c>
      <c r="AE62" s="234">
        <v>0</v>
      </c>
      <c r="AF62" s="234">
        <v>0</v>
      </c>
      <c r="AG62" s="234">
        <v>0</v>
      </c>
      <c r="AH62" s="234">
        <v>0</v>
      </c>
      <c r="AI62" s="234">
        <v>0</v>
      </c>
      <c r="AJ62" s="234">
        <v>0</v>
      </c>
      <c r="AK62" s="235">
        <f t="shared" si="13"/>
        <v>0</v>
      </c>
      <c r="AL62" s="73" t="e">
        <f t="shared" si="11"/>
        <v>#DIV/0!</v>
      </c>
      <c r="AM62" s="14">
        <f t="shared" si="4"/>
        <v>0</v>
      </c>
      <c r="AN62" s="9"/>
    </row>
    <row r="63" spans="1:40" ht="15" hidden="1" outlineLevel="1">
      <c r="A63" s="12" t="s">
        <v>154</v>
      </c>
      <c r="B63" s="8" t="s">
        <v>89</v>
      </c>
      <c r="I63" s="261" t="s">
        <v>169</v>
      </c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5">
        <f t="shared" si="12"/>
        <v>0</v>
      </c>
      <c r="W63" s="73" t="e">
        <f t="shared" si="9"/>
        <v>#DIV/0!</v>
      </c>
      <c r="X63" s="89"/>
      <c r="Y63" s="234">
        <v>0</v>
      </c>
      <c r="Z63" s="234">
        <v>0</v>
      </c>
      <c r="AA63" s="234">
        <v>0</v>
      </c>
      <c r="AB63" s="234">
        <v>0</v>
      </c>
      <c r="AC63" s="234">
        <v>0</v>
      </c>
      <c r="AD63" s="234">
        <v>0</v>
      </c>
      <c r="AE63" s="234">
        <v>0</v>
      </c>
      <c r="AF63" s="234">
        <v>0</v>
      </c>
      <c r="AG63" s="234">
        <v>0</v>
      </c>
      <c r="AH63" s="234">
        <v>0</v>
      </c>
      <c r="AI63" s="234">
        <v>0</v>
      </c>
      <c r="AJ63" s="234">
        <v>0</v>
      </c>
      <c r="AK63" s="235">
        <f t="shared" si="13"/>
        <v>0</v>
      </c>
      <c r="AL63" s="73" t="e">
        <f t="shared" si="11"/>
        <v>#DIV/0!</v>
      </c>
      <c r="AM63" s="14">
        <f t="shared" si="4"/>
        <v>0</v>
      </c>
      <c r="AN63" s="9"/>
    </row>
    <row r="64" spans="1:40" ht="15" hidden="1" outlineLevel="1">
      <c r="A64" s="12" t="s">
        <v>154</v>
      </c>
      <c r="B64" s="8" t="s">
        <v>89</v>
      </c>
      <c r="I64" s="261" t="s">
        <v>170</v>
      </c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5">
        <f t="shared" si="12"/>
        <v>0</v>
      </c>
      <c r="W64" s="73" t="e">
        <f t="shared" si="9"/>
        <v>#DIV/0!</v>
      </c>
      <c r="X64" s="89"/>
      <c r="Y64" s="234">
        <v>0</v>
      </c>
      <c r="Z64" s="234">
        <v>0</v>
      </c>
      <c r="AA64" s="234">
        <v>0</v>
      </c>
      <c r="AB64" s="234">
        <v>0</v>
      </c>
      <c r="AC64" s="234">
        <v>0</v>
      </c>
      <c r="AD64" s="234">
        <v>0</v>
      </c>
      <c r="AE64" s="234">
        <v>0</v>
      </c>
      <c r="AF64" s="234">
        <v>0</v>
      </c>
      <c r="AG64" s="234">
        <v>0</v>
      </c>
      <c r="AH64" s="234">
        <v>0</v>
      </c>
      <c r="AI64" s="234">
        <v>0</v>
      </c>
      <c r="AJ64" s="234">
        <v>0</v>
      </c>
      <c r="AK64" s="235">
        <f t="shared" si="13"/>
        <v>0</v>
      </c>
      <c r="AL64" s="73" t="e">
        <f t="shared" si="11"/>
        <v>#DIV/0!</v>
      </c>
      <c r="AM64" s="14">
        <f t="shared" si="4"/>
        <v>0</v>
      </c>
      <c r="AN64" s="9"/>
    </row>
    <row r="65" spans="1:40" ht="15" hidden="1" outlineLevel="1">
      <c r="A65" s="12" t="s">
        <v>154</v>
      </c>
      <c r="B65" s="8" t="s">
        <v>89</v>
      </c>
      <c r="I65" s="261" t="s">
        <v>171</v>
      </c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5">
        <f t="shared" si="12"/>
        <v>0</v>
      </c>
      <c r="W65" s="73" t="e">
        <f t="shared" si="9"/>
        <v>#DIV/0!</v>
      </c>
      <c r="X65" s="89"/>
      <c r="Y65" s="234">
        <v>0</v>
      </c>
      <c r="Z65" s="234">
        <v>0</v>
      </c>
      <c r="AA65" s="234">
        <v>0</v>
      </c>
      <c r="AB65" s="234">
        <v>0</v>
      </c>
      <c r="AC65" s="234">
        <v>0</v>
      </c>
      <c r="AD65" s="234">
        <v>0</v>
      </c>
      <c r="AE65" s="234">
        <v>0</v>
      </c>
      <c r="AF65" s="234">
        <v>0</v>
      </c>
      <c r="AG65" s="234">
        <v>0</v>
      </c>
      <c r="AH65" s="234">
        <v>0</v>
      </c>
      <c r="AI65" s="234">
        <v>0</v>
      </c>
      <c r="AJ65" s="234">
        <v>0</v>
      </c>
      <c r="AK65" s="235">
        <f t="shared" si="13"/>
        <v>0</v>
      </c>
      <c r="AL65" s="73" t="e">
        <f t="shared" si="11"/>
        <v>#DIV/0!</v>
      </c>
      <c r="AM65" s="14">
        <f t="shared" si="4"/>
        <v>0</v>
      </c>
      <c r="AN65" s="9"/>
    </row>
    <row r="66" spans="1:40" ht="15" hidden="1" outlineLevel="1">
      <c r="A66" s="12" t="s">
        <v>154</v>
      </c>
      <c r="B66" s="8" t="s">
        <v>89</v>
      </c>
      <c r="I66" s="261" t="s">
        <v>172</v>
      </c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5">
        <f t="shared" si="12"/>
        <v>0</v>
      </c>
      <c r="W66" s="73" t="e">
        <f t="shared" si="9"/>
        <v>#DIV/0!</v>
      </c>
      <c r="X66" s="89"/>
      <c r="Y66" s="234">
        <v>0</v>
      </c>
      <c r="Z66" s="234">
        <v>0</v>
      </c>
      <c r="AA66" s="234">
        <v>0</v>
      </c>
      <c r="AB66" s="234">
        <v>0</v>
      </c>
      <c r="AC66" s="234">
        <v>0</v>
      </c>
      <c r="AD66" s="234">
        <v>0</v>
      </c>
      <c r="AE66" s="234">
        <v>0</v>
      </c>
      <c r="AF66" s="234">
        <v>0</v>
      </c>
      <c r="AG66" s="234">
        <v>0</v>
      </c>
      <c r="AH66" s="234">
        <v>0</v>
      </c>
      <c r="AI66" s="234">
        <v>0</v>
      </c>
      <c r="AJ66" s="234">
        <v>0</v>
      </c>
      <c r="AK66" s="235">
        <f t="shared" si="13"/>
        <v>0</v>
      </c>
      <c r="AL66" s="73" t="e">
        <f t="shared" si="11"/>
        <v>#DIV/0!</v>
      </c>
      <c r="AM66" s="14">
        <f t="shared" si="4"/>
        <v>0</v>
      </c>
      <c r="AN66" s="9"/>
    </row>
    <row r="67" spans="1:40" ht="15" hidden="1" outlineLevel="1">
      <c r="A67" s="12" t="s">
        <v>154</v>
      </c>
      <c r="B67" s="8" t="s">
        <v>89</v>
      </c>
      <c r="I67" s="261" t="s">
        <v>173</v>
      </c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5">
        <f t="shared" si="12"/>
        <v>0</v>
      </c>
      <c r="W67" s="73" t="e">
        <f t="shared" si="9"/>
        <v>#DIV/0!</v>
      </c>
      <c r="X67" s="89"/>
      <c r="Y67" s="234">
        <v>0</v>
      </c>
      <c r="Z67" s="234">
        <v>0</v>
      </c>
      <c r="AA67" s="234">
        <v>0</v>
      </c>
      <c r="AB67" s="234">
        <v>0</v>
      </c>
      <c r="AC67" s="234">
        <v>0</v>
      </c>
      <c r="AD67" s="234">
        <v>0</v>
      </c>
      <c r="AE67" s="234">
        <v>0</v>
      </c>
      <c r="AF67" s="234">
        <v>0</v>
      </c>
      <c r="AG67" s="234">
        <v>0</v>
      </c>
      <c r="AH67" s="234">
        <v>0</v>
      </c>
      <c r="AI67" s="234">
        <v>0</v>
      </c>
      <c r="AJ67" s="234">
        <v>0</v>
      </c>
      <c r="AK67" s="235">
        <f t="shared" si="13"/>
        <v>0</v>
      </c>
      <c r="AL67" s="73" t="e">
        <f t="shared" si="11"/>
        <v>#DIV/0!</v>
      </c>
      <c r="AM67" s="14">
        <f t="shared" si="4"/>
        <v>0</v>
      </c>
      <c r="AN67" s="9"/>
    </row>
    <row r="68" spans="1:40" ht="15" hidden="1" outlineLevel="1">
      <c r="A68" s="12" t="s">
        <v>154</v>
      </c>
      <c r="B68" s="8" t="s">
        <v>89</v>
      </c>
      <c r="I68" s="261" t="s">
        <v>174</v>
      </c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5">
        <f t="shared" si="12"/>
        <v>0</v>
      </c>
      <c r="W68" s="73" t="e">
        <f t="shared" si="9"/>
        <v>#DIV/0!</v>
      </c>
      <c r="X68" s="89"/>
      <c r="Y68" s="234">
        <v>0</v>
      </c>
      <c r="Z68" s="234">
        <v>0</v>
      </c>
      <c r="AA68" s="234">
        <v>0</v>
      </c>
      <c r="AB68" s="234">
        <v>0</v>
      </c>
      <c r="AC68" s="234">
        <v>0</v>
      </c>
      <c r="AD68" s="234">
        <v>0</v>
      </c>
      <c r="AE68" s="234">
        <v>0</v>
      </c>
      <c r="AF68" s="234">
        <v>0</v>
      </c>
      <c r="AG68" s="234">
        <v>0</v>
      </c>
      <c r="AH68" s="234">
        <v>0</v>
      </c>
      <c r="AI68" s="234">
        <v>0</v>
      </c>
      <c r="AJ68" s="234">
        <v>0</v>
      </c>
      <c r="AK68" s="235">
        <f t="shared" si="13"/>
        <v>0</v>
      </c>
      <c r="AL68" s="73" t="e">
        <f t="shared" si="11"/>
        <v>#DIV/0!</v>
      </c>
      <c r="AM68" s="14">
        <f t="shared" si="4"/>
        <v>0</v>
      </c>
      <c r="AN68" s="9"/>
    </row>
    <row r="69" spans="1:40" ht="15" hidden="1" outlineLevel="1">
      <c r="A69" s="12" t="s">
        <v>154</v>
      </c>
      <c r="B69" s="8" t="s">
        <v>89</v>
      </c>
      <c r="I69" s="261" t="s">
        <v>175</v>
      </c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5">
        <f t="shared" si="12"/>
        <v>0</v>
      </c>
      <c r="W69" s="73" t="e">
        <f t="shared" si="9"/>
        <v>#DIV/0!</v>
      </c>
      <c r="X69" s="89"/>
      <c r="Y69" s="234">
        <v>0</v>
      </c>
      <c r="Z69" s="234">
        <v>0</v>
      </c>
      <c r="AA69" s="234">
        <v>0</v>
      </c>
      <c r="AB69" s="234">
        <v>0</v>
      </c>
      <c r="AC69" s="234">
        <v>0</v>
      </c>
      <c r="AD69" s="234">
        <v>0</v>
      </c>
      <c r="AE69" s="234">
        <v>0</v>
      </c>
      <c r="AF69" s="234">
        <v>0</v>
      </c>
      <c r="AG69" s="234">
        <v>0</v>
      </c>
      <c r="AH69" s="234">
        <v>0</v>
      </c>
      <c r="AI69" s="234">
        <v>0</v>
      </c>
      <c r="AJ69" s="234">
        <v>0</v>
      </c>
      <c r="AK69" s="235">
        <f t="shared" si="13"/>
        <v>0</v>
      </c>
      <c r="AL69" s="73" t="e">
        <f t="shared" si="11"/>
        <v>#DIV/0!</v>
      </c>
      <c r="AM69" s="14">
        <f t="shared" si="4"/>
        <v>0</v>
      </c>
      <c r="AN69" s="9"/>
    </row>
    <row r="70" spans="1:40" ht="15" hidden="1" outlineLevel="1">
      <c r="A70" s="12" t="s">
        <v>154</v>
      </c>
      <c r="B70" s="8" t="s">
        <v>89</v>
      </c>
      <c r="I70" s="261" t="s">
        <v>176</v>
      </c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5">
        <f t="shared" si="12"/>
        <v>0</v>
      </c>
      <c r="W70" s="73" t="e">
        <f t="shared" si="9"/>
        <v>#DIV/0!</v>
      </c>
      <c r="X70" s="89"/>
      <c r="Y70" s="234">
        <v>0</v>
      </c>
      <c r="Z70" s="234">
        <v>0</v>
      </c>
      <c r="AA70" s="234">
        <v>0</v>
      </c>
      <c r="AB70" s="234">
        <v>0</v>
      </c>
      <c r="AC70" s="234">
        <v>0</v>
      </c>
      <c r="AD70" s="234">
        <v>0</v>
      </c>
      <c r="AE70" s="234">
        <v>0</v>
      </c>
      <c r="AF70" s="234">
        <v>0</v>
      </c>
      <c r="AG70" s="234">
        <v>0</v>
      </c>
      <c r="AH70" s="234">
        <v>0</v>
      </c>
      <c r="AI70" s="234">
        <v>0</v>
      </c>
      <c r="AJ70" s="234">
        <v>0</v>
      </c>
      <c r="AK70" s="235">
        <f t="shared" si="13"/>
        <v>0</v>
      </c>
      <c r="AL70" s="73" t="e">
        <f t="shared" si="11"/>
        <v>#DIV/0!</v>
      </c>
      <c r="AM70" s="14">
        <f t="shared" si="4"/>
        <v>0</v>
      </c>
      <c r="AN70" s="9"/>
    </row>
    <row r="71" spans="1:40" ht="15" hidden="1" outlineLevel="1">
      <c r="A71" s="12" t="s">
        <v>154</v>
      </c>
      <c r="B71" s="8" t="s">
        <v>89</v>
      </c>
      <c r="I71" s="261" t="s">
        <v>177</v>
      </c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5">
        <f t="shared" si="12"/>
        <v>0</v>
      </c>
      <c r="W71" s="73" t="e">
        <f t="shared" si="9"/>
        <v>#DIV/0!</v>
      </c>
      <c r="X71" s="89"/>
      <c r="Y71" s="234">
        <v>0</v>
      </c>
      <c r="Z71" s="234">
        <v>0</v>
      </c>
      <c r="AA71" s="234">
        <v>0</v>
      </c>
      <c r="AB71" s="234">
        <v>0</v>
      </c>
      <c r="AC71" s="234">
        <v>0</v>
      </c>
      <c r="AD71" s="234">
        <v>0</v>
      </c>
      <c r="AE71" s="234">
        <v>0</v>
      </c>
      <c r="AF71" s="234">
        <v>0</v>
      </c>
      <c r="AG71" s="234">
        <v>0</v>
      </c>
      <c r="AH71" s="234">
        <v>0</v>
      </c>
      <c r="AI71" s="234">
        <v>0</v>
      </c>
      <c r="AJ71" s="234">
        <v>0</v>
      </c>
      <c r="AK71" s="235">
        <f t="shared" si="13"/>
        <v>0</v>
      </c>
      <c r="AL71" s="73" t="e">
        <f t="shared" si="11"/>
        <v>#DIV/0!</v>
      </c>
      <c r="AM71" s="14">
        <f t="shared" si="4"/>
        <v>0</v>
      </c>
      <c r="AN71" s="9"/>
    </row>
    <row r="72" spans="1:40" ht="15" hidden="1" outlineLevel="1">
      <c r="A72" s="12" t="s">
        <v>154</v>
      </c>
      <c r="B72" s="8" t="s">
        <v>89</v>
      </c>
      <c r="I72" s="261" t="s">
        <v>178</v>
      </c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5">
        <f t="shared" si="12"/>
        <v>0</v>
      </c>
      <c r="W72" s="73" t="e">
        <f t="shared" si="9"/>
        <v>#DIV/0!</v>
      </c>
      <c r="X72" s="89"/>
      <c r="Y72" s="234">
        <v>0</v>
      </c>
      <c r="Z72" s="234">
        <v>0</v>
      </c>
      <c r="AA72" s="234">
        <v>0</v>
      </c>
      <c r="AB72" s="234">
        <v>0</v>
      </c>
      <c r="AC72" s="234">
        <v>0</v>
      </c>
      <c r="AD72" s="234">
        <v>0</v>
      </c>
      <c r="AE72" s="234">
        <v>0</v>
      </c>
      <c r="AF72" s="234">
        <v>0</v>
      </c>
      <c r="AG72" s="234">
        <v>0</v>
      </c>
      <c r="AH72" s="234">
        <v>0</v>
      </c>
      <c r="AI72" s="234">
        <v>0</v>
      </c>
      <c r="AJ72" s="234">
        <v>0</v>
      </c>
      <c r="AK72" s="235">
        <f t="shared" si="13"/>
        <v>0</v>
      </c>
      <c r="AL72" s="73" t="e">
        <f t="shared" si="11"/>
        <v>#DIV/0!</v>
      </c>
      <c r="AM72" s="14">
        <f t="shared" si="4"/>
        <v>0</v>
      </c>
      <c r="AN72" s="9"/>
    </row>
    <row r="73" spans="1:40" ht="15" hidden="1" outlineLevel="1">
      <c r="A73" s="12" t="s">
        <v>154</v>
      </c>
      <c r="B73" s="8" t="s">
        <v>89</v>
      </c>
      <c r="I73" s="261" t="s">
        <v>179</v>
      </c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5">
        <f t="shared" si="12"/>
        <v>0</v>
      </c>
      <c r="W73" s="73" t="e">
        <f t="shared" si="9"/>
        <v>#DIV/0!</v>
      </c>
      <c r="X73" s="89"/>
      <c r="Y73" s="234">
        <v>0</v>
      </c>
      <c r="Z73" s="234">
        <v>0</v>
      </c>
      <c r="AA73" s="234">
        <v>0</v>
      </c>
      <c r="AB73" s="234">
        <v>0</v>
      </c>
      <c r="AC73" s="234">
        <v>0</v>
      </c>
      <c r="AD73" s="234">
        <v>0</v>
      </c>
      <c r="AE73" s="234">
        <v>0</v>
      </c>
      <c r="AF73" s="234">
        <v>0</v>
      </c>
      <c r="AG73" s="234">
        <v>0</v>
      </c>
      <c r="AH73" s="234">
        <v>0</v>
      </c>
      <c r="AI73" s="234">
        <v>0</v>
      </c>
      <c r="AJ73" s="234">
        <v>0</v>
      </c>
      <c r="AK73" s="235">
        <f t="shared" si="13"/>
        <v>0</v>
      </c>
      <c r="AL73" s="73" t="e">
        <f t="shared" si="11"/>
        <v>#DIV/0!</v>
      </c>
      <c r="AM73" s="14">
        <f t="shared" si="4"/>
        <v>0</v>
      </c>
      <c r="AN73" s="9"/>
    </row>
    <row r="74" spans="1:40" ht="15" hidden="1" outlineLevel="1">
      <c r="A74" s="12"/>
      <c r="I74" s="261" t="s">
        <v>180</v>
      </c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5"/>
      <c r="W74" s="73"/>
      <c r="X74" s="89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5"/>
      <c r="AL74" s="73"/>
      <c r="AM74" s="14"/>
      <c r="AN74" s="9"/>
    </row>
    <row r="75" spans="1:40" ht="15" hidden="1" outlineLevel="1">
      <c r="A75" s="12"/>
      <c r="I75" s="261" t="s">
        <v>181</v>
      </c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5"/>
      <c r="W75" s="73"/>
      <c r="X75" s="89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5"/>
      <c r="AL75" s="73"/>
      <c r="AM75" s="14"/>
      <c r="AN75" s="9"/>
    </row>
    <row r="76" spans="1:40" ht="15" hidden="1" outlineLevel="1">
      <c r="A76" s="12"/>
      <c r="I76" s="261" t="s">
        <v>182</v>
      </c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5"/>
      <c r="W76" s="73"/>
      <c r="X76" s="89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5"/>
      <c r="AL76" s="73"/>
      <c r="AM76" s="14"/>
      <c r="AN76" s="9"/>
    </row>
    <row r="77" spans="1:40" ht="15" hidden="1" outlineLevel="1">
      <c r="A77" s="12"/>
      <c r="I77" s="261" t="s">
        <v>183</v>
      </c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5"/>
      <c r="W77" s="73"/>
      <c r="X77" s="89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5"/>
      <c r="AL77" s="73"/>
      <c r="AM77" s="14"/>
      <c r="AN77" s="9"/>
    </row>
    <row r="78" spans="1:40" ht="15" hidden="1" outlineLevel="1">
      <c r="A78" s="12"/>
      <c r="I78" s="261" t="s">
        <v>184</v>
      </c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5"/>
      <c r="W78" s="73"/>
      <c r="X78" s="89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5"/>
      <c r="AL78" s="73"/>
      <c r="AM78" s="14"/>
      <c r="AN78" s="9"/>
    </row>
    <row r="79" spans="1:40" ht="15" hidden="1" outlineLevel="1">
      <c r="A79" s="12"/>
      <c r="I79" s="261" t="s">
        <v>185</v>
      </c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5"/>
      <c r="W79" s="73"/>
      <c r="X79" s="89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234"/>
      <c r="AK79" s="235"/>
      <c r="AL79" s="73"/>
      <c r="AM79" s="14"/>
      <c r="AN79" s="9"/>
    </row>
    <row r="80" spans="1:40" ht="15" hidden="1" outlineLevel="1">
      <c r="A80" s="12"/>
      <c r="I80" s="261" t="s">
        <v>186</v>
      </c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5"/>
      <c r="W80" s="73"/>
      <c r="X80" s="89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5"/>
      <c r="AL80" s="73"/>
      <c r="AM80" s="14"/>
      <c r="AN80" s="9"/>
    </row>
    <row r="81" spans="1:40" ht="15" hidden="1" outlineLevel="1">
      <c r="A81" s="12"/>
      <c r="I81" s="261" t="s">
        <v>187</v>
      </c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5"/>
      <c r="W81" s="73"/>
      <c r="X81" s="89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5"/>
      <c r="AL81" s="73"/>
      <c r="AM81" s="14"/>
      <c r="AN81" s="9"/>
    </row>
    <row r="82" spans="1:40" ht="15" hidden="1" outlineLevel="1">
      <c r="A82" s="12"/>
      <c r="I82" s="261" t="s">
        <v>188</v>
      </c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5"/>
      <c r="W82" s="73"/>
      <c r="X82" s="89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5"/>
      <c r="AL82" s="73"/>
      <c r="AM82" s="14"/>
      <c r="AN82" s="9"/>
    </row>
    <row r="83" spans="1:40" ht="15" hidden="1" outlineLevel="1">
      <c r="A83" s="12"/>
      <c r="I83" s="261" t="s">
        <v>189</v>
      </c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5"/>
      <c r="W83" s="73"/>
      <c r="X83" s="89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5"/>
      <c r="AL83" s="73"/>
      <c r="AM83" s="14"/>
      <c r="AN83" s="9"/>
    </row>
    <row r="84" spans="1:40" ht="15" hidden="1" outlineLevel="1">
      <c r="A84" s="12"/>
      <c r="I84" s="261" t="s">
        <v>190</v>
      </c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5"/>
      <c r="W84" s="73"/>
      <c r="X84" s="89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5"/>
      <c r="AL84" s="73"/>
      <c r="AM84" s="14"/>
      <c r="AN84" s="9"/>
    </row>
    <row r="85" spans="1:40" ht="15" hidden="1" outlineLevel="1">
      <c r="A85" s="12"/>
      <c r="I85" s="261" t="s">
        <v>191</v>
      </c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5"/>
      <c r="W85" s="73"/>
      <c r="X85" s="89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5"/>
      <c r="AL85" s="73"/>
      <c r="AM85" s="14"/>
      <c r="AN85" s="9"/>
    </row>
    <row r="86" spans="1:40" ht="15" hidden="1" outlineLevel="1">
      <c r="A86" s="12"/>
      <c r="I86" s="261" t="s">
        <v>192</v>
      </c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5"/>
      <c r="W86" s="73"/>
      <c r="X86" s="89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5"/>
      <c r="AL86" s="73"/>
      <c r="AM86" s="14"/>
      <c r="AN86" s="9"/>
    </row>
    <row r="87" spans="1:40" ht="15" hidden="1" outlineLevel="1">
      <c r="A87" s="12"/>
      <c r="I87" s="261" t="s">
        <v>193</v>
      </c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5"/>
      <c r="W87" s="73"/>
      <c r="X87" s="89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5"/>
      <c r="AL87" s="73"/>
      <c r="AM87" s="14"/>
      <c r="AN87" s="9"/>
    </row>
    <row r="88" spans="1:40" ht="15" hidden="1" outlineLevel="1">
      <c r="A88" s="12"/>
      <c r="I88" s="261" t="s">
        <v>194</v>
      </c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5"/>
      <c r="W88" s="73"/>
      <c r="X88" s="89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5"/>
      <c r="AL88" s="73"/>
      <c r="AM88" s="14"/>
      <c r="AN88" s="9"/>
    </row>
    <row r="89" spans="1:40" ht="15" hidden="1" outlineLevel="1">
      <c r="A89" s="12"/>
      <c r="I89" s="261" t="s">
        <v>195</v>
      </c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5"/>
      <c r="W89" s="73"/>
      <c r="X89" s="89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5"/>
      <c r="AL89" s="73"/>
      <c r="AM89" s="14"/>
      <c r="AN89" s="9"/>
    </row>
    <row r="90" spans="1:40" collapsed="1">
      <c r="A90" s="12" t="s">
        <v>196</v>
      </c>
      <c r="B90" s="8" t="s">
        <v>89</v>
      </c>
      <c r="I90" s="143" t="s">
        <v>197</v>
      </c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>
        <f>SUM(V91:V105)</f>
        <v>0</v>
      </c>
      <c r="W90" s="72" t="e">
        <f t="shared" si="9"/>
        <v>#DIV/0!</v>
      </c>
      <c r="X90" s="89"/>
      <c r="Y90" s="231">
        <f t="shared" ref="Y90:AK90" si="14">SUM(Y91:Y105)</f>
        <v>0</v>
      </c>
      <c r="Z90" s="231">
        <f t="shared" si="14"/>
        <v>0</v>
      </c>
      <c r="AA90" s="231">
        <f t="shared" si="14"/>
        <v>0</v>
      </c>
      <c r="AB90" s="231">
        <f t="shared" si="14"/>
        <v>0</v>
      </c>
      <c r="AC90" s="231">
        <f t="shared" si="14"/>
        <v>0</v>
      </c>
      <c r="AD90" s="231">
        <f t="shared" si="14"/>
        <v>0</v>
      </c>
      <c r="AE90" s="231">
        <f t="shared" si="14"/>
        <v>0</v>
      </c>
      <c r="AF90" s="231">
        <f t="shared" si="14"/>
        <v>0</v>
      </c>
      <c r="AG90" s="231">
        <f t="shared" si="14"/>
        <v>0</v>
      </c>
      <c r="AH90" s="231">
        <f t="shared" si="14"/>
        <v>0</v>
      </c>
      <c r="AI90" s="231">
        <f t="shared" si="14"/>
        <v>0</v>
      </c>
      <c r="AJ90" s="231">
        <f t="shared" si="14"/>
        <v>0</v>
      </c>
      <c r="AK90" s="231">
        <f t="shared" si="14"/>
        <v>0</v>
      </c>
      <c r="AL90" s="72" t="e">
        <f t="shared" si="11"/>
        <v>#DIV/0!</v>
      </c>
      <c r="AM90" s="10">
        <f t="shared" si="4"/>
        <v>0</v>
      </c>
      <c r="AN90" s="9"/>
    </row>
    <row r="91" spans="1:40" hidden="1" outlineLevel="1">
      <c r="A91" s="12" t="s">
        <v>196</v>
      </c>
      <c r="B91" s="8" t="s">
        <v>89</v>
      </c>
      <c r="E91" s="127"/>
      <c r="I91" t="s">
        <v>198</v>
      </c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5">
        <f>SUM(J91:U91)</f>
        <v>0</v>
      </c>
      <c r="W91" s="73" t="e">
        <f t="shared" si="9"/>
        <v>#DIV/0!</v>
      </c>
      <c r="X91" s="89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5">
        <f>SUM(Y91:AJ91)</f>
        <v>0</v>
      </c>
      <c r="AL91" s="73" t="e">
        <f t="shared" si="11"/>
        <v>#DIV/0!</v>
      </c>
      <c r="AM91" s="14">
        <f t="shared" si="4"/>
        <v>0</v>
      </c>
      <c r="AN91" s="9"/>
    </row>
    <row r="92" spans="1:40" hidden="1" outlineLevel="1">
      <c r="A92" s="12" t="s">
        <v>196</v>
      </c>
      <c r="B92" s="8" t="s">
        <v>89</v>
      </c>
      <c r="E92" s="127"/>
      <c r="I92" t="s">
        <v>199</v>
      </c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5">
        <f t="shared" ref="V92:V105" si="15">SUM(J92:U92)</f>
        <v>0</v>
      </c>
      <c r="W92" s="73" t="e">
        <f t="shared" si="9"/>
        <v>#DIV/0!</v>
      </c>
      <c r="X92" s="89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5">
        <f t="shared" ref="AK92:AK105" si="16">SUM(Y92:AJ92)</f>
        <v>0</v>
      </c>
      <c r="AL92" s="73" t="e">
        <f t="shared" si="11"/>
        <v>#DIV/0!</v>
      </c>
      <c r="AM92" s="14">
        <f t="shared" si="4"/>
        <v>0</v>
      </c>
      <c r="AN92" s="9"/>
    </row>
    <row r="93" spans="1:40" hidden="1" outlineLevel="1">
      <c r="A93" s="12" t="s">
        <v>196</v>
      </c>
      <c r="B93" s="8" t="s">
        <v>89</v>
      </c>
      <c r="E93" s="127"/>
      <c r="I93" t="s">
        <v>200</v>
      </c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5">
        <f t="shared" si="15"/>
        <v>0</v>
      </c>
      <c r="W93" s="73" t="e">
        <f t="shared" si="9"/>
        <v>#DIV/0!</v>
      </c>
      <c r="X93" s="89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5">
        <f t="shared" si="16"/>
        <v>0</v>
      </c>
      <c r="AL93" s="73" t="e">
        <f t="shared" si="11"/>
        <v>#DIV/0!</v>
      </c>
      <c r="AM93" s="14">
        <f t="shared" si="4"/>
        <v>0</v>
      </c>
      <c r="AN93" s="9"/>
    </row>
    <row r="94" spans="1:40" hidden="1" outlineLevel="1">
      <c r="A94" s="12" t="s">
        <v>196</v>
      </c>
      <c r="B94" s="8" t="s">
        <v>89</v>
      </c>
      <c r="E94" s="127"/>
      <c r="I94" t="s">
        <v>201</v>
      </c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5">
        <f t="shared" si="15"/>
        <v>0</v>
      </c>
      <c r="W94" s="73" t="e">
        <f t="shared" si="9"/>
        <v>#DIV/0!</v>
      </c>
      <c r="X94" s="89"/>
      <c r="Y94" s="234"/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234"/>
      <c r="AK94" s="235">
        <f t="shared" si="16"/>
        <v>0</v>
      </c>
      <c r="AL94" s="73" t="e">
        <f t="shared" si="11"/>
        <v>#DIV/0!</v>
      </c>
      <c r="AM94" s="14">
        <f t="shared" ref="AM94:AM191" si="17">IFERROR(AK94/V94-1,0)</f>
        <v>0</v>
      </c>
      <c r="AN94" s="9"/>
    </row>
    <row r="95" spans="1:40" hidden="1" outlineLevel="1">
      <c r="A95" s="12" t="s">
        <v>196</v>
      </c>
      <c r="B95" s="8" t="s">
        <v>89</v>
      </c>
      <c r="E95" s="127"/>
      <c r="I95" t="s">
        <v>202</v>
      </c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5">
        <f t="shared" si="15"/>
        <v>0</v>
      </c>
      <c r="W95" s="73" t="e">
        <f t="shared" si="9"/>
        <v>#DIV/0!</v>
      </c>
      <c r="X95" s="89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5">
        <f t="shared" si="16"/>
        <v>0</v>
      </c>
      <c r="AL95" s="73" t="e">
        <f t="shared" si="11"/>
        <v>#DIV/0!</v>
      </c>
      <c r="AM95" s="14">
        <f t="shared" si="17"/>
        <v>0</v>
      </c>
      <c r="AN95" s="9"/>
    </row>
    <row r="96" spans="1:40" hidden="1" outlineLevel="1">
      <c r="A96" s="12" t="s">
        <v>196</v>
      </c>
      <c r="B96" s="8" t="s">
        <v>89</v>
      </c>
      <c r="E96" s="127"/>
      <c r="I96" t="s">
        <v>203</v>
      </c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5">
        <f t="shared" si="15"/>
        <v>0</v>
      </c>
      <c r="W96" s="73" t="e">
        <f t="shared" si="9"/>
        <v>#DIV/0!</v>
      </c>
      <c r="X96" s="89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5">
        <f t="shared" si="16"/>
        <v>0</v>
      </c>
      <c r="AL96" s="73" t="e">
        <f t="shared" si="11"/>
        <v>#DIV/0!</v>
      </c>
      <c r="AM96" s="14">
        <f t="shared" si="17"/>
        <v>0</v>
      </c>
      <c r="AN96" s="9"/>
    </row>
    <row r="97" spans="1:40" hidden="1" outlineLevel="1">
      <c r="A97" s="12" t="s">
        <v>196</v>
      </c>
      <c r="B97" s="8" t="s">
        <v>89</v>
      </c>
      <c r="E97" s="127"/>
      <c r="I97" t="s">
        <v>204</v>
      </c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5">
        <f t="shared" si="15"/>
        <v>0</v>
      </c>
      <c r="W97" s="73" t="e">
        <f t="shared" si="9"/>
        <v>#DIV/0!</v>
      </c>
      <c r="X97" s="89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5">
        <f t="shared" si="16"/>
        <v>0</v>
      </c>
      <c r="AL97" s="73" t="e">
        <f t="shared" si="11"/>
        <v>#DIV/0!</v>
      </c>
      <c r="AM97" s="14">
        <f t="shared" si="17"/>
        <v>0</v>
      </c>
      <c r="AN97" s="9"/>
    </row>
    <row r="98" spans="1:40" hidden="1" outlineLevel="1">
      <c r="A98" s="12" t="s">
        <v>196</v>
      </c>
      <c r="B98" s="8" t="s">
        <v>89</v>
      </c>
      <c r="E98" s="127"/>
      <c r="I98" t="s">
        <v>205</v>
      </c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5">
        <f t="shared" si="15"/>
        <v>0</v>
      </c>
      <c r="W98" s="73" t="e">
        <f t="shared" si="9"/>
        <v>#DIV/0!</v>
      </c>
      <c r="X98" s="89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5">
        <f t="shared" si="16"/>
        <v>0</v>
      </c>
      <c r="AL98" s="73" t="e">
        <f t="shared" si="11"/>
        <v>#DIV/0!</v>
      </c>
      <c r="AM98" s="14">
        <f t="shared" si="17"/>
        <v>0</v>
      </c>
      <c r="AN98" s="9"/>
    </row>
    <row r="99" spans="1:40" hidden="1" outlineLevel="1">
      <c r="A99" s="12" t="s">
        <v>196</v>
      </c>
      <c r="B99" s="8" t="s">
        <v>89</v>
      </c>
      <c r="E99" s="127"/>
      <c r="I99" t="s">
        <v>206</v>
      </c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5">
        <f t="shared" si="15"/>
        <v>0</v>
      </c>
      <c r="W99" s="73" t="e">
        <f t="shared" si="9"/>
        <v>#DIV/0!</v>
      </c>
      <c r="X99" s="89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5">
        <f t="shared" si="16"/>
        <v>0</v>
      </c>
      <c r="AL99" s="73" t="e">
        <f t="shared" si="11"/>
        <v>#DIV/0!</v>
      </c>
      <c r="AM99" s="14">
        <f t="shared" si="17"/>
        <v>0</v>
      </c>
      <c r="AN99" s="9"/>
    </row>
    <row r="100" spans="1:40" hidden="1" outlineLevel="1">
      <c r="A100" s="12" t="s">
        <v>196</v>
      </c>
      <c r="B100" s="8" t="s">
        <v>89</v>
      </c>
      <c r="E100" s="127"/>
      <c r="I100" t="s">
        <v>207</v>
      </c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5">
        <f t="shared" si="15"/>
        <v>0</v>
      </c>
      <c r="W100" s="73" t="e">
        <f t="shared" si="9"/>
        <v>#DIV/0!</v>
      </c>
      <c r="X100" s="89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5">
        <f t="shared" si="16"/>
        <v>0</v>
      </c>
      <c r="AL100" s="73" t="e">
        <f t="shared" si="11"/>
        <v>#DIV/0!</v>
      </c>
      <c r="AM100" s="14">
        <f t="shared" si="17"/>
        <v>0</v>
      </c>
      <c r="AN100" s="9"/>
    </row>
    <row r="101" spans="1:40" hidden="1" outlineLevel="1">
      <c r="A101" s="12" t="s">
        <v>196</v>
      </c>
      <c r="B101" s="8" t="s">
        <v>89</v>
      </c>
      <c r="E101" s="127"/>
      <c r="I101" t="s">
        <v>208</v>
      </c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5">
        <f t="shared" si="15"/>
        <v>0</v>
      </c>
      <c r="W101" s="73" t="e">
        <f t="shared" si="9"/>
        <v>#DIV/0!</v>
      </c>
      <c r="X101" s="89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5">
        <f t="shared" si="16"/>
        <v>0</v>
      </c>
      <c r="AL101" s="73" t="e">
        <f t="shared" si="11"/>
        <v>#DIV/0!</v>
      </c>
      <c r="AM101" s="14">
        <f t="shared" si="17"/>
        <v>0</v>
      </c>
      <c r="AN101" s="9"/>
    </row>
    <row r="102" spans="1:40" hidden="1" outlineLevel="1">
      <c r="A102" s="12" t="s">
        <v>196</v>
      </c>
      <c r="B102" s="8" t="s">
        <v>89</v>
      </c>
      <c r="E102" s="127"/>
      <c r="I102" t="s">
        <v>209</v>
      </c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5">
        <f t="shared" si="15"/>
        <v>0</v>
      </c>
      <c r="W102" s="73" t="e">
        <f t="shared" si="9"/>
        <v>#DIV/0!</v>
      </c>
      <c r="X102" s="89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5">
        <f t="shared" si="16"/>
        <v>0</v>
      </c>
      <c r="AL102" s="73" t="e">
        <f t="shared" si="11"/>
        <v>#DIV/0!</v>
      </c>
      <c r="AM102" s="14">
        <f t="shared" si="17"/>
        <v>0</v>
      </c>
      <c r="AN102" s="9"/>
    </row>
    <row r="103" spans="1:40" hidden="1" outlineLevel="1">
      <c r="A103" s="12" t="s">
        <v>196</v>
      </c>
      <c r="B103" s="8" t="s">
        <v>89</v>
      </c>
      <c r="E103" s="127"/>
      <c r="I103" t="s">
        <v>210</v>
      </c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5">
        <f t="shared" si="15"/>
        <v>0</v>
      </c>
      <c r="W103" s="73" t="e">
        <f t="shared" si="9"/>
        <v>#DIV/0!</v>
      </c>
      <c r="X103" s="89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5">
        <f t="shared" si="16"/>
        <v>0</v>
      </c>
      <c r="AL103" s="73" t="e">
        <f t="shared" si="11"/>
        <v>#DIV/0!</v>
      </c>
      <c r="AM103" s="14">
        <f t="shared" si="17"/>
        <v>0</v>
      </c>
      <c r="AN103" s="9"/>
    </row>
    <row r="104" spans="1:40" hidden="1" outlineLevel="1">
      <c r="A104" s="12" t="s">
        <v>196</v>
      </c>
      <c r="B104" s="8" t="s">
        <v>89</v>
      </c>
      <c r="E104" s="127"/>
      <c r="I104" t="s">
        <v>211</v>
      </c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5">
        <f t="shared" si="15"/>
        <v>0</v>
      </c>
      <c r="W104" s="73" t="e">
        <f t="shared" si="9"/>
        <v>#DIV/0!</v>
      </c>
      <c r="X104" s="89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5">
        <f t="shared" si="16"/>
        <v>0</v>
      </c>
      <c r="AL104" s="73" t="e">
        <f t="shared" si="11"/>
        <v>#DIV/0!</v>
      </c>
      <c r="AM104" s="14">
        <f t="shared" si="17"/>
        <v>0</v>
      </c>
      <c r="AN104" s="9"/>
    </row>
    <row r="105" spans="1:40" hidden="1" outlineLevel="1">
      <c r="A105" s="12" t="s">
        <v>196</v>
      </c>
      <c r="B105" s="8" t="s">
        <v>89</v>
      </c>
      <c r="E105" s="127"/>
      <c r="I105" t="s">
        <v>212</v>
      </c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5">
        <f t="shared" si="15"/>
        <v>0</v>
      </c>
      <c r="W105" s="73" t="e">
        <f t="shared" si="9"/>
        <v>#DIV/0!</v>
      </c>
      <c r="X105" s="89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5">
        <f t="shared" si="16"/>
        <v>0</v>
      </c>
      <c r="AL105" s="73" t="e">
        <f t="shared" si="11"/>
        <v>#DIV/0!</v>
      </c>
      <c r="AM105" s="14">
        <f t="shared" si="17"/>
        <v>0</v>
      </c>
      <c r="AN105" s="9"/>
    </row>
    <row r="106" spans="1:40" collapsed="1">
      <c r="A106" s="12" t="s">
        <v>213</v>
      </c>
      <c r="B106" s="8" t="s">
        <v>89</v>
      </c>
      <c r="I106" s="143" t="s">
        <v>214</v>
      </c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>
        <f>SUM(V107:V110)</f>
        <v>0</v>
      </c>
      <c r="W106" s="72" t="e">
        <f t="shared" si="9"/>
        <v>#DIV/0!</v>
      </c>
      <c r="X106" s="89"/>
      <c r="Y106" s="231">
        <f>SUM(Y107:Y110)</f>
        <v>0</v>
      </c>
      <c r="Z106" s="231">
        <f t="shared" ref="Z106:AJ106" si="18">SUM(Z107:Z110)</f>
        <v>0</v>
      </c>
      <c r="AA106" s="231">
        <f t="shared" si="18"/>
        <v>0</v>
      </c>
      <c r="AB106" s="231">
        <f t="shared" si="18"/>
        <v>0</v>
      </c>
      <c r="AC106" s="231">
        <f t="shared" si="18"/>
        <v>0</v>
      </c>
      <c r="AD106" s="231">
        <f t="shared" si="18"/>
        <v>0</v>
      </c>
      <c r="AE106" s="231">
        <f t="shared" si="18"/>
        <v>0</v>
      </c>
      <c r="AF106" s="231">
        <f t="shared" si="18"/>
        <v>0</v>
      </c>
      <c r="AG106" s="231">
        <f t="shared" si="18"/>
        <v>0</v>
      </c>
      <c r="AH106" s="231">
        <f t="shared" si="18"/>
        <v>0</v>
      </c>
      <c r="AI106" s="231">
        <f t="shared" si="18"/>
        <v>0</v>
      </c>
      <c r="AJ106" s="231">
        <f t="shared" si="18"/>
        <v>0</v>
      </c>
      <c r="AK106" s="231">
        <f>SUM(AK107:AK110)</f>
        <v>0</v>
      </c>
      <c r="AL106" s="72" t="e">
        <f t="shared" si="11"/>
        <v>#DIV/0!</v>
      </c>
      <c r="AM106" s="10">
        <f t="shared" si="17"/>
        <v>0</v>
      </c>
      <c r="AN106" s="9"/>
    </row>
    <row r="107" spans="1:40" hidden="1" outlineLevel="1">
      <c r="A107" s="12" t="s">
        <v>213</v>
      </c>
      <c r="B107" s="8" t="s">
        <v>89</v>
      </c>
      <c r="E107" s="127"/>
      <c r="I107" s="136" t="s">
        <v>215</v>
      </c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5">
        <f>SUM(J107:U107)</f>
        <v>0</v>
      </c>
      <c r="W107" s="73" t="e">
        <f t="shared" si="9"/>
        <v>#DIV/0!</v>
      </c>
      <c r="X107" s="89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5">
        <f>SUM(Y107:AJ107)</f>
        <v>0</v>
      </c>
      <c r="AL107" s="73" t="e">
        <f t="shared" si="11"/>
        <v>#DIV/0!</v>
      </c>
      <c r="AM107" s="14">
        <f t="shared" si="17"/>
        <v>0</v>
      </c>
      <c r="AN107" s="9"/>
    </row>
    <row r="108" spans="1:40" hidden="1" outlineLevel="1">
      <c r="A108" s="12" t="s">
        <v>213</v>
      </c>
      <c r="B108" s="8" t="s">
        <v>89</v>
      </c>
      <c r="E108" s="127"/>
      <c r="I108" s="136" t="s">
        <v>216</v>
      </c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5">
        <f>SUM(J108:U108)</f>
        <v>0</v>
      </c>
      <c r="W108" s="73" t="e">
        <f t="shared" si="9"/>
        <v>#DIV/0!</v>
      </c>
      <c r="X108" s="89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234"/>
      <c r="AK108" s="235">
        <f>SUM(Y108:AJ108)</f>
        <v>0</v>
      </c>
      <c r="AL108" s="73" t="e">
        <f t="shared" si="11"/>
        <v>#DIV/0!</v>
      </c>
      <c r="AM108" s="14">
        <f t="shared" si="17"/>
        <v>0</v>
      </c>
      <c r="AN108" s="9"/>
    </row>
    <row r="109" spans="1:40" hidden="1" outlineLevel="1">
      <c r="A109" s="12" t="s">
        <v>213</v>
      </c>
      <c r="B109" s="8" t="s">
        <v>89</v>
      </c>
      <c r="E109" s="127"/>
      <c r="I109" s="136" t="s">
        <v>217</v>
      </c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5">
        <f>SUM(J109:U109)</f>
        <v>0</v>
      </c>
      <c r="W109" s="73" t="e">
        <f t="shared" si="9"/>
        <v>#DIV/0!</v>
      </c>
      <c r="X109" s="89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5">
        <f>SUM(Y109:AJ109)</f>
        <v>0</v>
      </c>
      <c r="AL109" s="73" t="e">
        <f t="shared" si="11"/>
        <v>#DIV/0!</v>
      </c>
      <c r="AM109" s="14">
        <f t="shared" si="17"/>
        <v>0</v>
      </c>
      <c r="AN109" s="9"/>
    </row>
    <row r="110" spans="1:40" hidden="1" outlineLevel="1">
      <c r="A110" s="12" t="s">
        <v>213</v>
      </c>
      <c r="B110" s="8" t="s">
        <v>89</v>
      </c>
      <c r="E110" s="127"/>
      <c r="I110" s="136" t="s">
        <v>218</v>
      </c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5">
        <f>SUM(J110:U110)</f>
        <v>0</v>
      </c>
      <c r="W110" s="73" t="e">
        <f t="shared" si="9"/>
        <v>#DIV/0!</v>
      </c>
      <c r="X110" s="89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5">
        <f>SUM(Y110:AJ110)</f>
        <v>0</v>
      </c>
      <c r="AL110" s="73" t="e">
        <f t="shared" si="11"/>
        <v>#DIV/0!</v>
      </c>
      <c r="AM110" s="14">
        <f t="shared" si="17"/>
        <v>0</v>
      </c>
      <c r="AN110" s="9"/>
    </row>
    <row r="111" spans="1:40" collapsed="1">
      <c r="A111" s="12" t="s">
        <v>219</v>
      </c>
      <c r="B111" s="8" t="s">
        <v>89</v>
      </c>
      <c r="C111" s="8" t="s">
        <v>81</v>
      </c>
      <c r="I111" s="143" t="s">
        <v>220</v>
      </c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>
        <f>SUM(V112:V114)</f>
        <v>0</v>
      </c>
      <c r="W111" s="72" t="e">
        <f t="shared" si="9"/>
        <v>#DIV/0!</v>
      </c>
      <c r="X111" s="89"/>
      <c r="Y111" s="231">
        <f>SUM(Y112:Y114)</f>
        <v>0</v>
      </c>
      <c r="Z111" s="231">
        <f t="shared" ref="Z111:AJ111" si="19">SUM(Z112:Z114)</f>
        <v>0</v>
      </c>
      <c r="AA111" s="231">
        <f t="shared" si="19"/>
        <v>0</v>
      </c>
      <c r="AB111" s="231">
        <f t="shared" si="19"/>
        <v>0</v>
      </c>
      <c r="AC111" s="231">
        <f t="shared" si="19"/>
        <v>0</v>
      </c>
      <c r="AD111" s="231">
        <f t="shared" si="19"/>
        <v>0</v>
      </c>
      <c r="AE111" s="231">
        <f t="shared" si="19"/>
        <v>0</v>
      </c>
      <c r="AF111" s="231">
        <f t="shared" si="19"/>
        <v>0</v>
      </c>
      <c r="AG111" s="231">
        <f t="shared" si="19"/>
        <v>0</v>
      </c>
      <c r="AH111" s="231">
        <f t="shared" si="19"/>
        <v>0</v>
      </c>
      <c r="AI111" s="231">
        <f t="shared" si="19"/>
        <v>0</v>
      </c>
      <c r="AJ111" s="231">
        <f t="shared" si="19"/>
        <v>0</v>
      </c>
      <c r="AK111" s="231">
        <f>SUM(AK112:AK114)</f>
        <v>0</v>
      </c>
      <c r="AL111" s="72" t="e">
        <f t="shared" si="11"/>
        <v>#DIV/0!</v>
      </c>
      <c r="AM111" s="10">
        <f t="shared" si="17"/>
        <v>0</v>
      </c>
      <c r="AN111" s="9"/>
    </row>
    <row r="112" spans="1:40" ht="15" hidden="1" outlineLevel="1">
      <c r="A112" s="12" t="s">
        <v>219</v>
      </c>
      <c r="B112" s="8" t="s">
        <v>89</v>
      </c>
      <c r="I112" s="224" t="s">
        <v>221</v>
      </c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5">
        <f>SUM(J112:U112)</f>
        <v>0</v>
      </c>
      <c r="W112" s="73" t="e">
        <f t="shared" si="9"/>
        <v>#DIV/0!</v>
      </c>
      <c r="X112" s="89"/>
      <c r="Y112" s="234">
        <v>0</v>
      </c>
      <c r="Z112" s="234">
        <v>0</v>
      </c>
      <c r="AA112" s="234">
        <v>0</v>
      </c>
      <c r="AB112" s="234">
        <v>0</v>
      </c>
      <c r="AC112" s="234">
        <v>0</v>
      </c>
      <c r="AD112" s="234">
        <v>0</v>
      </c>
      <c r="AE112" s="234">
        <v>0</v>
      </c>
      <c r="AF112" s="234">
        <v>0</v>
      </c>
      <c r="AG112" s="234">
        <v>0</v>
      </c>
      <c r="AH112" s="234">
        <v>0</v>
      </c>
      <c r="AI112" s="234">
        <v>0</v>
      </c>
      <c r="AJ112" s="234">
        <v>0</v>
      </c>
      <c r="AK112" s="235">
        <f>SUM(Y112:AJ112)</f>
        <v>0</v>
      </c>
      <c r="AL112" s="73" t="e">
        <f t="shared" si="11"/>
        <v>#DIV/0!</v>
      </c>
      <c r="AM112" s="14">
        <f t="shared" si="17"/>
        <v>0</v>
      </c>
      <c r="AN112" s="9"/>
    </row>
    <row r="113" spans="1:40" ht="15" hidden="1" outlineLevel="1">
      <c r="A113" s="12" t="s">
        <v>219</v>
      </c>
      <c r="B113" s="8" t="s">
        <v>89</v>
      </c>
      <c r="I113" s="223" t="s">
        <v>222</v>
      </c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5">
        <f>SUM(J113:U113)</f>
        <v>0</v>
      </c>
      <c r="W113" s="73" t="e">
        <f t="shared" si="9"/>
        <v>#DIV/0!</v>
      </c>
      <c r="X113" s="89"/>
      <c r="Y113" s="234">
        <v>0</v>
      </c>
      <c r="Z113" s="234">
        <v>0</v>
      </c>
      <c r="AA113" s="234">
        <v>0</v>
      </c>
      <c r="AB113" s="234">
        <v>0</v>
      </c>
      <c r="AC113" s="234">
        <v>0</v>
      </c>
      <c r="AD113" s="234">
        <v>0</v>
      </c>
      <c r="AE113" s="234">
        <v>0</v>
      </c>
      <c r="AF113" s="234">
        <v>0</v>
      </c>
      <c r="AG113" s="234">
        <v>0</v>
      </c>
      <c r="AH113" s="234">
        <v>0</v>
      </c>
      <c r="AI113" s="234">
        <v>0</v>
      </c>
      <c r="AJ113" s="234">
        <v>0</v>
      </c>
      <c r="AK113" s="235">
        <f>SUM(Y113:AJ113)</f>
        <v>0</v>
      </c>
      <c r="AL113" s="73" t="e">
        <f t="shared" si="11"/>
        <v>#DIV/0!</v>
      </c>
      <c r="AM113" s="14">
        <f t="shared" si="17"/>
        <v>0</v>
      </c>
      <c r="AN113" s="9"/>
    </row>
    <row r="114" spans="1:40" ht="15" hidden="1" outlineLevel="1">
      <c r="A114" s="12" t="s">
        <v>219</v>
      </c>
      <c r="B114" s="8" t="s">
        <v>89</v>
      </c>
      <c r="I114" s="223" t="s">
        <v>223</v>
      </c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5">
        <f>SUM(J114:U114)</f>
        <v>0</v>
      </c>
      <c r="W114" s="73" t="e">
        <f t="shared" si="9"/>
        <v>#DIV/0!</v>
      </c>
      <c r="X114" s="89"/>
      <c r="Y114" s="234">
        <v>0</v>
      </c>
      <c r="Z114" s="234">
        <v>0</v>
      </c>
      <c r="AA114" s="234">
        <v>0</v>
      </c>
      <c r="AB114" s="234">
        <v>0</v>
      </c>
      <c r="AC114" s="234">
        <v>0</v>
      </c>
      <c r="AD114" s="234">
        <v>0</v>
      </c>
      <c r="AE114" s="234">
        <v>0</v>
      </c>
      <c r="AF114" s="234">
        <v>0</v>
      </c>
      <c r="AG114" s="234">
        <v>0</v>
      </c>
      <c r="AH114" s="234">
        <v>0</v>
      </c>
      <c r="AI114" s="234">
        <v>0</v>
      </c>
      <c r="AJ114" s="234">
        <v>0</v>
      </c>
      <c r="AK114" s="235">
        <f>SUM(Y114:AJ114)</f>
        <v>0</v>
      </c>
      <c r="AL114" s="73" t="e">
        <f t="shared" si="11"/>
        <v>#DIV/0!</v>
      </c>
      <c r="AM114" s="14">
        <f t="shared" si="17"/>
        <v>0</v>
      </c>
      <c r="AN114" s="9"/>
    </row>
    <row r="115" spans="1:40" ht="15" hidden="1" outlineLevel="1">
      <c r="A115" s="12"/>
      <c r="I115" s="223" t="s">
        <v>224</v>
      </c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5"/>
      <c r="W115" s="73"/>
      <c r="X115" s="89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5"/>
      <c r="AL115" s="73"/>
      <c r="AM115" s="14"/>
      <c r="AN115" s="9"/>
    </row>
    <row r="116" spans="1:40" ht="15" hidden="1" outlineLevel="1">
      <c r="A116" s="12"/>
      <c r="I116" s="223" t="s">
        <v>225</v>
      </c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5"/>
      <c r="W116" s="73"/>
      <c r="X116" s="89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5"/>
      <c r="AL116" s="73"/>
      <c r="AM116" s="14"/>
      <c r="AN116" s="9"/>
    </row>
    <row r="117" spans="1:40" ht="15" hidden="1" outlineLevel="1">
      <c r="A117" s="12"/>
      <c r="I117" s="223" t="s">
        <v>226</v>
      </c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5"/>
      <c r="W117" s="73"/>
      <c r="X117" s="89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5"/>
      <c r="AL117" s="73"/>
      <c r="AM117" s="14"/>
      <c r="AN117" s="9"/>
    </row>
    <row r="118" spans="1:40" ht="15" hidden="1" outlineLevel="1">
      <c r="A118" s="12"/>
      <c r="I118" s="223" t="s">
        <v>227</v>
      </c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5"/>
      <c r="W118" s="73"/>
      <c r="X118" s="89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234"/>
      <c r="AK118" s="235"/>
      <c r="AL118" s="73"/>
      <c r="AM118" s="14"/>
      <c r="AN118" s="9"/>
    </row>
    <row r="119" spans="1:40" ht="15" hidden="1" outlineLevel="1">
      <c r="A119" s="12"/>
      <c r="I119" s="223" t="s">
        <v>228</v>
      </c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5"/>
      <c r="W119" s="73"/>
      <c r="X119" s="89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5"/>
      <c r="AL119" s="73"/>
      <c r="AM119" s="14"/>
      <c r="AN119" s="9"/>
    </row>
    <row r="120" spans="1:40" ht="15" hidden="1" outlineLevel="1">
      <c r="A120" s="12"/>
      <c r="I120" s="223" t="s">
        <v>229</v>
      </c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5"/>
      <c r="W120" s="73"/>
      <c r="X120" s="89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5"/>
      <c r="AL120" s="73"/>
      <c r="AM120" s="14"/>
      <c r="AN120" s="9"/>
    </row>
    <row r="121" spans="1:40" ht="15" hidden="1" outlineLevel="1">
      <c r="A121" s="12"/>
      <c r="I121" s="223" t="s">
        <v>230</v>
      </c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5"/>
      <c r="W121" s="73"/>
      <c r="X121" s="89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5"/>
      <c r="AL121" s="73"/>
      <c r="AM121" s="14"/>
      <c r="AN121" s="9"/>
    </row>
    <row r="122" spans="1:40" ht="15" hidden="1" outlineLevel="1">
      <c r="A122" s="12"/>
      <c r="I122" s="223" t="s">
        <v>231</v>
      </c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5"/>
      <c r="W122" s="73"/>
      <c r="X122" s="89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5"/>
      <c r="AL122" s="73"/>
      <c r="AM122" s="14"/>
      <c r="AN122" s="9"/>
    </row>
    <row r="123" spans="1:40" ht="15" hidden="1" outlineLevel="1">
      <c r="A123" s="12"/>
      <c r="I123" s="223" t="s">
        <v>232</v>
      </c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5"/>
      <c r="W123" s="73"/>
      <c r="X123" s="89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5"/>
      <c r="AL123" s="73"/>
      <c r="AM123" s="14"/>
      <c r="AN123" s="9"/>
    </row>
    <row r="124" spans="1:40" ht="15" hidden="1" outlineLevel="1">
      <c r="A124" s="12"/>
      <c r="I124" s="223" t="s">
        <v>233</v>
      </c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5"/>
      <c r="W124" s="73"/>
      <c r="X124" s="89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5"/>
      <c r="AL124" s="73"/>
      <c r="AM124" s="14"/>
      <c r="AN124" s="9"/>
    </row>
    <row r="125" spans="1:40" ht="15" hidden="1" outlineLevel="1">
      <c r="A125" s="12"/>
      <c r="I125" s="223" t="s">
        <v>234</v>
      </c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5"/>
      <c r="W125" s="73"/>
      <c r="X125" s="89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5"/>
      <c r="AL125" s="73"/>
      <c r="AM125" s="14"/>
      <c r="AN125" s="9"/>
    </row>
    <row r="126" spans="1:40" ht="15" hidden="1" outlineLevel="1">
      <c r="A126" s="12"/>
      <c r="I126" s="223" t="s">
        <v>235</v>
      </c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5"/>
      <c r="W126" s="73"/>
      <c r="X126" s="89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234"/>
      <c r="AK126" s="235"/>
      <c r="AL126" s="73"/>
      <c r="AM126" s="14"/>
      <c r="AN126" s="9"/>
    </row>
    <row r="127" spans="1:40" ht="15" hidden="1" outlineLevel="1">
      <c r="A127" s="12"/>
      <c r="I127" s="223" t="s">
        <v>236</v>
      </c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5"/>
      <c r="W127" s="73"/>
      <c r="X127" s="89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234"/>
      <c r="AK127" s="235"/>
      <c r="AL127" s="73"/>
      <c r="AM127" s="14"/>
      <c r="AN127" s="9"/>
    </row>
    <row r="128" spans="1:40" ht="15" hidden="1" outlineLevel="1">
      <c r="A128" s="12"/>
      <c r="I128" s="223" t="s">
        <v>237</v>
      </c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5"/>
      <c r="W128" s="73"/>
      <c r="X128" s="89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234"/>
      <c r="AK128" s="235"/>
      <c r="AL128" s="73"/>
      <c r="AM128" s="14"/>
      <c r="AN128" s="9"/>
    </row>
    <row r="129" spans="1:40" ht="15" hidden="1" outlineLevel="1">
      <c r="A129" s="12"/>
      <c r="I129" s="223" t="s">
        <v>238</v>
      </c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5"/>
      <c r="W129" s="73"/>
      <c r="X129" s="89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234"/>
      <c r="AK129" s="235"/>
      <c r="AL129" s="73"/>
      <c r="AM129" s="14"/>
      <c r="AN129" s="9"/>
    </row>
    <row r="130" spans="1:40" ht="15" hidden="1" outlineLevel="1">
      <c r="A130" s="12"/>
      <c r="I130" s="223" t="s">
        <v>239</v>
      </c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5"/>
      <c r="W130" s="73"/>
      <c r="X130" s="89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234"/>
      <c r="AK130" s="235"/>
      <c r="AL130" s="73"/>
      <c r="AM130" s="14"/>
      <c r="AN130" s="9"/>
    </row>
    <row r="131" spans="1:40" ht="15" hidden="1" outlineLevel="1">
      <c r="A131" s="12"/>
      <c r="I131" s="223" t="s">
        <v>240</v>
      </c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5"/>
      <c r="W131" s="73"/>
      <c r="X131" s="89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234"/>
      <c r="AK131" s="235"/>
      <c r="AL131" s="73"/>
      <c r="AM131" s="14"/>
      <c r="AN131" s="9"/>
    </row>
    <row r="132" spans="1:40" ht="15" hidden="1" outlineLevel="1">
      <c r="A132" s="12"/>
      <c r="I132" s="223" t="s">
        <v>241</v>
      </c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5"/>
      <c r="W132" s="73"/>
      <c r="X132" s="89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234"/>
      <c r="AK132" s="235"/>
      <c r="AL132" s="73"/>
      <c r="AM132" s="14"/>
      <c r="AN132" s="9"/>
    </row>
    <row r="133" spans="1:40" ht="15" hidden="1" outlineLevel="1">
      <c r="A133" s="12"/>
      <c r="I133" s="223" t="s">
        <v>242</v>
      </c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5"/>
      <c r="W133" s="73"/>
      <c r="X133" s="89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234"/>
      <c r="AK133" s="235"/>
      <c r="AL133" s="73"/>
      <c r="AM133" s="14"/>
      <c r="AN133" s="9"/>
    </row>
    <row r="134" spans="1:40" ht="15" hidden="1" outlineLevel="1">
      <c r="A134" s="12"/>
      <c r="I134" s="223" t="s">
        <v>243</v>
      </c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5"/>
      <c r="W134" s="73"/>
      <c r="X134" s="89"/>
      <c r="Y134" s="234"/>
      <c r="Z134" s="234"/>
      <c r="AA134" s="234"/>
      <c r="AB134" s="234"/>
      <c r="AC134" s="234"/>
      <c r="AD134" s="234"/>
      <c r="AE134" s="234"/>
      <c r="AF134" s="234"/>
      <c r="AG134" s="234"/>
      <c r="AH134" s="234"/>
      <c r="AI134" s="234"/>
      <c r="AJ134" s="234"/>
      <c r="AK134" s="235"/>
      <c r="AL134" s="73"/>
      <c r="AM134" s="14"/>
      <c r="AN134" s="9"/>
    </row>
    <row r="135" spans="1:40" ht="15" hidden="1" outlineLevel="1">
      <c r="A135" s="12"/>
      <c r="I135" s="223" t="s">
        <v>244</v>
      </c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5"/>
      <c r="W135" s="73"/>
      <c r="X135" s="89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234"/>
      <c r="AK135" s="235"/>
      <c r="AL135" s="73"/>
      <c r="AM135" s="14"/>
      <c r="AN135" s="9"/>
    </row>
    <row r="136" spans="1:40" ht="15" hidden="1" outlineLevel="1">
      <c r="A136" s="12"/>
      <c r="I136" s="223" t="s">
        <v>245</v>
      </c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5"/>
      <c r="W136" s="73"/>
      <c r="X136" s="89"/>
      <c r="Y136" s="234"/>
      <c r="Z136" s="234"/>
      <c r="AA136" s="234"/>
      <c r="AB136" s="234"/>
      <c r="AC136" s="234"/>
      <c r="AD136" s="234"/>
      <c r="AE136" s="234"/>
      <c r="AF136" s="234"/>
      <c r="AG136" s="234"/>
      <c r="AH136" s="234"/>
      <c r="AI136" s="234"/>
      <c r="AJ136" s="234"/>
      <c r="AK136" s="235"/>
      <c r="AL136" s="73"/>
      <c r="AM136" s="14"/>
      <c r="AN136" s="9"/>
    </row>
    <row r="137" spans="1:40" ht="15" hidden="1" outlineLevel="1">
      <c r="A137" s="12"/>
      <c r="I137" s="223" t="s">
        <v>246</v>
      </c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5"/>
      <c r="W137" s="73"/>
      <c r="X137" s="89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234"/>
      <c r="AK137" s="235"/>
      <c r="AL137" s="73"/>
      <c r="AM137" s="14"/>
      <c r="AN137" s="9"/>
    </row>
    <row r="138" spans="1:40" ht="15" hidden="1" outlineLevel="1">
      <c r="A138" s="12"/>
      <c r="I138" s="223" t="s">
        <v>247</v>
      </c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5"/>
      <c r="W138" s="73"/>
      <c r="X138" s="89"/>
      <c r="Y138" s="234"/>
      <c r="Z138" s="234"/>
      <c r="AA138" s="234"/>
      <c r="AB138" s="234"/>
      <c r="AC138" s="234"/>
      <c r="AD138" s="234"/>
      <c r="AE138" s="234"/>
      <c r="AF138" s="234"/>
      <c r="AG138" s="234"/>
      <c r="AH138" s="234"/>
      <c r="AI138" s="234"/>
      <c r="AJ138" s="234"/>
      <c r="AK138" s="235"/>
      <c r="AL138" s="73"/>
      <c r="AM138" s="14"/>
      <c r="AN138" s="9"/>
    </row>
    <row r="139" spans="1:40" ht="15" hidden="1" outlineLevel="1">
      <c r="A139" s="12"/>
      <c r="I139" s="223" t="s">
        <v>248</v>
      </c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5"/>
      <c r="W139" s="73"/>
      <c r="X139" s="89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234"/>
      <c r="AK139" s="235"/>
      <c r="AL139" s="73"/>
      <c r="AM139" s="14"/>
      <c r="AN139" s="9"/>
    </row>
    <row r="140" spans="1:40" ht="15" hidden="1" outlineLevel="1">
      <c r="A140" s="12"/>
      <c r="I140" s="223" t="s">
        <v>249</v>
      </c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5"/>
      <c r="W140" s="73"/>
      <c r="X140" s="89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234"/>
      <c r="AK140" s="235"/>
      <c r="AL140" s="73"/>
      <c r="AM140" s="14"/>
      <c r="AN140" s="9"/>
    </row>
    <row r="141" spans="1:40" ht="15" hidden="1" outlineLevel="1">
      <c r="A141" s="12"/>
      <c r="I141" s="223" t="s">
        <v>250</v>
      </c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5"/>
      <c r="W141" s="73"/>
      <c r="X141" s="89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4"/>
      <c r="AK141" s="235"/>
      <c r="AL141" s="73"/>
      <c r="AM141" s="14"/>
      <c r="AN141" s="9"/>
    </row>
    <row r="142" spans="1:40" ht="15" hidden="1" outlineLevel="1">
      <c r="A142" s="12"/>
      <c r="I142" s="223" t="s">
        <v>251</v>
      </c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5"/>
      <c r="W142" s="73"/>
      <c r="X142" s="89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234"/>
      <c r="AK142" s="235"/>
      <c r="AL142" s="73"/>
      <c r="AM142" s="14"/>
      <c r="AN142" s="9"/>
    </row>
    <row r="143" spans="1:40" ht="15" hidden="1" outlineLevel="1">
      <c r="A143" s="12"/>
      <c r="I143" s="223" t="s">
        <v>252</v>
      </c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5"/>
      <c r="W143" s="73"/>
      <c r="X143" s="89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234"/>
      <c r="AK143" s="235"/>
      <c r="AL143" s="73"/>
      <c r="AM143" s="14"/>
      <c r="AN143" s="9"/>
    </row>
    <row r="144" spans="1:40" ht="15" hidden="1" outlineLevel="1">
      <c r="A144" s="12"/>
      <c r="I144" s="223" t="s">
        <v>253</v>
      </c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5"/>
      <c r="W144" s="73"/>
      <c r="X144" s="89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234"/>
      <c r="AK144" s="235"/>
      <c r="AL144" s="73"/>
      <c r="AM144" s="14"/>
      <c r="AN144" s="9"/>
    </row>
    <row r="145" spans="1:40" ht="15" hidden="1" outlineLevel="1">
      <c r="A145" s="12"/>
      <c r="I145" s="223" t="s">
        <v>254</v>
      </c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5"/>
      <c r="W145" s="73"/>
      <c r="X145" s="89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5"/>
      <c r="AL145" s="73"/>
      <c r="AM145" s="14"/>
      <c r="AN145" s="9"/>
    </row>
    <row r="146" spans="1:40" ht="15" hidden="1" outlineLevel="1">
      <c r="A146" s="12"/>
      <c r="I146" s="223" t="s">
        <v>255</v>
      </c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5"/>
      <c r="W146" s="73"/>
      <c r="X146" s="89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234"/>
      <c r="AK146" s="235"/>
      <c r="AL146" s="73"/>
      <c r="AM146" s="14"/>
      <c r="AN146" s="9"/>
    </row>
    <row r="147" spans="1:40" collapsed="1">
      <c r="A147" s="12" t="s">
        <v>256</v>
      </c>
      <c r="B147" s="8" t="s">
        <v>89</v>
      </c>
      <c r="I147" s="147" t="s">
        <v>257</v>
      </c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>
        <f>SUM(V148:V153)</f>
        <v>0</v>
      </c>
      <c r="W147" s="72" t="e">
        <f t="shared" si="9"/>
        <v>#DIV/0!</v>
      </c>
      <c r="X147" s="89"/>
      <c r="Y147" s="231">
        <f>SUM(Y148:Y153)</f>
        <v>0</v>
      </c>
      <c r="Z147" s="231">
        <f t="shared" ref="Z147:AJ147" si="20">SUM(Z148:Z153)</f>
        <v>0</v>
      </c>
      <c r="AA147" s="231">
        <f t="shared" si="20"/>
        <v>0</v>
      </c>
      <c r="AB147" s="231">
        <f t="shared" si="20"/>
        <v>0</v>
      </c>
      <c r="AC147" s="231">
        <f t="shared" si="20"/>
        <v>0</v>
      </c>
      <c r="AD147" s="231">
        <f t="shared" si="20"/>
        <v>0</v>
      </c>
      <c r="AE147" s="231">
        <f t="shared" si="20"/>
        <v>0</v>
      </c>
      <c r="AF147" s="231">
        <f t="shared" si="20"/>
        <v>0</v>
      </c>
      <c r="AG147" s="231">
        <f t="shared" si="20"/>
        <v>0</v>
      </c>
      <c r="AH147" s="231">
        <f t="shared" si="20"/>
        <v>0</v>
      </c>
      <c r="AI147" s="231">
        <f t="shared" si="20"/>
        <v>0</v>
      </c>
      <c r="AJ147" s="231">
        <f t="shared" si="20"/>
        <v>0</v>
      </c>
      <c r="AK147" s="231">
        <f>SUM(AK148:AK153)</f>
        <v>0</v>
      </c>
      <c r="AL147" s="72" t="e">
        <f t="shared" si="11"/>
        <v>#DIV/0!</v>
      </c>
      <c r="AM147" s="10">
        <f t="shared" si="17"/>
        <v>0</v>
      </c>
      <c r="AN147" s="9"/>
    </row>
    <row r="148" spans="1:40" hidden="1" outlineLevel="1">
      <c r="A148" s="12" t="s">
        <v>256</v>
      </c>
      <c r="B148" s="8" t="s">
        <v>89</v>
      </c>
      <c r="I148" t="s">
        <v>258</v>
      </c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35">
        <f>SUM(J148:U148)</f>
        <v>0</v>
      </c>
      <c r="W148" s="73" t="e">
        <f t="shared" si="9"/>
        <v>#DIV/0!</v>
      </c>
      <c r="X148" s="89"/>
      <c r="Y148" s="242">
        <v>0</v>
      </c>
      <c r="Z148" s="242">
        <v>0</v>
      </c>
      <c r="AA148" s="242">
        <v>0</v>
      </c>
      <c r="AB148" s="242">
        <v>0</v>
      </c>
      <c r="AC148" s="242">
        <v>0</v>
      </c>
      <c r="AD148" s="242">
        <v>0</v>
      </c>
      <c r="AE148" s="242">
        <v>0</v>
      </c>
      <c r="AF148" s="242">
        <v>0</v>
      </c>
      <c r="AG148" s="242">
        <v>0</v>
      </c>
      <c r="AH148" s="242">
        <v>0</v>
      </c>
      <c r="AI148" s="242">
        <v>0</v>
      </c>
      <c r="AJ148" s="242">
        <v>0</v>
      </c>
      <c r="AK148" s="235">
        <f>SUM(Y148:AJ148)</f>
        <v>0</v>
      </c>
      <c r="AL148" s="73" t="e">
        <f t="shared" si="11"/>
        <v>#DIV/0!</v>
      </c>
      <c r="AM148" s="14">
        <f t="shared" si="17"/>
        <v>0</v>
      </c>
      <c r="AN148" s="9"/>
    </row>
    <row r="149" spans="1:40" hidden="1" outlineLevel="1">
      <c r="A149" s="12" t="s">
        <v>256</v>
      </c>
      <c r="B149" s="8" t="s">
        <v>89</v>
      </c>
      <c r="I149" s="136" t="s">
        <v>259</v>
      </c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35">
        <f t="shared" ref="V149:V153" si="21">SUM(J149:U149)</f>
        <v>0</v>
      </c>
      <c r="W149" s="73" t="e">
        <f t="shared" si="9"/>
        <v>#DIV/0!</v>
      </c>
      <c r="X149" s="89"/>
      <c r="Y149" s="242">
        <v>0</v>
      </c>
      <c r="Z149" s="242">
        <v>0</v>
      </c>
      <c r="AA149" s="242">
        <v>0</v>
      </c>
      <c r="AB149" s="242">
        <v>0</v>
      </c>
      <c r="AC149" s="242">
        <v>0</v>
      </c>
      <c r="AD149" s="242">
        <v>0</v>
      </c>
      <c r="AE149" s="242">
        <v>0</v>
      </c>
      <c r="AF149" s="242">
        <v>0</v>
      </c>
      <c r="AG149" s="242">
        <v>0</v>
      </c>
      <c r="AH149" s="242">
        <v>0</v>
      </c>
      <c r="AI149" s="242">
        <v>0</v>
      </c>
      <c r="AJ149" s="242">
        <v>0</v>
      </c>
      <c r="AK149" s="235">
        <f t="shared" ref="AK149:AK153" si="22">SUM(Y149:AJ149)</f>
        <v>0</v>
      </c>
      <c r="AL149" s="73" t="e">
        <f t="shared" si="11"/>
        <v>#DIV/0!</v>
      </c>
      <c r="AM149" s="14">
        <f t="shared" si="17"/>
        <v>0</v>
      </c>
      <c r="AN149" s="9"/>
    </row>
    <row r="150" spans="1:40" hidden="1" outlineLevel="1">
      <c r="A150" s="12" t="s">
        <v>256</v>
      </c>
      <c r="B150" s="8" t="s">
        <v>89</v>
      </c>
      <c r="I150" s="136" t="s">
        <v>260</v>
      </c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35">
        <f t="shared" si="21"/>
        <v>0</v>
      </c>
      <c r="W150" s="73" t="e">
        <f t="shared" si="9"/>
        <v>#DIV/0!</v>
      </c>
      <c r="X150" s="89"/>
      <c r="Y150" s="242">
        <v>0</v>
      </c>
      <c r="Z150" s="242">
        <v>0</v>
      </c>
      <c r="AA150" s="242">
        <v>0</v>
      </c>
      <c r="AB150" s="242">
        <v>0</v>
      </c>
      <c r="AC150" s="242">
        <v>0</v>
      </c>
      <c r="AD150" s="242">
        <v>0</v>
      </c>
      <c r="AE150" s="242">
        <v>0</v>
      </c>
      <c r="AF150" s="242">
        <v>0</v>
      </c>
      <c r="AG150" s="242">
        <v>0</v>
      </c>
      <c r="AH150" s="242">
        <v>0</v>
      </c>
      <c r="AI150" s="242">
        <v>0</v>
      </c>
      <c r="AJ150" s="242">
        <v>0</v>
      </c>
      <c r="AK150" s="235">
        <f t="shared" si="22"/>
        <v>0</v>
      </c>
      <c r="AL150" s="73" t="e">
        <f t="shared" si="11"/>
        <v>#DIV/0!</v>
      </c>
      <c r="AM150" s="14">
        <f t="shared" si="17"/>
        <v>0</v>
      </c>
      <c r="AN150" s="9"/>
    </row>
    <row r="151" spans="1:40" hidden="1" outlineLevel="1">
      <c r="A151" s="12" t="s">
        <v>256</v>
      </c>
      <c r="B151" s="8" t="s">
        <v>89</v>
      </c>
      <c r="I151" s="136" t="s">
        <v>261</v>
      </c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35">
        <f t="shared" si="21"/>
        <v>0</v>
      </c>
      <c r="W151" s="73" t="e">
        <f t="shared" si="9"/>
        <v>#DIV/0!</v>
      </c>
      <c r="X151" s="89"/>
      <c r="Y151" s="242">
        <v>0</v>
      </c>
      <c r="Z151" s="242">
        <v>0</v>
      </c>
      <c r="AA151" s="242">
        <v>0</v>
      </c>
      <c r="AB151" s="242">
        <v>0</v>
      </c>
      <c r="AC151" s="242">
        <v>0</v>
      </c>
      <c r="AD151" s="242">
        <v>0</v>
      </c>
      <c r="AE151" s="242">
        <v>0</v>
      </c>
      <c r="AF151" s="242">
        <v>0</v>
      </c>
      <c r="AG151" s="242">
        <v>0</v>
      </c>
      <c r="AH151" s="242">
        <v>0</v>
      </c>
      <c r="AI151" s="242">
        <v>0</v>
      </c>
      <c r="AJ151" s="242">
        <v>0</v>
      </c>
      <c r="AK151" s="235">
        <f t="shared" si="22"/>
        <v>0</v>
      </c>
      <c r="AL151" s="73" t="e">
        <f t="shared" si="11"/>
        <v>#DIV/0!</v>
      </c>
      <c r="AM151" s="14">
        <f t="shared" si="17"/>
        <v>0</v>
      </c>
      <c r="AN151" s="9"/>
    </row>
    <row r="152" spans="1:40" hidden="1" outlineLevel="1">
      <c r="A152" s="12" t="s">
        <v>256</v>
      </c>
      <c r="B152" s="8" t="s">
        <v>89</v>
      </c>
      <c r="C152" s="19" t="s">
        <v>262</v>
      </c>
      <c r="D152" s="12"/>
      <c r="E152" s="20"/>
      <c r="F152" s="12"/>
      <c r="G152" s="12"/>
      <c r="H152" s="12"/>
      <c r="I152" s="136" t="s">
        <v>263</v>
      </c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35">
        <f t="shared" si="21"/>
        <v>0</v>
      </c>
      <c r="W152" s="73" t="e">
        <f t="shared" si="9"/>
        <v>#DIV/0!</v>
      </c>
      <c r="X152" s="89"/>
      <c r="Y152" s="242">
        <v>0</v>
      </c>
      <c r="Z152" s="242">
        <v>0</v>
      </c>
      <c r="AA152" s="242">
        <v>0</v>
      </c>
      <c r="AB152" s="242">
        <v>0</v>
      </c>
      <c r="AC152" s="242">
        <v>0</v>
      </c>
      <c r="AD152" s="242">
        <v>0</v>
      </c>
      <c r="AE152" s="242">
        <v>0</v>
      </c>
      <c r="AF152" s="242">
        <v>0</v>
      </c>
      <c r="AG152" s="242">
        <v>0</v>
      </c>
      <c r="AH152" s="242">
        <v>0</v>
      </c>
      <c r="AI152" s="242">
        <v>0</v>
      </c>
      <c r="AJ152" s="242">
        <v>0</v>
      </c>
      <c r="AK152" s="235">
        <f t="shared" si="22"/>
        <v>0</v>
      </c>
      <c r="AL152" s="73" t="e">
        <f t="shared" si="11"/>
        <v>#DIV/0!</v>
      </c>
      <c r="AM152" s="14">
        <f t="shared" si="17"/>
        <v>0</v>
      </c>
      <c r="AN152" s="9"/>
    </row>
    <row r="153" spans="1:40" hidden="1" outlineLevel="1">
      <c r="A153" s="12" t="s">
        <v>256</v>
      </c>
      <c r="B153" s="8" t="s">
        <v>89</v>
      </c>
      <c r="I153" t="s">
        <v>264</v>
      </c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35">
        <f t="shared" si="21"/>
        <v>0</v>
      </c>
      <c r="W153" s="73" t="e">
        <f t="shared" si="9"/>
        <v>#DIV/0!</v>
      </c>
      <c r="X153" s="89"/>
      <c r="Y153" s="242">
        <v>0</v>
      </c>
      <c r="Z153" s="242">
        <v>0</v>
      </c>
      <c r="AA153" s="242">
        <v>0</v>
      </c>
      <c r="AB153" s="242">
        <v>0</v>
      </c>
      <c r="AC153" s="242">
        <v>0</v>
      </c>
      <c r="AD153" s="242">
        <v>0</v>
      </c>
      <c r="AE153" s="242">
        <v>0</v>
      </c>
      <c r="AF153" s="242">
        <v>0</v>
      </c>
      <c r="AG153" s="242">
        <v>0</v>
      </c>
      <c r="AH153" s="242">
        <v>0</v>
      </c>
      <c r="AI153" s="242">
        <v>0</v>
      </c>
      <c r="AJ153" s="242">
        <v>0</v>
      </c>
      <c r="AK153" s="235">
        <f t="shared" si="22"/>
        <v>0</v>
      </c>
      <c r="AL153" s="73" t="e">
        <f t="shared" si="11"/>
        <v>#DIV/0!</v>
      </c>
      <c r="AM153" s="14">
        <f t="shared" si="17"/>
        <v>0</v>
      </c>
      <c r="AN153" s="9"/>
    </row>
    <row r="154" spans="1:40">
      <c r="I154" s="28" t="s">
        <v>265</v>
      </c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>
        <f>V50+V90+V106+V111+V147</f>
        <v>0</v>
      </c>
      <c r="W154" s="76" t="e">
        <f t="shared" si="9"/>
        <v>#DIV/0!</v>
      </c>
      <c r="X154" s="89"/>
      <c r="Y154" s="243">
        <f t="shared" ref="Y154:AK154" si="23">Y50+Y90+Y106+Y111+Y147</f>
        <v>0</v>
      </c>
      <c r="Z154" s="243">
        <f t="shared" si="23"/>
        <v>0</v>
      </c>
      <c r="AA154" s="243">
        <f t="shared" si="23"/>
        <v>0</v>
      </c>
      <c r="AB154" s="243">
        <f t="shared" si="23"/>
        <v>0</v>
      </c>
      <c r="AC154" s="243">
        <f t="shared" si="23"/>
        <v>0</v>
      </c>
      <c r="AD154" s="243">
        <f t="shared" si="23"/>
        <v>0</v>
      </c>
      <c r="AE154" s="243">
        <f t="shared" si="23"/>
        <v>0</v>
      </c>
      <c r="AF154" s="243">
        <f t="shared" si="23"/>
        <v>0</v>
      </c>
      <c r="AG154" s="243">
        <f t="shared" si="23"/>
        <v>0</v>
      </c>
      <c r="AH154" s="243">
        <f t="shared" si="23"/>
        <v>0</v>
      </c>
      <c r="AI154" s="243">
        <f t="shared" si="23"/>
        <v>0</v>
      </c>
      <c r="AJ154" s="243">
        <f t="shared" si="23"/>
        <v>0</v>
      </c>
      <c r="AK154" s="243">
        <f t="shared" si="23"/>
        <v>0</v>
      </c>
      <c r="AL154" s="76" t="e">
        <f t="shared" si="11"/>
        <v>#DIV/0!</v>
      </c>
      <c r="AM154" s="10">
        <f t="shared" si="17"/>
        <v>0</v>
      </c>
      <c r="AN154" s="9"/>
    </row>
    <row r="155" spans="1:40">
      <c r="I155" s="26" t="s">
        <v>266</v>
      </c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>
        <f>IFERROR(V153/V38,0)</f>
        <v>0</v>
      </c>
      <c r="W155" s="73" t="e">
        <f t="shared" si="9"/>
        <v>#DIV/0!</v>
      </c>
      <c r="X155" s="89"/>
      <c r="Y155" s="241">
        <f>IFERROR(Y153/Y38,0)</f>
        <v>0</v>
      </c>
      <c r="Z155" s="241">
        <f>IFERROR(Z153/Z38,0)</f>
        <v>0</v>
      </c>
      <c r="AA155" s="241">
        <f>IFERROR(AA153/AA38,0)</f>
        <v>0</v>
      </c>
      <c r="AB155" s="241">
        <f>IFERROR(AB153/AB38,0)</f>
        <v>0</v>
      </c>
      <c r="AC155" s="241">
        <f>IFERROR(AC153/AC38,0)</f>
        <v>0</v>
      </c>
      <c r="AD155" s="241">
        <f>IFERROR(AD153/AD38,0)</f>
        <v>0</v>
      </c>
      <c r="AE155" s="241">
        <f>IFERROR(AE153/AE38,0)</f>
        <v>0</v>
      </c>
      <c r="AF155" s="241">
        <f>IFERROR(AF153/AF38,0)</f>
        <v>0</v>
      </c>
      <c r="AG155" s="241">
        <f>IFERROR(AG153/AG38,0)</f>
        <v>0</v>
      </c>
      <c r="AH155" s="241">
        <f>IFERROR(AH153/AH38,0)</f>
        <v>0</v>
      </c>
      <c r="AI155" s="241">
        <f>IFERROR(AI153/AI38,0)</f>
        <v>0</v>
      </c>
      <c r="AJ155" s="241">
        <f>IFERROR(AJ153/AJ38,0)</f>
        <v>0</v>
      </c>
      <c r="AK155" s="241">
        <f>IFERROR(AK153/AK38,0)</f>
        <v>0</v>
      </c>
      <c r="AL155" s="73" t="e">
        <f t="shared" si="11"/>
        <v>#DIV/0!</v>
      </c>
      <c r="AM155" s="16">
        <f t="shared" si="17"/>
        <v>0</v>
      </c>
      <c r="AN155" s="9"/>
    </row>
    <row r="156" spans="1:40">
      <c r="I156" s="26" t="s">
        <v>267</v>
      </c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>
        <f>IFERROR(V154/V39,0)</f>
        <v>0</v>
      </c>
      <c r="W156" s="73" t="e">
        <f t="shared" si="9"/>
        <v>#DIV/0!</v>
      </c>
      <c r="X156" s="89"/>
      <c r="Y156" s="241">
        <f>IFERROR(Y154/Y39,0)</f>
        <v>0</v>
      </c>
      <c r="Z156" s="241">
        <f>IFERROR(Z154/Z39,0)</f>
        <v>0</v>
      </c>
      <c r="AA156" s="241">
        <f>IFERROR(AA154/AA39,0)</f>
        <v>0</v>
      </c>
      <c r="AB156" s="241">
        <f>IFERROR(AB154/AB39,0)</f>
        <v>0</v>
      </c>
      <c r="AC156" s="241">
        <f>IFERROR(AC154/AC39,0)</f>
        <v>0</v>
      </c>
      <c r="AD156" s="241">
        <f>IFERROR(AD154/AD39,0)</f>
        <v>0</v>
      </c>
      <c r="AE156" s="241">
        <f>IFERROR(AE154/AE39,0)</f>
        <v>0</v>
      </c>
      <c r="AF156" s="241">
        <f>IFERROR(AF154/AF39,0)</f>
        <v>0</v>
      </c>
      <c r="AG156" s="241">
        <f>IFERROR(AG154/AG39,0)</f>
        <v>0</v>
      </c>
      <c r="AH156" s="241">
        <f>IFERROR(AH154/AH39,0)</f>
        <v>0</v>
      </c>
      <c r="AI156" s="241">
        <f>IFERROR(AI154/AI39,0)</f>
        <v>0</v>
      </c>
      <c r="AJ156" s="241">
        <f>IFERROR(AJ154/AJ39,0)</f>
        <v>0</v>
      </c>
      <c r="AK156" s="241">
        <f>IFERROR(AK154/AK39,0)</f>
        <v>0</v>
      </c>
      <c r="AL156" s="73" t="e">
        <f t="shared" si="11"/>
        <v>#DIV/0!</v>
      </c>
      <c r="AM156" s="16">
        <f t="shared" si="17"/>
        <v>0</v>
      </c>
      <c r="AN156" s="9"/>
    </row>
    <row r="157" spans="1:40" ht="15.6">
      <c r="I157" s="25" t="s">
        <v>268</v>
      </c>
      <c r="J157" s="244"/>
      <c r="K157" s="244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>
        <f>V33-V154</f>
        <v>0</v>
      </c>
      <c r="W157" s="77" t="e">
        <f t="shared" si="9"/>
        <v>#DIV/0!</v>
      </c>
      <c r="X157" s="89"/>
      <c r="Y157" s="244">
        <f>Y33-Y154</f>
        <v>0</v>
      </c>
      <c r="Z157" s="244">
        <f>Z33-Z154</f>
        <v>0</v>
      </c>
      <c r="AA157" s="244">
        <f>AA33-AA154</f>
        <v>0</v>
      </c>
      <c r="AB157" s="244">
        <f>AB33-AB154</f>
        <v>0</v>
      </c>
      <c r="AC157" s="244">
        <f>AC33-AC154</f>
        <v>0</v>
      </c>
      <c r="AD157" s="244">
        <f>AD33-AD154</f>
        <v>0</v>
      </c>
      <c r="AE157" s="244">
        <f>AE33-AE154</f>
        <v>0</v>
      </c>
      <c r="AF157" s="244">
        <f>AF33-AF154</f>
        <v>0</v>
      </c>
      <c r="AG157" s="244">
        <f>AG33-AG154</f>
        <v>0</v>
      </c>
      <c r="AH157" s="244">
        <f>AH33-AH154</f>
        <v>0</v>
      </c>
      <c r="AI157" s="244">
        <f>AI33-AI154</f>
        <v>0</v>
      </c>
      <c r="AJ157" s="244">
        <f>AJ33-AJ154</f>
        <v>0</v>
      </c>
      <c r="AK157" s="244">
        <f>AK33-AK154</f>
        <v>0</v>
      </c>
      <c r="AL157" s="77" t="e">
        <f t="shared" si="11"/>
        <v>#DIV/0!</v>
      </c>
      <c r="AM157" s="23">
        <f t="shared" si="17"/>
        <v>0</v>
      </c>
      <c r="AN157" s="9"/>
    </row>
    <row r="158" spans="1:40">
      <c r="J158" s="135"/>
      <c r="W158" s="75"/>
      <c r="X158" s="89"/>
      <c r="Y158" s="135"/>
      <c r="AL158" s="75"/>
      <c r="AM158" s="13"/>
      <c r="AN158" s="9"/>
    </row>
    <row r="159" spans="1:40">
      <c r="E159" s="7" t="s">
        <v>108</v>
      </c>
      <c r="I159" s="138" t="s">
        <v>269</v>
      </c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75"/>
      <c r="X159" s="89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75"/>
      <c r="AM159" s="13"/>
      <c r="AN159" s="9"/>
    </row>
    <row r="160" spans="1:40" ht="5.25" customHeight="1">
      <c r="A160" s="21"/>
      <c r="B160" s="21"/>
      <c r="C160" s="21"/>
      <c r="D160" s="21"/>
      <c r="E160" s="22"/>
      <c r="F160" s="21"/>
      <c r="G160" s="21"/>
      <c r="H160" s="21"/>
      <c r="I160" s="138"/>
      <c r="W160" s="75"/>
      <c r="X160" s="89"/>
      <c r="AL160" s="75"/>
      <c r="AM160" s="13"/>
      <c r="AN160" s="9"/>
    </row>
    <row r="161" spans="1:40">
      <c r="A161" s="12" t="s">
        <v>154</v>
      </c>
      <c r="B161" s="8" t="s">
        <v>270</v>
      </c>
      <c r="I161" s="119" t="s">
        <v>155</v>
      </c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>
        <f>SUM(V162:V203)</f>
        <v>0</v>
      </c>
      <c r="W161" s="72" t="e">
        <f t="shared" ref="W161:W234" si="24">V161/V$6</f>
        <v>#DIV/0!</v>
      </c>
      <c r="X161" s="89"/>
      <c r="Y161" s="231">
        <f>SUM(Y162:Y210)</f>
        <v>0</v>
      </c>
      <c r="Z161" s="231">
        <f t="shared" ref="Z161:AK161" si="25">SUM(Z162:Z210)</f>
        <v>0</v>
      </c>
      <c r="AA161" s="231">
        <f t="shared" si="25"/>
        <v>0</v>
      </c>
      <c r="AB161" s="231">
        <f t="shared" si="25"/>
        <v>0</v>
      </c>
      <c r="AC161" s="231">
        <f t="shared" si="25"/>
        <v>0</v>
      </c>
      <c r="AD161" s="231">
        <f t="shared" si="25"/>
        <v>0</v>
      </c>
      <c r="AE161" s="231">
        <f t="shared" si="25"/>
        <v>0</v>
      </c>
      <c r="AF161" s="231">
        <f t="shared" si="25"/>
        <v>0</v>
      </c>
      <c r="AG161" s="231">
        <f t="shared" si="25"/>
        <v>0</v>
      </c>
      <c r="AH161" s="231">
        <f t="shared" si="25"/>
        <v>0</v>
      </c>
      <c r="AI161" s="231">
        <f t="shared" si="25"/>
        <v>0</v>
      </c>
      <c r="AJ161" s="231">
        <f t="shared" si="25"/>
        <v>0</v>
      </c>
      <c r="AK161" s="231">
        <f t="shared" si="25"/>
        <v>0</v>
      </c>
      <c r="AL161" s="72" t="e">
        <f t="shared" ref="AL161:AL234" si="26">AK161/AK$6</f>
        <v>#DIV/0!</v>
      </c>
      <c r="AM161" s="10">
        <f t="shared" si="17"/>
        <v>0</v>
      </c>
      <c r="AN161" s="9"/>
    </row>
    <row r="162" spans="1:40" outlineLevel="1">
      <c r="A162" s="12" t="s">
        <v>154</v>
      </c>
      <c r="B162" s="8" t="s">
        <v>270</v>
      </c>
      <c r="C162" s="8" t="s">
        <v>160</v>
      </c>
      <c r="I162" s="136" t="s">
        <v>162</v>
      </c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5">
        <f>SUM(J162:U162)</f>
        <v>0</v>
      </c>
      <c r="W162" s="73" t="e">
        <f t="shared" si="24"/>
        <v>#DIV/0!</v>
      </c>
      <c r="X162" s="89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234"/>
      <c r="AK162" s="235">
        <f>SUM(Y162:AJ162)</f>
        <v>0</v>
      </c>
      <c r="AL162" s="73" t="e">
        <f t="shared" si="26"/>
        <v>#DIV/0!</v>
      </c>
      <c r="AM162" s="14">
        <f t="shared" si="17"/>
        <v>0</v>
      </c>
      <c r="AN162" s="9"/>
    </row>
    <row r="163" spans="1:40" outlineLevel="1">
      <c r="A163" s="12" t="s">
        <v>154</v>
      </c>
      <c r="B163" s="8" t="s">
        <v>270</v>
      </c>
      <c r="I163" s="136" t="s">
        <v>158</v>
      </c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5">
        <f t="shared" ref="V163:V210" si="27">SUM(J163:U163)</f>
        <v>0</v>
      </c>
      <c r="W163" s="73" t="e">
        <f t="shared" si="24"/>
        <v>#DIV/0!</v>
      </c>
      <c r="X163" s="89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234"/>
      <c r="AK163" s="235">
        <f t="shared" ref="AK163:AK210" si="28">SUM(Y163:AJ163)</f>
        <v>0</v>
      </c>
      <c r="AL163" s="73" t="e">
        <f t="shared" si="26"/>
        <v>#DIV/0!</v>
      </c>
      <c r="AM163" s="14">
        <f t="shared" si="17"/>
        <v>0</v>
      </c>
      <c r="AN163" s="9"/>
    </row>
    <row r="164" spans="1:40" outlineLevel="1">
      <c r="A164" s="12" t="s">
        <v>154</v>
      </c>
      <c r="B164" s="8" t="s">
        <v>270</v>
      </c>
      <c r="I164" s="136" t="s">
        <v>271</v>
      </c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5">
        <f t="shared" si="27"/>
        <v>0</v>
      </c>
      <c r="W164" s="73" t="e">
        <f t="shared" si="24"/>
        <v>#DIV/0!</v>
      </c>
      <c r="X164" s="89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4"/>
      <c r="AI164" s="234"/>
      <c r="AJ164" s="234"/>
      <c r="AK164" s="235">
        <f t="shared" si="28"/>
        <v>0</v>
      </c>
      <c r="AL164" s="73" t="e">
        <f t="shared" si="26"/>
        <v>#DIV/0!</v>
      </c>
      <c r="AM164" s="14">
        <f t="shared" si="17"/>
        <v>0</v>
      </c>
      <c r="AN164" s="9"/>
    </row>
    <row r="165" spans="1:40" outlineLevel="1">
      <c r="A165" s="12"/>
      <c r="I165" s="136" t="s">
        <v>183</v>
      </c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5">
        <f>SUM(J165:U165)</f>
        <v>0</v>
      </c>
      <c r="W165" s="73" t="e">
        <f>V165/V$6</f>
        <v>#DIV/0!</v>
      </c>
      <c r="X165" s="89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234"/>
      <c r="AK165" s="235">
        <f t="shared" si="28"/>
        <v>0</v>
      </c>
      <c r="AL165" s="73" t="e">
        <f>AK165/AK$6</f>
        <v>#DIV/0!</v>
      </c>
      <c r="AM165" s="14">
        <f>IFERROR(AK165/V165-1,0)</f>
        <v>0</v>
      </c>
      <c r="AN165" s="9"/>
    </row>
    <row r="166" spans="1:40" outlineLevel="1">
      <c r="A166" s="12"/>
      <c r="I166" s="136" t="s">
        <v>194</v>
      </c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5">
        <f>SUM(J166:U166)</f>
        <v>0</v>
      </c>
      <c r="W166" s="73" t="e">
        <f>V166/V$6</f>
        <v>#DIV/0!</v>
      </c>
      <c r="X166" s="89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4"/>
      <c r="AI166" s="234"/>
      <c r="AJ166" s="234"/>
      <c r="AK166" s="235">
        <f t="shared" si="28"/>
        <v>0</v>
      </c>
      <c r="AL166" s="73" t="e">
        <f>AK166/AK$6</f>
        <v>#DIV/0!</v>
      </c>
      <c r="AM166" s="14">
        <f>IFERROR(AK166/V166-1,0)</f>
        <v>0</v>
      </c>
      <c r="AN166" s="9"/>
    </row>
    <row r="167" spans="1:40" outlineLevel="1">
      <c r="A167" s="12"/>
      <c r="I167" s="136" t="s">
        <v>272</v>
      </c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5">
        <f>SUM(J167:U167)</f>
        <v>0</v>
      </c>
      <c r="W167" s="73" t="e">
        <f>V167/V$6</f>
        <v>#DIV/0!</v>
      </c>
      <c r="X167" s="89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234"/>
      <c r="AK167" s="235">
        <f t="shared" si="28"/>
        <v>0</v>
      </c>
      <c r="AL167" s="73" t="e">
        <f>AK167/AK$6</f>
        <v>#DIV/0!</v>
      </c>
      <c r="AM167" s="14">
        <f>IFERROR(AK167/V167-1,0)</f>
        <v>0</v>
      </c>
      <c r="AN167" s="9"/>
    </row>
    <row r="168" spans="1:40" outlineLevel="1">
      <c r="A168" s="12" t="s">
        <v>154</v>
      </c>
      <c r="B168" s="8" t="s">
        <v>270</v>
      </c>
      <c r="I168" s="136" t="s">
        <v>273</v>
      </c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5">
        <f t="shared" si="27"/>
        <v>0</v>
      </c>
      <c r="W168" s="73" t="e">
        <f t="shared" si="24"/>
        <v>#DIV/0!</v>
      </c>
      <c r="X168" s="89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234"/>
      <c r="AK168" s="235">
        <f t="shared" si="28"/>
        <v>0</v>
      </c>
      <c r="AL168" s="73" t="e">
        <f t="shared" si="26"/>
        <v>#DIV/0!</v>
      </c>
      <c r="AM168" s="14">
        <f t="shared" si="17"/>
        <v>0</v>
      </c>
      <c r="AN168" s="9"/>
    </row>
    <row r="169" spans="1:40" outlineLevel="1">
      <c r="A169" s="12" t="s">
        <v>154</v>
      </c>
      <c r="B169" s="8" t="s">
        <v>270</v>
      </c>
      <c r="I169" s="136" t="s">
        <v>165</v>
      </c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5">
        <f t="shared" si="27"/>
        <v>0</v>
      </c>
      <c r="W169" s="73" t="e">
        <f t="shared" si="24"/>
        <v>#DIV/0!</v>
      </c>
      <c r="X169" s="89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J169" s="234"/>
      <c r="AK169" s="235">
        <f t="shared" si="28"/>
        <v>0</v>
      </c>
      <c r="AL169" s="73" t="e">
        <f t="shared" si="26"/>
        <v>#DIV/0!</v>
      </c>
      <c r="AM169" s="14">
        <f t="shared" si="17"/>
        <v>0</v>
      </c>
      <c r="AN169" s="9"/>
    </row>
    <row r="170" spans="1:40" outlineLevel="1">
      <c r="A170" s="12" t="s">
        <v>154</v>
      </c>
      <c r="B170" s="8" t="s">
        <v>270</v>
      </c>
      <c r="I170" s="136" t="s">
        <v>178</v>
      </c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5">
        <f t="shared" si="27"/>
        <v>0</v>
      </c>
      <c r="W170" s="73" t="e">
        <f t="shared" si="24"/>
        <v>#DIV/0!</v>
      </c>
      <c r="X170" s="89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4"/>
      <c r="AI170" s="234"/>
      <c r="AJ170" s="234"/>
      <c r="AK170" s="235">
        <f t="shared" si="28"/>
        <v>0</v>
      </c>
      <c r="AL170" s="73" t="e">
        <f t="shared" si="26"/>
        <v>#DIV/0!</v>
      </c>
      <c r="AM170" s="14">
        <f t="shared" si="17"/>
        <v>0</v>
      </c>
      <c r="AN170" s="9"/>
    </row>
    <row r="171" spans="1:40" outlineLevel="1">
      <c r="A171" s="12" t="s">
        <v>154</v>
      </c>
      <c r="B171" s="8" t="s">
        <v>270</v>
      </c>
      <c r="I171" s="136" t="s">
        <v>274</v>
      </c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5">
        <f t="shared" si="27"/>
        <v>0</v>
      </c>
      <c r="W171" s="73" t="e">
        <f t="shared" si="24"/>
        <v>#DIV/0!</v>
      </c>
      <c r="X171" s="89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J171" s="234"/>
      <c r="AK171" s="235">
        <f t="shared" si="28"/>
        <v>0</v>
      </c>
      <c r="AL171" s="73" t="e">
        <f t="shared" si="26"/>
        <v>#DIV/0!</v>
      </c>
      <c r="AM171" s="14">
        <f t="shared" si="17"/>
        <v>0</v>
      </c>
      <c r="AN171" s="9"/>
    </row>
    <row r="172" spans="1:40" outlineLevel="1">
      <c r="A172" s="12" t="s">
        <v>154</v>
      </c>
      <c r="B172" s="8" t="s">
        <v>270</v>
      </c>
      <c r="I172" s="136" t="s">
        <v>185</v>
      </c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5">
        <f t="shared" si="27"/>
        <v>0</v>
      </c>
      <c r="W172" s="73" t="e">
        <f t="shared" si="24"/>
        <v>#DIV/0!</v>
      </c>
      <c r="X172" s="89"/>
      <c r="Y172" s="234"/>
      <c r="Z172" s="234"/>
      <c r="AA172" s="234"/>
      <c r="AB172" s="234"/>
      <c r="AC172" s="234"/>
      <c r="AD172" s="234"/>
      <c r="AE172" s="234"/>
      <c r="AF172" s="234"/>
      <c r="AG172" s="234"/>
      <c r="AH172" s="234"/>
      <c r="AI172" s="234"/>
      <c r="AJ172" s="234"/>
      <c r="AK172" s="235">
        <f t="shared" si="28"/>
        <v>0</v>
      </c>
      <c r="AL172" s="73" t="e">
        <f t="shared" si="26"/>
        <v>#DIV/0!</v>
      </c>
      <c r="AM172" s="14">
        <f t="shared" si="17"/>
        <v>0</v>
      </c>
      <c r="AN172" s="9"/>
    </row>
    <row r="173" spans="1:40" outlineLevel="1">
      <c r="A173" s="12" t="s">
        <v>154</v>
      </c>
      <c r="B173" s="8" t="s">
        <v>270</v>
      </c>
      <c r="I173" s="136" t="s">
        <v>164</v>
      </c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5">
        <f t="shared" si="27"/>
        <v>0</v>
      </c>
      <c r="W173" s="73" t="e">
        <f t="shared" si="24"/>
        <v>#DIV/0!</v>
      </c>
      <c r="X173" s="89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J173" s="234"/>
      <c r="AK173" s="235">
        <f t="shared" si="28"/>
        <v>0</v>
      </c>
      <c r="AL173" s="73" t="e">
        <f t="shared" si="26"/>
        <v>#DIV/0!</v>
      </c>
      <c r="AM173" s="14">
        <f t="shared" si="17"/>
        <v>0</v>
      </c>
      <c r="AN173" s="9"/>
    </row>
    <row r="174" spans="1:40" outlineLevel="1">
      <c r="A174" s="12" t="s">
        <v>154</v>
      </c>
      <c r="B174" s="8" t="s">
        <v>270</v>
      </c>
      <c r="I174" s="136" t="s">
        <v>275</v>
      </c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5">
        <f t="shared" si="27"/>
        <v>0</v>
      </c>
      <c r="W174" s="73" t="e">
        <f t="shared" si="24"/>
        <v>#DIV/0!</v>
      </c>
      <c r="X174" s="89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J174" s="234"/>
      <c r="AK174" s="235">
        <f t="shared" si="28"/>
        <v>0</v>
      </c>
      <c r="AL174" s="73" t="e">
        <f t="shared" si="26"/>
        <v>#DIV/0!</v>
      </c>
      <c r="AM174" s="14">
        <f t="shared" si="17"/>
        <v>0</v>
      </c>
      <c r="AN174" s="9"/>
    </row>
    <row r="175" spans="1:40" outlineLevel="1">
      <c r="A175" s="12" t="s">
        <v>154</v>
      </c>
      <c r="B175" s="8" t="s">
        <v>270</v>
      </c>
      <c r="I175" s="136" t="s">
        <v>276</v>
      </c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5">
        <f t="shared" si="27"/>
        <v>0</v>
      </c>
      <c r="W175" s="73" t="e">
        <f t="shared" si="24"/>
        <v>#DIV/0!</v>
      </c>
      <c r="X175" s="89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234"/>
      <c r="AK175" s="235">
        <f t="shared" si="28"/>
        <v>0</v>
      </c>
      <c r="AL175" s="73" t="e">
        <f t="shared" si="26"/>
        <v>#DIV/0!</v>
      </c>
      <c r="AM175" s="14">
        <f t="shared" si="17"/>
        <v>0</v>
      </c>
      <c r="AN175" s="9"/>
    </row>
    <row r="176" spans="1:40" outlineLevel="1">
      <c r="A176" s="12" t="s">
        <v>154</v>
      </c>
      <c r="B176" s="8" t="s">
        <v>270</v>
      </c>
      <c r="I176" s="136" t="s">
        <v>167</v>
      </c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5">
        <f t="shared" si="27"/>
        <v>0</v>
      </c>
      <c r="W176" s="73" t="e">
        <f t="shared" si="24"/>
        <v>#DIV/0!</v>
      </c>
      <c r="X176" s="89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J176" s="234"/>
      <c r="AK176" s="235">
        <f t="shared" si="28"/>
        <v>0</v>
      </c>
      <c r="AL176" s="73" t="e">
        <f t="shared" si="26"/>
        <v>#DIV/0!</v>
      </c>
      <c r="AM176" s="14">
        <f t="shared" si="17"/>
        <v>0</v>
      </c>
      <c r="AN176" s="9"/>
    </row>
    <row r="177" spans="1:40" outlineLevel="1">
      <c r="A177" s="12" t="s">
        <v>154</v>
      </c>
      <c r="B177" s="8" t="s">
        <v>270</v>
      </c>
      <c r="I177" s="136" t="s">
        <v>182</v>
      </c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5">
        <f t="shared" si="27"/>
        <v>0</v>
      </c>
      <c r="W177" s="73" t="e">
        <f t="shared" si="24"/>
        <v>#DIV/0!</v>
      </c>
      <c r="X177" s="89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234"/>
      <c r="AK177" s="235">
        <f t="shared" si="28"/>
        <v>0</v>
      </c>
      <c r="AL177" s="73" t="e">
        <f t="shared" si="26"/>
        <v>#DIV/0!</v>
      </c>
      <c r="AM177" s="14">
        <f t="shared" si="17"/>
        <v>0</v>
      </c>
      <c r="AN177" s="9"/>
    </row>
    <row r="178" spans="1:40" outlineLevel="1">
      <c r="A178" s="12" t="s">
        <v>154</v>
      </c>
      <c r="B178" s="8" t="s">
        <v>270</v>
      </c>
      <c r="I178" s="136" t="s">
        <v>193</v>
      </c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5">
        <f t="shared" si="27"/>
        <v>0</v>
      </c>
      <c r="W178" s="73" t="e">
        <f t="shared" si="24"/>
        <v>#DIV/0!</v>
      </c>
      <c r="X178" s="89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234"/>
      <c r="AK178" s="235">
        <f t="shared" si="28"/>
        <v>0</v>
      </c>
      <c r="AL178" s="73" t="e">
        <f t="shared" si="26"/>
        <v>#DIV/0!</v>
      </c>
      <c r="AM178" s="14">
        <f t="shared" si="17"/>
        <v>0</v>
      </c>
      <c r="AN178" s="9"/>
    </row>
    <row r="179" spans="1:40" outlineLevel="1">
      <c r="A179" s="12" t="s">
        <v>154</v>
      </c>
      <c r="B179" s="8" t="s">
        <v>270</v>
      </c>
      <c r="I179" s="136" t="s">
        <v>156</v>
      </c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5">
        <f t="shared" si="27"/>
        <v>0</v>
      </c>
      <c r="W179" s="73" t="e">
        <f t="shared" si="24"/>
        <v>#DIV/0!</v>
      </c>
      <c r="X179" s="89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234"/>
      <c r="AK179" s="235">
        <f t="shared" si="28"/>
        <v>0</v>
      </c>
      <c r="AL179" s="73" t="e">
        <f t="shared" si="26"/>
        <v>#DIV/0!</v>
      </c>
      <c r="AM179" s="14">
        <f t="shared" si="17"/>
        <v>0</v>
      </c>
      <c r="AN179" s="9"/>
    </row>
    <row r="180" spans="1:40" outlineLevel="1">
      <c r="A180" s="12" t="s">
        <v>154</v>
      </c>
      <c r="B180" s="8" t="s">
        <v>270</v>
      </c>
      <c r="I180" s="136" t="s">
        <v>184</v>
      </c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5">
        <f t="shared" si="27"/>
        <v>0</v>
      </c>
      <c r="W180" s="73" t="e">
        <f t="shared" si="24"/>
        <v>#DIV/0!</v>
      </c>
      <c r="X180" s="89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45"/>
      <c r="AI180" s="234"/>
      <c r="AJ180" s="234"/>
      <c r="AK180" s="235">
        <f t="shared" si="28"/>
        <v>0</v>
      </c>
      <c r="AL180" s="73" t="e">
        <f t="shared" si="26"/>
        <v>#DIV/0!</v>
      </c>
      <c r="AM180" s="14">
        <f t="shared" si="17"/>
        <v>0</v>
      </c>
      <c r="AN180" s="9"/>
    </row>
    <row r="181" spans="1:40" outlineLevel="1">
      <c r="A181" s="12" t="s">
        <v>154</v>
      </c>
      <c r="B181" s="8" t="s">
        <v>270</v>
      </c>
      <c r="C181" s="19"/>
      <c r="I181" s="136" t="s">
        <v>277</v>
      </c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5">
        <f t="shared" si="27"/>
        <v>0</v>
      </c>
      <c r="W181" s="73" t="e">
        <f t="shared" si="24"/>
        <v>#DIV/0!</v>
      </c>
      <c r="X181" s="89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4"/>
      <c r="AK181" s="235">
        <f t="shared" si="28"/>
        <v>0</v>
      </c>
      <c r="AL181" s="73" t="e">
        <f t="shared" si="26"/>
        <v>#DIV/0!</v>
      </c>
      <c r="AM181" s="14">
        <f t="shared" si="17"/>
        <v>0</v>
      </c>
      <c r="AN181" s="9"/>
    </row>
    <row r="182" spans="1:40" outlineLevel="1">
      <c r="A182" s="12" t="s">
        <v>154</v>
      </c>
      <c r="B182" s="8" t="s">
        <v>270</v>
      </c>
      <c r="C182" s="19"/>
      <c r="I182" s="136" t="s">
        <v>173</v>
      </c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5">
        <f t="shared" si="27"/>
        <v>0</v>
      </c>
      <c r="W182" s="73" t="e">
        <f t="shared" si="24"/>
        <v>#DIV/0!</v>
      </c>
      <c r="X182" s="89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4"/>
      <c r="AI182" s="234"/>
      <c r="AJ182" s="234"/>
      <c r="AK182" s="235">
        <f t="shared" si="28"/>
        <v>0</v>
      </c>
      <c r="AL182" s="73" t="e">
        <f t="shared" si="26"/>
        <v>#DIV/0!</v>
      </c>
      <c r="AM182" s="14">
        <f t="shared" si="17"/>
        <v>0</v>
      </c>
      <c r="AN182" s="9"/>
    </row>
    <row r="183" spans="1:40" outlineLevel="1">
      <c r="A183" s="12" t="s">
        <v>154</v>
      </c>
      <c r="B183" s="8" t="s">
        <v>270</v>
      </c>
      <c r="C183" s="19" t="s">
        <v>190</v>
      </c>
      <c r="D183" s="12"/>
      <c r="E183" s="20"/>
      <c r="F183" s="12"/>
      <c r="G183" s="12"/>
      <c r="H183" s="12"/>
      <c r="I183" s="136" t="s">
        <v>161</v>
      </c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5">
        <f t="shared" si="27"/>
        <v>0</v>
      </c>
      <c r="W183" s="73" t="e">
        <f t="shared" si="24"/>
        <v>#DIV/0!</v>
      </c>
      <c r="X183" s="89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234"/>
      <c r="AK183" s="235">
        <f t="shared" si="28"/>
        <v>0</v>
      </c>
      <c r="AL183" s="73" t="e">
        <f t="shared" si="26"/>
        <v>#DIV/0!</v>
      </c>
      <c r="AM183" s="14">
        <f t="shared" si="17"/>
        <v>0</v>
      </c>
      <c r="AN183" s="9"/>
    </row>
    <row r="184" spans="1:40" outlineLevel="1">
      <c r="A184" s="12" t="s">
        <v>154</v>
      </c>
      <c r="B184" s="8" t="s">
        <v>270</v>
      </c>
      <c r="I184" s="136" t="s">
        <v>171</v>
      </c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5">
        <f t="shared" si="27"/>
        <v>0</v>
      </c>
      <c r="W184" s="73" t="e">
        <f t="shared" si="24"/>
        <v>#DIV/0!</v>
      </c>
      <c r="X184" s="89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4"/>
      <c r="AI184" s="234"/>
      <c r="AJ184" s="234"/>
      <c r="AK184" s="235">
        <f t="shared" si="28"/>
        <v>0</v>
      </c>
      <c r="AL184" s="73" t="e">
        <f t="shared" si="26"/>
        <v>#DIV/0!</v>
      </c>
      <c r="AM184" s="14">
        <f t="shared" si="17"/>
        <v>0</v>
      </c>
      <c r="AN184" s="9"/>
    </row>
    <row r="185" spans="1:40" outlineLevel="1">
      <c r="A185" s="12" t="s">
        <v>154</v>
      </c>
      <c r="B185" s="8" t="s">
        <v>270</v>
      </c>
      <c r="I185" s="136" t="s">
        <v>180</v>
      </c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5">
        <f t="shared" si="27"/>
        <v>0</v>
      </c>
      <c r="W185" s="73" t="e">
        <f t="shared" si="24"/>
        <v>#DIV/0!</v>
      </c>
      <c r="X185" s="89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234"/>
      <c r="AK185" s="235">
        <f t="shared" si="28"/>
        <v>0</v>
      </c>
      <c r="AL185" s="73" t="e">
        <f t="shared" si="26"/>
        <v>#DIV/0!</v>
      </c>
      <c r="AM185" s="14">
        <f t="shared" si="17"/>
        <v>0</v>
      </c>
      <c r="AN185" s="9"/>
    </row>
    <row r="186" spans="1:40" outlineLevel="1">
      <c r="A186" s="12" t="s">
        <v>154</v>
      </c>
      <c r="B186" s="8" t="s">
        <v>270</v>
      </c>
      <c r="I186" s="136" t="s">
        <v>179</v>
      </c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5">
        <f t="shared" si="27"/>
        <v>0</v>
      </c>
      <c r="W186" s="73" t="e">
        <f t="shared" si="24"/>
        <v>#DIV/0!</v>
      </c>
      <c r="X186" s="89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4"/>
      <c r="AI186" s="234"/>
      <c r="AJ186" s="234"/>
      <c r="AK186" s="235">
        <f t="shared" si="28"/>
        <v>0</v>
      </c>
      <c r="AL186" s="73" t="e">
        <f t="shared" si="26"/>
        <v>#DIV/0!</v>
      </c>
      <c r="AM186" s="14">
        <f t="shared" si="17"/>
        <v>0</v>
      </c>
      <c r="AN186" s="9"/>
    </row>
    <row r="187" spans="1:40" outlineLevel="1">
      <c r="A187" s="12" t="s">
        <v>154</v>
      </c>
      <c r="B187" s="8" t="s">
        <v>270</v>
      </c>
      <c r="I187" s="136" t="s">
        <v>190</v>
      </c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5">
        <f t="shared" si="27"/>
        <v>0</v>
      </c>
      <c r="W187" s="73" t="e">
        <f t="shared" si="24"/>
        <v>#DIV/0!</v>
      </c>
      <c r="X187" s="89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234"/>
      <c r="AK187" s="235">
        <f t="shared" si="28"/>
        <v>0</v>
      </c>
      <c r="AL187" s="73" t="e">
        <f t="shared" si="26"/>
        <v>#DIV/0!</v>
      </c>
      <c r="AM187" s="14">
        <f t="shared" si="17"/>
        <v>0</v>
      </c>
      <c r="AN187" s="9"/>
    </row>
    <row r="188" spans="1:40" outlineLevel="1">
      <c r="A188" s="12" t="s">
        <v>154</v>
      </c>
      <c r="B188" s="8" t="s">
        <v>270</v>
      </c>
      <c r="I188" s="136" t="s">
        <v>163</v>
      </c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5">
        <f t="shared" si="27"/>
        <v>0</v>
      </c>
      <c r="W188" s="73" t="e">
        <f t="shared" si="24"/>
        <v>#DIV/0!</v>
      </c>
      <c r="X188" s="89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235">
        <f t="shared" si="28"/>
        <v>0</v>
      </c>
      <c r="AL188" s="73" t="e">
        <f t="shared" si="26"/>
        <v>#DIV/0!</v>
      </c>
      <c r="AM188" s="14">
        <f t="shared" si="17"/>
        <v>0</v>
      </c>
      <c r="AN188" s="9"/>
    </row>
    <row r="189" spans="1:40" outlineLevel="1">
      <c r="A189" s="12" t="s">
        <v>154</v>
      </c>
      <c r="B189" s="8" t="s">
        <v>270</v>
      </c>
      <c r="C189" s="8" t="s">
        <v>172</v>
      </c>
      <c r="I189" s="136" t="s">
        <v>278</v>
      </c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5">
        <f t="shared" si="27"/>
        <v>0</v>
      </c>
      <c r="W189" s="73" t="e">
        <f t="shared" si="24"/>
        <v>#DIV/0!</v>
      </c>
      <c r="X189" s="89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5">
        <f t="shared" si="28"/>
        <v>0</v>
      </c>
      <c r="AL189" s="73" t="e">
        <f t="shared" si="26"/>
        <v>#DIV/0!</v>
      </c>
      <c r="AM189" s="14">
        <f t="shared" si="17"/>
        <v>0</v>
      </c>
      <c r="AN189" s="9"/>
    </row>
    <row r="190" spans="1:40" outlineLevel="1">
      <c r="A190" s="12" t="s">
        <v>154</v>
      </c>
      <c r="B190" s="8" t="s">
        <v>270</v>
      </c>
      <c r="I190" s="136" t="s">
        <v>279</v>
      </c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5">
        <f t="shared" si="27"/>
        <v>0</v>
      </c>
      <c r="W190" s="73" t="e">
        <f t="shared" si="24"/>
        <v>#DIV/0!</v>
      </c>
      <c r="X190" s="89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234"/>
      <c r="AK190" s="235">
        <f t="shared" si="28"/>
        <v>0</v>
      </c>
      <c r="AL190" s="73" t="e">
        <f t="shared" si="26"/>
        <v>#DIV/0!</v>
      </c>
      <c r="AM190" s="14">
        <f t="shared" si="17"/>
        <v>0</v>
      </c>
      <c r="AN190" s="9"/>
    </row>
    <row r="191" spans="1:40" outlineLevel="1">
      <c r="A191" s="12" t="s">
        <v>154</v>
      </c>
      <c r="B191" s="8" t="s">
        <v>270</v>
      </c>
      <c r="I191" s="136" t="s">
        <v>280</v>
      </c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5">
        <f t="shared" si="27"/>
        <v>0</v>
      </c>
      <c r="W191" s="73" t="e">
        <f t="shared" si="24"/>
        <v>#DIV/0!</v>
      </c>
      <c r="X191" s="89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235">
        <f t="shared" si="28"/>
        <v>0</v>
      </c>
      <c r="AL191" s="73" t="e">
        <f t="shared" si="26"/>
        <v>#DIV/0!</v>
      </c>
      <c r="AM191" s="14">
        <f t="shared" si="17"/>
        <v>0</v>
      </c>
      <c r="AN191" s="9"/>
    </row>
    <row r="192" spans="1:40" outlineLevel="1">
      <c r="A192" s="12" t="s">
        <v>154</v>
      </c>
      <c r="B192" s="8" t="s">
        <v>270</v>
      </c>
      <c r="I192" s="136" t="s">
        <v>281</v>
      </c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5">
        <f t="shared" si="27"/>
        <v>0</v>
      </c>
      <c r="W192" s="73" t="e">
        <f t="shared" si="24"/>
        <v>#DIV/0!</v>
      </c>
      <c r="X192" s="89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234"/>
      <c r="AK192" s="235">
        <f t="shared" si="28"/>
        <v>0</v>
      </c>
      <c r="AL192" s="73" t="e">
        <f t="shared" si="26"/>
        <v>#DIV/0!</v>
      </c>
      <c r="AM192" s="14">
        <f t="shared" ref="AM192:AM282" si="29">IFERROR(AK192/V192-1,0)</f>
        <v>0</v>
      </c>
      <c r="AN192" s="9"/>
    </row>
    <row r="193" spans="1:40" outlineLevel="1">
      <c r="A193" s="12"/>
      <c r="I193" s="136" t="s">
        <v>282</v>
      </c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5">
        <f>SUM(J193:U193)</f>
        <v>0</v>
      </c>
      <c r="W193" s="73" t="e">
        <f>V193/V$6</f>
        <v>#DIV/0!</v>
      </c>
      <c r="X193" s="89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5">
        <f t="shared" si="28"/>
        <v>0</v>
      </c>
      <c r="AL193" s="73" t="e">
        <f>AK193/AK$6</f>
        <v>#DIV/0!</v>
      </c>
      <c r="AM193" s="14">
        <f>IFERROR(AK193/V193-1,0)</f>
        <v>0</v>
      </c>
      <c r="AN193" s="9"/>
    </row>
    <row r="194" spans="1:40" outlineLevel="1">
      <c r="A194" s="12" t="s">
        <v>154</v>
      </c>
      <c r="B194" s="8" t="s">
        <v>270</v>
      </c>
      <c r="I194" s="136" t="s">
        <v>177</v>
      </c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5">
        <f t="shared" si="27"/>
        <v>0</v>
      </c>
      <c r="W194" s="73" t="e">
        <f t="shared" si="24"/>
        <v>#DIV/0!</v>
      </c>
      <c r="X194" s="89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5">
        <f t="shared" si="28"/>
        <v>0</v>
      </c>
      <c r="AL194" s="73" t="e">
        <f t="shared" si="26"/>
        <v>#DIV/0!</v>
      </c>
      <c r="AM194" s="14">
        <f t="shared" si="29"/>
        <v>0</v>
      </c>
      <c r="AN194" s="9"/>
    </row>
    <row r="195" spans="1:40" outlineLevel="1">
      <c r="A195" s="12" t="s">
        <v>154</v>
      </c>
      <c r="B195" s="8" t="s">
        <v>270</v>
      </c>
      <c r="I195" s="136" t="s">
        <v>175</v>
      </c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5">
        <f t="shared" si="27"/>
        <v>0</v>
      </c>
      <c r="W195" s="73" t="e">
        <f t="shared" si="24"/>
        <v>#DIV/0!</v>
      </c>
      <c r="X195" s="89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235">
        <f t="shared" si="28"/>
        <v>0</v>
      </c>
      <c r="AL195" s="73" t="e">
        <f t="shared" si="26"/>
        <v>#DIV/0!</v>
      </c>
      <c r="AM195" s="14">
        <f t="shared" si="29"/>
        <v>0</v>
      </c>
      <c r="AN195" s="9"/>
    </row>
    <row r="196" spans="1:40" outlineLevel="1">
      <c r="A196" s="12" t="s">
        <v>154</v>
      </c>
      <c r="B196" s="8" t="s">
        <v>270</v>
      </c>
      <c r="I196" s="136" t="s">
        <v>168</v>
      </c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5">
        <f t="shared" si="27"/>
        <v>0</v>
      </c>
      <c r="W196" s="73" t="e">
        <f t="shared" si="24"/>
        <v>#DIV/0!</v>
      </c>
      <c r="X196" s="89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234"/>
      <c r="AK196" s="235">
        <f t="shared" si="28"/>
        <v>0</v>
      </c>
      <c r="AL196" s="73" t="e">
        <f t="shared" si="26"/>
        <v>#DIV/0!</v>
      </c>
      <c r="AM196" s="14">
        <f t="shared" si="29"/>
        <v>0</v>
      </c>
      <c r="AN196" s="9"/>
    </row>
    <row r="197" spans="1:40" outlineLevel="1">
      <c r="A197" s="12" t="s">
        <v>154</v>
      </c>
      <c r="B197" s="8" t="s">
        <v>270</v>
      </c>
      <c r="I197" s="136" t="s">
        <v>170</v>
      </c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5">
        <f t="shared" si="27"/>
        <v>0</v>
      </c>
      <c r="W197" s="73" t="e">
        <f t="shared" si="24"/>
        <v>#DIV/0!</v>
      </c>
      <c r="X197" s="89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5">
        <f t="shared" si="28"/>
        <v>0</v>
      </c>
      <c r="AL197" s="73" t="e">
        <f t="shared" si="26"/>
        <v>#DIV/0!</v>
      </c>
      <c r="AM197" s="14">
        <f t="shared" si="29"/>
        <v>0</v>
      </c>
      <c r="AN197" s="9"/>
    </row>
    <row r="198" spans="1:40" outlineLevel="1">
      <c r="A198" s="12" t="s">
        <v>154</v>
      </c>
      <c r="B198" s="8" t="s">
        <v>270</v>
      </c>
      <c r="I198" s="136" t="s">
        <v>159</v>
      </c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5">
        <f t="shared" si="27"/>
        <v>0</v>
      </c>
      <c r="W198" s="73" t="e">
        <f t="shared" si="24"/>
        <v>#DIV/0!</v>
      </c>
      <c r="X198" s="89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234"/>
      <c r="AK198" s="235">
        <f t="shared" si="28"/>
        <v>0</v>
      </c>
      <c r="AL198" s="73" t="e">
        <f t="shared" si="26"/>
        <v>#DIV/0!</v>
      </c>
      <c r="AM198" s="14">
        <f t="shared" si="29"/>
        <v>0</v>
      </c>
      <c r="AN198" s="9"/>
    </row>
    <row r="199" spans="1:40" outlineLevel="1">
      <c r="A199" s="12" t="s">
        <v>154</v>
      </c>
      <c r="B199" s="8" t="s">
        <v>270</v>
      </c>
      <c r="I199" s="136" t="s">
        <v>283</v>
      </c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5">
        <f t="shared" si="27"/>
        <v>0</v>
      </c>
      <c r="W199" s="73" t="e">
        <f t="shared" si="24"/>
        <v>#DIV/0!</v>
      </c>
      <c r="X199" s="89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235">
        <f t="shared" si="28"/>
        <v>0</v>
      </c>
      <c r="AL199" s="73" t="e">
        <f t="shared" si="26"/>
        <v>#DIV/0!</v>
      </c>
      <c r="AM199" s="14">
        <f t="shared" si="29"/>
        <v>0</v>
      </c>
      <c r="AN199" s="9"/>
    </row>
    <row r="200" spans="1:40" outlineLevel="1">
      <c r="A200" s="12" t="s">
        <v>154</v>
      </c>
      <c r="B200" s="8" t="s">
        <v>270</v>
      </c>
      <c r="I200" s="136" t="s">
        <v>284</v>
      </c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5">
        <f t="shared" si="27"/>
        <v>0</v>
      </c>
      <c r="W200" s="73" t="e">
        <f t="shared" si="24"/>
        <v>#DIV/0!</v>
      </c>
      <c r="X200" s="89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234"/>
      <c r="AK200" s="235">
        <f t="shared" si="28"/>
        <v>0</v>
      </c>
      <c r="AL200" s="73" t="e">
        <f t="shared" si="26"/>
        <v>#DIV/0!</v>
      </c>
      <c r="AM200" s="14">
        <f t="shared" si="29"/>
        <v>0</v>
      </c>
      <c r="AN200" s="9"/>
    </row>
    <row r="201" spans="1:40" outlineLevel="1">
      <c r="A201" s="12" t="s">
        <v>154</v>
      </c>
      <c r="B201" s="8" t="s">
        <v>270</v>
      </c>
      <c r="I201" s="136" t="s">
        <v>157</v>
      </c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5">
        <f t="shared" si="27"/>
        <v>0</v>
      </c>
      <c r="W201" s="73" t="e">
        <f t="shared" si="24"/>
        <v>#DIV/0!</v>
      </c>
      <c r="X201" s="89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235">
        <f t="shared" si="28"/>
        <v>0</v>
      </c>
      <c r="AL201" s="73" t="e">
        <f t="shared" si="26"/>
        <v>#DIV/0!</v>
      </c>
      <c r="AM201" s="14">
        <f t="shared" si="29"/>
        <v>0</v>
      </c>
      <c r="AN201" s="9"/>
    </row>
    <row r="202" spans="1:40" outlineLevel="1">
      <c r="A202" s="12" t="s">
        <v>154</v>
      </c>
      <c r="B202" s="8" t="s">
        <v>270</v>
      </c>
      <c r="I202" s="136" t="s">
        <v>189</v>
      </c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5">
        <f t="shared" si="27"/>
        <v>0</v>
      </c>
      <c r="W202" s="73" t="e">
        <f t="shared" si="24"/>
        <v>#DIV/0!</v>
      </c>
      <c r="X202" s="89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234"/>
      <c r="AK202" s="235">
        <f t="shared" si="28"/>
        <v>0</v>
      </c>
      <c r="AL202" s="73" t="e">
        <f t="shared" si="26"/>
        <v>#DIV/0!</v>
      </c>
      <c r="AM202" s="14">
        <f t="shared" si="29"/>
        <v>0</v>
      </c>
      <c r="AN202" s="9"/>
    </row>
    <row r="203" spans="1:40" outlineLevel="1">
      <c r="A203" s="12" t="s">
        <v>154</v>
      </c>
      <c r="B203" s="8" t="s">
        <v>270</v>
      </c>
      <c r="I203" s="136" t="s">
        <v>181</v>
      </c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5">
        <f t="shared" si="27"/>
        <v>0</v>
      </c>
      <c r="W203" s="73" t="e">
        <f t="shared" si="24"/>
        <v>#DIV/0!</v>
      </c>
      <c r="X203" s="89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235">
        <f t="shared" si="28"/>
        <v>0</v>
      </c>
      <c r="AL203" s="73" t="e">
        <f t="shared" si="26"/>
        <v>#DIV/0!</v>
      </c>
      <c r="AM203" s="14">
        <f t="shared" si="29"/>
        <v>0</v>
      </c>
      <c r="AN203" s="9"/>
    </row>
    <row r="204" spans="1:40" outlineLevel="1">
      <c r="A204" s="12"/>
      <c r="I204" s="136" t="s">
        <v>285</v>
      </c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5">
        <f t="shared" si="27"/>
        <v>0</v>
      </c>
      <c r="W204" s="73" t="e">
        <f t="shared" si="24"/>
        <v>#DIV/0!</v>
      </c>
      <c r="X204" s="89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235">
        <f t="shared" si="28"/>
        <v>0</v>
      </c>
      <c r="AL204" s="73" t="e">
        <f t="shared" si="26"/>
        <v>#DIV/0!</v>
      </c>
      <c r="AM204" s="14">
        <f t="shared" si="29"/>
        <v>0</v>
      </c>
      <c r="AN204" s="9"/>
    </row>
    <row r="205" spans="1:40" outlineLevel="1">
      <c r="A205" s="12"/>
      <c r="I205" s="136" t="s">
        <v>195</v>
      </c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5">
        <f t="shared" si="27"/>
        <v>0</v>
      </c>
      <c r="W205" s="73" t="e">
        <f t="shared" si="24"/>
        <v>#DIV/0!</v>
      </c>
      <c r="X205" s="89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234"/>
      <c r="AK205" s="235">
        <f t="shared" si="28"/>
        <v>0</v>
      </c>
      <c r="AL205" s="73" t="e">
        <f t="shared" si="26"/>
        <v>#DIV/0!</v>
      </c>
      <c r="AM205" s="14">
        <f t="shared" si="29"/>
        <v>0</v>
      </c>
      <c r="AN205" s="9"/>
    </row>
    <row r="206" spans="1:40" outlineLevel="1">
      <c r="A206" s="12"/>
      <c r="I206" s="136" t="s">
        <v>245</v>
      </c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5">
        <f t="shared" si="27"/>
        <v>0</v>
      </c>
      <c r="W206" s="73" t="e">
        <f t="shared" si="24"/>
        <v>#DIV/0!</v>
      </c>
      <c r="X206" s="89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235">
        <f t="shared" si="28"/>
        <v>0</v>
      </c>
      <c r="AL206" s="73" t="e">
        <f t="shared" si="26"/>
        <v>#DIV/0!</v>
      </c>
      <c r="AM206" s="14">
        <f t="shared" si="29"/>
        <v>0</v>
      </c>
      <c r="AN206" s="9"/>
    </row>
    <row r="207" spans="1:40" outlineLevel="1">
      <c r="A207" s="12"/>
      <c r="I207" s="136" t="s">
        <v>169</v>
      </c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5">
        <f t="shared" si="27"/>
        <v>0</v>
      </c>
      <c r="W207" s="73" t="e">
        <f t="shared" si="24"/>
        <v>#DIV/0!</v>
      </c>
      <c r="X207" s="89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234"/>
      <c r="AK207" s="235">
        <f t="shared" si="28"/>
        <v>0</v>
      </c>
      <c r="AL207" s="73" t="e">
        <f t="shared" si="26"/>
        <v>#DIV/0!</v>
      </c>
      <c r="AM207" s="14">
        <f t="shared" si="29"/>
        <v>0</v>
      </c>
      <c r="AN207" s="9"/>
    </row>
    <row r="208" spans="1:40" outlineLevel="1">
      <c r="A208" s="12"/>
      <c r="I208" s="136" t="s">
        <v>225</v>
      </c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5">
        <f t="shared" si="27"/>
        <v>0</v>
      </c>
      <c r="W208" s="73" t="e">
        <f t="shared" si="24"/>
        <v>#DIV/0!</v>
      </c>
      <c r="X208" s="89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235">
        <f t="shared" si="28"/>
        <v>0</v>
      </c>
      <c r="AL208" s="73" t="e">
        <f t="shared" si="26"/>
        <v>#DIV/0!</v>
      </c>
      <c r="AM208" s="14">
        <f t="shared" si="29"/>
        <v>0</v>
      </c>
      <c r="AN208" s="9"/>
    </row>
    <row r="209" spans="1:40" outlineLevel="1">
      <c r="A209" s="12"/>
      <c r="I209" s="136" t="s">
        <v>186</v>
      </c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5">
        <f t="shared" si="27"/>
        <v>0</v>
      </c>
      <c r="W209" s="73" t="e">
        <f t="shared" si="24"/>
        <v>#DIV/0!</v>
      </c>
      <c r="X209" s="89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234"/>
      <c r="AK209" s="235">
        <f t="shared" si="28"/>
        <v>0</v>
      </c>
      <c r="AL209" s="73" t="e">
        <f t="shared" si="26"/>
        <v>#DIV/0!</v>
      </c>
      <c r="AM209" s="14">
        <f t="shared" si="29"/>
        <v>0</v>
      </c>
      <c r="AN209" s="9"/>
    </row>
    <row r="210" spans="1:40" outlineLevel="1">
      <c r="A210" s="12"/>
      <c r="I210" s="136" t="s">
        <v>176</v>
      </c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5">
        <f t="shared" si="27"/>
        <v>0</v>
      </c>
      <c r="W210" s="73" t="e">
        <f t="shared" si="24"/>
        <v>#DIV/0!</v>
      </c>
      <c r="X210" s="89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235">
        <f t="shared" si="28"/>
        <v>0</v>
      </c>
      <c r="AL210" s="73" t="e">
        <f t="shared" si="26"/>
        <v>#DIV/0!</v>
      </c>
      <c r="AM210" s="14">
        <f t="shared" si="29"/>
        <v>0</v>
      </c>
      <c r="AN210" s="9"/>
    </row>
    <row r="211" spans="1:40" collapsed="1">
      <c r="A211" s="12" t="s">
        <v>196</v>
      </c>
      <c r="B211" s="8" t="s">
        <v>270</v>
      </c>
      <c r="I211" s="121" t="s">
        <v>197</v>
      </c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>
        <f>SUM(V212:V227)</f>
        <v>0</v>
      </c>
      <c r="W211" s="72" t="e">
        <f t="shared" si="24"/>
        <v>#DIV/0!</v>
      </c>
      <c r="X211" s="89"/>
      <c r="Y211" s="231">
        <f t="shared" ref="Y211:AK211" si="30">SUM(Y212:Y227)</f>
        <v>0</v>
      </c>
      <c r="Z211" s="231">
        <f t="shared" si="30"/>
        <v>0</v>
      </c>
      <c r="AA211" s="231">
        <f t="shared" si="30"/>
        <v>0</v>
      </c>
      <c r="AB211" s="231">
        <f t="shared" si="30"/>
        <v>0</v>
      </c>
      <c r="AC211" s="231">
        <f t="shared" si="30"/>
        <v>0</v>
      </c>
      <c r="AD211" s="231">
        <f t="shared" si="30"/>
        <v>0</v>
      </c>
      <c r="AE211" s="231">
        <f t="shared" si="30"/>
        <v>0</v>
      </c>
      <c r="AF211" s="231">
        <f t="shared" si="30"/>
        <v>0</v>
      </c>
      <c r="AG211" s="231">
        <f t="shared" si="30"/>
        <v>0</v>
      </c>
      <c r="AH211" s="231">
        <f t="shared" si="30"/>
        <v>0</v>
      </c>
      <c r="AI211" s="231">
        <f t="shared" si="30"/>
        <v>0</v>
      </c>
      <c r="AJ211" s="231">
        <f t="shared" si="30"/>
        <v>0</v>
      </c>
      <c r="AK211" s="231">
        <f t="shared" si="30"/>
        <v>0</v>
      </c>
      <c r="AL211" s="72" t="e">
        <f t="shared" si="26"/>
        <v>#DIV/0!</v>
      </c>
      <c r="AM211" s="10">
        <f t="shared" si="29"/>
        <v>0</v>
      </c>
      <c r="AN211" s="9"/>
    </row>
    <row r="212" spans="1:40" hidden="1" outlineLevel="1">
      <c r="A212" s="12" t="s">
        <v>196</v>
      </c>
      <c r="B212" s="8" t="s">
        <v>270</v>
      </c>
      <c r="I212" t="s">
        <v>198</v>
      </c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5">
        <f>SUM(J212:U212)</f>
        <v>0</v>
      </c>
      <c r="W212" s="73" t="e">
        <f t="shared" si="24"/>
        <v>#DIV/0!</v>
      </c>
      <c r="X212" s="89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234"/>
      <c r="AK212" s="235">
        <f>SUM(Y212:AJ212)</f>
        <v>0</v>
      </c>
      <c r="AL212" s="73" t="e">
        <f t="shared" si="26"/>
        <v>#DIV/0!</v>
      </c>
      <c r="AM212" s="14">
        <f t="shared" si="29"/>
        <v>0</v>
      </c>
      <c r="AN212" s="9"/>
    </row>
    <row r="213" spans="1:40" hidden="1" outlineLevel="1">
      <c r="A213" s="12" t="s">
        <v>196</v>
      </c>
      <c r="B213" s="8" t="s">
        <v>270</v>
      </c>
      <c r="I213" t="s">
        <v>199</v>
      </c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5">
        <f t="shared" ref="V213:V227" si="31">SUM(J213:U213)</f>
        <v>0</v>
      </c>
      <c r="W213" s="73" t="e">
        <f t="shared" si="24"/>
        <v>#DIV/0!</v>
      </c>
      <c r="X213" s="89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234"/>
      <c r="AK213" s="235">
        <f t="shared" ref="AK213:AK227" si="32">SUM(Y213:AJ213)</f>
        <v>0</v>
      </c>
      <c r="AL213" s="73" t="e">
        <f t="shared" si="26"/>
        <v>#DIV/0!</v>
      </c>
      <c r="AM213" s="14">
        <f t="shared" si="29"/>
        <v>0</v>
      </c>
      <c r="AN213" s="9"/>
    </row>
    <row r="214" spans="1:40" hidden="1" outlineLevel="1">
      <c r="A214" s="12" t="s">
        <v>196</v>
      </c>
      <c r="B214" s="8" t="s">
        <v>270</v>
      </c>
      <c r="I214" t="s">
        <v>200</v>
      </c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5">
        <f t="shared" si="31"/>
        <v>0</v>
      </c>
      <c r="W214" s="73" t="e">
        <f t="shared" si="24"/>
        <v>#DIV/0!</v>
      </c>
      <c r="X214" s="89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234"/>
      <c r="AK214" s="235">
        <f t="shared" si="32"/>
        <v>0</v>
      </c>
      <c r="AL214" s="73" t="e">
        <f t="shared" si="26"/>
        <v>#DIV/0!</v>
      </c>
      <c r="AM214" s="14">
        <f t="shared" si="29"/>
        <v>0</v>
      </c>
      <c r="AN214" s="9"/>
    </row>
    <row r="215" spans="1:40" hidden="1" outlineLevel="1">
      <c r="A215" s="12" t="s">
        <v>196</v>
      </c>
      <c r="B215" s="8" t="s">
        <v>270</v>
      </c>
      <c r="I215" t="s">
        <v>201</v>
      </c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5">
        <f t="shared" si="31"/>
        <v>0</v>
      </c>
      <c r="W215" s="73" t="e">
        <f t="shared" si="24"/>
        <v>#DIV/0!</v>
      </c>
      <c r="X215" s="89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234"/>
      <c r="AK215" s="235">
        <f t="shared" si="32"/>
        <v>0</v>
      </c>
      <c r="AL215" s="73" t="e">
        <f t="shared" si="26"/>
        <v>#DIV/0!</v>
      </c>
      <c r="AM215" s="14">
        <f t="shared" si="29"/>
        <v>0</v>
      </c>
      <c r="AN215" s="9"/>
    </row>
    <row r="216" spans="1:40" hidden="1" outlineLevel="1">
      <c r="A216" s="12" t="s">
        <v>196</v>
      </c>
      <c r="B216" s="8" t="s">
        <v>270</v>
      </c>
      <c r="I216" t="s">
        <v>286</v>
      </c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5">
        <f t="shared" si="31"/>
        <v>0</v>
      </c>
      <c r="W216" s="73" t="e">
        <f t="shared" si="24"/>
        <v>#DIV/0!</v>
      </c>
      <c r="X216" s="89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234"/>
      <c r="AK216" s="235">
        <f t="shared" si="32"/>
        <v>0</v>
      </c>
      <c r="AL216" s="73" t="e">
        <f t="shared" si="26"/>
        <v>#DIV/0!</v>
      </c>
      <c r="AM216" s="14">
        <f t="shared" si="29"/>
        <v>0</v>
      </c>
      <c r="AN216" s="9"/>
    </row>
    <row r="217" spans="1:40" hidden="1" outlineLevel="1">
      <c r="A217" s="12" t="s">
        <v>196</v>
      </c>
      <c r="B217" s="8" t="s">
        <v>270</v>
      </c>
      <c r="I217" t="s">
        <v>202</v>
      </c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5">
        <f t="shared" si="31"/>
        <v>0</v>
      </c>
      <c r="W217" s="73" t="e">
        <f t="shared" si="24"/>
        <v>#DIV/0!</v>
      </c>
      <c r="X217" s="89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235">
        <f t="shared" si="32"/>
        <v>0</v>
      </c>
      <c r="AL217" s="73" t="e">
        <f t="shared" si="26"/>
        <v>#DIV/0!</v>
      </c>
      <c r="AM217" s="14">
        <f t="shared" si="29"/>
        <v>0</v>
      </c>
      <c r="AN217" s="9"/>
    </row>
    <row r="218" spans="1:40" hidden="1" outlineLevel="1">
      <c r="A218" s="12" t="s">
        <v>196</v>
      </c>
      <c r="B218" s="8" t="s">
        <v>270</v>
      </c>
      <c r="I218" t="s">
        <v>203</v>
      </c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5">
        <f t="shared" si="31"/>
        <v>0</v>
      </c>
      <c r="W218" s="73" t="e">
        <f t="shared" si="24"/>
        <v>#DIV/0!</v>
      </c>
      <c r="X218" s="89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234"/>
      <c r="AK218" s="235">
        <f t="shared" si="32"/>
        <v>0</v>
      </c>
      <c r="AL218" s="73" t="e">
        <f t="shared" si="26"/>
        <v>#DIV/0!</v>
      </c>
      <c r="AM218" s="14">
        <f t="shared" si="29"/>
        <v>0</v>
      </c>
      <c r="AN218" s="9"/>
    </row>
    <row r="219" spans="1:40" hidden="1" outlineLevel="1">
      <c r="A219" s="12" t="s">
        <v>196</v>
      </c>
      <c r="B219" s="8" t="s">
        <v>270</v>
      </c>
      <c r="I219" t="s">
        <v>204</v>
      </c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5">
        <f t="shared" si="31"/>
        <v>0</v>
      </c>
      <c r="W219" s="73" t="e">
        <f t="shared" si="24"/>
        <v>#DIV/0!</v>
      </c>
      <c r="X219" s="89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234"/>
      <c r="AK219" s="235">
        <f t="shared" si="32"/>
        <v>0</v>
      </c>
      <c r="AL219" s="73" t="e">
        <f t="shared" si="26"/>
        <v>#DIV/0!</v>
      </c>
      <c r="AM219" s="14">
        <f t="shared" si="29"/>
        <v>0</v>
      </c>
      <c r="AN219" s="9"/>
    </row>
    <row r="220" spans="1:40" hidden="1" outlineLevel="1">
      <c r="A220" s="12" t="s">
        <v>196</v>
      </c>
      <c r="B220" s="8" t="s">
        <v>270</v>
      </c>
      <c r="I220" t="s">
        <v>205</v>
      </c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5">
        <f t="shared" si="31"/>
        <v>0</v>
      </c>
      <c r="W220" s="73" t="e">
        <f t="shared" si="24"/>
        <v>#DIV/0!</v>
      </c>
      <c r="X220" s="89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235">
        <f t="shared" si="32"/>
        <v>0</v>
      </c>
      <c r="AL220" s="73" t="e">
        <f t="shared" si="26"/>
        <v>#DIV/0!</v>
      </c>
      <c r="AM220" s="14">
        <f t="shared" si="29"/>
        <v>0</v>
      </c>
      <c r="AN220" s="9"/>
    </row>
    <row r="221" spans="1:40" hidden="1" outlineLevel="1">
      <c r="A221" s="12" t="s">
        <v>196</v>
      </c>
      <c r="B221" s="8" t="s">
        <v>270</v>
      </c>
      <c r="I221" t="s">
        <v>206</v>
      </c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5">
        <f t="shared" si="31"/>
        <v>0</v>
      </c>
      <c r="W221" s="73" t="e">
        <f t="shared" si="24"/>
        <v>#DIV/0!</v>
      </c>
      <c r="X221" s="89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235">
        <f t="shared" si="32"/>
        <v>0</v>
      </c>
      <c r="AL221" s="73" t="e">
        <f t="shared" si="26"/>
        <v>#DIV/0!</v>
      </c>
      <c r="AM221" s="14">
        <f t="shared" si="29"/>
        <v>0</v>
      </c>
      <c r="AN221" s="9"/>
    </row>
    <row r="222" spans="1:40" hidden="1" outlineLevel="1">
      <c r="A222" s="12" t="s">
        <v>196</v>
      </c>
      <c r="B222" s="8" t="s">
        <v>270</v>
      </c>
      <c r="I222" t="s">
        <v>207</v>
      </c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5">
        <f t="shared" si="31"/>
        <v>0</v>
      </c>
      <c r="W222" s="73" t="e">
        <f t="shared" si="24"/>
        <v>#DIV/0!</v>
      </c>
      <c r="X222" s="89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234"/>
      <c r="AK222" s="235">
        <f t="shared" si="32"/>
        <v>0</v>
      </c>
      <c r="AL222" s="73" t="e">
        <f t="shared" si="26"/>
        <v>#DIV/0!</v>
      </c>
      <c r="AM222" s="14">
        <f t="shared" si="29"/>
        <v>0</v>
      </c>
      <c r="AN222" s="9"/>
    </row>
    <row r="223" spans="1:40" hidden="1" outlineLevel="1">
      <c r="A223" s="12" t="s">
        <v>196</v>
      </c>
      <c r="B223" s="8" t="s">
        <v>270</v>
      </c>
      <c r="I223" t="s">
        <v>208</v>
      </c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5">
        <f t="shared" si="31"/>
        <v>0</v>
      </c>
      <c r="W223" s="73" t="e">
        <f t="shared" si="24"/>
        <v>#DIV/0!</v>
      </c>
      <c r="X223" s="89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234"/>
      <c r="AK223" s="235">
        <f t="shared" si="32"/>
        <v>0</v>
      </c>
      <c r="AL223" s="73" t="e">
        <f t="shared" si="26"/>
        <v>#DIV/0!</v>
      </c>
      <c r="AM223" s="14">
        <f t="shared" si="29"/>
        <v>0</v>
      </c>
      <c r="AN223" s="9"/>
    </row>
    <row r="224" spans="1:40" hidden="1" outlineLevel="1">
      <c r="A224" s="12" t="s">
        <v>196</v>
      </c>
      <c r="B224" s="8" t="s">
        <v>270</v>
      </c>
      <c r="I224" t="s">
        <v>209</v>
      </c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5">
        <f t="shared" si="31"/>
        <v>0</v>
      </c>
      <c r="W224" s="73" t="e">
        <f t="shared" si="24"/>
        <v>#DIV/0!</v>
      </c>
      <c r="X224" s="89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234"/>
      <c r="AK224" s="235">
        <f t="shared" si="32"/>
        <v>0</v>
      </c>
      <c r="AL224" s="73" t="e">
        <f t="shared" si="26"/>
        <v>#DIV/0!</v>
      </c>
      <c r="AM224" s="14">
        <f t="shared" si="29"/>
        <v>0</v>
      </c>
      <c r="AN224" s="9"/>
    </row>
    <row r="225" spans="1:40" hidden="1" outlineLevel="1">
      <c r="A225" s="12" t="s">
        <v>196</v>
      </c>
      <c r="B225" s="8" t="s">
        <v>270</v>
      </c>
      <c r="I225" t="s">
        <v>210</v>
      </c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5">
        <f t="shared" si="31"/>
        <v>0</v>
      </c>
      <c r="W225" s="73" t="e">
        <f t="shared" si="24"/>
        <v>#DIV/0!</v>
      </c>
      <c r="X225" s="89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234"/>
      <c r="AK225" s="235">
        <f t="shared" si="32"/>
        <v>0</v>
      </c>
      <c r="AL225" s="73" t="e">
        <f t="shared" si="26"/>
        <v>#DIV/0!</v>
      </c>
      <c r="AM225" s="14">
        <f t="shared" si="29"/>
        <v>0</v>
      </c>
      <c r="AN225" s="9"/>
    </row>
    <row r="226" spans="1:40" hidden="1" outlineLevel="1">
      <c r="A226" s="12" t="s">
        <v>196</v>
      </c>
      <c r="B226" s="8" t="s">
        <v>270</v>
      </c>
      <c r="I226" t="s">
        <v>211</v>
      </c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5">
        <f t="shared" si="31"/>
        <v>0</v>
      </c>
      <c r="W226" s="73" t="e">
        <f t="shared" si="24"/>
        <v>#DIV/0!</v>
      </c>
      <c r="X226" s="89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234"/>
      <c r="AK226" s="235">
        <f t="shared" si="32"/>
        <v>0</v>
      </c>
      <c r="AL226" s="73" t="e">
        <f t="shared" si="26"/>
        <v>#DIV/0!</v>
      </c>
      <c r="AM226" s="14">
        <f t="shared" si="29"/>
        <v>0</v>
      </c>
      <c r="AN226" s="9"/>
    </row>
    <row r="227" spans="1:40" hidden="1" outlineLevel="1">
      <c r="A227" s="12" t="s">
        <v>196</v>
      </c>
      <c r="B227" s="8" t="s">
        <v>270</v>
      </c>
      <c r="I227" t="s">
        <v>212</v>
      </c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5">
        <f t="shared" si="31"/>
        <v>0</v>
      </c>
      <c r="W227" s="73" t="e">
        <f t="shared" si="24"/>
        <v>#DIV/0!</v>
      </c>
      <c r="X227" s="89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234"/>
      <c r="AK227" s="235">
        <f t="shared" si="32"/>
        <v>0</v>
      </c>
      <c r="AL227" s="73" t="e">
        <f t="shared" si="26"/>
        <v>#DIV/0!</v>
      </c>
      <c r="AM227" s="14">
        <f t="shared" si="29"/>
        <v>0</v>
      </c>
      <c r="AN227" s="9"/>
    </row>
    <row r="228" spans="1:40" collapsed="1">
      <c r="A228" s="12" t="s">
        <v>213</v>
      </c>
      <c r="B228" s="8" t="s">
        <v>270</v>
      </c>
      <c r="I228" s="167" t="s">
        <v>214</v>
      </c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>
        <f>SUM(V229:V232)</f>
        <v>0</v>
      </c>
      <c r="W228" s="72" t="e">
        <f t="shared" si="24"/>
        <v>#DIV/0!</v>
      </c>
      <c r="X228" s="89"/>
      <c r="Y228" s="231">
        <f t="shared" ref="Y228:AK228" si="33">SUM(Y229:Y232)</f>
        <v>0</v>
      </c>
      <c r="Z228" s="231">
        <f t="shared" si="33"/>
        <v>0</v>
      </c>
      <c r="AA228" s="231">
        <f t="shared" si="33"/>
        <v>0</v>
      </c>
      <c r="AB228" s="231">
        <f t="shared" si="33"/>
        <v>0</v>
      </c>
      <c r="AC228" s="231">
        <f t="shared" si="33"/>
        <v>0</v>
      </c>
      <c r="AD228" s="231">
        <f t="shared" si="33"/>
        <v>0</v>
      </c>
      <c r="AE228" s="231">
        <f t="shared" si="33"/>
        <v>0</v>
      </c>
      <c r="AF228" s="231">
        <f t="shared" si="33"/>
        <v>0</v>
      </c>
      <c r="AG228" s="231">
        <f t="shared" si="33"/>
        <v>0</v>
      </c>
      <c r="AH228" s="231">
        <f t="shared" si="33"/>
        <v>0</v>
      </c>
      <c r="AI228" s="231">
        <f t="shared" si="33"/>
        <v>0</v>
      </c>
      <c r="AJ228" s="231">
        <f t="shared" si="33"/>
        <v>0</v>
      </c>
      <c r="AK228" s="231">
        <f t="shared" si="33"/>
        <v>0</v>
      </c>
      <c r="AL228" s="72" t="e">
        <f t="shared" si="26"/>
        <v>#DIV/0!</v>
      </c>
      <c r="AM228" s="10">
        <f t="shared" si="29"/>
        <v>0</v>
      </c>
      <c r="AN228" s="9"/>
    </row>
    <row r="229" spans="1:40" hidden="1" outlineLevel="1">
      <c r="A229" s="12" t="s">
        <v>213</v>
      </c>
      <c r="B229" s="8" t="s">
        <v>270</v>
      </c>
      <c r="I229" s="136" t="s">
        <v>215</v>
      </c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5">
        <f>SUM(J229:U229)</f>
        <v>0</v>
      </c>
      <c r="W229" s="73" t="e">
        <f t="shared" si="24"/>
        <v>#DIV/0!</v>
      </c>
      <c r="X229" s="89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234"/>
      <c r="AK229" s="235">
        <f>SUM(Y229:AJ229)</f>
        <v>0</v>
      </c>
      <c r="AL229" s="73" t="e">
        <f t="shared" si="26"/>
        <v>#DIV/0!</v>
      </c>
      <c r="AM229" s="14">
        <f t="shared" si="29"/>
        <v>0</v>
      </c>
      <c r="AN229" s="9"/>
    </row>
    <row r="230" spans="1:40" hidden="1" outlineLevel="1">
      <c r="A230" s="12" t="s">
        <v>213</v>
      </c>
      <c r="B230" s="8" t="s">
        <v>270</v>
      </c>
      <c r="I230" s="136" t="s">
        <v>216</v>
      </c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5">
        <f>SUM(J230:U230)</f>
        <v>0</v>
      </c>
      <c r="W230" s="73" t="e">
        <f t="shared" si="24"/>
        <v>#DIV/0!</v>
      </c>
      <c r="X230" s="89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234"/>
      <c r="AK230" s="235">
        <f t="shared" ref="AK230:AK232" si="34">SUM(Y230:AJ230)</f>
        <v>0</v>
      </c>
      <c r="AL230" s="73" t="e">
        <f t="shared" si="26"/>
        <v>#DIV/0!</v>
      </c>
      <c r="AM230" s="14">
        <f t="shared" si="29"/>
        <v>0</v>
      </c>
      <c r="AN230" s="9"/>
    </row>
    <row r="231" spans="1:40" hidden="1" outlineLevel="1">
      <c r="A231" s="12" t="s">
        <v>213</v>
      </c>
      <c r="B231" s="8" t="s">
        <v>270</v>
      </c>
      <c r="I231" s="136" t="s">
        <v>217</v>
      </c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5">
        <f>SUM(J231:U231)</f>
        <v>0</v>
      </c>
      <c r="W231" s="73" t="e">
        <f t="shared" si="24"/>
        <v>#DIV/0!</v>
      </c>
      <c r="X231" s="89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234"/>
      <c r="AK231" s="235">
        <f t="shared" si="34"/>
        <v>0</v>
      </c>
      <c r="AL231" s="73" t="e">
        <f t="shared" si="26"/>
        <v>#DIV/0!</v>
      </c>
      <c r="AM231" s="14">
        <f t="shared" si="29"/>
        <v>0</v>
      </c>
      <c r="AN231" s="9"/>
    </row>
    <row r="232" spans="1:40" hidden="1" outlineLevel="1">
      <c r="A232" s="12" t="s">
        <v>213</v>
      </c>
      <c r="B232" s="8" t="s">
        <v>270</v>
      </c>
      <c r="I232" s="136" t="s">
        <v>287</v>
      </c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5">
        <f>SUM(J232:U232)</f>
        <v>0</v>
      </c>
      <c r="W232" s="73" t="e">
        <f t="shared" si="24"/>
        <v>#DIV/0!</v>
      </c>
      <c r="X232" s="89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235">
        <f t="shared" si="34"/>
        <v>0</v>
      </c>
      <c r="AL232" s="73" t="e">
        <f t="shared" si="26"/>
        <v>#DIV/0!</v>
      </c>
      <c r="AM232" s="14">
        <f t="shared" si="29"/>
        <v>0</v>
      </c>
      <c r="AN232" s="9"/>
    </row>
    <row r="233" spans="1:40" collapsed="1">
      <c r="A233" s="12" t="s">
        <v>219</v>
      </c>
      <c r="B233" s="8" t="s">
        <v>270</v>
      </c>
      <c r="I233" s="119" t="s">
        <v>220</v>
      </c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>
        <f>SUM(V234:V238)</f>
        <v>0</v>
      </c>
      <c r="W233" s="72" t="e">
        <f t="shared" si="24"/>
        <v>#DIV/0!</v>
      </c>
      <c r="X233" s="89"/>
      <c r="Y233" s="231">
        <f>SUM(Y234:Y242)</f>
        <v>0</v>
      </c>
      <c r="Z233" s="231">
        <f t="shared" ref="Z233:AK233" si="35">SUM(Z234:Z242)</f>
        <v>0</v>
      </c>
      <c r="AA233" s="231">
        <f t="shared" si="35"/>
        <v>0</v>
      </c>
      <c r="AB233" s="231">
        <f t="shared" si="35"/>
        <v>0</v>
      </c>
      <c r="AC233" s="231">
        <f t="shared" si="35"/>
        <v>0</v>
      </c>
      <c r="AD233" s="231">
        <f t="shared" si="35"/>
        <v>0</v>
      </c>
      <c r="AE233" s="231">
        <f t="shared" si="35"/>
        <v>0</v>
      </c>
      <c r="AF233" s="231">
        <f t="shared" si="35"/>
        <v>0</v>
      </c>
      <c r="AG233" s="231">
        <f t="shared" si="35"/>
        <v>0</v>
      </c>
      <c r="AH233" s="231">
        <f t="shared" si="35"/>
        <v>0</v>
      </c>
      <c r="AI233" s="231">
        <f t="shared" si="35"/>
        <v>0</v>
      </c>
      <c r="AJ233" s="231">
        <f t="shared" si="35"/>
        <v>0</v>
      </c>
      <c r="AK233" s="231">
        <f t="shared" si="35"/>
        <v>0</v>
      </c>
      <c r="AL233" s="72" t="e">
        <f t="shared" si="26"/>
        <v>#DIV/0!</v>
      </c>
      <c r="AM233" s="10">
        <f t="shared" si="29"/>
        <v>0</v>
      </c>
      <c r="AN233" s="9"/>
    </row>
    <row r="234" spans="1:40" hidden="1" outlineLevel="1">
      <c r="A234" s="12" t="s">
        <v>219</v>
      </c>
      <c r="B234" s="8" t="s">
        <v>270</v>
      </c>
      <c r="I234" s="136" t="s">
        <v>226</v>
      </c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35">
        <f>SUM(J234:U234)</f>
        <v>0</v>
      </c>
      <c r="W234" s="73" t="e">
        <f t="shared" si="24"/>
        <v>#DIV/0!</v>
      </c>
      <c r="X234" s="89"/>
      <c r="Y234" s="242"/>
      <c r="Z234" s="242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35">
        <f>SUM(Y234:AJ234)</f>
        <v>0</v>
      </c>
      <c r="AL234" s="73" t="e">
        <f t="shared" si="26"/>
        <v>#DIV/0!</v>
      </c>
      <c r="AM234" s="14">
        <f t="shared" si="29"/>
        <v>0</v>
      </c>
      <c r="AN234" s="9"/>
    </row>
    <row r="235" spans="1:40" hidden="1" outlineLevel="1">
      <c r="A235" s="12" t="s">
        <v>219</v>
      </c>
      <c r="B235" s="8" t="s">
        <v>270</v>
      </c>
      <c r="I235" s="136" t="s">
        <v>244</v>
      </c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35">
        <f>SUM(J235:U235)</f>
        <v>0</v>
      </c>
      <c r="W235" s="73" t="e">
        <f t="shared" ref="W235:W258" si="36">V235/V$6</f>
        <v>#DIV/0!</v>
      </c>
      <c r="X235" s="89"/>
      <c r="Y235" s="242"/>
      <c r="Z235" s="242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35">
        <f t="shared" ref="AK235:AK242" si="37">SUM(Y235:AJ235)</f>
        <v>0</v>
      </c>
      <c r="AL235" s="73" t="e">
        <f t="shared" ref="AL235:AL258" si="38">AK235/AK$6</f>
        <v>#DIV/0!</v>
      </c>
      <c r="AM235" s="14">
        <f t="shared" si="29"/>
        <v>0</v>
      </c>
      <c r="AN235" s="9"/>
    </row>
    <row r="236" spans="1:40" hidden="1" outlineLevel="1">
      <c r="A236" s="12" t="s">
        <v>219</v>
      </c>
      <c r="B236" s="8" t="s">
        <v>270</v>
      </c>
      <c r="I236" s="136" t="s">
        <v>288</v>
      </c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35">
        <f>SUM(J236:U236)</f>
        <v>0</v>
      </c>
      <c r="W236" s="73" t="e">
        <f t="shared" si="36"/>
        <v>#DIV/0!</v>
      </c>
      <c r="X236" s="89"/>
      <c r="Y236" s="242"/>
      <c r="Z236" s="242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35">
        <f t="shared" si="37"/>
        <v>0</v>
      </c>
      <c r="AL236" s="73" t="e">
        <f t="shared" si="38"/>
        <v>#DIV/0!</v>
      </c>
      <c r="AM236" s="14">
        <f t="shared" si="29"/>
        <v>0</v>
      </c>
      <c r="AN236" s="9"/>
    </row>
    <row r="237" spans="1:40" hidden="1" outlineLevel="1">
      <c r="A237" s="12" t="s">
        <v>219</v>
      </c>
      <c r="B237" s="8" t="s">
        <v>270</v>
      </c>
      <c r="I237" s="136" t="s">
        <v>221</v>
      </c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35">
        <f>SUM(J237:U237)</f>
        <v>0</v>
      </c>
      <c r="W237" s="73" t="e">
        <f t="shared" si="36"/>
        <v>#DIV/0!</v>
      </c>
      <c r="X237" s="89"/>
      <c r="Y237" s="242"/>
      <c r="Z237" s="242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35">
        <f t="shared" si="37"/>
        <v>0</v>
      </c>
      <c r="AL237" s="73" t="e">
        <f t="shared" si="38"/>
        <v>#DIV/0!</v>
      </c>
      <c r="AM237" s="14">
        <f t="shared" si="29"/>
        <v>0</v>
      </c>
      <c r="AN237" s="9"/>
    </row>
    <row r="238" spans="1:40" hidden="1" outlineLevel="1">
      <c r="A238" s="12" t="s">
        <v>219</v>
      </c>
      <c r="B238" s="8" t="s">
        <v>270</v>
      </c>
      <c r="I238" s="136" t="s">
        <v>246</v>
      </c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35">
        <f>SUM(J238:U238)</f>
        <v>0</v>
      </c>
      <c r="W238" s="73" t="e">
        <f t="shared" si="36"/>
        <v>#DIV/0!</v>
      </c>
      <c r="X238" s="89"/>
      <c r="Y238" s="242"/>
      <c r="Z238" s="242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35">
        <f t="shared" si="37"/>
        <v>0</v>
      </c>
      <c r="AL238" s="73" t="e">
        <f t="shared" si="38"/>
        <v>#DIV/0!</v>
      </c>
      <c r="AM238" s="14">
        <f t="shared" si="29"/>
        <v>0</v>
      </c>
      <c r="AN238" s="9"/>
    </row>
    <row r="239" spans="1:40" hidden="1" outlineLevel="1">
      <c r="A239" s="12"/>
      <c r="I239" s="136" t="s">
        <v>289</v>
      </c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35">
        <f t="shared" ref="V239:V242" si="39">SUM(J239:U239)</f>
        <v>0</v>
      </c>
      <c r="W239" s="73" t="e">
        <f t="shared" si="36"/>
        <v>#DIV/0!</v>
      </c>
      <c r="X239" s="89"/>
      <c r="Y239" s="242"/>
      <c r="Z239" s="242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35">
        <f t="shared" si="37"/>
        <v>0</v>
      </c>
      <c r="AL239" s="73" t="e">
        <f t="shared" si="38"/>
        <v>#DIV/0!</v>
      </c>
      <c r="AM239" s="14">
        <f t="shared" si="29"/>
        <v>0</v>
      </c>
      <c r="AN239" s="9"/>
    </row>
    <row r="240" spans="1:40" hidden="1" outlineLevel="1">
      <c r="A240" s="12"/>
      <c r="I240" s="136" t="s">
        <v>225</v>
      </c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35">
        <f t="shared" si="39"/>
        <v>0</v>
      </c>
      <c r="W240" s="73" t="e">
        <f t="shared" si="36"/>
        <v>#DIV/0!</v>
      </c>
      <c r="X240" s="89"/>
      <c r="Y240" s="242"/>
      <c r="Z240" s="242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35">
        <f t="shared" si="37"/>
        <v>0</v>
      </c>
      <c r="AL240" s="73" t="e">
        <f t="shared" si="38"/>
        <v>#DIV/0!</v>
      </c>
      <c r="AM240" s="14">
        <f t="shared" si="29"/>
        <v>0</v>
      </c>
      <c r="AN240" s="9"/>
    </row>
    <row r="241" spans="1:40" hidden="1" outlineLevel="1">
      <c r="A241" s="12"/>
      <c r="I241" s="136" t="s">
        <v>290</v>
      </c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35">
        <f t="shared" si="39"/>
        <v>0</v>
      </c>
      <c r="W241" s="73" t="e">
        <f t="shared" si="36"/>
        <v>#DIV/0!</v>
      </c>
      <c r="X241" s="89"/>
      <c r="Y241" s="242"/>
      <c r="Z241" s="242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35">
        <f t="shared" si="37"/>
        <v>0</v>
      </c>
      <c r="AL241" s="73" t="e">
        <f t="shared" si="38"/>
        <v>#DIV/0!</v>
      </c>
      <c r="AM241" s="14">
        <f t="shared" si="29"/>
        <v>0</v>
      </c>
      <c r="AN241" s="9"/>
    </row>
    <row r="242" spans="1:40" hidden="1" outlineLevel="1">
      <c r="A242" s="12"/>
      <c r="I242" s="136" t="s">
        <v>81</v>
      </c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35">
        <f t="shared" si="39"/>
        <v>0</v>
      </c>
      <c r="W242" s="73" t="e">
        <f t="shared" si="36"/>
        <v>#DIV/0!</v>
      </c>
      <c r="X242" s="89"/>
      <c r="Y242" s="242"/>
      <c r="Z242" s="242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35">
        <f t="shared" si="37"/>
        <v>0</v>
      </c>
      <c r="AL242" s="73" t="e">
        <f t="shared" si="38"/>
        <v>#DIV/0!</v>
      </c>
      <c r="AM242" s="14">
        <f t="shared" si="29"/>
        <v>0</v>
      </c>
      <c r="AN242" s="9"/>
    </row>
    <row r="243" spans="1:40" collapsed="1">
      <c r="A243" s="12" t="s">
        <v>256</v>
      </c>
      <c r="B243" s="8" t="s">
        <v>270</v>
      </c>
      <c r="I243" s="120" t="s">
        <v>257</v>
      </c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>
        <f>SUM(V244:V249)</f>
        <v>0</v>
      </c>
      <c r="W243" s="72" t="e">
        <f t="shared" si="36"/>
        <v>#DIV/0!</v>
      </c>
      <c r="X243" s="89"/>
      <c r="Y243" s="231">
        <f t="shared" ref="Y243:AK243" si="40">SUM(Y244:Y249)</f>
        <v>0</v>
      </c>
      <c r="Z243" s="231">
        <f t="shared" si="40"/>
        <v>0</v>
      </c>
      <c r="AA243" s="231">
        <f t="shared" si="40"/>
        <v>0</v>
      </c>
      <c r="AB243" s="231">
        <f t="shared" si="40"/>
        <v>0</v>
      </c>
      <c r="AC243" s="231">
        <f t="shared" si="40"/>
        <v>0</v>
      </c>
      <c r="AD243" s="231">
        <f t="shared" si="40"/>
        <v>0</v>
      </c>
      <c r="AE243" s="231">
        <f t="shared" si="40"/>
        <v>0</v>
      </c>
      <c r="AF243" s="231">
        <f t="shared" si="40"/>
        <v>0</v>
      </c>
      <c r="AG243" s="231">
        <f t="shared" si="40"/>
        <v>0</v>
      </c>
      <c r="AH243" s="231">
        <f t="shared" si="40"/>
        <v>0</v>
      </c>
      <c r="AI243" s="231">
        <f t="shared" si="40"/>
        <v>0</v>
      </c>
      <c r="AJ243" s="231">
        <f t="shared" si="40"/>
        <v>0</v>
      </c>
      <c r="AK243" s="231">
        <f t="shared" si="40"/>
        <v>0</v>
      </c>
      <c r="AL243" s="72" t="e">
        <f t="shared" si="38"/>
        <v>#DIV/0!</v>
      </c>
      <c r="AM243" s="10">
        <f t="shared" si="29"/>
        <v>0</v>
      </c>
      <c r="AN243" s="9"/>
    </row>
    <row r="244" spans="1:40" hidden="1" outlineLevel="1">
      <c r="A244" s="12" t="s">
        <v>256</v>
      </c>
      <c r="B244" s="8" t="s">
        <v>270</v>
      </c>
      <c r="I244" s="136" t="s">
        <v>264</v>
      </c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35">
        <f t="shared" ref="V244:V249" si="41">SUM(J244:U244)</f>
        <v>0</v>
      </c>
      <c r="W244" s="73" t="e">
        <f t="shared" si="36"/>
        <v>#DIV/0!</v>
      </c>
      <c r="X244" s="89"/>
      <c r="Y244" s="242"/>
      <c r="Z244" s="242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35">
        <f t="shared" ref="AK244:AK249" si="42">SUM(Y244:AJ244)</f>
        <v>0</v>
      </c>
      <c r="AL244" s="73" t="e">
        <f t="shared" si="38"/>
        <v>#DIV/0!</v>
      </c>
      <c r="AM244" s="14">
        <f t="shared" si="29"/>
        <v>0</v>
      </c>
      <c r="AN244" s="9"/>
    </row>
    <row r="245" spans="1:40" hidden="1" outlineLevel="1">
      <c r="A245" s="12" t="s">
        <v>256</v>
      </c>
      <c r="B245" s="8" t="s">
        <v>270</v>
      </c>
      <c r="C245" s="19" t="s">
        <v>291</v>
      </c>
      <c r="I245" s="136" t="s">
        <v>259</v>
      </c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35">
        <f t="shared" si="41"/>
        <v>0</v>
      </c>
      <c r="W245" s="73" t="e">
        <f t="shared" si="36"/>
        <v>#DIV/0!</v>
      </c>
      <c r="X245" s="89"/>
      <c r="Y245" s="242"/>
      <c r="Z245" s="242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35">
        <f t="shared" si="42"/>
        <v>0</v>
      </c>
      <c r="AL245" s="73" t="e">
        <f t="shared" si="38"/>
        <v>#DIV/0!</v>
      </c>
      <c r="AM245" s="14">
        <f t="shared" si="29"/>
        <v>0</v>
      </c>
      <c r="AN245" s="9"/>
    </row>
    <row r="246" spans="1:40" hidden="1" outlineLevel="1">
      <c r="A246" s="12" t="s">
        <v>256</v>
      </c>
      <c r="B246" s="8" t="s">
        <v>270</v>
      </c>
      <c r="I246" s="136" t="s">
        <v>292</v>
      </c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35">
        <f t="shared" si="41"/>
        <v>0</v>
      </c>
      <c r="W246" s="73" t="e">
        <f t="shared" si="36"/>
        <v>#DIV/0!</v>
      </c>
      <c r="X246" s="89"/>
      <c r="Y246" s="242"/>
      <c r="Z246" s="242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35">
        <f t="shared" si="42"/>
        <v>0</v>
      </c>
      <c r="AL246" s="73" t="e">
        <f t="shared" si="38"/>
        <v>#DIV/0!</v>
      </c>
      <c r="AM246" s="14">
        <f t="shared" si="29"/>
        <v>0</v>
      </c>
      <c r="AN246" s="9"/>
    </row>
    <row r="247" spans="1:40" hidden="1" outlineLevel="1">
      <c r="A247" s="12" t="s">
        <v>256</v>
      </c>
      <c r="B247" s="8" t="s">
        <v>270</v>
      </c>
      <c r="I247" s="136" t="s">
        <v>263</v>
      </c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35">
        <f t="shared" si="41"/>
        <v>0</v>
      </c>
      <c r="W247" s="73" t="e">
        <f t="shared" si="36"/>
        <v>#DIV/0!</v>
      </c>
      <c r="X247" s="89"/>
      <c r="Y247" s="242"/>
      <c r="Z247" s="242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35">
        <f t="shared" si="42"/>
        <v>0</v>
      </c>
      <c r="AL247" s="73" t="e">
        <f t="shared" si="38"/>
        <v>#DIV/0!</v>
      </c>
      <c r="AM247" s="14">
        <f t="shared" si="29"/>
        <v>0</v>
      </c>
      <c r="AN247" s="9"/>
    </row>
    <row r="248" spans="1:40" hidden="1" outlineLevel="1">
      <c r="A248" s="12" t="s">
        <v>256</v>
      </c>
      <c r="B248" s="8" t="s">
        <v>270</v>
      </c>
      <c r="I248" s="136" t="s">
        <v>260</v>
      </c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35">
        <f t="shared" si="41"/>
        <v>0</v>
      </c>
      <c r="W248" s="73" t="e">
        <f t="shared" si="36"/>
        <v>#DIV/0!</v>
      </c>
      <c r="X248" s="89"/>
      <c r="Y248" s="242"/>
      <c r="Z248" s="242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35">
        <f t="shared" si="42"/>
        <v>0</v>
      </c>
      <c r="AL248" s="73" t="e">
        <f t="shared" si="38"/>
        <v>#DIV/0!</v>
      </c>
      <c r="AM248" s="14">
        <f t="shared" si="29"/>
        <v>0</v>
      </c>
      <c r="AN248" s="9"/>
    </row>
    <row r="249" spans="1:40" hidden="1" outlineLevel="1">
      <c r="A249" s="12" t="s">
        <v>256</v>
      </c>
      <c r="B249" s="8" t="s">
        <v>270</v>
      </c>
      <c r="I249" s="136" t="s">
        <v>293</v>
      </c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35">
        <f t="shared" si="41"/>
        <v>0</v>
      </c>
      <c r="W249" s="73" t="e">
        <f t="shared" si="36"/>
        <v>#DIV/0!</v>
      </c>
      <c r="X249" s="89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35">
        <f t="shared" si="42"/>
        <v>0</v>
      </c>
      <c r="AL249" s="73" t="e">
        <f t="shared" si="38"/>
        <v>#DIV/0!</v>
      </c>
      <c r="AM249" s="14">
        <f t="shared" si="29"/>
        <v>0</v>
      </c>
      <c r="AN249" s="9"/>
    </row>
    <row r="250" spans="1:40">
      <c r="I250" s="128" t="s">
        <v>294</v>
      </c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>
        <f>V161+V211+V228+V233+V243</f>
        <v>0</v>
      </c>
      <c r="W250" s="72" t="e">
        <f t="shared" si="36"/>
        <v>#DIV/0!</v>
      </c>
      <c r="X250" s="89"/>
      <c r="Y250" s="231">
        <f t="shared" ref="Y250:AJ250" si="43">Y161+Y211+Y228+Y233+Y243</f>
        <v>0</v>
      </c>
      <c r="Z250" s="231">
        <f t="shared" si="43"/>
        <v>0</v>
      </c>
      <c r="AA250" s="231">
        <f t="shared" si="43"/>
        <v>0</v>
      </c>
      <c r="AB250" s="231">
        <f t="shared" si="43"/>
        <v>0</v>
      </c>
      <c r="AC250" s="231">
        <f t="shared" si="43"/>
        <v>0</v>
      </c>
      <c r="AD250" s="231">
        <f t="shared" si="43"/>
        <v>0</v>
      </c>
      <c r="AE250" s="231">
        <f t="shared" si="43"/>
        <v>0</v>
      </c>
      <c r="AF250" s="231">
        <f t="shared" si="43"/>
        <v>0</v>
      </c>
      <c r="AG250" s="231">
        <f t="shared" si="43"/>
        <v>0</v>
      </c>
      <c r="AH250" s="231">
        <f t="shared" si="43"/>
        <v>0</v>
      </c>
      <c r="AI250" s="231">
        <f t="shared" si="43"/>
        <v>0</v>
      </c>
      <c r="AJ250" s="231">
        <f t="shared" si="43"/>
        <v>0</v>
      </c>
      <c r="AK250" s="231">
        <f>AK161+AK211+AK228+AK233+AK243</f>
        <v>0</v>
      </c>
      <c r="AL250" s="72" t="e">
        <f t="shared" si="38"/>
        <v>#DIV/0!</v>
      </c>
      <c r="AM250" s="10">
        <f t="shared" si="29"/>
        <v>0</v>
      </c>
      <c r="AN250" s="9"/>
    </row>
    <row r="251" spans="1:40">
      <c r="I251" s="128" t="s">
        <v>295</v>
      </c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72"/>
      <c r="X251" s="89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  <c r="AJ251" s="231"/>
      <c r="AK251" s="231"/>
      <c r="AL251" s="72"/>
      <c r="AM251" s="10"/>
      <c r="AN251" s="9"/>
    </row>
    <row r="252" spans="1:40">
      <c r="I252" s="18" t="s">
        <v>266</v>
      </c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>
        <f>IFERROR(V250/V39,0)</f>
        <v>0</v>
      </c>
      <c r="W252" s="73" t="e">
        <f t="shared" si="36"/>
        <v>#DIV/0!</v>
      </c>
      <c r="X252" s="89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1"/>
      <c r="AK252" s="241">
        <f>IFERROR(AK250/AK39,0)</f>
        <v>0</v>
      </c>
      <c r="AL252" s="73" t="e">
        <f t="shared" si="38"/>
        <v>#DIV/0!</v>
      </c>
      <c r="AM252" s="16">
        <f t="shared" si="29"/>
        <v>0</v>
      </c>
      <c r="AN252" s="9"/>
    </row>
    <row r="253" spans="1:40" ht="15.6">
      <c r="I253" s="139" t="s">
        <v>296</v>
      </c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>
        <f>V157-V250</f>
        <v>0</v>
      </c>
      <c r="W253" s="168" t="e">
        <f t="shared" si="36"/>
        <v>#DIV/0!</v>
      </c>
      <c r="X253" s="91"/>
      <c r="Y253" s="134">
        <f t="shared" ref="Y253:AK253" si="44">Y157-Y250</f>
        <v>0</v>
      </c>
      <c r="Z253" s="134">
        <f t="shared" si="44"/>
        <v>0</v>
      </c>
      <c r="AA253" s="134">
        <f t="shared" si="44"/>
        <v>0</v>
      </c>
      <c r="AB253" s="134">
        <f t="shared" si="44"/>
        <v>0</v>
      </c>
      <c r="AC253" s="134">
        <f t="shared" si="44"/>
        <v>0</v>
      </c>
      <c r="AD253" s="134">
        <f t="shared" si="44"/>
        <v>0</v>
      </c>
      <c r="AE253" s="134">
        <f t="shared" si="44"/>
        <v>0</v>
      </c>
      <c r="AF253" s="134">
        <f t="shared" si="44"/>
        <v>0</v>
      </c>
      <c r="AG253" s="134">
        <f t="shared" si="44"/>
        <v>0</v>
      </c>
      <c r="AH253" s="134">
        <f t="shared" si="44"/>
        <v>0</v>
      </c>
      <c r="AI253" s="134">
        <f t="shared" si="44"/>
        <v>0</v>
      </c>
      <c r="AJ253" s="134">
        <f t="shared" si="44"/>
        <v>0</v>
      </c>
      <c r="AK253" s="134">
        <f t="shared" si="44"/>
        <v>0</v>
      </c>
      <c r="AL253" s="168" t="e">
        <f t="shared" si="38"/>
        <v>#DIV/0!</v>
      </c>
      <c r="AM253" s="154">
        <f t="shared" si="29"/>
        <v>0</v>
      </c>
      <c r="AN253" s="9"/>
    </row>
    <row r="254" spans="1:40">
      <c r="I254" s="18" t="s">
        <v>297</v>
      </c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>
        <f>IFERROR(V156+V252,0)</f>
        <v>0</v>
      </c>
      <c r="W254" s="74" t="e">
        <f t="shared" si="36"/>
        <v>#DIV/0!</v>
      </c>
      <c r="X254" s="90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1"/>
      <c r="AK254" s="241">
        <f>IFERROR(AK156+AK252,0)</f>
        <v>0</v>
      </c>
      <c r="AL254" s="74" t="e">
        <f t="shared" si="38"/>
        <v>#DIV/0!</v>
      </c>
      <c r="AM254" s="16">
        <f t="shared" si="29"/>
        <v>0</v>
      </c>
      <c r="AN254" s="9"/>
    </row>
    <row r="255" spans="1:40">
      <c r="I255" s="18" t="s">
        <v>298</v>
      </c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>
        <f>IFERROR(V253/V39,0)</f>
        <v>0</v>
      </c>
      <c r="W255" s="74" t="e">
        <f t="shared" si="36"/>
        <v>#DIV/0!</v>
      </c>
      <c r="X255" s="90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>
        <f>IFERROR(AK253/AK39,0)</f>
        <v>0</v>
      </c>
      <c r="AL255" s="74" t="e">
        <f t="shared" si="38"/>
        <v>#DIV/0!</v>
      </c>
      <c r="AM255" s="16">
        <f t="shared" si="29"/>
        <v>0</v>
      </c>
      <c r="AN255" s="9"/>
    </row>
    <row r="256" spans="1:40" ht="15.6">
      <c r="I256" s="139" t="s">
        <v>299</v>
      </c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>
        <f>V160-V254</f>
        <v>0</v>
      </c>
      <c r="W256" s="168" t="e">
        <f t="shared" si="36"/>
        <v>#DIV/0!</v>
      </c>
      <c r="X256" s="91"/>
      <c r="Y256" s="134">
        <f t="shared" ref="Y256:AK256" si="45">Y160-Y254</f>
        <v>0</v>
      </c>
      <c r="Z256" s="134">
        <f t="shared" si="45"/>
        <v>0</v>
      </c>
      <c r="AA256" s="134">
        <f t="shared" si="45"/>
        <v>0</v>
      </c>
      <c r="AB256" s="134">
        <f t="shared" si="45"/>
        <v>0</v>
      </c>
      <c r="AC256" s="134">
        <f t="shared" si="45"/>
        <v>0</v>
      </c>
      <c r="AD256" s="134">
        <f t="shared" si="45"/>
        <v>0</v>
      </c>
      <c r="AE256" s="134">
        <f t="shared" si="45"/>
        <v>0</v>
      </c>
      <c r="AF256" s="134">
        <f t="shared" si="45"/>
        <v>0</v>
      </c>
      <c r="AG256" s="134">
        <f t="shared" si="45"/>
        <v>0</v>
      </c>
      <c r="AH256" s="134">
        <f t="shared" si="45"/>
        <v>0</v>
      </c>
      <c r="AI256" s="134">
        <f t="shared" si="45"/>
        <v>0</v>
      </c>
      <c r="AJ256" s="134">
        <f t="shared" si="45"/>
        <v>0</v>
      </c>
      <c r="AK256" s="134">
        <f t="shared" si="45"/>
        <v>0</v>
      </c>
      <c r="AL256" s="168" t="e">
        <f t="shared" si="38"/>
        <v>#DIV/0!</v>
      </c>
      <c r="AM256" s="154">
        <f t="shared" si="29"/>
        <v>0</v>
      </c>
      <c r="AN256" s="9"/>
    </row>
    <row r="257" spans="1:40">
      <c r="I257" s="18" t="s">
        <v>300</v>
      </c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>
        <f>IFERROR(V159+V255,0)</f>
        <v>0</v>
      </c>
      <c r="W257" s="74" t="e">
        <f t="shared" si="36"/>
        <v>#DIV/0!</v>
      </c>
      <c r="X257" s="90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>
        <f>IFERROR(AK159+AK255,0)</f>
        <v>0</v>
      </c>
      <c r="AL257" s="74" t="e">
        <f t="shared" si="38"/>
        <v>#DIV/0!</v>
      </c>
      <c r="AM257" s="16">
        <f t="shared" si="29"/>
        <v>0</v>
      </c>
      <c r="AN257" s="9"/>
    </row>
    <row r="258" spans="1:40">
      <c r="I258" s="18" t="s">
        <v>301</v>
      </c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>
        <f>IFERROR(V256/V42,0)</f>
        <v>0</v>
      </c>
      <c r="W258" s="74" t="e">
        <f t="shared" si="36"/>
        <v>#DIV/0!</v>
      </c>
      <c r="X258" s="90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>
        <f>IFERROR(AK256/AK42,0)</f>
        <v>0</v>
      </c>
      <c r="AL258" s="74" t="e">
        <f t="shared" si="38"/>
        <v>#DIV/0!</v>
      </c>
      <c r="AM258" s="16">
        <f t="shared" si="29"/>
        <v>0</v>
      </c>
      <c r="AN258" s="9"/>
    </row>
    <row r="259" spans="1:40">
      <c r="I259" s="136"/>
      <c r="J259" s="132"/>
      <c r="K259" s="132"/>
      <c r="L259" s="132"/>
      <c r="M259" s="133"/>
      <c r="N259" s="133"/>
      <c r="O259" s="133"/>
      <c r="P259" s="133"/>
      <c r="Q259" s="132"/>
      <c r="R259" s="133"/>
      <c r="S259" s="133"/>
      <c r="T259" s="133"/>
      <c r="U259" s="132"/>
      <c r="V259" s="132"/>
      <c r="W259" s="78"/>
      <c r="X259" s="89"/>
      <c r="Y259" s="132"/>
      <c r="Z259" s="132"/>
      <c r="AA259" s="132"/>
      <c r="AB259" s="133"/>
      <c r="AC259" s="133"/>
      <c r="AD259" s="133"/>
      <c r="AE259" s="133"/>
      <c r="AF259" s="132"/>
      <c r="AG259" s="133"/>
      <c r="AH259" s="133"/>
      <c r="AI259" s="133"/>
      <c r="AJ259" s="132"/>
      <c r="AK259" s="132"/>
      <c r="AL259" s="78"/>
      <c r="AM259" s="155"/>
      <c r="AN259" s="9"/>
    </row>
    <row r="260" spans="1:40" collapsed="1">
      <c r="A260" s="12" t="s">
        <v>302</v>
      </c>
      <c r="E260" s="7" t="s">
        <v>87</v>
      </c>
      <c r="I260" s="148" t="s">
        <v>303</v>
      </c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>
        <f>SUM(V261:V267)</f>
        <v>0</v>
      </c>
      <c r="W260" s="72" t="e">
        <f>V260/V$6</f>
        <v>#DIV/0!</v>
      </c>
      <c r="X260" s="89"/>
      <c r="Y260" s="231">
        <f t="shared" ref="Y260:AK260" si="46">SUM(Y261:Y267)</f>
        <v>0</v>
      </c>
      <c r="Z260" s="231">
        <f t="shared" si="46"/>
        <v>0</v>
      </c>
      <c r="AA260" s="231">
        <f t="shared" si="46"/>
        <v>0</v>
      </c>
      <c r="AB260" s="231">
        <f t="shared" si="46"/>
        <v>0</v>
      </c>
      <c r="AC260" s="231">
        <f t="shared" si="46"/>
        <v>0</v>
      </c>
      <c r="AD260" s="231">
        <f t="shared" si="46"/>
        <v>0</v>
      </c>
      <c r="AE260" s="231">
        <f t="shared" si="46"/>
        <v>0</v>
      </c>
      <c r="AF260" s="231">
        <f t="shared" si="46"/>
        <v>0</v>
      </c>
      <c r="AG260" s="231">
        <f t="shared" si="46"/>
        <v>0</v>
      </c>
      <c r="AH260" s="231">
        <f t="shared" si="46"/>
        <v>0</v>
      </c>
      <c r="AI260" s="231">
        <f t="shared" si="46"/>
        <v>0</v>
      </c>
      <c r="AJ260" s="231">
        <f t="shared" si="46"/>
        <v>0</v>
      </c>
      <c r="AK260" s="231">
        <f t="shared" si="46"/>
        <v>0</v>
      </c>
      <c r="AL260" s="72" t="e">
        <f>AK260/AK$6</f>
        <v>#DIV/0!</v>
      </c>
      <c r="AM260" s="10">
        <f t="shared" si="29"/>
        <v>0</v>
      </c>
      <c r="AN260" s="9"/>
    </row>
    <row r="261" spans="1:40" hidden="1" outlineLevel="1">
      <c r="A261" s="12" t="s">
        <v>302</v>
      </c>
      <c r="I261" s="136" t="s">
        <v>304</v>
      </c>
      <c r="J261" s="242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35">
        <f>SUM(J261:U261)</f>
        <v>0</v>
      </c>
      <c r="W261" s="73" t="e">
        <f>V261/V$6</f>
        <v>#DIV/0!</v>
      </c>
      <c r="X261" s="89"/>
      <c r="Y261" s="242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35">
        <f>SUM(Y261:AJ261)</f>
        <v>0</v>
      </c>
      <c r="AL261" s="73" t="e">
        <f>AK261/AK$6</f>
        <v>#DIV/0!</v>
      </c>
      <c r="AM261" s="14">
        <f t="shared" si="29"/>
        <v>0</v>
      </c>
      <c r="AN261" s="9"/>
    </row>
    <row r="262" spans="1:40">
      <c r="I262" s="211" t="s">
        <v>305</v>
      </c>
    </row>
    <row r="263" spans="1:40" collapsed="1">
      <c r="I263" s="211" t="s">
        <v>306</v>
      </c>
    </row>
    <row r="264" spans="1:40" hidden="1" outlineLevel="1">
      <c r="A264" s="12"/>
      <c r="I264" s="211" t="s">
        <v>307</v>
      </c>
      <c r="J264" s="247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09"/>
      <c r="X264" s="89"/>
      <c r="Y264" s="247"/>
      <c r="Z264" s="248"/>
      <c r="AA264" s="248"/>
      <c r="AB264" s="248"/>
      <c r="AC264" s="248"/>
      <c r="AD264" s="248"/>
      <c r="AE264" s="248"/>
      <c r="AF264" s="248"/>
      <c r="AG264" s="248"/>
      <c r="AH264" s="248"/>
      <c r="AI264" s="248"/>
      <c r="AJ264" s="248"/>
      <c r="AK264" s="248"/>
      <c r="AL264" s="209"/>
      <c r="AM264" s="210"/>
      <c r="AN264" s="9"/>
    </row>
    <row r="265" spans="1:40" hidden="1" outlineLevel="1">
      <c r="A265" s="12"/>
      <c r="I265" s="136" t="s">
        <v>308</v>
      </c>
      <c r="J265" s="242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35">
        <f>SUM(J265:U265)</f>
        <v>0</v>
      </c>
      <c r="W265" s="73" t="e">
        <f>V265/V$6</f>
        <v>#DIV/0!</v>
      </c>
      <c r="X265" s="89"/>
      <c r="Y265" s="242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35">
        <f>SUM(Y265:AJ265)</f>
        <v>0</v>
      </c>
      <c r="AL265" s="73" t="e">
        <f>AK265/AK$6</f>
        <v>#DIV/0!</v>
      </c>
      <c r="AM265" s="14">
        <f>IFERROR(AK265/V265-1,0)</f>
        <v>0</v>
      </c>
      <c r="AN265" s="9"/>
    </row>
    <row r="266" spans="1:40" collapsed="1">
      <c r="I266" s="5" t="s">
        <v>309</v>
      </c>
    </row>
    <row r="267" spans="1:40" hidden="1" outlineLevel="1">
      <c r="A267" s="12" t="s">
        <v>302</v>
      </c>
      <c r="I267" s="136" t="s">
        <v>310</v>
      </c>
      <c r="J267" s="242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35">
        <f>SUM(J267:U267)</f>
        <v>0</v>
      </c>
      <c r="W267" s="73" t="e">
        <f>V267/V$6</f>
        <v>#DIV/0!</v>
      </c>
      <c r="X267" s="89"/>
      <c r="Y267" s="242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35">
        <f>SUM(Y267:AJ267)</f>
        <v>0</v>
      </c>
      <c r="AL267" s="73" t="e">
        <f>AK267/AK$6</f>
        <v>#DIV/0!</v>
      </c>
      <c r="AM267" s="14">
        <f>IFERROR(AK267/V267-1,0)</f>
        <v>0</v>
      </c>
      <c r="AN267" s="9"/>
    </row>
    <row r="268" spans="1:40" hidden="1" outlineLevel="1">
      <c r="A268" s="12"/>
      <c r="I268" s="212" t="s">
        <v>311</v>
      </c>
      <c r="J268" s="247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09"/>
      <c r="X268" s="89"/>
      <c r="Y268" s="247"/>
      <c r="Z268" s="248"/>
      <c r="AA268" s="248"/>
      <c r="AB268" s="248"/>
      <c r="AC268" s="248"/>
      <c r="AD268" s="248"/>
      <c r="AE268" s="248"/>
      <c r="AF268" s="248"/>
      <c r="AG268" s="248"/>
      <c r="AH268" s="248"/>
      <c r="AI268" s="248"/>
      <c r="AJ268" s="248"/>
      <c r="AK268" s="248"/>
      <c r="AL268" s="209"/>
      <c r="AM268" s="210"/>
      <c r="AN268" s="9"/>
    </row>
    <row r="269" spans="1:40" hidden="1" outlineLevel="1">
      <c r="A269" s="12"/>
      <c r="I269" s="212" t="s">
        <v>312</v>
      </c>
      <c r="J269" s="247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09"/>
      <c r="X269" s="89"/>
      <c r="Y269" s="247"/>
      <c r="Z269" s="248"/>
      <c r="AA269" s="248"/>
      <c r="AB269" s="248"/>
      <c r="AC269" s="248"/>
      <c r="AD269" s="248"/>
      <c r="AE269" s="248"/>
      <c r="AF269" s="248"/>
      <c r="AG269" s="248"/>
      <c r="AH269" s="248"/>
      <c r="AI269" s="248"/>
      <c r="AJ269" s="248"/>
      <c r="AK269" s="248"/>
      <c r="AL269" s="209"/>
      <c r="AM269" s="210"/>
      <c r="AN269" s="9"/>
    </row>
    <row r="270" spans="1:40" hidden="1" outlineLevel="1">
      <c r="A270" s="12"/>
      <c r="I270" s="212" t="s">
        <v>313</v>
      </c>
      <c r="J270" s="247"/>
      <c r="K270" s="248"/>
      <c r="L270" s="248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09"/>
      <c r="X270" s="89"/>
      <c r="Y270" s="247"/>
      <c r="Z270" s="248"/>
      <c r="AA270" s="248"/>
      <c r="AB270" s="248"/>
      <c r="AC270" s="248"/>
      <c r="AD270" s="248"/>
      <c r="AE270" s="248"/>
      <c r="AF270" s="248"/>
      <c r="AG270" s="248"/>
      <c r="AH270" s="248"/>
      <c r="AI270" s="248"/>
      <c r="AJ270" s="248"/>
      <c r="AK270" s="248"/>
      <c r="AL270" s="209"/>
      <c r="AM270" s="210"/>
      <c r="AN270" s="9"/>
    </row>
    <row r="271" spans="1:40" hidden="1" outlineLevel="1">
      <c r="A271" s="12"/>
      <c r="I271" s="212" t="s">
        <v>314</v>
      </c>
      <c r="J271" s="247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09"/>
      <c r="X271" s="89"/>
      <c r="Y271" s="247"/>
      <c r="Z271" s="248"/>
      <c r="AA271" s="248"/>
      <c r="AB271" s="248"/>
      <c r="AC271" s="248"/>
      <c r="AD271" s="248"/>
      <c r="AE271" s="248"/>
      <c r="AF271" s="248"/>
      <c r="AG271" s="248"/>
      <c r="AH271" s="248"/>
      <c r="AI271" s="248"/>
      <c r="AJ271" s="248"/>
      <c r="AK271" s="248"/>
      <c r="AL271" s="209"/>
      <c r="AM271" s="210"/>
      <c r="AN271" s="9"/>
    </row>
    <row r="272" spans="1:40" hidden="1" outlineLevel="1">
      <c r="A272" s="12"/>
      <c r="I272" s="212" t="s">
        <v>315</v>
      </c>
      <c r="J272" s="247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09"/>
      <c r="X272" s="89"/>
      <c r="Y272" s="247"/>
      <c r="Z272" s="248"/>
      <c r="AA272" s="248"/>
      <c r="AB272" s="248"/>
      <c r="AC272" s="248"/>
      <c r="AD272" s="248"/>
      <c r="AE272" s="248"/>
      <c r="AF272" s="248"/>
      <c r="AG272" s="248"/>
      <c r="AH272" s="248"/>
      <c r="AI272" s="248"/>
      <c r="AJ272" s="248"/>
      <c r="AK272" s="248"/>
      <c r="AL272" s="209"/>
      <c r="AM272" s="210"/>
      <c r="AN272" s="9"/>
    </row>
    <row r="273" spans="1:40" hidden="1" outlineLevel="1">
      <c r="A273" s="12"/>
      <c r="I273" s="212" t="s">
        <v>316</v>
      </c>
      <c r="J273" s="247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09"/>
      <c r="X273" s="89"/>
      <c r="Y273" s="247"/>
      <c r="Z273" s="248"/>
      <c r="AA273" s="248"/>
      <c r="AB273" s="248"/>
      <c r="AC273" s="248"/>
      <c r="AD273" s="248"/>
      <c r="AE273" s="248"/>
      <c r="AF273" s="248"/>
      <c r="AG273" s="248"/>
      <c r="AH273" s="248"/>
      <c r="AI273" s="248"/>
      <c r="AJ273" s="248"/>
      <c r="AK273" s="248"/>
      <c r="AL273" s="209"/>
      <c r="AM273" s="210"/>
      <c r="AN273" s="9"/>
    </row>
    <row r="274" spans="1:40">
      <c r="A274" s="12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 s="163"/>
      <c r="X274" s="92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 s="163"/>
      <c r="AM274" s="156"/>
      <c r="AN274" s="9"/>
    </row>
    <row r="275" spans="1:40" collapsed="1">
      <c r="A275" s="12" t="s">
        <v>317</v>
      </c>
      <c r="E275" s="7" t="s">
        <v>108</v>
      </c>
      <c r="I275" s="149" t="s">
        <v>318</v>
      </c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>
        <f>SUM(V276:V280)</f>
        <v>0</v>
      </c>
      <c r="W275" s="72" t="e">
        <f>V275/V$6</f>
        <v>#DIV/0!</v>
      </c>
      <c r="X275" s="89"/>
      <c r="Y275" s="231">
        <f t="shared" ref="Y275:AK275" si="47">SUM(Y276:Y280)</f>
        <v>0</v>
      </c>
      <c r="Z275" s="231">
        <f t="shared" si="47"/>
        <v>0</v>
      </c>
      <c r="AA275" s="231">
        <f t="shared" si="47"/>
        <v>0</v>
      </c>
      <c r="AB275" s="231">
        <f t="shared" si="47"/>
        <v>0</v>
      </c>
      <c r="AC275" s="231">
        <f t="shared" si="47"/>
        <v>0</v>
      </c>
      <c r="AD275" s="231">
        <f t="shared" si="47"/>
        <v>0</v>
      </c>
      <c r="AE275" s="231">
        <f t="shared" si="47"/>
        <v>0</v>
      </c>
      <c r="AF275" s="231">
        <f t="shared" si="47"/>
        <v>0</v>
      </c>
      <c r="AG275" s="231">
        <f t="shared" si="47"/>
        <v>0</v>
      </c>
      <c r="AH275" s="231">
        <f t="shared" si="47"/>
        <v>0</v>
      </c>
      <c r="AI275" s="231">
        <f t="shared" si="47"/>
        <v>0</v>
      </c>
      <c r="AJ275" s="231">
        <f t="shared" si="47"/>
        <v>0</v>
      </c>
      <c r="AK275" s="231">
        <f t="shared" si="47"/>
        <v>0</v>
      </c>
      <c r="AL275" s="72" t="e">
        <f>AK275/AK$6</f>
        <v>#DIV/0!</v>
      </c>
      <c r="AM275" s="10">
        <f t="shared" si="29"/>
        <v>0</v>
      </c>
      <c r="AN275" s="9"/>
    </row>
    <row r="276" spans="1:40" hidden="1" outlineLevel="1">
      <c r="A276" s="12" t="s">
        <v>317</v>
      </c>
      <c r="I276" s="213" t="s">
        <v>319</v>
      </c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35">
        <f>SUM(J276:U276)</f>
        <v>0</v>
      </c>
      <c r="W276" s="73" t="e">
        <f>V276/V$6</f>
        <v>#DIV/0!</v>
      </c>
      <c r="X276" s="89"/>
      <c r="Y276" s="242"/>
      <c r="Z276" s="242"/>
      <c r="AA276" s="242"/>
      <c r="AB276" s="242"/>
      <c r="AC276" s="242"/>
      <c r="AD276" s="242"/>
      <c r="AE276" s="242"/>
      <c r="AF276" s="242"/>
      <c r="AG276" s="242"/>
      <c r="AH276" s="242"/>
      <c r="AI276" s="242"/>
      <c r="AJ276" s="242"/>
      <c r="AK276" s="235">
        <f>SUM(Y276:AJ276)</f>
        <v>0</v>
      </c>
      <c r="AL276" s="73" t="e">
        <f>AK276/AK$6</f>
        <v>#DIV/0!</v>
      </c>
      <c r="AM276" s="14">
        <f t="shared" si="29"/>
        <v>0</v>
      </c>
      <c r="AN276" s="9"/>
    </row>
    <row r="277" spans="1:40" hidden="1" outlineLevel="1">
      <c r="A277" s="12" t="s">
        <v>317</v>
      </c>
      <c r="I277" s="213" t="s">
        <v>320</v>
      </c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35">
        <f>SUM(J277:U277)</f>
        <v>0</v>
      </c>
      <c r="W277" s="73" t="e">
        <f>V277/V$6</f>
        <v>#DIV/0!</v>
      </c>
      <c r="X277" s="89"/>
      <c r="Y277" s="242"/>
      <c r="Z277" s="242"/>
      <c r="AA277" s="242"/>
      <c r="AB277" s="242"/>
      <c r="AC277" s="242"/>
      <c r="AD277" s="242"/>
      <c r="AE277" s="242"/>
      <c r="AF277" s="242"/>
      <c r="AG277" s="242"/>
      <c r="AH277" s="242"/>
      <c r="AI277" s="242"/>
      <c r="AJ277" s="242"/>
      <c r="AK277" s="235">
        <f>SUM(Y277:AJ277)</f>
        <v>0</v>
      </c>
      <c r="AL277" s="73" t="e">
        <f>AK277/AK$6</f>
        <v>#DIV/0!</v>
      </c>
      <c r="AM277" s="14">
        <f t="shared" si="29"/>
        <v>0</v>
      </c>
      <c r="AN277" s="9"/>
    </row>
    <row r="278" spans="1:40" hidden="1" outlineLevel="1">
      <c r="A278" s="12" t="s">
        <v>317</v>
      </c>
      <c r="I278" s="213" t="s">
        <v>321</v>
      </c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35">
        <f>SUM(J278:U278)</f>
        <v>0</v>
      </c>
      <c r="W278" s="73" t="e">
        <f>V278/V$6</f>
        <v>#DIV/0!</v>
      </c>
      <c r="X278" s="89"/>
      <c r="Y278" s="242"/>
      <c r="Z278" s="242"/>
      <c r="AA278" s="242"/>
      <c r="AB278" s="242"/>
      <c r="AC278" s="242"/>
      <c r="AD278" s="242"/>
      <c r="AE278" s="242"/>
      <c r="AF278" s="242"/>
      <c r="AG278" s="242"/>
      <c r="AH278" s="242"/>
      <c r="AI278" s="242"/>
      <c r="AJ278" s="242"/>
      <c r="AK278" s="235">
        <f>SUM(Y278:AJ278)</f>
        <v>0</v>
      </c>
      <c r="AL278" s="73" t="e">
        <f>AK278/AK$6</f>
        <v>#DIV/0!</v>
      </c>
      <c r="AM278" s="14">
        <f t="shared" si="29"/>
        <v>0</v>
      </c>
      <c r="AN278" s="9"/>
    </row>
    <row r="279" spans="1:40" hidden="1" outlineLevel="1">
      <c r="A279" s="12"/>
      <c r="I279" s="213" t="s">
        <v>322</v>
      </c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35"/>
      <c r="W279" s="73"/>
      <c r="X279" s="89"/>
      <c r="Y279" s="242"/>
      <c r="Z279" s="242"/>
      <c r="AA279" s="242"/>
      <c r="AB279" s="242"/>
      <c r="AC279" s="242"/>
      <c r="AD279" s="242"/>
      <c r="AE279" s="242"/>
      <c r="AF279" s="242"/>
      <c r="AG279" s="242"/>
      <c r="AH279" s="242"/>
      <c r="AI279" s="242"/>
      <c r="AJ279" s="242"/>
      <c r="AK279" s="235"/>
      <c r="AL279" s="73"/>
      <c r="AM279" s="14"/>
      <c r="AN279" s="9"/>
    </row>
    <row r="280" spans="1:40" hidden="1" outlineLevel="1">
      <c r="A280" s="12" t="s">
        <v>317</v>
      </c>
      <c r="I280" s="213" t="s">
        <v>323</v>
      </c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35">
        <f>SUM(J280:U280)</f>
        <v>0</v>
      </c>
      <c r="W280" s="73" t="e">
        <f>V280/V$6</f>
        <v>#DIV/0!</v>
      </c>
      <c r="X280" s="89"/>
      <c r="Y280" s="242"/>
      <c r="Z280" s="242"/>
      <c r="AA280" s="242"/>
      <c r="AB280" s="242"/>
      <c r="AC280" s="242"/>
      <c r="AD280" s="242"/>
      <c r="AE280" s="242"/>
      <c r="AF280" s="242"/>
      <c r="AG280" s="242"/>
      <c r="AH280" s="242"/>
      <c r="AI280" s="242"/>
      <c r="AJ280" s="242"/>
      <c r="AK280" s="235">
        <f>SUM(Y280:AJ280)</f>
        <v>0</v>
      </c>
      <c r="AL280" s="73" t="e">
        <f>AK280/AK$6</f>
        <v>#DIV/0!</v>
      </c>
      <c r="AM280" s="14">
        <f t="shared" si="29"/>
        <v>0</v>
      </c>
      <c r="AN280" s="9"/>
    </row>
    <row r="281" spans="1:40">
      <c r="A281" s="12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64"/>
      <c r="X281" s="89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64"/>
      <c r="AM281" s="157"/>
      <c r="AN281" s="9"/>
    </row>
    <row r="282" spans="1:40" collapsed="1">
      <c r="A282" s="12"/>
      <c r="E282" s="7" t="s">
        <v>108</v>
      </c>
      <c r="I282" s="149" t="s">
        <v>324</v>
      </c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>
        <f>SUM(V283:V288)</f>
        <v>0</v>
      </c>
      <c r="W282" s="72" t="e">
        <f t="shared" ref="W282:W288" si="48">V282/V$6</f>
        <v>#DIV/0!</v>
      </c>
      <c r="X282" s="89"/>
      <c r="Y282" s="165">
        <f>SUM(Y283:Y288)</f>
        <v>0</v>
      </c>
      <c r="Z282" s="165">
        <f>SUM(Z283:Z288)</f>
        <v>0</v>
      </c>
      <c r="AA282" s="165">
        <f>SUM(AA283:AA288)</f>
        <v>0</v>
      </c>
      <c r="AB282" s="165">
        <f>SUM(AB283:AB288)</f>
        <v>0</v>
      </c>
      <c r="AC282" s="165">
        <f>SUM(AC283:AC288)</f>
        <v>0</v>
      </c>
      <c r="AD282" s="165">
        <f t="shared" ref="AD282:AJ282" si="49">SUM(AD283:AD288)</f>
        <v>0</v>
      </c>
      <c r="AE282" s="165">
        <f t="shared" si="49"/>
        <v>0</v>
      </c>
      <c r="AF282" s="165">
        <f t="shared" si="49"/>
        <v>0</v>
      </c>
      <c r="AG282" s="165">
        <f t="shared" si="49"/>
        <v>0</v>
      </c>
      <c r="AH282" s="165">
        <f t="shared" si="49"/>
        <v>0</v>
      </c>
      <c r="AI282" s="165">
        <f t="shared" si="49"/>
        <v>0</v>
      </c>
      <c r="AJ282" s="165">
        <f t="shared" si="49"/>
        <v>0</v>
      </c>
      <c r="AK282" s="165">
        <f>SUM(AK283:AK288)</f>
        <v>0</v>
      </c>
      <c r="AL282" s="72" t="e">
        <f t="shared" ref="AL282:AL288" si="50">AK282/AK$6</f>
        <v>#DIV/0!</v>
      </c>
      <c r="AM282" s="10">
        <f t="shared" si="29"/>
        <v>0</v>
      </c>
      <c r="AN282" s="9"/>
    </row>
    <row r="283" spans="1:40" hidden="1" outlineLevel="1">
      <c r="A283" s="12" t="s">
        <v>256</v>
      </c>
      <c r="B283" s="8" t="s">
        <v>270</v>
      </c>
      <c r="I283" s="136" t="s">
        <v>325</v>
      </c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35">
        <f t="shared" ref="V283:V288" si="51">SUM(J283:U283)</f>
        <v>0</v>
      </c>
      <c r="W283" s="73" t="e">
        <f t="shared" si="48"/>
        <v>#DIV/0!</v>
      </c>
      <c r="X283" s="89"/>
      <c r="Y283" s="242"/>
      <c r="Z283" s="242"/>
      <c r="AA283" s="242"/>
      <c r="AB283" s="242"/>
      <c r="AC283" s="242"/>
      <c r="AD283" s="242"/>
      <c r="AE283" s="242"/>
      <c r="AF283" s="242"/>
      <c r="AG283" s="242"/>
      <c r="AH283" s="242"/>
      <c r="AI283" s="242"/>
      <c r="AJ283" s="242"/>
      <c r="AK283" s="235">
        <f t="shared" ref="AK283:AK288" si="52">SUM(Y283:AJ283)</f>
        <v>0</v>
      </c>
      <c r="AL283" s="73" t="e">
        <f t="shared" si="50"/>
        <v>#DIV/0!</v>
      </c>
      <c r="AM283" s="14">
        <f t="shared" ref="AM283:AM355" si="53">IFERROR(AK283/V283-1,0)</f>
        <v>0</v>
      </c>
      <c r="AN283" s="9"/>
    </row>
    <row r="284" spans="1:40" hidden="1" outlineLevel="1">
      <c r="A284" s="12" t="s">
        <v>256</v>
      </c>
      <c r="B284" s="8" t="s">
        <v>270</v>
      </c>
      <c r="I284" s="136" t="s">
        <v>326</v>
      </c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35">
        <f t="shared" si="51"/>
        <v>0</v>
      </c>
      <c r="W284" s="73" t="e">
        <f t="shared" si="48"/>
        <v>#DIV/0!</v>
      </c>
      <c r="X284" s="89"/>
      <c r="Y284" s="242"/>
      <c r="Z284" s="242"/>
      <c r="AA284" s="242"/>
      <c r="AB284" s="242"/>
      <c r="AC284" s="242"/>
      <c r="AD284" s="242"/>
      <c r="AE284" s="242"/>
      <c r="AF284" s="242"/>
      <c r="AG284" s="242"/>
      <c r="AH284" s="242"/>
      <c r="AI284" s="242"/>
      <c r="AJ284" s="242"/>
      <c r="AK284" s="235">
        <f t="shared" si="52"/>
        <v>0</v>
      </c>
      <c r="AL284" s="73" t="e">
        <f t="shared" si="50"/>
        <v>#DIV/0!</v>
      </c>
      <c r="AM284" s="14">
        <f t="shared" si="53"/>
        <v>0</v>
      </c>
      <c r="AN284" s="9"/>
    </row>
    <row r="285" spans="1:40" hidden="1" outlineLevel="1">
      <c r="A285" s="12" t="s">
        <v>256</v>
      </c>
      <c r="B285" s="8" t="s">
        <v>270</v>
      </c>
      <c r="I285" s="136" t="s">
        <v>327</v>
      </c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35">
        <f t="shared" si="51"/>
        <v>0</v>
      </c>
      <c r="W285" s="73" t="e">
        <f t="shared" si="48"/>
        <v>#DIV/0!</v>
      </c>
      <c r="X285" s="89"/>
      <c r="Y285" s="242"/>
      <c r="Z285" s="242"/>
      <c r="AA285" s="242"/>
      <c r="AB285" s="242"/>
      <c r="AC285" s="242"/>
      <c r="AD285" s="242"/>
      <c r="AE285" s="242"/>
      <c r="AF285" s="242"/>
      <c r="AG285" s="242"/>
      <c r="AH285" s="242"/>
      <c r="AI285" s="242"/>
      <c r="AJ285" s="242"/>
      <c r="AK285" s="235">
        <f t="shared" si="52"/>
        <v>0</v>
      </c>
      <c r="AL285" s="73" t="e">
        <f t="shared" si="50"/>
        <v>#DIV/0!</v>
      </c>
      <c r="AM285" s="14">
        <f t="shared" si="53"/>
        <v>0</v>
      </c>
      <c r="AN285" s="9"/>
    </row>
    <row r="286" spans="1:40" hidden="1" outlineLevel="1">
      <c r="A286" s="12" t="s">
        <v>256</v>
      </c>
      <c r="B286" s="8" t="s">
        <v>270</v>
      </c>
      <c r="I286" s="136" t="s">
        <v>328</v>
      </c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35">
        <f t="shared" si="51"/>
        <v>0</v>
      </c>
      <c r="W286" s="73" t="e">
        <f t="shared" si="48"/>
        <v>#DIV/0!</v>
      </c>
      <c r="X286" s="89"/>
      <c r="Y286" s="242"/>
      <c r="Z286" s="242"/>
      <c r="AA286" s="242"/>
      <c r="AB286" s="242"/>
      <c r="AC286" s="242"/>
      <c r="AD286" s="242"/>
      <c r="AE286" s="242"/>
      <c r="AF286" s="242"/>
      <c r="AG286" s="242"/>
      <c r="AH286" s="242"/>
      <c r="AI286" s="242"/>
      <c r="AJ286" s="242"/>
      <c r="AK286" s="235">
        <f t="shared" si="52"/>
        <v>0</v>
      </c>
      <c r="AL286" s="73" t="e">
        <f t="shared" si="50"/>
        <v>#DIV/0!</v>
      </c>
      <c r="AM286" s="14">
        <f t="shared" si="53"/>
        <v>0</v>
      </c>
      <c r="AN286" s="9"/>
    </row>
    <row r="287" spans="1:40" hidden="1" outlineLevel="1">
      <c r="A287" s="12" t="s">
        <v>256</v>
      </c>
      <c r="B287" s="8" t="s">
        <v>270</v>
      </c>
      <c r="I287" s="136" t="s">
        <v>329</v>
      </c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35">
        <f t="shared" si="51"/>
        <v>0</v>
      </c>
      <c r="W287" s="73" t="e">
        <f t="shared" si="48"/>
        <v>#DIV/0!</v>
      </c>
      <c r="X287" s="89"/>
      <c r="Y287" s="242"/>
      <c r="Z287" s="242"/>
      <c r="AA287" s="242"/>
      <c r="AB287" s="242"/>
      <c r="AC287" s="242"/>
      <c r="AD287" s="242"/>
      <c r="AE287" s="242"/>
      <c r="AF287" s="242"/>
      <c r="AG287" s="242"/>
      <c r="AH287" s="242"/>
      <c r="AI287" s="242"/>
      <c r="AJ287" s="242"/>
      <c r="AK287" s="235">
        <f t="shared" si="52"/>
        <v>0</v>
      </c>
      <c r="AL287" s="73" t="e">
        <f t="shared" si="50"/>
        <v>#DIV/0!</v>
      </c>
      <c r="AM287" s="14">
        <f t="shared" si="53"/>
        <v>0</v>
      </c>
      <c r="AN287" s="9"/>
    </row>
    <row r="288" spans="1:40" hidden="1" outlineLevel="1">
      <c r="A288" s="12" t="s">
        <v>256</v>
      </c>
      <c r="B288" s="8" t="s">
        <v>270</v>
      </c>
      <c r="I288" s="136" t="s">
        <v>330</v>
      </c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35">
        <f t="shared" si="51"/>
        <v>0</v>
      </c>
      <c r="W288" s="73" t="e">
        <f t="shared" si="48"/>
        <v>#DIV/0!</v>
      </c>
      <c r="X288" s="89"/>
      <c r="Y288" s="242"/>
      <c r="Z288" s="242"/>
      <c r="AA288" s="242"/>
      <c r="AB288" s="242"/>
      <c r="AC288" s="242"/>
      <c r="AD288" s="242"/>
      <c r="AE288" s="242"/>
      <c r="AF288" s="242"/>
      <c r="AG288" s="242"/>
      <c r="AH288" s="242"/>
      <c r="AI288" s="242"/>
      <c r="AJ288" s="242"/>
      <c r="AK288" s="235">
        <f t="shared" si="52"/>
        <v>0</v>
      </c>
      <c r="AL288" s="73" t="e">
        <f t="shared" si="50"/>
        <v>#DIV/0!</v>
      </c>
      <c r="AM288" s="14">
        <f t="shared" si="53"/>
        <v>0</v>
      </c>
      <c r="AN288" s="9"/>
    </row>
    <row r="289" spans="1:118">
      <c r="A289" s="12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64"/>
      <c r="X289" s="89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64"/>
      <c r="AM289" s="157"/>
      <c r="AN289" s="9"/>
    </row>
    <row r="290" spans="1:118" ht="15.6">
      <c r="I290" s="139" t="s">
        <v>331</v>
      </c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>
        <f>+V253+V260-V275-V282</f>
        <v>0</v>
      </c>
      <c r="W290" s="168" t="e">
        <f>V290/V$6</f>
        <v>#DIV/0!</v>
      </c>
      <c r="X290" s="91"/>
      <c r="Y290" s="134">
        <f t="shared" ref="Y290:AK290" si="54">+Y253+Y260-Y275-Y282</f>
        <v>0</v>
      </c>
      <c r="Z290" s="134">
        <f t="shared" si="54"/>
        <v>0</v>
      </c>
      <c r="AA290" s="134">
        <f t="shared" si="54"/>
        <v>0</v>
      </c>
      <c r="AB290" s="134">
        <f t="shared" si="54"/>
        <v>0</v>
      </c>
      <c r="AC290" s="134">
        <f t="shared" si="54"/>
        <v>0</v>
      </c>
      <c r="AD290" s="134">
        <f t="shared" si="54"/>
        <v>0</v>
      </c>
      <c r="AE290" s="134">
        <f t="shared" si="54"/>
        <v>0</v>
      </c>
      <c r="AF290" s="134">
        <f t="shared" si="54"/>
        <v>0</v>
      </c>
      <c r="AG290" s="134">
        <f t="shared" si="54"/>
        <v>0</v>
      </c>
      <c r="AH290" s="134">
        <f t="shared" si="54"/>
        <v>0</v>
      </c>
      <c r="AI290" s="134">
        <f t="shared" si="54"/>
        <v>0</v>
      </c>
      <c r="AJ290" s="134">
        <f t="shared" si="54"/>
        <v>0</v>
      </c>
      <c r="AK290" s="134">
        <f t="shared" si="54"/>
        <v>0</v>
      </c>
      <c r="AL290" s="168" t="e">
        <f>AK290/AK$6</f>
        <v>#DIV/0!</v>
      </c>
      <c r="AM290" s="154">
        <f t="shared" si="53"/>
        <v>0</v>
      </c>
      <c r="AN290" s="9"/>
    </row>
    <row r="291" spans="1:118">
      <c r="A291" s="12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64"/>
      <c r="X291" s="89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64"/>
      <c r="AM291" s="157"/>
      <c r="AN291" s="9"/>
    </row>
    <row r="292" spans="1:118" s="219" customFormat="1" ht="13.15">
      <c r="A292" s="215"/>
      <c r="B292" s="215"/>
      <c r="C292" s="215"/>
      <c r="D292" s="215"/>
      <c r="E292" s="249"/>
      <c r="F292" s="215"/>
      <c r="G292" s="215"/>
      <c r="H292" s="215"/>
      <c r="I292" s="214" t="s">
        <v>332</v>
      </c>
      <c r="J292" s="214"/>
      <c r="K292" s="214"/>
      <c r="L292" s="216"/>
      <c r="M292" s="217"/>
      <c r="N292" s="216"/>
      <c r="O292" s="217"/>
      <c r="P292" s="216"/>
      <c r="Q292" s="217"/>
      <c r="R292" s="160"/>
      <c r="S292" s="160"/>
      <c r="T292" s="216"/>
      <c r="U292" s="217"/>
      <c r="V292" s="216"/>
      <c r="W292" s="217"/>
      <c r="X292" s="216"/>
      <c r="Y292" s="217"/>
      <c r="Z292" s="160"/>
      <c r="AA292" s="160"/>
      <c r="AB292" s="216"/>
      <c r="AC292" s="217"/>
      <c r="AD292" s="216"/>
      <c r="AE292" s="217"/>
      <c r="AF292" s="216"/>
      <c r="AG292" s="217"/>
      <c r="AH292" s="160"/>
      <c r="AI292" s="160"/>
      <c r="AJ292" s="216"/>
      <c r="AK292" s="217"/>
      <c r="AL292" s="216"/>
      <c r="AM292" s="217"/>
      <c r="AN292" s="216"/>
      <c r="AO292" s="217"/>
      <c r="AP292" s="160"/>
      <c r="AQ292" s="160"/>
      <c r="AR292" s="216"/>
      <c r="AS292" s="217"/>
      <c r="AT292" s="216"/>
      <c r="AU292" s="217"/>
      <c r="AV292" s="216"/>
      <c r="AW292" s="217"/>
      <c r="AX292" s="160"/>
      <c r="AY292" s="160"/>
      <c r="AZ292" s="216"/>
      <c r="BA292" s="217"/>
      <c r="BB292" s="216"/>
      <c r="BC292" s="217"/>
      <c r="BD292" s="216"/>
      <c r="BE292" s="217"/>
      <c r="BF292" s="160"/>
      <c r="BG292" s="160"/>
      <c r="BH292" s="216"/>
      <c r="BI292" s="217"/>
      <c r="BJ292" s="216"/>
      <c r="BK292" s="217"/>
      <c r="BL292" s="216"/>
      <c r="BM292" s="217"/>
      <c r="BN292" s="160"/>
      <c r="BO292" s="160"/>
      <c r="BP292" s="216"/>
      <c r="BQ292" s="217"/>
      <c r="BR292" s="216"/>
      <c r="BS292" s="217"/>
      <c r="BT292" s="216"/>
      <c r="BU292" s="217"/>
      <c r="BV292" s="160"/>
      <c r="BW292" s="160"/>
      <c r="BX292" s="216"/>
      <c r="BY292" s="217"/>
      <c r="BZ292" s="216"/>
      <c r="CA292" s="217"/>
      <c r="CB292" s="216"/>
      <c r="CC292" s="217"/>
      <c r="CD292" s="160"/>
      <c r="CE292" s="160"/>
      <c r="CF292" s="216"/>
      <c r="CG292" s="217"/>
      <c r="CH292" s="216"/>
      <c r="CI292" s="217"/>
      <c r="CJ292" s="216"/>
      <c r="CK292" s="217"/>
      <c r="CL292" s="160"/>
      <c r="CM292" s="160"/>
      <c r="CN292" s="216"/>
      <c r="CO292" s="217"/>
      <c r="CP292" s="216"/>
      <c r="CQ292" s="217"/>
      <c r="CR292" s="216"/>
      <c r="CS292" s="217"/>
      <c r="CT292" s="160"/>
      <c r="CU292" s="160"/>
      <c r="CV292" s="216"/>
      <c r="CW292" s="217"/>
      <c r="CX292" s="216"/>
      <c r="CY292" s="217"/>
      <c r="CZ292" s="216"/>
      <c r="DA292" s="217"/>
      <c r="DB292" s="160"/>
      <c r="DC292" s="160"/>
      <c r="DD292" s="216"/>
      <c r="DE292" s="217"/>
      <c r="DF292" s="216"/>
      <c r="DG292" s="217"/>
      <c r="DH292" s="216"/>
      <c r="DI292" s="217"/>
      <c r="DJ292" s="160"/>
      <c r="DK292" s="160"/>
      <c r="DL292" s="218"/>
      <c r="DM292" s="250"/>
      <c r="DN292" s="250"/>
    </row>
    <row r="293" spans="1:118">
      <c r="A293" s="12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64"/>
      <c r="X293" s="89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64"/>
      <c r="AM293" s="157"/>
      <c r="AN293" s="9"/>
    </row>
    <row r="294" spans="1:118" collapsed="1">
      <c r="A294" s="12" t="s">
        <v>219</v>
      </c>
      <c r="B294" s="8" t="s">
        <v>89</v>
      </c>
      <c r="C294" s="8" t="s">
        <v>81</v>
      </c>
      <c r="D294" s="137"/>
      <c r="E294" s="7" t="s">
        <v>108</v>
      </c>
      <c r="I294" s="220" t="s">
        <v>333</v>
      </c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>
        <f>SUM(V295:V319)</f>
        <v>0</v>
      </c>
      <c r="W294" s="72" t="e">
        <f t="shared" ref="W294:W313" si="55">V294/V$6</f>
        <v>#DIV/0!</v>
      </c>
      <c r="X294" s="89"/>
      <c r="Y294" s="251">
        <f t="shared" ref="Y294:AK294" si="56">SUM(Y295:Y319)</f>
        <v>0</v>
      </c>
      <c r="Z294" s="251">
        <f t="shared" si="56"/>
        <v>0</v>
      </c>
      <c r="AA294" s="251">
        <f t="shared" si="56"/>
        <v>0</v>
      </c>
      <c r="AB294" s="251">
        <f t="shared" si="56"/>
        <v>0</v>
      </c>
      <c r="AC294" s="251">
        <f t="shared" si="56"/>
        <v>0</v>
      </c>
      <c r="AD294" s="251">
        <f t="shared" si="56"/>
        <v>0</v>
      </c>
      <c r="AE294" s="251">
        <f t="shared" si="56"/>
        <v>0</v>
      </c>
      <c r="AF294" s="251">
        <f t="shared" si="56"/>
        <v>0</v>
      </c>
      <c r="AG294" s="251">
        <f t="shared" si="56"/>
        <v>0</v>
      </c>
      <c r="AH294" s="251">
        <f t="shared" si="56"/>
        <v>0</v>
      </c>
      <c r="AI294" s="251">
        <f t="shared" si="56"/>
        <v>0</v>
      </c>
      <c r="AJ294" s="251">
        <f t="shared" si="56"/>
        <v>0</v>
      </c>
      <c r="AK294" s="251">
        <f t="shared" si="56"/>
        <v>0</v>
      </c>
      <c r="AL294" s="72" t="e">
        <f t="shared" ref="AL294:AL313" si="57">AK294/AK$6</f>
        <v>#DIV/0!</v>
      </c>
      <c r="AM294" s="10">
        <f t="shared" si="53"/>
        <v>0</v>
      </c>
      <c r="AN294" s="9"/>
    </row>
    <row r="295" spans="1:118" hidden="1" outlineLevel="2">
      <c r="A295" s="12" t="s">
        <v>81</v>
      </c>
      <c r="I295" s="221" t="s">
        <v>334</v>
      </c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35">
        <f>SUM(J295:U295)</f>
        <v>0</v>
      </c>
      <c r="W295" s="73" t="e">
        <f t="shared" si="55"/>
        <v>#DIV/0!</v>
      </c>
      <c r="X295" s="89"/>
      <c r="Y295" s="242"/>
      <c r="Z295" s="242"/>
      <c r="AA295" s="242"/>
      <c r="AB295" s="242"/>
      <c r="AC295" s="242"/>
      <c r="AD295" s="242">
        <v>0</v>
      </c>
      <c r="AE295" s="242">
        <v>0</v>
      </c>
      <c r="AF295" s="242">
        <v>0</v>
      </c>
      <c r="AG295" s="242">
        <v>0</v>
      </c>
      <c r="AH295" s="242">
        <v>0</v>
      </c>
      <c r="AI295" s="242">
        <v>0</v>
      </c>
      <c r="AJ295" s="242">
        <v>0</v>
      </c>
      <c r="AK295" s="235">
        <f>SUM(Y295:AJ295)</f>
        <v>0</v>
      </c>
      <c r="AL295" s="73" t="e">
        <f t="shared" si="57"/>
        <v>#DIV/0!</v>
      </c>
      <c r="AM295" s="158">
        <f t="shared" si="53"/>
        <v>0</v>
      </c>
      <c r="AN295" s="9"/>
    </row>
    <row r="296" spans="1:118" hidden="1" outlineLevel="2">
      <c r="A296" s="12" t="s">
        <v>81</v>
      </c>
      <c r="I296" s="221" t="s">
        <v>335</v>
      </c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35">
        <f t="shared" ref="V296:V313" si="58">SUM(J296:U296)</f>
        <v>0</v>
      </c>
      <c r="W296" s="73" t="e">
        <f t="shared" si="55"/>
        <v>#DIV/0!</v>
      </c>
      <c r="X296" s="89"/>
      <c r="Y296" s="242"/>
      <c r="Z296" s="242"/>
      <c r="AA296" s="242"/>
      <c r="AB296" s="242"/>
      <c r="AC296" s="242"/>
      <c r="AD296" s="242">
        <v>0</v>
      </c>
      <c r="AE296" s="242">
        <v>0</v>
      </c>
      <c r="AF296" s="242">
        <v>0</v>
      </c>
      <c r="AG296" s="242">
        <v>0</v>
      </c>
      <c r="AH296" s="242">
        <v>0</v>
      </c>
      <c r="AI296" s="242">
        <v>0</v>
      </c>
      <c r="AJ296" s="242">
        <v>0</v>
      </c>
      <c r="AK296" s="235">
        <f t="shared" ref="AK296:AK313" si="59">SUM(Y296:AJ296)</f>
        <v>0</v>
      </c>
      <c r="AL296" s="73" t="e">
        <f t="shared" si="57"/>
        <v>#DIV/0!</v>
      </c>
      <c r="AM296" s="158">
        <f t="shared" si="53"/>
        <v>0</v>
      </c>
      <c r="AN296" s="9"/>
    </row>
    <row r="297" spans="1:118" hidden="1" outlineLevel="2">
      <c r="A297" s="12" t="s">
        <v>81</v>
      </c>
      <c r="I297" s="221" t="s">
        <v>336</v>
      </c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35">
        <f t="shared" si="58"/>
        <v>0</v>
      </c>
      <c r="W297" s="73" t="e">
        <f t="shared" si="55"/>
        <v>#DIV/0!</v>
      </c>
      <c r="X297" s="89"/>
      <c r="Y297" s="242"/>
      <c r="Z297" s="242"/>
      <c r="AA297" s="242"/>
      <c r="AB297" s="242"/>
      <c r="AC297" s="242"/>
      <c r="AD297" s="242">
        <v>0</v>
      </c>
      <c r="AE297" s="242">
        <v>0</v>
      </c>
      <c r="AF297" s="242">
        <v>0</v>
      </c>
      <c r="AG297" s="242">
        <v>0</v>
      </c>
      <c r="AH297" s="242">
        <v>0</v>
      </c>
      <c r="AI297" s="242">
        <v>0</v>
      </c>
      <c r="AJ297" s="242">
        <v>0</v>
      </c>
      <c r="AK297" s="235">
        <f t="shared" si="59"/>
        <v>0</v>
      </c>
      <c r="AL297" s="73" t="e">
        <f t="shared" si="57"/>
        <v>#DIV/0!</v>
      </c>
      <c r="AM297" s="158">
        <f t="shared" si="53"/>
        <v>0</v>
      </c>
      <c r="AN297" s="9"/>
    </row>
    <row r="298" spans="1:118" hidden="1" outlineLevel="2">
      <c r="A298" s="12" t="s">
        <v>81</v>
      </c>
      <c r="I298" s="221" t="s">
        <v>337</v>
      </c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35">
        <f t="shared" si="58"/>
        <v>0</v>
      </c>
      <c r="W298" s="73" t="e">
        <f t="shared" si="55"/>
        <v>#DIV/0!</v>
      </c>
      <c r="X298" s="89"/>
      <c r="Y298" s="242"/>
      <c r="Z298" s="242"/>
      <c r="AA298" s="242"/>
      <c r="AB298" s="242"/>
      <c r="AC298" s="242"/>
      <c r="AD298" s="242">
        <v>0</v>
      </c>
      <c r="AE298" s="242">
        <v>0</v>
      </c>
      <c r="AF298" s="242">
        <v>0</v>
      </c>
      <c r="AG298" s="242">
        <v>0</v>
      </c>
      <c r="AH298" s="242">
        <v>0</v>
      </c>
      <c r="AI298" s="242">
        <v>0</v>
      </c>
      <c r="AJ298" s="242">
        <v>0</v>
      </c>
      <c r="AK298" s="235">
        <f t="shared" si="59"/>
        <v>0</v>
      </c>
      <c r="AL298" s="73" t="e">
        <f t="shared" si="57"/>
        <v>#DIV/0!</v>
      </c>
      <c r="AM298" s="158">
        <f t="shared" si="53"/>
        <v>0</v>
      </c>
      <c r="AN298" s="9"/>
    </row>
    <row r="299" spans="1:118" hidden="1" outlineLevel="2">
      <c r="A299" s="12" t="s">
        <v>81</v>
      </c>
      <c r="I299" s="221" t="s">
        <v>338</v>
      </c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35">
        <f t="shared" si="58"/>
        <v>0</v>
      </c>
      <c r="W299" s="73" t="e">
        <f t="shared" si="55"/>
        <v>#DIV/0!</v>
      </c>
      <c r="X299" s="89"/>
      <c r="Y299" s="242"/>
      <c r="Z299" s="242"/>
      <c r="AA299" s="242"/>
      <c r="AB299" s="242"/>
      <c r="AC299" s="242"/>
      <c r="AD299" s="242">
        <v>0</v>
      </c>
      <c r="AE299" s="242">
        <v>0</v>
      </c>
      <c r="AF299" s="242">
        <v>0</v>
      </c>
      <c r="AG299" s="242">
        <v>0</v>
      </c>
      <c r="AH299" s="242">
        <v>0</v>
      </c>
      <c r="AI299" s="242">
        <v>0</v>
      </c>
      <c r="AJ299" s="242">
        <v>0</v>
      </c>
      <c r="AK299" s="235">
        <f t="shared" si="59"/>
        <v>0</v>
      </c>
      <c r="AL299" s="73" t="e">
        <f t="shared" si="57"/>
        <v>#DIV/0!</v>
      </c>
      <c r="AM299" s="158">
        <f t="shared" si="53"/>
        <v>0</v>
      </c>
      <c r="AN299" s="9"/>
    </row>
    <row r="300" spans="1:118" hidden="1" outlineLevel="2">
      <c r="A300" s="12" t="s">
        <v>81</v>
      </c>
      <c r="I300" s="221" t="s">
        <v>339</v>
      </c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35">
        <f t="shared" si="58"/>
        <v>0</v>
      </c>
      <c r="W300" s="73" t="e">
        <f t="shared" si="55"/>
        <v>#DIV/0!</v>
      </c>
      <c r="X300" s="89"/>
      <c r="Y300" s="242"/>
      <c r="Z300" s="242"/>
      <c r="AA300" s="242"/>
      <c r="AB300" s="242"/>
      <c r="AC300" s="242"/>
      <c r="AD300" s="242">
        <v>0</v>
      </c>
      <c r="AE300" s="242">
        <v>0</v>
      </c>
      <c r="AF300" s="242">
        <v>0</v>
      </c>
      <c r="AG300" s="242">
        <v>0</v>
      </c>
      <c r="AH300" s="242">
        <v>0</v>
      </c>
      <c r="AI300" s="242">
        <v>0</v>
      </c>
      <c r="AJ300" s="242">
        <v>0</v>
      </c>
      <c r="AK300" s="235">
        <f t="shared" si="59"/>
        <v>0</v>
      </c>
      <c r="AL300" s="73" t="e">
        <f t="shared" si="57"/>
        <v>#DIV/0!</v>
      </c>
      <c r="AM300" s="158">
        <f t="shared" si="53"/>
        <v>0</v>
      </c>
      <c r="AN300" s="9"/>
    </row>
    <row r="301" spans="1:118" hidden="1" outlineLevel="2">
      <c r="A301" s="12" t="s">
        <v>81</v>
      </c>
      <c r="I301" s="221" t="s">
        <v>340</v>
      </c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35">
        <f t="shared" si="58"/>
        <v>0</v>
      </c>
      <c r="W301" s="73" t="e">
        <f t="shared" si="55"/>
        <v>#DIV/0!</v>
      </c>
      <c r="X301" s="89"/>
      <c r="Y301" s="242"/>
      <c r="Z301" s="242"/>
      <c r="AA301" s="242"/>
      <c r="AB301" s="242"/>
      <c r="AC301" s="242"/>
      <c r="AD301" s="242">
        <v>0</v>
      </c>
      <c r="AE301" s="242">
        <v>0</v>
      </c>
      <c r="AF301" s="242">
        <v>0</v>
      </c>
      <c r="AG301" s="242">
        <v>0</v>
      </c>
      <c r="AH301" s="242">
        <v>0</v>
      </c>
      <c r="AI301" s="242">
        <v>0</v>
      </c>
      <c r="AJ301" s="242">
        <v>0</v>
      </c>
      <c r="AK301" s="235">
        <f t="shared" si="59"/>
        <v>0</v>
      </c>
      <c r="AL301" s="73" t="e">
        <f t="shared" si="57"/>
        <v>#DIV/0!</v>
      </c>
      <c r="AM301" s="158">
        <f t="shared" si="53"/>
        <v>0</v>
      </c>
      <c r="AN301" s="9"/>
    </row>
    <row r="302" spans="1:118" hidden="1" outlineLevel="2">
      <c r="A302" s="12" t="s">
        <v>81</v>
      </c>
      <c r="I302" s="221" t="s">
        <v>341</v>
      </c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35">
        <f t="shared" si="58"/>
        <v>0</v>
      </c>
      <c r="W302" s="73" t="e">
        <f t="shared" si="55"/>
        <v>#DIV/0!</v>
      </c>
      <c r="X302" s="89"/>
      <c r="Y302" s="242"/>
      <c r="Z302" s="242"/>
      <c r="AA302" s="242"/>
      <c r="AB302" s="242"/>
      <c r="AC302" s="242"/>
      <c r="AD302" s="242">
        <v>0</v>
      </c>
      <c r="AE302" s="242">
        <v>0</v>
      </c>
      <c r="AF302" s="242">
        <v>0</v>
      </c>
      <c r="AG302" s="242">
        <v>0</v>
      </c>
      <c r="AH302" s="242">
        <v>0</v>
      </c>
      <c r="AI302" s="242">
        <v>0</v>
      </c>
      <c r="AJ302" s="242">
        <v>0</v>
      </c>
      <c r="AK302" s="235">
        <f t="shared" si="59"/>
        <v>0</v>
      </c>
      <c r="AL302" s="73" t="e">
        <f t="shared" si="57"/>
        <v>#DIV/0!</v>
      </c>
      <c r="AM302" s="158">
        <f t="shared" si="53"/>
        <v>0</v>
      </c>
      <c r="AN302" s="9"/>
    </row>
    <row r="303" spans="1:118" hidden="1" outlineLevel="2">
      <c r="A303" s="12" t="s">
        <v>81</v>
      </c>
      <c r="I303" s="221" t="s">
        <v>342</v>
      </c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35">
        <f t="shared" si="58"/>
        <v>0</v>
      </c>
      <c r="W303" s="73" t="e">
        <f t="shared" si="55"/>
        <v>#DIV/0!</v>
      </c>
      <c r="X303" s="89"/>
      <c r="Y303" s="242"/>
      <c r="Z303" s="242"/>
      <c r="AA303" s="242"/>
      <c r="AB303" s="242"/>
      <c r="AC303" s="242"/>
      <c r="AD303" s="242">
        <v>0</v>
      </c>
      <c r="AE303" s="242">
        <v>0</v>
      </c>
      <c r="AF303" s="242">
        <v>0</v>
      </c>
      <c r="AG303" s="242">
        <v>0</v>
      </c>
      <c r="AH303" s="242">
        <v>0</v>
      </c>
      <c r="AI303" s="242">
        <v>0</v>
      </c>
      <c r="AJ303" s="242">
        <v>0</v>
      </c>
      <c r="AK303" s="235">
        <f t="shared" si="59"/>
        <v>0</v>
      </c>
      <c r="AL303" s="73" t="e">
        <f t="shared" si="57"/>
        <v>#DIV/0!</v>
      </c>
      <c r="AM303" s="158">
        <f t="shared" si="53"/>
        <v>0</v>
      </c>
      <c r="AN303" s="9"/>
    </row>
    <row r="304" spans="1:118" hidden="1" outlineLevel="2">
      <c r="A304" s="12" t="s">
        <v>81</v>
      </c>
      <c r="I304" s="221" t="s">
        <v>343</v>
      </c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35">
        <f t="shared" si="58"/>
        <v>0</v>
      </c>
      <c r="W304" s="73" t="e">
        <f t="shared" si="55"/>
        <v>#DIV/0!</v>
      </c>
      <c r="X304" s="89"/>
      <c r="Y304" s="242"/>
      <c r="Z304" s="242"/>
      <c r="AA304" s="242"/>
      <c r="AB304" s="242"/>
      <c r="AC304" s="242"/>
      <c r="AD304" s="242">
        <v>0</v>
      </c>
      <c r="AE304" s="242">
        <v>0</v>
      </c>
      <c r="AF304" s="242">
        <v>0</v>
      </c>
      <c r="AG304" s="242">
        <v>0</v>
      </c>
      <c r="AH304" s="242">
        <v>0</v>
      </c>
      <c r="AI304" s="242">
        <v>0</v>
      </c>
      <c r="AJ304" s="242">
        <v>0</v>
      </c>
      <c r="AK304" s="235">
        <f t="shared" si="59"/>
        <v>0</v>
      </c>
      <c r="AL304" s="73" t="e">
        <f t="shared" si="57"/>
        <v>#DIV/0!</v>
      </c>
      <c r="AM304" s="158">
        <f t="shared" si="53"/>
        <v>0</v>
      </c>
      <c r="AN304" s="9"/>
    </row>
    <row r="305" spans="1:40" hidden="1" outlineLevel="2">
      <c r="A305" s="12" t="s">
        <v>81</v>
      </c>
      <c r="I305" s="221" t="s">
        <v>344</v>
      </c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35">
        <f t="shared" si="58"/>
        <v>0</v>
      </c>
      <c r="W305" s="73" t="e">
        <f t="shared" si="55"/>
        <v>#DIV/0!</v>
      </c>
      <c r="X305" s="89"/>
      <c r="Y305" s="242"/>
      <c r="Z305" s="242"/>
      <c r="AA305" s="242"/>
      <c r="AB305" s="242"/>
      <c r="AC305" s="242"/>
      <c r="AD305" s="242">
        <v>0</v>
      </c>
      <c r="AE305" s="242">
        <v>0</v>
      </c>
      <c r="AF305" s="242">
        <v>0</v>
      </c>
      <c r="AG305" s="242">
        <v>0</v>
      </c>
      <c r="AH305" s="242">
        <v>0</v>
      </c>
      <c r="AI305" s="242">
        <v>0</v>
      </c>
      <c r="AJ305" s="242">
        <v>0</v>
      </c>
      <c r="AK305" s="235">
        <f t="shared" si="59"/>
        <v>0</v>
      </c>
      <c r="AL305" s="73" t="e">
        <f t="shared" si="57"/>
        <v>#DIV/0!</v>
      </c>
      <c r="AM305" s="158">
        <f t="shared" si="53"/>
        <v>0</v>
      </c>
      <c r="AN305" s="9"/>
    </row>
    <row r="306" spans="1:40" hidden="1" outlineLevel="2">
      <c r="A306" s="12" t="s">
        <v>81</v>
      </c>
      <c r="I306" s="221" t="s">
        <v>345</v>
      </c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35">
        <f t="shared" si="58"/>
        <v>0</v>
      </c>
      <c r="W306" s="73" t="e">
        <f t="shared" si="55"/>
        <v>#DIV/0!</v>
      </c>
      <c r="X306" s="89"/>
      <c r="Y306" s="242"/>
      <c r="Z306" s="242"/>
      <c r="AA306" s="242"/>
      <c r="AB306" s="242"/>
      <c r="AC306" s="242"/>
      <c r="AD306" s="242">
        <v>0</v>
      </c>
      <c r="AE306" s="242">
        <v>0</v>
      </c>
      <c r="AF306" s="242">
        <v>0</v>
      </c>
      <c r="AG306" s="242">
        <v>0</v>
      </c>
      <c r="AH306" s="242">
        <v>0</v>
      </c>
      <c r="AI306" s="242">
        <v>0</v>
      </c>
      <c r="AJ306" s="242">
        <v>0</v>
      </c>
      <c r="AK306" s="235">
        <f t="shared" si="59"/>
        <v>0</v>
      </c>
      <c r="AL306" s="73" t="e">
        <f t="shared" si="57"/>
        <v>#DIV/0!</v>
      </c>
      <c r="AM306" s="158">
        <f t="shared" si="53"/>
        <v>0</v>
      </c>
      <c r="AN306" s="9"/>
    </row>
    <row r="307" spans="1:40" hidden="1" outlineLevel="2">
      <c r="A307" s="12" t="s">
        <v>81</v>
      </c>
      <c r="I307" s="221" t="s">
        <v>346</v>
      </c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35">
        <f t="shared" si="58"/>
        <v>0</v>
      </c>
      <c r="W307" s="73" t="e">
        <f t="shared" si="55"/>
        <v>#DIV/0!</v>
      </c>
      <c r="X307" s="89"/>
      <c r="Y307" s="242"/>
      <c r="Z307" s="242"/>
      <c r="AA307" s="242"/>
      <c r="AB307" s="242"/>
      <c r="AC307" s="242"/>
      <c r="AD307" s="242">
        <v>0</v>
      </c>
      <c r="AE307" s="242">
        <v>0</v>
      </c>
      <c r="AF307" s="242">
        <v>0</v>
      </c>
      <c r="AG307" s="242">
        <v>0</v>
      </c>
      <c r="AH307" s="242">
        <v>0</v>
      </c>
      <c r="AI307" s="242">
        <v>0</v>
      </c>
      <c r="AJ307" s="242">
        <v>0</v>
      </c>
      <c r="AK307" s="235">
        <f t="shared" si="59"/>
        <v>0</v>
      </c>
      <c r="AL307" s="73" t="e">
        <f t="shared" si="57"/>
        <v>#DIV/0!</v>
      </c>
      <c r="AM307" s="158">
        <f t="shared" si="53"/>
        <v>0</v>
      </c>
      <c r="AN307" s="9"/>
    </row>
    <row r="308" spans="1:40" hidden="1" outlineLevel="2">
      <c r="A308" s="12" t="s">
        <v>81</v>
      </c>
      <c r="I308" s="221" t="s">
        <v>347</v>
      </c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35">
        <f t="shared" si="58"/>
        <v>0</v>
      </c>
      <c r="W308" s="73" t="e">
        <f t="shared" si="55"/>
        <v>#DIV/0!</v>
      </c>
      <c r="X308" s="89"/>
      <c r="Y308" s="242"/>
      <c r="Z308" s="242"/>
      <c r="AA308" s="242"/>
      <c r="AB308" s="242"/>
      <c r="AC308" s="242"/>
      <c r="AD308" s="242">
        <v>0</v>
      </c>
      <c r="AE308" s="242">
        <v>0</v>
      </c>
      <c r="AF308" s="242">
        <v>0</v>
      </c>
      <c r="AG308" s="242">
        <v>0</v>
      </c>
      <c r="AH308" s="242">
        <v>0</v>
      </c>
      <c r="AI308" s="242">
        <v>0</v>
      </c>
      <c r="AJ308" s="242">
        <v>0</v>
      </c>
      <c r="AK308" s="235">
        <f t="shared" si="59"/>
        <v>0</v>
      </c>
      <c r="AL308" s="73" t="e">
        <f t="shared" si="57"/>
        <v>#DIV/0!</v>
      </c>
      <c r="AM308" s="158">
        <f t="shared" si="53"/>
        <v>0</v>
      </c>
      <c r="AN308" s="9"/>
    </row>
    <row r="309" spans="1:40" hidden="1" outlineLevel="2">
      <c r="A309" s="12" t="s">
        <v>81</v>
      </c>
      <c r="I309" s="221" t="s">
        <v>348</v>
      </c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35">
        <f t="shared" si="58"/>
        <v>0</v>
      </c>
      <c r="W309" s="73" t="e">
        <f t="shared" si="55"/>
        <v>#DIV/0!</v>
      </c>
      <c r="X309" s="89"/>
      <c r="Y309" s="242"/>
      <c r="Z309" s="242"/>
      <c r="AA309" s="242"/>
      <c r="AB309" s="242"/>
      <c r="AC309" s="242"/>
      <c r="AD309" s="242">
        <v>0</v>
      </c>
      <c r="AE309" s="242">
        <v>0</v>
      </c>
      <c r="AF309" s="242">
        <v>0</v>
      </c>
      <c r="AG309" s="242">
        <v>0</v>
      </c>
      <c r="AH309" s="242">
        <v>0</v>
      </c>
      <c r="AI309" s="242">
        <v>0</v>
      </c>
      <c r="AJ309" s="242">
        <v>0</v>
      </c>
      <c r="AK309" s="235">
        <f t="shared" si="59"/>
        <v>0</v>
      </c>
      <c r="AL309" s="73" t="e">
        <f t="shared" si="57"/>
        <v>#DIV/0!</v>
      </c>
      <c r="AM309" s="158">
        <f t="shared" si="53"/>
        <v>0</v>
      </c>
      <c r="AN309" s="9"/>
    </row>
    <row r="310" spans="1:40" hidden="1" outlineLevel="2">
      <c r="A310" s="12" t="s">
        <v>81</v>
      </c>
      <c r="D310" s="137"/>
      <c r="I310" s="221" t="s">
        <v>349</v>
      </c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35">
        <f t="shared" si="58"/>
        <v>0</v>
      </c>
      <c r="W310" s="73" t="e">
        <f t="shared" si="55"/>
        <v>#DIV/0!</v>
      </c>
      <c r="X310" s="89"/>
      <c r="Y310" s="242"/>
      <c r="Z310" s="242"/>
      <c r="AA310" s="242"/>
      <c r="AB310" s="242"/>
      <c r="AC310" s="242"/>
      <c r="AD310" s="242">
        <v>0</v>
      </c>
      <c r="AE310" s="242">
        <v>0</v>
      </c>
      <c r="AF310" s="242">
        <v>0</v>
      </c>
      <c r="AG310" s="242">
        <v>0</v>
      </c>
      <c r="AH310" s="242">
        <v>0</v>
      </c>
      <c r="AI310" s="242">
        <v>0</v>
      </c>
      <c r="AJ310" s="242">
        <v>0</v>
      </c>
      <c r="AK310" s="235">
        <f t="shared" si="59"/>
        <v>0</v>
      </c>
      <c r="AL310" s="73" t="e">
        <f t="shared" si="57"/>
        <v>#DIV/0!</v>
      </c>
      <c r="AM310" s="158">
        <f t="shared" si="53"/>
        <v>0</v>
      </c>
      <c r="AN310" s="9"/>
    </row>
    <row r="311" spans="1:40" hidden="1" outlineLevel="2">
      <c r="A311" s="12" t="s">
        <v>81</v>
      </c>
      <c r="D311" s="137"/>
      <c r="I311" s="221" t="s">
        <v>350</v>
      </c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35">
        <f t="shared" si="58"/>
        <v>0</v>
      </c>
      <c r="W311" s="73" t="e">
        <f t="shared" si="55"/>
        <v>#DIV/0!</v>
      </c>
      <c r="X311" s="89"/>
      <c r="Y311" s="242"/>
      <c r="Z311" s="242"/>
      <c r="AA311" s="242"/>
      <c r="AB311" s="242"/>
      <c r="AC311" s="242"/>
      <c r="AD311" s="242">
        <v>0</v>
      </c>
      <c r="AE311" s="242">
        <v>0</v>
      </c>
      <c r="AF311" s="242">
        <v>0</v>
      </c>
      <c r="AG311" s="242">
        <v>0</v>
      </c>
      <c r="AH311" s="242">
        <v>0</v>
      </c>
      <c r="AI311" s="242">
        <v>0</v>
      </c>
      <c r="AJ311" s="242">
        <v>0</v>
      </c>
      <c r="AK311" s="235">
        <f t="shared" si="59"/>
        <v>0</v>
      </c>
      <c r="AL311" s="73" t="e">
        <f t="shared" si="57"/>
        <v>#DIV/0!</v>
      </c>
      <c r="AM311" s="158">
        <f t="shared" si="53"/>
        <v>0</v>
      </c>
      <c r="AN311" s="9"/>
    </row>
    <row r="312" spans="1:40" hidden="1" outlineLevel="2">
      <c r="A312" s="12" t="s">
        <v>81</v>
      </c>
      <c r="D312" s="137"/>
      <c r="I312" s="221" t="s">
        <v>351</v>
      </c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35">
        <f t="shared" si="58"/>
        <v>0</v>
      </c>
      <c r="W312" s="73" t="e">
        <f t="shared" si="55"/>
        <v>#DIV/0!</v>
      </c>
      <c r="X312" s="89"/>
      <c r="Y312" s="242"/>
      <c r="Z312" s="242"/>
      <c r="AA312" s="242"/>
      <c r="AB312" s="242"/>
      <c r="AC312" s="242"/>
      <c r="AD312" s="242">
        <v>0</v>
      </c>
      <c r="AE312" s="242">
        <v>0</v>
      </c>
      <c r="AF312" s="242">
        <v>0</v>
      </c>
      <c r="AG312" s="242">
        <v>0</v>
      </c>
      <c r="AH312" s="242">
        <v>0</v>
      </c>
      <c r="AI312" s="242">
        <v>0</v>
      </c>
      <c r="AJ312" s="242">
        <v>0</v>
      </c>
      <c r="AK312" s="235">
        <f t="shared" si="59"/>
        <v>0</v>
      </c>
      <c r="AL312" s="73" t="e">
        <f t="shared" si="57"/>
        <v>#DIV/0!</v>
      </c>
      <c r="AM312" s="158">
        <f t="shared" si="53"/>
        <v>0</v>
      </c>
      <c r="AN312" s="9"/>
    </row>
    <row r="313" spans="1:40" hidden="1" outlineLevel="2">
      <c r="A313" s="12" t="s">
        <v>81</v>
      </c>
      <c r="D313" s="137"/>
      <c r="I313" s="221" t="s">
        <v>352</v>
      </c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35">
        <f t="shared" si="58"/>
        <v>0</v>
      </c>
      <c r="W313" s="73" t="e">
        <f t="shared" si="55"/>
        <v>#DIV/0!</v>
      </c>
      <c r="X313" s="89"/>
      <c r="Y313" s="242"/>
      <c r="Z313" s="242"/>
      <c r="AA313" s="242"/>
      <c r="AB313" s="242"/>
      <c r="AC313" s="242"/>
      <c r="AD313" s="242">
        <v>0</v>
      </c>
      <c r="AE313" s="242">
        <v>0</v>
      </c>
      <c r="AF313" s="242">
        <v>0</v>
      </c>
      <c r="AG313" s="242">
        <v>0</v>
      </c>
      <c r="AH313" s="242">
        <v>0</v>
      </c>
      <c r="AI313" s="242">
        <v>0</v>
      </c>
      <c r="AJ313" s="242">
        <v>0</v>
      </c>
      <c r="AK313" s="235">
        <f t="shared" si="59"/>
        <v>0</v>
      </c>
      <c r="AL313" s="73" t="e">
        <f t="shared" si="57"/>
        <v>#DIV/0!</v>
      </c>
      <c r="AM313" s="158">
        <f t="shared" si="53"/>
        <v>0</v>
      </c>
      <c r="AN313" s="9"/>
    </row>
    <row r="314" spans="1:40" hidden="1" outlineLevel="2">
      <c r="A314" s="12"/>
      <c r="D314" s="137"/>
      <c r="I314" s="221" t="s">
        <v>353</v>
      </c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35"/>
      <c r="W314" s="73"/>
      <c r="X314" s="89"/>
      <c r="Y314" s="242"/>
      <c r="Z314" s="242"/>
      <c r="AA314" s="242"/>
      <c r="AB314" s="242"/>
      <c r="AC314" s="242"/>
      <c r="AD314" s="242"/>
      <c r="AE314" s="242"/>
      <c r="AF314" s="242"/>
      <c r="AG314" s="242"/>
      <c r="AH314" s="242"/>
      <c r="AI314" s="242"/>
      <c r="AJ314" s="242"/>
      <c r="AK314" s="235"/>
      <c r="AL314" s="73"/>
      <c r="AM314" s="158"/>
      <c r="AN314" s="9"/>
    </row>
    <row r="315" spans="1:40" hidden="1" outlineLevel="2">
      <c r="A315" s="12"/>
      <c r="D315" s="137"/>
      <c r="I315" s="221" t="s">
        <v>354</v>
      </c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35"/>
      <c r="W315" s="73"/>
      <c r="X315" s="89"/>
      <c r="Y315" s="242"/>
      <c r="Z315" s="242"/>
      <c r="AA315" s="242"/>
      <c r="AB315" s="242"/>
      <c r="AC315" s="242"/>
      <c r="AD315" s="242"/>
      <c r="AE315" s="242"/>
      <c r="AF315" s="242"/>
      <c r="AG315" s="242"/>
      <c r="AH315" s="242"/>
      <c r="AI315" s="242"/>
      <c r="AJ315" s="242"/>
      <c r="AK315" s="235"/>
      <c r="AL315" s="73"/>
      <c r="AM315" s="158"/>
      <c r="AN315" s="9"/>
    </row>
    <row r="316" spans="1:40" hidden="1" outlineLevel="2">
      <c r="A316" s="12"/>
      <c r="D316" s="137"/>
      <c r="I316" s="221" t="s">
        <v>355</v>
      </c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35"/>
      <c r="W316" s="73"/>
      <c r="X316" s="89"/>
      <c r="Y316" s="242"/>
      <c r="Z316" s="242"/>
      <c r="AA316" s="242"/>
      <c r="AB316" s="242"/>
      <c r="AC316" s="242"/>
      <c r="AD316" s="242"/>
      <c r="AE316" s="242"/>
      <c r="AF316" s="242"/>
      <c r="AG316" s="242"/>
      <c r="AH316" s="242"/>
      <c r="AI316" s="242"/>
      <c r="AJ316" s="242"/>
      <c r="AK316" s="235"/>
      <c r="AL316" s="73"/>
      <c r="AM316" s="158"/>
      <c r="AN316" s="9"/>
    </row>
    <row r="317" spans="1:40" hidden="1" outlineLevel="2">
      <c r="A317" s="12"/>
      <c r="D317" s="137"/>
      <c r="I317" s="221" t="s">
        <v>356</v>
      </c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35"/>
      <c r="W317" s="73"/>
      <c r="X317" s="89"/>
      <c r="Y317" s="242"/>
      <c r="Z317" s="242"/>
      <c r="AA317" s="242"/>
      <c r="AB317" s="242"/>
      <c r="AC317" s="242"/>
      <c r="AD317" s="242"/>
      <c r="AE317" s="242"/>
      <c r="AF317" s="242"/>
      <c r="AG317" s="242"/>
      <c r="AH317" s="242"/>
      <c r="AI317" s="242"/>
      <c r="AJ317" s="242"/>
      <c r="AK317" s="235"/>
      <c r="AL317" s="73"/>
      <c r="AM317" s="158"/>
      <c r="AN317" s="9"/>
    </row>
    <row r="318" spans="1:40" hidden="1" outlineLevel="2">
      <c r="A318" s="12"/>
      <c r="D318" s="137"/>
      <c r="I318" s="221" t="s">
        <v>357</v>
      </c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35"/>
      <c r="W318" s="73"/>
      <c r="X318" s="89"/>
      <c r="Y318" s="242"/>
      <c r="Z318" s="242"/>
      <c r="AA318" s="242"/>
      <c r="AB318" s="242"/>
      <c r="AC318" s="242"/>
      <c r="AD318" s="242"/>
      <c r="AE318" s="242"/>
      <c r="AF318" s="242"/>
      <c r="AG318" s="242"/>
      <c r="AH318" s="242"/>
      <c r="AI318" s="242"/>
      <c r="AJ318" s="242"/>
      <c r="AK318" s="235"/>
      <c r="AL318" s="73"/>
      <c r="AM318" s="158"/>
      <c r="AN318" s="9"/>
    </row>
    <row r="319" spans="1:40" hidden="1" outlineLevel="2">
      <c r="A319" s="12"/>
      <c r="D319" s="137"/>
      <c r="I319" s="221" t="s">
        <v>358</v>
      </c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35"/>
      <c r="W319" s="73"/>
      <c r="X319" s="89"/>
      <c r="Y319" s="242"/>
      <c r="Z319" s="242"/>
      <c r="AA319" s="242"/>
      <c r="AB319" s="242"/>
      <c r="AC319" s="242"/>
      <c r="AD319" s="242"/>
      <c r="AE319" s="242"/>
      <c r="AF319" s="242"/>
      <c r="AG319" s="242"/>
      <c r="AH319" s="242"/>
      <c r="AI319" s="242"/>
      <c r="AJ319" s="242"/>
      <c r="AK319" s="235"/>
      <c r="AL319" s="73"/>
      <c r="AM319" s="158"/>
      <c r="AN319" s="9"/>
    </row>
    <row r="320" spans="1:40">
      <c r="A320" s="12"/>
      <c r="D320" s="137"/>
      <c r="I320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79"/>
      <c r="X320" s="89"/>
      <c r="Y320" s="252"/>
      <c r="Z320" s="252"/>
      <c r="AA320" s="252"/>
      <c r="AB320" s="252"/>
      <c r="AC320" s="252"/>
      <c r="AD320" s="252"/>
      <c r="AE320" s="252"/>
      <c r="AF320" s="252"/>
      <c r="AG320" s="252"/>
      <c r="AH320" s="252"/>
      <c r="AI320" s="252"/>
      <c r="AJ320" s="252"/>
      <c r="AK320" s="252"/>
      <c r="AL320" s="79"/>
      <c r="AM320" s="159"/>
      <c r="AN320" s="9"/>
    </row>
    <row r="321" spans="1:40" collapsed="1">
      <c r="A321" s="12"/>
      <c r="D321" s="137"/>
      <c r="E321" s="7" t="s">
        <v>108</v>
      </c>
      <c r="I321" s="141" t="s">
        <v>359</v>
      </c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>
        <f>SUM(V322:V351)</f>
        <v>0</v>
      </c>
      <c r="W321" s="79" t="e">
        <f t="shared" ref="W321:W330" si="60">V321/V$6</f>
        <v>#DIV/0!</v>
      </c>
      <c r="X321" s="89"/>
      <c r="Y321" s="252">
        <f t="shared" ref="Y321:AK321" si="61">SUM(Y322:Y351)</f>
        <v>0</v>
      </c>
      <c r="Z321" s="252">
        <f t="shared" si="61"/>
        <v>0</v>
      </c>
      <c r="AA321" s="252">
        <f t="shared" si="61"/>
        <v>0</v>
      </c>
      <c r="AB321" s="252">
        <f t="shared" si="61"/>
        <v>0</v>
      </c>
      <c r="AC321" s="252">
        <f t="shared" si="61"/>
        <v>0</v>
      </c>
      <c r="AD321" s="252">
        <f t="shared" si="61"/>
        <v>0</v>
      </c>
      <c r="AE321" s="252">
        <f t="shared" si="61"/>
        <v>0</v>
      </c>
      <c r="AF321" s="252">
        <f t="shared" si="61"/>
        <v>0</v>
      </c>
      <c r="AG321" s="252">
        <f t="shared" si="61"/>
        <v>0</v>
      </c>
      <c r="AH321" s="252">
        <f t="shared" si="61"/>
        <v>0</v>
      </c>
      <c r="AI321" s="252">
        <f t="shared" si="61"/>
        <v>0</v>
      </c>
      <c r="AJ321" s="252">
        <f t="shared" si="61"/>
        <v>0</v>
      </c>
      <c r="AK321" s="252">
        <f t="shared" si="61"/>
        <v>0</v>
      </c>
      <c r="AL321" s="79" t="e">
        <f t="shared" ref="AL321:AL330" si="62">AK321/AK$6</f>
        <v>#DIV/0!</v>
      </c>
      <c r="AM321" s="10">
        <f t="shared" si="53"/>
        <v>0</v>
      </c>
      <c r="AN321" s="9"/>
    </row>
    <row r="322" spans="1:40" hidden="1" outlineLevel="1">
      <c r="A322" s="12" t="s">
        <v>339</v>
      </c>
      <c r="I322" s="213" t="s">
        <v>360</v>
      </c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35">
        <f>SUM(J322:U322)</f>
        <v>0</v>
      </c>
      <c r="W322" s="73" t="e">
        <f t="shared" si="60"/>
        <v>#DIV/0!</v>
      </c>
      <c r="X322" s="89"/>
      <c r="Y322" s="242">
        <v>0</v>
      </c>
      <c r="Z322" s="242">
        <v>0</v>
      </c>
      <c r="AA322" s="242">
        <v>0</v>
      </c>
      <c r="AB322" s="242">
        <v>0</v>
      </c>
      <c r="AC322" s="242">
        <v>0</v>
      </c>
      <c r="AD322" s="242">
        <v>0</v>
      </c>
      <c r="AE322" s="242">
        <v>0</v>
      </c>
      <c r="AF322" s="242">
        <v>0</v>
      </c>
      <c r="AG322" s="242">
        <v>0</v>
      </c>
      <c r="AH322" s="242">
        <v>0</v>
      </c>
      <c r="AI322" s="242">
        <v>0</v>
      </c>
      <c r="AJ322" s="242">
        <v>0</v>
      </c>
      <c r="AK322" s="235">
        <f>SUM(Y322:AJ322)</f>
        <v>0</v>
      </c>
      <c r="AL322" s="73" t="e">
        <f t="shared" si="62"/>
        <v>#DIV/0!</v>
      </c>
      <c r="AM322" s="14">
        <f t="shared" si="53"/>
        <v>0</v>
      </c>
      <c r="AN322" s="9"/>
    </row>
    <row r="323" spans="1:40" hidden="1" outlineLevel="1">
      <c r="A323" s="12" t="s">
        <v>361</v>
      </c>
      <c r="I323" s="213" t="s">
        <v>362</v>
      </c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35">
        <f t="shared" ref="V323:V330" si="63">SUM(J323:U323)</f>
        <v>0</v>
      </c>
      <c r="W323" s="73" t="e">
        <f t="shared" si="60"/>
        <v>#DIV/0!</v>
      </c>
      <c r="X323" s="89"/>
      <c r="Y323" s="242">
        <v>0</v>
      </c>
      <c r="Z323" s="242">
        <v>0</v>
      </c>
      <c r="AA323" s="242">
        <v>0</v>
      </c>
      <c r="AB323" s="242">
        <v>0</v>
      </c>
      <c r="AC323" s="242">
        <v>0</v>
      </c>
      <c r="AD323" s="242">
        <v>0</v>
      </c>
      <c r="AE323" s="242">
        <v>0</v>
      </c>
      <c r="AF323" s="242">
        <v>0</v>
      </c>
      <c r="AG323" s="242">
        <v>0</v>
      </c>
      <c r="AH323" s="242">
        <v>0</v>
      </c>
      <c r="AI323" s="242">
        <v>0</v>
      </c>
      <c r="AJ323" s="242">
        <v>0</v>
      </c>
      <c r="AK323" s="235">
        <f t="shared" ref="AK323:AK330" si="64">SUM(Y323:AJ323)</f>
        <v>0</v>
      </c>
      <c r="AL323" s="73" t="e">
        <f t="shared" si="62"/>
        <v>#DIV/0!</v>
      </c>
      <c r="AM323" s="14">
        <f t="shared" si="53"/>
        <v>0</v>
      </c>
      <c r="AN323" s="9"/>
    </row>
    <row r="324" spans="1:40" hidden="1" outlineLevel="1">
      <c r="A324" s="12" t="s">
        <v>363</v>
      </c>
      <c r="I324" s="213" t="s">
        <v>364</v>
      </c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35">
        <f t="shared" si="63"/>
        <v>0</v>
      </c>
      <c r="W324" s="73" t="e">
        <f t="shared" si="60"/>
        <v>#DIV/0!</v>
      </c>
      <c r="X324" s="89"/>
      <c r="Y324" s="242">
        <v>0</v>
      </c>
      <c r="Z324" s="242">
        <v>0</v>
      </c>
      <c r="AA324" s="242">
        <v>0</v>
      </c>
      <c r="AB324" s="242">
        <v>0</v>
      </c>
      <c r="AC324" s="242">
        <v>0</v>
      </c>
      <c r="AD324" s="242">
        <v>0</v>
      </c>
      <c r="AE324" s="242">
        <v>0</v>
      </c>
      <c r="AF324" s="242">
        <v>0</v>
      </c>
      <c r="AG324" s="242">
        <v>0</v>
      </c>
      <c r="AH324" s="242">
        <v>0</v>
      </c>
      <c r="AI324" s="242">
        <v>0</v>
      </c>
      <c r="AJ324" s="242">
        <v>0</v>
      </c>
      <c r="AK324" s="235">
        <f t="shared" si="64"/>
        <v>0</v>
      </c>
      <c r="AL324" s="73" t="e">
        <f t="shared" si="62"/>
        <v>#DIV/0!</v>
      </c>
      <c r="AM324" s="14">
        <f t="shared" si="53"/>
        <v>0</v>
      </c>
      <c r="AN324" s="9"/>
    </row>
    <row r="325" spans="1:40" hidden="1" outlineLevel="1">
      <c r="A325" s="12" t="s">
        <v>365</v>
      </c>
      <c r="I325" s="213" t="s">
        <v>366</v>
      </c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35">
        <f t="shared" si="63"/>
        <v>0</v>
      </c>
      <c r="W325" s="73" t="e">
        <f t="shared" si="60"/>
        <v>#DIV/0!</v>
      </c>
      <c r="X325" s="89"/>
      <c r="Y325" s="242">
        <v>0</v>
      </c>
      <c r="Z325" s="242">
        <v>0</v>
      </c>
      <c r="AA325" s="242">
        <v>0</v>
      </c>
      <c r="AB325" s="242">
        <v>0</v>
      </c>
      <c r="AC325" s="242">
        <v>0</v>
      </c>
      <c r="AD325" s="242">
        <v>0</v>
      </c>
      <c r="AE325" s="242">
        <v>0</v>
      </c>
      <c r="AF325" s="242">
        <v>0</v>
      </c>
      <c r="AG325" s="242">
        <v>0</v>
      </c>
      <c r="AH325" s="242">
        <v>0</v>
      </c>
      <c r="AI325" s="242">
        <v>0</v>
      </c>
      <c r="AJ325" s="242">
        <v>0</v>
      </c>
      <c r="AK325" s="235">
        <f t="shared" si="64"/>
        <v>0</v>
      </c>
      <c r="AL325" s="73" t="e">
        <f t="shared" si="62"/>
        <v>#DIV/0!</v>
      </c>
      <c r="AM325" s="14">
        <f t="shared" si="53"/>
        <v>0</v>
      </c>
      <c r="AN325" s="9"/>
    </row>
    <row r="326" spans="1:40" hidden="1" outlineLevel="1">
      <c r="A326" s="12" t="s">
        <v>367</v>
      </c>
      <c r="I326" s="213" t="s">
        <v>368</v>
      </c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35">
        <f t="shared" si="63"/>
        <v>0</v>
      </c>
      <c r="W326" s="73" t="e">
        <f t="shared" si="60"/>
        <v>#DIV/0!</v>
      </c>
      <c r="X326" s="89"/>
      <c r="Y326" s="242">
        <v>0</v>
      </c>
      <c r="Z326" s="242">
        <v>0</v>
      </c>
      <c r="AA326" s="242">
        <v>0</v>
      </c>
      <c r="AB326" s="242">
        <v>0</v>
      </c>
      <c r="AC326" s="242">
        <v>0</v>
      </c>
      <c r="AD326" s="242">
        <v>0</v>
      </c>
      <c r="AE326" s="242">
        <v>0</v>
      </c>
      <c r="AF326" s="242">
        <v>0</v>
      </c>
      <c r="AG326" s="242">
        <v>0</v>
      </c>
      <c r="AH326" s="242">
        <v>0</v>
      </c>
      <c r="AI326" s="242">
        <v>0</v>
      </c>
      <c r="AJ326" s="242">
        <v>0</v>
      </c>
      <c r="AK326" s="235">
        <f t="shared" si="64"/>
        <v>0</v>
      </c>
      <c r="AL326" s="73" t="e">
        <f t="shared" si="62"/>
        <v>#DIV/0!</v>
      </c>
      <c r="AM326" s="14">
        <f t="shared" si="53"/>
        <v>0</v>
      </c>
      <c r="AN326" s="9"/>
    </row>
    <row r="327" spans="1:40" hidden="1" outlineLevel="1">
      <c r="A327" s="12" t="s">
        <v>369</v>
      </c>
      <c r="I327" s="213" t="s">
        <v>370</v>
      </c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35">
        <f t="shared" si="63"/>
        <v>0</v>
      </c>
      <c r="W327" s="73" t="e">
        <f t="shared" si="60"/>
        <v>#DIV/0!</v>
      </c>
      <c r="X327" s="89"/>
      <c r="Y327" s="242">
        <v>0</v>
      </c>
      <c r="Z327" s="242">
        <v>0</v>
      </c>
      <c r="AA327" s="242">
        <v>0</v>
      </c>
      <c r="AB327" s="242">
        <v>0</v>
      </c>
      <c r="AC327" s="242">
        <v>0</v>
      </c>
      <c r="AD327" s="242">
        <v>0</v>
      </c>
      <c r="AE327" s="242">
        <v>0</v>
      </c>
      <c r="AF327" s="242">
        <v>0</v>
      </c>
      <c r="AG327" s="242">
        <v>0</v>
      </c>
      <c r="AH327" s="242">
        <v>0</v>
      </c>
      <c r="AI327" s="242">
        <v>0</v>
      </c>
      <c r="AJ327" s="242">
        <v>0</v>
      </c>
      <c r="AK327" s="235">
        <f t="shared" si="64"/>
        <v>0</v>
      </c>
      <c r="AL327" s="73" t="e">
        <f t="shared" si="62"/>
        <v>#DIV/0!</v>
      </c>
      <c r="AM327" s="14">
        <f t="shared" si="53"/>
        <v>0</v>
      </c>
      <c r="AN327" s="9"/>
    </row>
    <row r="328" spans="1:40" hidden="1" outlineLevel="1">
      <c r="A328" s="12"/>
      <c r="I328" s="213" t="s">
        <v>361</v>
      </c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35">
        <f t="shared" si="63"/>
        <v>0</v>
      </c>
      <c r="W328" s="73" t="e">
        <f t="shared" si="60"/>
        <v>#DIV/0!</v>
      </c>
      <c r="X328" s="89"/>
      <c r="Y328" s="242">
        <v>0</v>
      </c>
      <c r="Z328" s="242">
        <v>0</v>
      </c>
      <c r="AA328" s="242">
        <v>0</v>
      </c>
      <c r="AB328" s="242">
        <v>0</v>
      </c>
      <c r="AC328" s="242">
        <v>0</v>
      </c>
      <c r="AD328" s="242">
        <v>0</v>
      </c>
      <c r="AE328" s="242">
        <v>0</v>
      </c>
      <c r="AF328" s="242">
        <v>0</v>
      </c>
      <c r="AG328" s="242">
        <v>0</v>
      </c>
      <c r="AH328" s="242">
        <v>0</v>
      </c>
      <c r="AI328" s="242">
        <v>0</v>
      </c>
      <c r="AJ328" s="242">
        <v>0</v>
      </c>
      <c r="AK328" s="235">
        <f t="shared" si="64"/>
        <v>0</v>
      </c>
      <c r="AL328" s="73" t="e">
        <f t="shared" si="62"/>
        <v>#DIV/0!</v>
      </c>
      <c r="AM328" s="14">
        <f t="shared" si="53"/>
        <v>0</v>
      </c>
      <c r="AN328" s="9"/>
    </row>
    <row r="329" spans="1:40" hidden="1" outlineLevel="1">
      <c r="A329" s="12"/>
      <c r="I329" s="213" t="s">
        <v>371</v>
      </c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35">
        <f t="shared" si="63"/>
        <v>0</v>
      </c>
      <c r="W329" s="73" t="e">
        <f t="shared" si="60"/>
        <v>#DIV/0!</v>
      </c>
      <c r="X329" s="89"/>
      <c r="Y329" s="242">
        <v>0</v>
      </c>
      <c r="Z329" s="242">
        <v>0</v>
      </c>
      <c r="AA329" s="242">
        <v>0</v>
      </c>
      <c r="AB329" s="242">
        <v>0</v>
      </c>
      <c r="AC329" s="242">
        <v>0</v>
      </c>
      <c r="AD329" s="242">
        <v>0</v>
      </c>
      <c r="AE329" s="242">
        <v>0</v>
      </c>
      <c r="AF329" s="242">
        <v>0</v>
      </c>
      <c r="AG329" s="242">
        <v>0</v>
      </c>
      <c r="AH329" s="242">
        <v>0</v>
      </c>
      <c r="AI329" s="242">
        <v>0</v>
      </c>
      <c r="AJ329" s="242">
        <v>0</v>
      </c>
      <c r="AK329" s="235">
        <f t="shared" si="64"/>
        <v>0</v>
      </c>
      <c r="AL329" s="73" t="e">
        <f t="shared" si="62"/>
        <v>#DIV/0!</v>
      </c>
      <c r="AM329" s="14">
        <f t="shared" si="53"/>
        <v>0</v>
      </c>
      <c r="AN329" s="9"/>
    </row>
    <row r="330" spans="1:40" hidden="1" outlineLevel="1">
      <c r="A330" s="12" t="s">
        <v>372</v>
      </c>
      <c r="I330" s="213" t="s">
        <v>373</v>
      </c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35">
        <f t="shared" si="63"/>
        <v>0</v>
      </c>
      <c r="W330" s="73" t="e">
        <f t="shared" si="60"/>
        <v>#DIV/0!</v>
      </c>
      <c r="X330" s="89"/>
      <c r="Y330" s="242">
        <v>0</v>
      </c>
      <c r="Z330" s="242">
        <v>0</v>
      </c>
      <c r="AA330" s="242">
        <v>0</v>
      </c>
      <c r="AB330" s="242">
        <v>0</v>
      </c>
      <c r="AC330" s="242">
        <v>0</v>
      </c>
      <c r="AD330" s="242">
        <v>0</v>
      </c>
      <c r="AE330" s="242">
        <v>0</v>
      </c>
      <c r="AF330" s="242">
        <v>0</v>
      </c>
      <c r="AG330" s="242">
        <v>0</v>
      </c>
      <c r="AH330" s="242">
        <v>0</v>
      </c>
      <c r="AI330" s="242">
        <v>0</v>
      </c>
      <c r="AJ330" s="242">
        <v>0</v>
      </c>
      <c r="AK330" s="235">
        <f t="shared" si="64"/>
        <v>0</v>
      </c>
      <c r="AL330" s="73" t="e">
        <f t="shared" si="62"/>
        <v>#DIV/0!</v>
      </c>
      <c r="AM330" s="14">
        <f t="shared" si="53"/>
        <v>0</v>
      </c>
      <c r="AN330" s="9"/>
    </row>
    <row r="331" spans="1:40" hidden="1" outlineLevel="1">
      <c r="A331" s="12"/>
      <c r="I331" s="213" t="s">
        <v>374</v>
      </c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35"/>
      <c r="W331" s="73"/>
      <c r="X331" s="89"/>
      <c r="Y331" s="242"/>
      <c r="Z331" s="242"/>
      <c r="AA331" s="242"/>
      <c r="AB331" s="242"/>
      <c r="AC331" s="242"/>
      <c r="AD331" s="242"/>
      <c r="AE331" s="242"/>
      <c r="AF331" s="242"/>
      <c r="AG331" s="242"/>
      <c r="AH331" s="242"/>
      <c r="AI331" s="242"/>
      <c r="AJ331" s="242"/>
      <c r="AK331" s="235"/>
      <c r="AL331" s="73"/>
      <c r="AM331" s="14"/>
      <c r="AN331" s="9"/>
    </row>
    <row r="332" spans="1:40" hidden="1" outlineLevel="1">
      <c r="A332" s="12"/>
      <c r="I332" s="213" t="s">
        <v>375</v>
      </c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35"/>
      <c r="W332" s="73"/>
      <c r="X332" s="89"/>
      <c r="Y332" s="242"/>
      <c r="Z332" s="242"/>
      <c r="AA332" s="242"/>
      <c r="AB332" s="242"/>
      <c r="AC332" s="242"/>
      <c r="AD332" s="242"/>
      <c r="AE332" s="242"/>
      <c r="AF332" s="242"/>
      <c r="AG332" s="242"/>
      <c r="AH332" s="242"/>
      <c r="AI332" s="242"/>
      <c r="AJ332" s="242"/>
      <c r="AK332" s="235"/>
      <c r="AL332" s="73"/>
      <c r="AM332" s="14"/>
      <c r="AN332" s="9"/>
    </row>
    <row r="333" spans="1:40" hidden="1" outlineLevel="1">
      <c r="A333" s="12"/>
      <c r="I333" s="213" t="s">
        <v>376</v>
      </c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35"/>
      <c r="W333" s="73"/>
      <c r="X333" s="89"/>
      <c r="Y333" s="242"/>
      <c r="Z333" s="242"/>
      <c r="AA333" s="242"/>
      <c r="AB333" s="242"/>
      <c r="AC333" s="242"/>
      <c r="AD333" s="242"/>
      <c r="AE333" s="242"/>
      <c r="AF333" s="242"/>
      <c r="AG333" s="242"/>
      <c r="AH333" s="242"/>
      <c r="AI333" s="242"/>
      <c r="AJ333" s="242"/>
      <c r="AK333" s="235"/>
      <c r="AL333" s="73"/>
      <c r="AM333" s="14"/>
      <c r="AN333" s="9"/>
    </row>
    <row r="334" spans="1:40" hidden="1" outlineLevel="1">
      <c r="A334" s="12"/>
      <c r="I334" s="213" t="s">
        <v>377</v>
      </c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35"/>
      <c r="W334" s="73"/>
      <c r="X334" s="89"/>
      <c r="Y334" s="242"/>
      <c r="Z334" s="242"/>
      <c r="AA334" s="242"/>
      <c r="AB334" s="242"/>
      <c r="AC334" s="242"/>
      <c r="AD334" s="242"/>
      <c r="AE334" s="242"/>
      <c r="AF334" s="242"/>
      <c r="AG334" s="242"/>
      <c r="AH334" s="242"/>
      <c r="AI334" s="242"/>
      <c r="AJ334" s="242"/>
      <c r="AK334" s="235"/>
      <c r="AL334" s="73"/>
      <c r="AM334" s="14"/>
      <c r="AN334" s="9"/>
    </row>
    <row r="335" spans="1:40" hidden="1" outlineLevel="1">
      <c r="A335" s="12"/>
      <c r="I335" s="213" t="s">
        <v>378</v>
      </c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35"/>
      <c r="W335" s="73"/>
      <c r="X335" s="89"/>
      <c r="Y335" s="242"/>
      <c r="Z335" s="242"/>
      <c r="AA335" s="242"/>
      <c r="AB335" s="242"/>
      <c r="AC335" s="242"/>
      <c r="AD335" s="242"/>
      <c r="AE335" s="242"/>
      <c r="AF335" s="242"/>
      <c r="AG335" s="242"/>
      <c r="AH335" s="242"/>
      <c r="AI335" s="242"/>
      <c r="AJ335" s="242"/>
      <c r="AK335" s="235"/>
      <c r="AL335" s="73"/>
      <c r="AM335" s="14"/>
      <c r="AN335" s="9"/>
    </row>
    <row r="336" spans="1:40" hidden="1" outlineLevel="1">
      <c r="A336" s="12"/>
      <c r="I336" s="213" t="s">
        <v>379</v>
      </c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35"/>
      <c r="W336" s="73"/>
      <c r="X336" s="89"/>
      <c r="Y336" s="242"/>
      <c r="Z336" s="242"/>
      <c r="AA336" s="242"/>
      <c r="AB336" s="242"/>
      <c r="AC336" s="242"/>
      <c r="AD336" s="242"/>
      <c r="AE336" s="242"/>
      <c r="AF336" s="242"/>
      <c r="AG336" s="242"/>
      <c r="AH336" s="242"/>
      <c r="AI336" s="242"/>
      <c r="AJ336" s="242"/>
      <c r="AK336" s="235"/>
      <c r="AL336" s="73"/>
      <c r="AM336" s="14"/>
      <c r="AN336" s="9"/>
    </row>
    <row r="337" spans="1:40" hidden="1" outlineLevel="1">
      <c r="A337" s="12"/>
      <c r="I337" s="213" t="s">
        <v>380</v>
      </c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35"/>
      <c r="W337" s="73"/>
      <c r="X337" s="89"/>
      <c r="Y337" s="242"/>
      <c r="Z337" s="242"/>
      <c r="AA337" s="242"/>
      <c r="AB337" s="242"/>
      <c r="AC337" s="242"/>
      <c r="AD337" s="242"/>
      <c r="AE337" s="242"/>
      <c r="AF337" s="242"/>
      <c r="AG337" s="242"/>
      <c r="AH337" s="242"/>
      <c r="AI337" s="242"/>
      <c r="AJ337" s="242"/>
      <c r="AK337" s="235"/>
      <c r="AL337" s="73"/>
      <c r="AM337" s="14"/>
      <c r="AN337" s="9"/>
    </row>
    <row r="338" spans="1:40" hidden="1" outlineLevel="1">
      <c r="A338" s="12"/>
      <c r="I338" s="213" t="s">
        <v>381</v>
      </c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35"/>
      <c r="W338" s="73"/>
      <c r="X338" s="89"/>
      <c r="Y338" s="242"/>
      <c r="Z338" s="242"/>
      <c r="AA338" s="242"/>
      <c r="AB338" s="242"/>
      <c r="AC338" s="242"/>
      <c r="AD338" s="242"/>
      <c r="AE338" s="242"/>
      <c r="AF338" s="242"/>
      <c r="AG338" s="242"/>
      <c r="AH338" s="242"/>
      <c r="AI338" s="242"/>
      <c r="AJ338" s="242"/>
      <c r="AK338" s="235"/>
      <c r="AL338" s="73"/>
      <c r="AM338" s="14"/>
      <c r="AN338" s="9"/>
    </row>
    <row r="339" spans="1:40" hidden="1" outlineLevel="1">
      <c r="A339" s="12"/>
      <c r="I339" s="213" t="s">
        <v>382</v>
      </c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35"/>
      <c r="W339" s="73"/>
      <c r="X339" s="89"/>
      <c r="Y339" s="242"/>
      <c r="Z339" s="242"/>
      <c r="AA339" s="242"/>
      <c r="AB339" s="242"/>
      <c r="AC339" s="242"/>
      <c r="AD339" s="242"/>
      <c r="AE339" s="242"/>
      <c r="AF339" s="242"/>
      <c r="AG339" s="242"/>
      <c r="AH339" s="242"/>
      <c r="AI339" s="242"/>
      <c r="AJ339" s="242"/>
      <c r="AK339" s="235"/>
      <c r="AL339" s="73"/>
      <c r="AM339" s="14"/>
      <c r="AN339" s="9"/>
    </row>
    <row r="340" spans="1:40" hidden="1" outlineLevel="1">
      <c r="A340" s="12"/>
      <c r="I340" s="213" t="s">
        <v>383</v>
      </c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35"/>
      <c r="W340" s="73"/>
      <c r="X340" s="89"/>
      <c r="Y340" s="242"/>
      <c r="Z340" s="242"/>
      <c r="AA340" s="242"/>
      <c r="AB340" s="242"/>
      <c r="AC340" s="242"/>
      <c r="AD340" s="242"/>
      <c r="AE340" s="242"/>
      <c r="AF340" s="242"/>
      <c r="AG340" s="242"/>
      <c r="AH340" s="242"/>
      <c r="AI340" s="242"/>
      <c r="AJ340" s="242"/>
      <c r="AK340" s="235"/>
      <c r="AL340" s="73"/>
      <c r="AM340" s="14"/>
      <c r="AN340" s="9"/>
    </row>
    <row r="341" spans="1:40" hidden="1" outlineLevel="1">
      <c r="A341" s="12"/>
      <c r="I341" s="213" t="s">
        <v>384</v>
      </c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35"/>
      <c r="W341" s="73"/>
      <c r="X341" s="89"/>
      <c r="Y341" s="242"/>
      <c r="Z341" s="242"/>
      <c r="AA341" s="242"/>
      <c r="AB341" s="242"/>
      <c r="AC341" s="242"/>
      <c r="AD341" s="242"/>
      <c r="AE341" s="242"/>
      <c r="AF341" s="242"/>
      <c r="AG341" s="242"/>
      <c r="AH341" s="242"/>
      <c r="AI341" s="242"/>
      <c r="AJ341" s="242"/>
      <c r="AK341" s="235"/>
      <c r="AL341" s="73"/>
      <c r="AM341" s="14"/>
      <c r="AN341" s="9"/>
    </row>
    <row r="342" spans="1:40" hidden="1" outlineLevel="1">
      <c r="A342" s="12"/>
      <c r="I342" s="213" t="s">
        <v>385</v>
      </c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35"/>
      <c r="W342" s="73"/>
      <c r="X342" s="89"/>
      <c r="Y342" s="242"/>
      <c r="Z342" s="242"/>
      <c r="AA342" s="242"/>
      <c r="AB342" s="242"/>
      <c r="AC342" s="242"/>
      <c r="AD342" s="242"/>
      <c r="AE342" s="242"/>
      <c r="AF342" s="242"/>
      <c r="AG342" s="242"/>
      <c r="AH342" s="242"/>
      <c r="AI342" s="242"/>
      <c r="AJ342" s="242"/>
      <c r="AK342" s="235"/>
      <c r="AL342" s="73"/>
      <c r="AM342" s="14"/>
      <c r="AN342" s="9"/>
    </row>
    <row r="343" spans="1:40" hidden="1" outlineLevel="1">
      <c r="A343" s="12"/>
      <c r="I343" s="213" t="s">
        <v>386</v>
      </c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35"/>
      <c r="W343" s="73"/>
      <c r="X343" s="89"/>
      <c r="Y343" s="242"/>
      <c r="Z343" s="242"/>
      <c r="AA343" s="242"/>
      <c r="AB343" s="242"/>
      <c r="AC343" s="242"/>
      <c r="AD343" s="242"/>
      <c r="AE343" s="242"/>
      <c r="AF343" s="242"/>
      <c r="AG343" s="242"/>
      <c r="AH343" s="242"/>
      <c r="AI343" s="242"/>
      <c r="AJ343" s="242"/>
      <c r="AK343" s="235"/>
      <c r="AL343" s="73"/>
      <c r="AM343" s="14"/>
      <c r="AN343" s="9"/>
    </row>
    <row r="344" spans="1:40" hidden="1" outlineLevel="1">
      <c r="A344" s="12"/>
      <c r="I344" s="213" t="s">
        <v>387</v>
      </c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35"/>
      <c r="W344" s="73"/>
      <c r="X344" s="89"/>
      <c r="Y344" s="242"/>
      <c r="Z344" s="242"/>
      <c r="AA344" s="242"/>
      <c r="AB344" s="242"/>
      <c r="AC344" s="242"/>
      <c r="AD344" s="242"/>
      <c r="AE344" s="242"/>
      <c r="AF344" s="242"/>
      <c r="AG344" s="242"/>
      <c r="AH344" s="242"/>
      <c r="AI344" s="242"/>
      <c r="AJ344" s="242"/>
      <c r="AK344" s="235"/>
      <c r="AL344" s="73"/>
      <c r="AM344" s="14"/>
      <c r="AN344" s="9"/>
    </row>
    <row r="345" spans="1:40" hidden="1" outlineLevel="1">
      <c r="A345" s="12"/>
      <c r="I345" s="213" t="s">
        <v>388</v>
      </c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35"/>
      <c r="W345" s="73"/>
      <c r="X345" s="89"/>
      <c r="Y345" s="242"/>
      <c r="Z345" s="242"/>
      <c r="AA345" s="242"/>
      <c r="AB345" s="242"/>
      <c r="AC345" s="242"/>
      <c r="AD345" s="242"/>
      <c r="AE345" s="242"/>
      <c r="AF345" s="242"/>
      <c r="AG345" s="242"/>
      <c r="AH345" s="242"/>
      <c r="AI345" s="242"/>
      <c r="AJ345" s="242"/>
      <c r="AK345" s="235"/>
      <c r="AL345" s="73"/>
      <c r="AM345" s="14"/>
      <c r="AN345" s="9"/>
    </row>
    <row r="346" spans="1:40" hidden="1" outlineLevel="1">
      <c r="A346" s="12"/>
      <c r="I346" s="213" t="s">
        <v>389</v>
      </c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35"/>
      <c r="W346" s="73"/>
      <c r="X346" s="89"/>
      <c r="Y346" s="242"/>
      <c r="Z346" s="242"/>
      <c r="AA346" s="242"/>
      <c r="AB346" s="242"/>
      <c r="AC346" s="242"/>
      <c r="AD346" s="242"/>
      <c r="AE346" s="242"/>
      <c r="AF346" s="242"/>
      <c r="AG346" s="242"/>
      <c r="AH346" s="242"/>
      <c r="AI346" s="242"/>
      <c r="AJ346" s="242"/>
      <c r="AK346" s="235"/>
      <c r="AL346" s="73"/>
      <c r="AM346" s="14"/>
      <c r="AN346" s="9"/>
    </row>
    <row r="347" spans="1:40" hidden="1" outlineLevel="1">
      <c r="A347" s="12"/>
      <c r="I347" s="213" t="s">
        <v>390</v>
      </c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35"/>
      <c r="W347" s="73"/>
      <c r="X347" s="89"/>
      <c r="Y347" s="242"/>
      <c r="Z347" s="242"/>
      <c r="AA347" s="242"/>
      <c r="AB347" s="242"/>
      <c r="AC347" s="242"/>
      <c r="AD347" s="242"/>
      <c r="AE347" s="242"/>
      <c r="AF347" s="242"/>
      <c r="AG347" s="242"/>
      <c r="AH347" s="242"/>
      <c r="AI347" s="242"/>
      <c r="AJ347" s="242"/>
      <c r="AK347" s="235"/>
      <c r="AL347" s="73"/>
      <c r="AM347" s="14"/>
      <c r="AN347" s="9"/>
    </row>
    <row r="348" spans="1:40" hidden="1" outlineLevel="1">
      <c r="A348" s="12"/>
      <c r="I348" s="213" t="s">
        <v>391</v>
      </c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35"/>
      <c r="W348" s="73"/>
      <c r="X348" s="89"/>
      <c r="Y348" s="242"/>
      <c r="Z348" s="242"/>
      <c r="AA348" s="242"/>
      <c r="AB348" s="242"/>
      <c r="AC348" s="242"/>
      <c r="AD348" s="242"/>
      <c r="AE348" s="242"/>
      <c r="AF348" s="242"/>
      <c r="AG348" s="242"/>
      <c r="AH348" s="242"/>
      <c r="AI348" s="242"/>
      <c r="AJ348" s="242"/>
      <c r="AK348" s="235"/>
      <c r="AL348" s="73"/>
      <c r="AM348" s="14"/>
      <c r="AN348" s="9"/>
    </row>
    <row r="349" spans="1:40" hidden="1" outlineLevel="1">
      <c r="A349" s="12"/>
      <c r="I349" s="213" t="s">
        <v>392</v>
      </c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35"/>
      <c r="W349" s="73"/>
      <c r="X349" s="89"/>
      <c r="Y349" s="242"/>
      <c r="Z349" s="242"/>
      <c r="AA349" s="242"/>
      <c r="AB349" s="242"/>
      <c r="AC349" s="242"/>
      <c r="AD349" s="242"/>
      <c r="AE349" s="242"/>
      <c r="AF349" s="242"/>
      <c r="AG349" s="242"/>
      <c r="AH349" s="242"/>
      <c r="AI349" s="242"/>
      <c r="AJ349" s="242"/>
      <c r="AK349" s="235"/>
      <c r="AL349" s="73"/>
      <c r="AM349" s="14"/>
      <c r="AN349" s="9"/>
    </row>
    <row r="350" spans="1:40" hidden="1" outlineLevel="1">
      <c r="A350" s="12"/>
      <c r="I350" s="213" t="s">
        <v>393</v>
      </c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35"/>
      <c r="W350" s="73"/>
      <c r="X350" s="89"/>
      <c r="Y350" s="242"/>
      <c r="Z350" s="242"/>
      <c r="AA350" s="242"/>
      <c r="AB350" s="242"/>
      <c r="AC350" s="242"/>
      <c r="AD350" s="242"/>
      <c r="AE350" s="242"/>
      <c r="AF350" s="242"/>
      <c r="AG350" s="242"/>
      <c r="AH350" s="242"/>
      <c r="AI350" s="242"/>
      <c r="AJ350" s="242"/>
      <c r="AK350" s="235"/>
      <c r="AL350" s="73"/>
      <c r="AM350" s="14"/>
      <c r="AN350" s="9"/>
    </row>
    <row r="351" spans="1:40" hidden="1" outlineLevel="1">
      <c r="A351" s="12"/>
      <c r="I351" s="213" t="s">
        <v>394</v>
      </c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35"/>
      <c r="W351" s="73"/>
      <c r="X351" s="89"/>
      <c r="Y351" s="242"/>
      <c r="Z351" s="242"/>
      <c r="AA351" s="242"/>
      <c r="AB351" s="242"/>
      <c r="AC351" s="242"/>
      <c r="AD351" s="242"/>
      <c r="AE351" s="242"/>
      <c r="AF351" s="242"/>
      <c r="AG351" s="242"/>
      <c r="AH351" s="242"/>
      <c r="AI351" s="242"/>
      <c r="AJ351" s="242"/>
      <c r="AK351" s="235"/>
      <c r="AL351" s="73"/>
      <c r="AM351" s="14"/>
      <c r="AN351" s="9"/>
    </row>
    <row r="352" spans="1:40" ht="15.6">
      <c r="I352" s="150" t="s">
        <v>395</v>
      </c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>
        <f>+V290-V294-V321</f>
        <v>0</v>
      </c>
      <c r="W352" s="80" t="e">
        <f>V352/V$6</f>
        <v>#DIV/0!</v>
      </c>
      <c r="X352" s="89"/>
      <c r="Y352" s="151">
        <f t="shared" ref="Y352:AK352" si="65">+Y290-Y294-Y321</f>
        <v>0</v>
      </c>
      <c r="Z352" s="151">
        <f t="shared" si="65"/>
        <v>0</v>
      </c>
      <c r="AA352" s="151">
        <f t="shared" si="65"/>
        <v>0</v>
      </c>
      <c r="AB352" s="151">
        <f t="shared" si="65"/>
        <v>0</v>
      </c>
      <c r="AC352" s="151">
        <f t="shared" si="65"/>
        <v>0</v>
      </c>
      <c r="AD352" s="151">
        <f t="shared" si="65"/>
        <v>0</v>
      </c>
      <c r="AE352" s="151">
        <f t="shared" si="65"/>
        <v>0</v>
      </c>
      <c r="AF352" s="151">
        <f t="shared" si="65"/>
        <v>0</v>
      </c>
      <c r="AG352" s="151">
        <f t="shared" si="65"/>
        <v>0</v>
      </c>
      <c r="AH352" s="151">
        <f t="shared" si="65"/>
        <v>0</v>
      </c>
      <c r="AI352" s="151">
        <f t="shared" si="65"/>
        <v>0</v>
      </c>
      <c r="AJ352" s="151">
        <f t="shared" si="65"/>
        <v>0</v>
      </c>
      <c r="AK352" s="151">
        <f t="shared" si="65"/>
        <v>0</v>
      </c>
      <c r="AL352" s="80" t="e">
        <f>AK352/AK$6</f>
        <v>#DIV/0!</v>
      </c>
      <c r="AM352" s="160">
        <f t="shared" si="53"/>
        <v>0</v>
      </c>
      <c r="AN352" s="9"/>
    </row>
    <row r="353" spans="1:40" ht="18.75" customHeight="1">
      <c r="W353" s="75"/>
      <c r="X353" s="89"/>
      <c r="AL353" s="75"/>
      <c r="AM353" s="13"/>
      <c r="AN353" s="9"/>
    </row>
    <row r="354" spans="1:40">
      <c r="A354" s="12" t="s">
        <v>396</v>
      </c>
      <c r="E354" s="7" t="s">
        <v>108</v>
      </c>
      <c r="I354" s="142" t="s">
        <v>397</v>
      </c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>
        <f>SUM(J354:U354)</f>
        <v>0</v>
      </c>
      <c r="W354" s="169" t="e">
        <f>V354/V$6</f>
        <v>#DIV/0!</v>
      </c>
      <c r="X354" s="89"/>
      <c r="Y354" s="242">
        <v>0</v>
      </c>
      <c r="Z354" s="242">
        <v>0</v>
      </c>
      <c r="AA354" s="242">
        <v>0</v>
      </c>
      <c r="AB354" s="242">
        <v>0</v>
      </c>
      <c r="AC354" s="242">
        <v>0</v>
      </c>
      <c r="AD354" s="242">
        <v>0</v>
      </c>
      <c r="AE354" s="242">
        <v>0</v>
      </c>
      <c r="AF354" s="242">
        <v>0</v>
      </c>
      <c r="AG354" s="242">
        <v>0</v>
      </c>
      <c r="AH354" s="242">
        <v>0</v>
      </c>
      <c r="AI354" s="242">
        <v>0</v>
      </c>
      <c r="AJ354" s="242">
        <v>0</v>
      </c>
      <c r="AK354" s="242">
        <f>SUM(Y354:AJ354)</f>
        <v>0</v>
      </c>
      <c r="AL354" s="169" t="e">
        <f>AK354/AK$6</f>
        <v>#DIV/0!</v>
      </c>
      <c r="AM354" s="10">
        <f t="shared" si="53"/>
        <v>0</v>
      </c>
      <c r="AN354" s="9"/>
    </row>
    <row r="355" spans="1:40" ht="15.6">
      <c r="I355" s="152" t="s">
        <v>398</v>
      </c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>
        <f>+V352-V354</f>
        <v>0</v>
      </c>
      <c r="W355" s="170" t="e">
        <f>V355/V$6</f>
        <v>#DIV/0!</v>
      </c>
      <c r="X355" s="89"/>
      <c r="Y355" s="153">
        <f>+Y352-Y354</f>
        <v>0</v>
      </c>
      <c r="Z355" s="153">
        <f>+Z352-Z354</f>
        <v>0</v>
      </c>
      <c r="AA355" s="153">
        <f>+AA352-AA354</f>
        <v>0</v>
      </c>
      <c r="AB355" s="153">
        <f>+AB352-AB354</f>
        <v>0</v>
      </c>
      <c r="AC355" s="153">
        <f>+AC352-AC354</f>
        <v>0</v>
      </c>
      <c r="AD355" s="153">
        <f t="shared" ref="AD355:AK355" si="66">+AD352-AD354</f>
        <v>0</v>
      </c>
      <c r="AE355" s="153">
        <f t="shared" si="66"/>
        <v>0</v>
      </c>
      <c r="AF355" s="153">
        <f t="shared" si="66"/>
        <v>0</v>
      </c>
      <c r="AG355" s="153">
        <f t="shared" si="66"/>
        <v>0</v>
      </c>
      <c r="AH355" s="153">
        <f t="shared" si="66"/>
        <v>0</v>
      </c>
      <c r="AI355" s="153">
        <f t="shared" si="66"/>
        <v>0</v>
      </c>
      <c r="AJ355" s="153">
        <f t="shared" si="66"/>
        <v>0</v>
      </c>
      <c r="AK355" s="153">
        <f t="shared" si="66"/>
        <v>0</v>
      </c>
      <c r="AL355" s="170" t="e">
        <f>AK355/AK$6</f>
        <v>#DIV/0!</v>
      </c>
      <c r="AM355" s="161">
        <f t="shared" si="53"/>
        <v>0</v>
      </c>
      <c r="AN355" s="9"/>
    </row>
    <row r="356" spans="1:40">
      <c r="I356" s="140"/>
      <c r="J356" s="132"/>
      <c r="K356" s="132"/>
      <c r="L356" s="132"/>
      <c r="M356" s="132"/>
      <c r="N356" s="133"/>
      <c r="O356" s="133"/>
      <c r="P356" s="133"/>
      <c r="Q356" s="132"/>
      <c r="R356" s="133"/>
      <c r="S356" s="133"/>
      <c r="T356" s="133"/>
      <c r="U356" s="132"/>
      <c r="V356" s="132"/>
      <c r="W356" s="81"/>
      <c r="Y356" s="132"/>
      <c r="Z356" s="132"/>
      <c r="AA356" s="132"/>
      <c r="AB356" s="132"/>
      <c r="AC356" s="133"/>
      <c r="AD356" s="133"/>
      <c r="AE356" s="133"/>
      <c r="AF356" s="132"/>
      <c r="AG356" s="133"/>
      <c r="AH356" s="133"/>
      <c r="AI356" s="133"/>
      <c r="AJ356" s="132"/>
      <c r="AK356" s="132"/>
      <c r="AL356" s="81"/>
      <c r="AM356" s="162"/>
    </row>
    <row r="357" spans="1:40">
      <c r="J357" s="135"/>
      <c r="K357" s="135"/>
      <c r="L357" s="135"/>
      <c r="M357" s="135"/>
      <c r="N357" s="135"/>
      <c r="O357" s="135"/>
      <c r="P357" s="135"/>
      <c r="Q357" s="135"/>
      <c r="U357" s="135"/>
      <c r="V357" s="135"/>
      <c r="W357" s="82"/>
      <c r="X357" s="94"/>
      <c r="Y357" s="135"/>
      <c r="Z357" s="135"/>
      <c r="AA357" s="135"/>
      <c r="AB357" s="135"/>
      <c r="AC357" s="135"/>
      <c r="AD357" s="135"/>
      <c r="AE357" s="135"/>
      <c r="AF357" s="135"/>
      <c r="AJ357" s="135"/>
      <c r="AK357" s="135"/>
      <c r="AL357" s="82"/>
    </row>
    <row r="358" spans="1:40" ht="15"/>
    <row r="362" spans="1:40" ht="15"/>
  </sheetData>
  <mergeCells count="4">
    <mergeCell ref="J2:U2"/>
    <mergeCell ref="V2:W2"/>
    <mergeCell ref="Y2:AJ2"/>
    <mergeCell ref="AK2:AL2"/>
  </mergeCells>
  <conditionalFormatting sqref="R292:S292 AM1:AM46 AM48:AM261">
    <cfRule type="cellIs" dxfId="26" priority="23" operator="lessThan">
      <formula>0</formula>
    </cfRule>
  </conditionalFormatting>
  <conditionalFormatting sqref="Z292:AA292">
    <cfRule type="cellIs" dxfId="25" priority="21" operator="lessThan">
      <formula>0</formula>
    </cfRule>
  </conditionalFormatting>
  <conditionalFormatting sqref="AH292:AI292">
    <cfRule type="cellIs" dxfId="24" priority="19" operator="lessThan">
      <formula>0</formula>
    </cfRule>
  </conditionalFormatting>
  <conditionalFormatting sqref="AM264:AM265">
    <cfRule type="cellIs" dxfId="23" priority="46" operator="lessThan">
      <formula>0</formula>
    </cfRule>
  </conditionalFormatting>
  <conditionalFormatting sqref="AM267:AM291">
    <cfRule type="cellIs" dxfId="22" priority="27" operator="lessThan">
      <formula>0</formula>
    </cfRule>
  </conditionalFormatting>
  <conditionalFormatting sqref="AM293:AM1048576">
    <cfRule type="cellIs" dxfId="21" priority="52" operator="lessThan">
      <formula>0</formula>
    </cfRule>
  </conditionalFormatting>
  <conditionalFormatting sqref="AP292:AQ292">
    <cfRule type="cellIs" dxfId="20" priority="17" operator="lessThan">
      <formula>0</formula>
    </cfRule>
  </conditionalFormatting>
  <conditionalFormatting sqref="AX292:AY292">
    <cfRule type="cellIs" dxfId="19" priority="1" operator="lessThan">
      <formula>0</formula>
    </cfRule>
  </conditionalFormatting>
  <conditionalFormatting sqref="BF292:BG292">
    <cfRule type="cellIs" dxfId="18" priority="14" operator="lessThan">
      <formula>0</formula>
    </cfRule>
  </conditionalFormatting>
  <conditionalFormatting sqref="BN292:BO292">
    <cfRule type="cellIs" dxfId="17" priority="12" operator="lessThan">
      <formula>0</formula>
    </cfRule>
  </conditionalFormatting>
  <conditionalFormatting sqref="BV292:BW292">
    <cfRule type="cellIs" dxfId="16" priority="10" operator="lessThan">
      <formula>0</formula>
    </cfRule>
  </conditionalFormatting>
  <conditionalFormatting sqref="CD292:CE292">
    <cfRule type="cellIs" dxfId="15" priority="8" operator="lessThan">
      <formula>0</formula>
    </cfRule>
  </conditionalFormatting>
  <conditionalFormatting sqref="CL292:CM292">
    <cfRule type="cellIs" dxfId="14" priority="6" operator="lessThan">
      <formula>0</formula>
    </cfRule>
  </conditionalFormatting>
  <conditionalFormatting sqref="CT292:CU292">
    <cfRule type="cellIs" dxfId="13" priority="4" operator="lessThan">
      <formula>0</formula>
    </cfRule>
  </conditionalFormatting>
  <conditionalFormatting sqref="DB292:DC292">
    <cfRule type="cellIs" dxfId="12" priority="2" operator="lessThan">
      <formula>0</formula>
    </cfRule>
  </conditionalFormatting>
  <conditionalFormatting sqref="DJ292:DL292">
    <cfRule type="cellIs" dxfId="11" priority="25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9">
    <tabColor rgb="FF002060"/>
  </sheetPr>
  <dimension ref="A1"/>
  <sheetViews>
    <sheetView workbookViewId="0">
      <selection activeCell="E27" sqref="E27"/>
    </sheetView>
  </sheetViews>
  <sheetFormatPr defaultColWidth="11.5703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3056-246A-420D-959F-855ABDA45594}">
  <sheetPr>
    <tabColor rgb="FF00B0F0"/>
    <outlinePr summaryBelow="0" summaryRight="0"/>
  </sheetPr>
  <dimension ref="A1:AW379"/>
  <sheetViews>
    <sheetView showGridLines="0" tabSelected="1" zoomScale="60" zoomScaleNormal="60" workbookViewId="0">
      <pane xSplit="9" ySplit="3" topLeftCell="V4" activePane="bottomRight" state="frozen"/>
      <selection pane="bottomRight" activeCell="AK147" sqref="AK147"/>
      <selection pane="bottomLeft" activeCell="XET148" sqref="XET148"/>
      <selection pane="topRight" activeCell="XET148" sqref="XET148"/>
    </sheetView>
  </sheetViews>
  <sheetFormatPr defaultColWidth="11.42578125" defaultRowHeight="14.45" outlineLevelRow="2" outlineLevelCol="1"/>
  <cols>
    <col min="1" max="1" width="11.42578125" style="6" hidden="1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187" customWidth="1"/>
    <col min="6" max="8" width="10.28515625" style="6" hidden="1" customWidth="1"/>
    <col min="9" max="9" width="33" style="5" customWidth="1" collapsed="1"/>
    <col min="10" max="11" width="19.140625" style="4" hidden="1" customWidth="1" outlineLevel="1"/>
    <col min="12" max="12" width="19.5703125" style="4" hidden="1" customWidth="1" outlineLevel="1"/>
    <col min="13" max="15" width="19.140625" style="3" hidden="1" customWidth="1" outlineLevel="1"/>
    <col min="16" max="16" width="19.5703125" style="3" hidden="1" customWidth="1" outlineLevel="1"/>
    <col min="17" max="17" width="19.140625" style="4" hidden="1" customWidth="1" outlineLevel="1"/>
    <col min="18" max="18" width="19.5703125" style="3" hidden="1" customWidth="1" outlineLevel="1"/>
    <col min="19" max="19" width="19.140625" style="3" hidden="1" customWidth="1" outlineLevel="1"/>
    <col min="20" max="20" width="18.7109375" style="3" hidden="1" customWidth="1" outlineLevel="1"/>
    <col min="21" max="21" width="19.5703125" style="4" hidden="1" customWidth="1" outlineLevel="1"/>
    <col min="22" max="22" width="14.7109375" style="4" bestFit="1" customWidth="1"/>
    <col min="23" max="23" width="11.42578125" style="83" customWidth="1"/>
    <col min="24" max="24" width="3" style="93" customWidth="1" collapsed="1"/>
    <col min="25" max="25" width="19.5703125" style="4" hidden="1" customWidth="1" outlineLevel="1"/>
    <col min="26" max="27" width="17.7109375" style="4" hidden="1" customWidth="1" outlineLevel="1"/>
    <col min="28" max="28" width="18.7109375" style="3" hidden="1" customWidth="1" outlineLevel="1"/>
    <col min="29" max="29" width="19.5703125" style="3" hidden="1" customWidth="1" outlineLevel="1"/>
    <col min="30" max="30" width="19.140625" style="3" hidden="1" customWidth="1" outlineLevel="1"/>
    <col min="31" max="31" width="19.5703125" style="3" hidden="1" customWidth="1" outlineLevel="1"/>
    <col min="32" max="32" width="19.5703125" style="4" hidden="1" customWidth="1" outlineLevel="1"/>
    <col min="33" max="33" width="19.5703125" style="3" hidden="1" customWidth="1" outlineLevel="1"/>
    <col min="34" max="34" width="18.28515625" style="3" hidden="1" customWidth="1" outlineLevel="1"/>
    <col min="35" max="35" width="19.140625" style="3" hidden="1" customWidth="1" outlineLevel="1"/>
    <col min="36" max="36" width="19.140625" style="4" hidden="1" customWidth="1" outlineLevel="1"/>
    <col min="37" max="37" width="14.7109375" style="4" bestFit="1" customWidth="1"/>
    <col min="38" max="38" width="11.42578125" style="83" customWidth="1"/>
    <col min="39" max="39" width="11.42578125" style="2" customWidth="1"/>
    <col min="40" max="40" width="2.7109375" style="93" customWidth="1" collapsed="1"/>
    <col min="41" max="41" width="21" style="4" hidden="1" customWidth="1"/>
    <col min="42" max="42" width="6.7109375" style="83" hidden="1" customWidth="1"/>
    <col min="43" max="43" width="13" style="2" hidden="1" customWidth="1"/>
    <col min="44" max="62" width="11.42578125" style="1" customWidth="1"/>
    <col min="63" max="16384" width="11.42578125" style="1"/>
  </cols>
  <sheetData>
    <row r="1" spans="1:43" s="57" customFormat="1" ht="6.75" customHeight="1">
      <c r="A1" s="6"/>
      <c r="B1" s="8"/>
      <c r="C1" s="8"/>
      <c r="D1" s="6"/>
      <c r="E1" s="187"/>
      <c r="F1" s="6"/>
      <c r="G1" s="6"/>
      <c r="H1" s="6"/>
      <c r="I1" s="60" t="s">
        <v>81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v>3</v>
      </c>
      <c r="AA1" s="59">
        <v>4</v>
      </c>
      <c r="AB1" s="59">
        <v>5</v>
      </c>
      <c r="AC1" s="59">
        <v>6</v>
      </c>
      <c r="AD1" s="59">
        <v>7</v>
      </c>
      <c r="AE1" s="59"/>
      <c r="AF1" s="59"/>
      <c r="AG1" s="59"/>
      <c r="AH1" s="59"/>
      <c r="AI1" s="59"/>
      <c r="AJ1" s="59"/>
      <c r="AK1" s="59"/>
      <c r="AL1" s="68"/>
      <c r="AM1" s="58">
        <v>17</v>
      </c>
      <c r="AN1" s="84"/>
      <c r="AO1" s="59"/>
      <c r="AP1" s="68"/>
      <c r="AQ1" s="58">
        <v>17</v>
      </c>
    </row>
    <row r="2" spans="1:43" s="52" customFormat="1" ht="18.75">
      <c r="A2" s="55"/>
      <c r="B2" s="55"/>
      <c r="C2" s="55"/>
      <c r="D2" s="55"/>
      <c r="E2" s="188"/>
      <c r="F2" s="55"/>
      <c r="G2" s="55"/>
      <c r="H2" s="55"/>
      <c r="I2" s="54"/>
      <c r="J2" s="300">
        <v>2025</v>
      </c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2"/>
      <c r="V2" s="303" t="s">
        <v>82</v>
      </c>
      <c r="W2" s="304"/>
      <c r="X2" s="85"/>
      <c r="Y2" s="300">
        <v>2026</v>
      </c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2"/>
      <c r="AK2" s="303" t="s">
        <v>399</v>
      </c>
      <c r="AL2" s="304"/>
      <c r="AM2" s="305"/>
      <c r="AN2" s="85"/>
      <c r="AO2" s="303" t="s">
        <v>400</v>
      </c>
      <c r="AP2" s="304"/>
      <c r="AQ2" s="305"/>
    </row>
    <row r="3" spans="1:43" s="44" customFormat="1" ht="21">
      <c r="A3" s="50"/>
      <c r="B3" s="51"/>
      <c r="C3" s="51"/>
      <c r="D3" s="50"/>
      <c r="E3" s="189"/>
      <c r="F3" s="48"/>
      <c r="G3" s="48"/>
      <c r="H3" s="48"/>
      <c r="I3" s="47"/>
      <c r="J3" s="131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83</v>
      </c>
      <c r="X3" s="86"/>
      <c r="Y3" s="131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83</v>
      </c>
      <c r="AM3" s="45" t="s">
        <v>84</v>
      </c>
      <c r="AN3" s="86"/>
      <c r="AO3" s="46">
        <v>2024</v>
      </c>
      <c r="AP3" s="69" t="s">
        <v>83</v>
      </c>
      <c r="AQ3" s="45" t="s">
        <v>84</v>
      </c>
    </row>
    <row r="4" spans="1:43" ht="15">
      <c r="I4" s="43" t="s">
        <v>85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  <c r="AN4" s="87"/>
      <c r="AO4" s="9"/>
      <c r="AP4" s="70"/>
      <c r="AQ4" s="40"/>
    </row>
    <row r="5" spans="1:43" ht="15">
      <c r="A5" s="8"/>
      <c r="D5" s="8"/>
      <c r="E5" s="190"/>
      <c r="F5" s="8"/>
      <c r="G5" s="8"/>
      <c r="H5" s="8"/>
      <c r="I5" s="41"/>
      <c r="J5" s="231"/>
      <c r="K5" s="231"/>
      <c r="L5" s="231"/>
      <c r="M5" s="231"/>
      <c r="N5" s="231"/>
      <c r="O5" s="231"/>
      <c r="P5" s="1"/>
      <c r="Q5" s="231"/>
      <c r="R5" s="1"/>
      <c r="S5" s="1"/>
      <c r="T5" s="1"/>
      <c r="U5" s="253"/>
      <c r="V5" s="231"/>
      <c r="W5" s="232"/>
      <c r="X5" s="233"/>
      <c r="Y5" s="231"/>
      <c r="Z5" s="231"/>
      <c r="AA5" s="231"/>
      <c r="AB5" s="231"/>
      <c r="AC5" s="231"/>
      <c r="AD5" s="231"/>
      <c r="AE5" s="1"/>
      <c r="AF5" s="231"/>
      <c r="AG5" s="1"/>
      <c r="AH5" s="1"/>
      <c r="AI5" s="1"/>
      <c r="AJ5" s="231"/>
      <c r="AK5" s="231"/>
      <c r="AL5" s="232"/>
      <c r="AM5" s="40"/>
      <c r="AN5" s="233"/>
      <c r="AO5" s="231"/>
      <c r="AP5" s="232"/>
      <c r="AQ5" s="40"/>
    </row>
    <row r="6" spans="1:43" ht="15" collapsed="1">
      <c r="A6" s="12" t="s">
        <v>86</v>
      </c>
      <c r="B6" s="19"/>
      <c r="C6" s="19"/>
      <c r="D6" s="12"/>
      <c r="E6" s="187" t="s">
        <v>87</v>
      </c>
      <c r="I6" s="167" t="s">
        <v>88</v>
      </c>
      <c r="J6" s="15">
        <f>'TOTAL ESTACIONES'!J6</f>
        <v>26878636</v>
      </c>
      <c r="K6" s="15">
        <f>'TOTAL ESTACIONES'!K6</f>
        <v>25528487</v>
      </c>
      <c r="L6" s="15">
        <f>'TOTAL ESTACIONES'!L6</f>
        <v>28307270</v>
      </c>
      <c r="M6" s="15">
        <f>'TOTAL ESTACIONES'!M6</f>
        <v>26579702</v>
      </c>
      <c r="N6" s="15">
        <f>'TOTAL ESTACIONES'!N6</f>
        <v>27359376</v>
      </c>
      <c r="O6" s="15">
        <f>'TOTAL ESTACIONES'!O6</f>
        <v>26727235</v>
      </c>
      <c r="P6" s="15">
        <f>'TOTAL ESTACIONES'!P6</f>
        <v>27912533</v>
      </c>
      <c r="Q6" s="15">
        <f>'TOTAL ESTACIONES'!Q6</f>
        <v>28233403</v>
      </c>
      <c r="R6" s="15">
        <f>'TOTAL ESTACIONES'!R6</f>
        <v>28896716</v>
      </c>
      <c r="S6" s="15">
        <f>'TOTAL ESTACIONES'!S6</f>
        <v>31096889</v>
      </c>
      <c r="T6" s="15">
        <f>'TOTAL ESTACIONES'!T6</f>
        <v>25608972.288003899</v>
      </c>
      <c r="U6" s="15">
        <f>'TOTAL ESTACIONES'!U6</f>
        <v>26482969.981985174</v>
      </c>
      <c r="V6" s="15">
        <f>'TOTAL ESTACIONES'!V6</f>
        <v>329612189.26998913</v>
      </c>
      <c r="W6" s="72">
        <f>'TOTAL ESTACIONES'!W6</f>
        <v>1</v>
      </c>
      <c r="X6" s="89">
        <f>'TOTAL ESTACIONES'!X6</f>
        <v>0</v>
      </c>
      <c r="Y6" s="15">
        <f>'TOTAL ESTACIONES'!Y6</f>
        <v>27944943.784482766</v>
      </c>
      <c r="Z6" s="15">
        <f>'TOTAL ESTACIONES'!Z6</f>
        <v>26629774.468903452</v>
      </c>
      <c r="AA6" s="15">
        <f>'TOTAL ESTACIONES'!AA6</f>
        <v>29599779.830645747</v>
      </c>
      <c r="AB6" s="15">
        <f>'TOTAL ESTACIONES'!AB6</f>
        <v>28667280.231184464</v>
      </c>
      <c r="AC6" s="15">
        <f>'TOTAL ESTACIONES'!AC6</f>
        <v>29293496.814772364</v>
      </c>
      <c r="AD6" s="15">
        <f>'TOTAL ESTACIONES'!AD6</f>
        <v>28502875.097974893</v>
      </c>
      <c r="AE6" s="15">
        <f>'TOTAL ESTACIONES'!AE6</f>
        <v>29846068.069378015</v>
      </c>
      <c r="AF6" s="15">
        <f>'TOTAL ESTACIONES'!AF6</f>
        <v>30746357.800845094</v>
      </c>
      <c r="AG6" s="15">
        <f>'TOTAL ESTACIONES'!AG6</f>
        <v>30978635.912390016</v>
      </c>
      <c r="AH6" s="15">
        <f>'TOTAL ESTACIONES'!AH6</f>
        <v>32906043.853191301</v>
      </c>
      <c r="AI6" s="15">
        <f>'TOTAL ESTACIONES'!AI6</f>
        <v>32116952.809232194</v>
      </c>
      <c r="AJ6" s="15">
        <f>'TOTAL ESTACIONES'!AJ6</f>
        <v>31566969.636421259</v>
      </c>
      <c r="AK6" s="15">
        <f>'TOTAL ESTACIONES'!AK6</f>
        <v>358799178.30942154</v>
      </c>
      <c r="AL6" s="72">
        <f>'TOTAL ESTACIONES'!AL6</f>
        <v>1</v>
      </c>
      <c r="AM6" s="10">
        <f>'TOTAL ESTACIONES'!AM6</f>
        <v>8.8549483270247142E-2</v>
      </c>
      <c r="AN6" s="89"/>
      <c r="AO6" s="231">
        <v>4407606220.2749462</v>
      </c>
      <c r="AP6" s="72">
        <v>1</v>
      </c>
      <c r="AQ6" s="174">
        <v>0.16822054208010018</v>
      </c>
    </row>
    <row r="7" spans="1:43" ht="15" hidden="1" customHeight="1" outlineLevel="1">
      <c r="A7" s="12" t="s">
        <v>86</v>
      </c>
      <c r="B7" s="19" t="s">
        <v>89</v>
      </c>
      <c r="C7" s="19" t="s">
        <v>90</v>
      </c>
      <c r="D7" s="12" t="s">
        <v>91</v>
      </c>
      <c r="E7" s="191"/>
      <c r="F7" s="12"/>
      <c r="G7" s="12"/>
      <c r="H7" s="12"/>
      <c r="I7" s="117" t="s">
        <v>22</v>
      </c>
      <c r="J7" s="65">
        <f>'TOTAL ESTACIONES'!J7</f>
        <v>19095888</v>
      </c>
      <c r="K7" s="65">
        <f>'TOTAL ESTACIONES'!K7</f>
        <v>17878224</v>
      </c>
      <c r="L7" s="65">
        <f>'TOTAL ESTACIONES'!L7</f>
        <v>19531849</v>
      </c>
      <c r="M7" s="65">
        <f>'TOTAL ESTACIONES'!M7</f>
        <v>18128009</v>
      </c>
      <c r="N7" s="65">
        <f>'TOTAL ESTACIONES'!N7</f>
        <v>18229490</v>
      </c>
      <c r="O7" s="65">
        <f>'TOTAL ESTACIONES'!O7</f>
        <v>18404815</v>
      </c>
      <c r="P7" s="65">
        <f>'TOTAL ESTACIONES'!P7</f>
        <v>19054499</v>
      </c>
      <c r="Q7" s="65">
        <f>'TOTAL ESTACIONES'!Q7</f>
        <v>19328904</v>
      </c>
      <c r="R7" s="65">
        <f>'TOTAL ESTACIONES'!R7</f>
        <v>19768799</v>
      </c>
      <c r="S7" s="65">
        <f>'TOTAL ESTACIONES'!S7</f>
        <v>20781018</v>
      </c>
      <c r="T7" s="65">
        <f>'TOTAL ESTACIONES'!T7</f>
        <v>19201940.729243875</v>
      </c>
      <c r="U7" s="65">
        <f>'TOTAL ESTACIONES'!U7</f>
        <v>19683942.385109007</v>
      </c>
      <c r="V7" s="11">
        <f>'TOTAL ESTACIONES'!V7</f>
        <v>229087378.11435288</v>
      </c>
      <c r="W7" s="73">
        <f>'TOTAL ESTACIONES'!W7</f>
        <v>0.69502095362955396</v>
      </c>
      <c r="X7" s="89">
        <f>'TOTAL ESTACIONES'!X7</f>
        <v>0</v>
      </c>
      <c r="Y7" s="65">
        <f>'TOTAL ESTACIONES'!Y7</f>
        <v>20069259.405172419</v>
      </c>
      <c r="Z7" s="65">
        <f>'TOTAL ESTACIONES'!Z7</f>
        <v>18878937.63367242</v>
      </c>
      <c r="AA7" s="65">
        <f>'TOTAL ESTACIONES'!AA7</f>
        <v>20696570.747474708</v>
      </c>
      <c r="AB7" s="65">
        <f>'TOTAL ESTACIONES'!AB7</f>
        <v>19985650.151457377</v>
      </c>
      <c r="AC7" s="65">
        <f>'TOTAL ESTACIONES'!AC7</f>
        <v>19971013.357358932</v>
      </c>
      <c r="AD7" s="65">
        <f>'TOTAL ESTACIONES'!AD7</f>
        <v>19987524.011715967</v>
      </c>
      <c r="AE7" s="65">
        <f>'TOTAL ESTACIONES'!AE7</f>
        <v>20742642.819482464</v>
      </c>
      <c r="AF7" s="65">
        <f>'TOTAL ESTACIONES'!AF7</f>
        <v>21382459.218557552</v>
      </c>
      <c r="AG7" s="65">
        <f>'TOTAL ESTACIONES'!AG7</f>
        <v>21527492.851641256</v>
      </c>
      <c r="AH7" s="65">
        <f>'TOTAL ESTACIONES'!AH7</f>
        <v>22911319.139472768</v>
      </c>
      <c r="AI7" s="65">
        <f>'TOTAL ESTACIONES'!AI7</f>
        <v>22618588.443316586</v>
      </c>
      <c r="AJ7" s="65">
        <f>'TOTAL ESTACIONES'!AJ7</f>
        <v>22296640.9507614</v>
      </c>
      <c r="AK7" s="65">
        <f>'TOTAL ESTACIONES'!AK7</f>
        <v>251068098.73008385</v>
      </c>
      <c r="AL7" s="73">
        <f>'TOTAL ESTACIONES'!AL7</f>
        <v>0.69974546740340504</v>
      </c>
      <c r="AM7" s="14">
        <f>'TOTAL ESTACIONES'!AM7</f>
        <v>9.5949068851619135E-2</v>
      </c>
      <c r="AN7" s="89"/>
      <c r="AO7" s="234">
        <v>3488852532.8751698</v>
      </c>
      <c r="AP7" s="73">
        <v>0.79155268381882249</v>
      </c>
      <c r="AQ7" s="175">
        <v>0.14554128411305234</v>
      </c>
    </row>
    <row r="8" spans="1:43" ht="15" hidden="1" customHeight="1" outlineLevel="1">
      <c r="A8" s="12" t="s">
        <v>86</v>
      </c>
      <c r="B8" s="19" t="s">
        <v>89</v>
      </c>
      <c r="C8" s="19" t="s">
        <v>93</v>
      </c>
      <c r="D8" s="12" t="s">
        <v>94</v>
      </c>
      <c r="E8" s="191"/>
      <c r="F8" s="12"/>
      <c r="G8" s="12"/>
      <c r="H8" s="12"/>
      <c r="I8" s="117" t="s">
        <v>23</v>
      </c>
      <c r="J8" s="65">
        <f>'TOTAL ESTACIONES'!J8</f>
        <v>5623556</v>
      </c>
      <c r="K8" s="65">
        <f>'TOTAL ESTACIONES'!K8</f>
        <v>5345115</v>
      </c>
      <c r="L8" s="65">
        <f>'TOTAL ESTACIONES'!L8</f>
        <v>6151225</v>
      </c>
      <c r="M8" s="65">
        <f>'TOTAL ESTACIONES'!M8</f>
        <v>5648910</v>
      </c>
      <c r="N8" s="65">
        <f>'TOTAL ESTACIONES'!N8</f>
        <v>6559926</v>
      </c>
      <c r="O8" s="65">
        <f>'TOTAL ESTACIONES'!O8</f>
        <v>5655884</v>
      </c>
      <c r="P8" s="65">
        <f>'TOTAL ESTACIONES'!P8</f>
        <v>5857615</v>
      </c>
      <c r="Q8" s="65">
        <f>'TOTAL ESTACIONES'!Q8</f>
        <v>6197597</v>
      </c>
      <c r="R8" s="65">
        <f>'TOTAL ESTACIONES'!R8</f>
        <v>6224441</v>
      </c>
      <c r="S8" s="65">
        <f>'TOTAL ESTACIONES'!S8</f>
        <v>6776918</v>
      </c>
      <c r="T8" s="65">
        <f>'TOTAL ESTACIONES'!T8</f>
        <v>4910768.7896700054</v>
      </c>
      <c r="U8" s="65">
        <f>'TOTAL ESTACIONES'!U8</f>
        <v>4928022.3243014952</v>
      </c>
      <c r="V8" s="11">
        <f>'TOTAL ESTACIONES'!V8</f>
        <v>69879978.113971502</v>
      </c>
      <c r="W8" s="73">
        <f>'TOTAL ESTACIONES'!W8</f>
        <v>0.21200665627305429</v>
      </c>
      <c r="X8" s="89">
        <f>'TOTAL ESTACIONES'!X8</f>
        <v>0</v>
      </c>
      <c r="Y8" s="65">
        <f>'TOTAL ESTACIONES'!Y8</f>
        <v>5721139.5517241377</v>
      </c>
      <c r="Z8" s="65">
        <f>'TOTAL ESTACIONES'!Z8</f>
        <v>5449896.9805836212</v>
      </c>
      <c r="AA8" s="65">
        <f>'TOTAL ESTACIONES'!AA8</f>
        <v>6281390.5843373723</v>
      </c>
      <c r="AB8" s="65">
        <f>'TOTAL ESTACIONES'!AB8</f>
        <v>5824968.4512621919</v>
      </c>
      <c r="AC8" s="65">
        <f>'TOTAL ESTACIONES'!AC8</f>
        <v>6759520.77216818</v>
      </c>
      <c r="AD8" s="65">
        <f>'TOTAL ESTACIONES'!AD8</f>
        <v>5854609.899900699</v>
      </c>
      <c r="AE8" s="65">
        <f>'TOTAL ESTACIONES'!AE8</f>
        <v>6129670.0403447207</v>
      </c>
      <c r="AF8" s="65">
        <f>'TOTAL ESTACIONES'!AF8</f>
        <v>6631650.4138332168</v>
      </c>
      <c r="AG8" s="65">
        <f>'TOTAL ESTACIONES'!AG8</f>
        <v>6560581.9298318401</v>
      </c>
      <c r="AH8" s="65">
        <f>'TOTAL ESTACIONES'!AH8</f>
        <v>6808979.6573401876</v>
      </c>
      <c r="AI8" s="65">
        <f>'TOTAL ESTACIONES'!AI8</f>
        <v>6719579.2565055508</v>
      </c>
      <c r="AJ8" s="65">
        <f>'TOTAL ESTACIONES'!AJ8</f>
        <v>6621310.5911245998</v>
      </c>
      <c r="AK8" s="65">
        <f>'TOTAL ESTACIONES'!AK8</f>
        <v>75363298.128956303</v>
      </c>
      <c r="AL8" s="73">
        <f>'TOTAL ESTACIONES'!AL8</f>
        <v>0.21004311794706632</v>
      </c>
      <c r="AM8" s="14">
        <f>'TOTAL ESTACIONES'!AM8</f>
        <v>7.8467683633811625E-2</v>
      </c>
      <c r="AN8" s="89"/>
      <c r="AO8" s="234">
        <v>352855870.58677483</v>
      </c>
      <c r="AP8" s="73">
        <v>8.0056124107376295E-2</v>
      </c>
      <c r="AQ8" s="175">
        <v>0.26460768205757734</v>
      </c>
    </row>
    <row r="9" spans="1:43" ht="15" hidden="1" customHeight="1" outlineLevel="1">
      <c r="A9" s="12" t="s">
        <v>86</v>
      </c>
      <c r="B9" s="19" t="s">
        <v>89</v>
      </c>
      <c r="C9" s="19" t="s">
        <v>96</v>
      </c>
      <c r="D9" s="12" t="s">
        <v>97</v>
      </c>
      <c r="E9" s="191"/>
      <c r="F9" s="12"/>
      <c r="G9" s="12"/>
      <c r="H9" s="12"/>
      <c r="I9" s="117" t="s">
        <v>5</v>
      </c>
      <c r="J9" s="65">
        <f>'TOTAL ESTACIONES'!J9</f>
        <v>2090208</v>
      </c>
      <c r="K9" s="65">
        <f>'TOTAL ESTACIONES'!K9</f>
        <v>2235534</v>
      </c>
      <c r="L9" s="65">
        <f>'TOTAL ESTACIONES'!L9</f>
        <v>2555308</v>
      </c>
      <c r="M9" s="65">
        <f>'TOTAL ESTACIONES'!M9</f>
        <v>2773749</v>
      </c>
      <c r="N9" s="65">
        <f>'TOTAL ESTACIONES'!N9</f>
        <v>2487478</v>
      </c>
      <c r="O9" s="65">
        <f>'TOTAL ESTACIONES'!O9</f>
        <v>2589338</v>
      </c>
      <c r="P9" s="65">
        <f>'TOTAL ESTACIONES'!P9</f>
        <v>2919953</v>
      </c>
      <c r="Q9" s="65">
        <f>'TOTAL ESTACIONES'!Q9</f>
        <v>2619067</v>
      </c>
      <c r="R9" s="65">
        <f>'TOTAL ESTACIONES'!R9</f>
        <v>2812974</v>
      </c>
      <c r="S9" s="65">
        <f>'TOTAL ESTACIONES'!S9</f>
        <v>3453878</v>
      </c>
      <c r="T9" s="65">
        <f>'TOTAL ESTACIONES'!T9</f>
        <v>1438662.769090021</v>
      </c>
      <c r="U9" s="65">
        <f>'TOTAL ESTACIONES'!U9</f>
        <v>1813405.2725746711</v>
      </c>
      <c r="V9" s="11">
        <f>'TOTAL ESTACIONES'!V9</f>
        <v>29789555.04166469</v>
      </c>
      <c r="W9" s="73">
        <f>'TOTAL ESTACIONES'!W9</f>
        <v>9.037758921367961E-2</v>
      </c>
      <c r="X9" s="89">
        <f>'TOTAL ESTACIONES'!X9</f>
        <v>0</v>
      </c>
      <c r="Y9" s="65">
        <f>'TOTAL ESTACIONES'!Y9</f>
        <v>2101264.8275862071</v>
      </c>
      <c r="Z9" s="65">
        <f>'TOTAL ESTACIONES'!Z9</f>
        <v>2246999.8546474143</v>
      </c>
      <c r="AA9" s="65">
        <f>'TOTAL ESTACIONES'!AA9</f>
        <v>2566198.498833667</v>
      </c>
      <c r="AB9" s="65">
        <f>'TOTAL ESTACIONES'!AB9</f>
        <v>2802661.6284648962</v>
      </c>
      <c r="AC9" s="65">
        <f>'TOTAL ESTACIONES'!AC9</f>
        <v>2506382.6852452508</v>
      </c>
      <c r="AD9" s="65">
        <f>'TOTAL ESTACIONES'!AD9</f>
        <v>2604761.186358226</v>
      </c>
      <c r="AE9" s="65">
        <f>'TOTAL ESTACIONES'!AE9</f>
        <v>2917835.2095508301</v>
      </c>
      <c r="AF9" s="65">
        <f>'TOTAL ESTACIONES'!AF9</f>
        <v>2674948.1684543253</v>
      </c>
      <c r="AG9" s="65">
        <f>'TOTAL ESTACIONES'!AG9</f>
        <v>2829661.1309169182</v>
      </c>
      <c r="AH9" s="65">
        <f>'TOTAL ESTACIONES'!AH9</f>
        <v>3128865.0563783464</v>
      </c>
      <c r="AI9" s="65">
        <f>'TOTAL ESTACIONES'!AI9</f>
        <v>2721425.1094100592</v>
      </c>
      <c r="AJ9" s="65">
        <f>'TOTAL ESTACIONES'!AJ9</f>
        <v>2589138.0945352563</v>
      </c>
      <c r="AK9" s="65">
        <f>'TOTAL ESTACIONES'!AK9</f>
        <v>31690141.450381402</v>
      </c>
      <c r="AL9" s="73">
        <f>'TOTAL ESTACIONES'!AL9</f>
        <v>8.8322781561814029E-2</v>
      </c>
      <c r="AM9" s="14">
        <f>'TOTAL ESTACIONES'!AM9</f>
        <v>6.380042958206289E-2</v>
      </c>
      <c r="AN9" s="89"/>
      <c r="AO9" s="234">
        <v>565897816.81300128</v>
      </c>
      <c r="AP9" s="73">
        <v>0.12839119207380115</v>
      </c>
      <c r="AQ9" s="175">
        <v>0.30707460332354497</v>
      </c>
    </row>
    <row r="10" spans="1:43" ht="15" hidden="1" customHeight="1" outlineLevel="1">
      <c r="A10" s="12"/>
      <c r="B10" s="19"/>
      <c r="C10" s="19"/>
      <c r="D10" s="12"/>
      <c r="E10" s="191"/>
      <c r="F10" s="12"/>
      <c r="G10" s="12"/>
      <c r="H10" s="12"/>
      <c r="I10" s="117" t="s">
        <v>105</v>
      </c>
      <c r="J10" s="65">
        <f>'TOTAL ESTACIONES'!J10</f>
        <v>68984</v>
      </c>
      <c r="K10" s="65">
        <f>'TOTAL ESTACIONES'!K10</f>
        <v>69614</v>
      </c>
      <c r="L10" s="65">
        <f>'TOTAL ESTACIONES'!L10</f>
        <v>68888</v>
      </c>
      <c r="M10" s="65">
        <f>'TOTAL ESTACIONES'!M10</f>
        <v>29034</v>
      </c>
      <c r="N10" s="65">
        <f>'TOTAL ESTACIONES'!N10</f>
        <v>82482</v>
      </c>
      <c r="O10" s="65">
        <f>'TOTAL ESTACIONES'!O10</f>
        <v>77198</v>
      </c>
      <c r="P10" s="65">
        <f>'TOTAL ESTACIONES'!P10</f>
        <v>80466</v>
      </c>
      <c r="Q10" s="65">
        <f>'TOTAL ESTACIONES'!Q10</f>
        <v>87835</v>
      </c>
      <c r="R10" s="65">
        <f>'TOTAL ESTACIONES'!R10</f>
        <v>0</v>
      </c>
      <c r="S10" s="65">
        <f>'TOTAL ESTACIONES'!S10</f>
        <v>85075</v>
      </c>
      <c r="T10" s="65">
        <f>'TOTAL ESTACIONES'!T10</f>
        <v>57600</v>
      </c>
      <c r="U10" s="65">
        <f>'TOTAL ESTACIONES'!U10</f>
        <v>57600</v>
      </c>
      <c r="V10" s="11">
        <f>'TOTAL ESTACIONES'!V10</f>
        <v>764776</v>
      </c>
      <c r="W10" s="73">
        <f>'TOTAL ESTACIONES'!W10</f>
        <v>2.320229727225176E-3</v>
      </c>
      <c r="X10" s="89">
        <f>'TOTAL ESTACIONES'!X10</f>
        <v>0</v>
      </c>
      <c r="Y10" s="65">
        <f>'TOTAL ESTACIONES'!Y10</f>
        <v>53280</v>
      </c>
      <c r="Z10" s="65">
        <f>'TOTAL ESTACIONES'!Z10</f>
        <v>53940</v>
      </c>
      <c r="AA10" s="65">
        <f>'TOTAL ESTACIONES'!AA10</f>
        <v>55620</v>
      </c>
      <c r="AB10" s="65">
        <f>'TOTAL ESTACIONES'!AB10</f>
        <v>54000</v>
      </c>
      <c r="AC10" s="65">
        <f>'TOTAL ESTACIONES'!AC10</f>
        <v>56580</v>
      </c>
      <c r="AD10" s="65">
        <f>'TOTAL ESTACIONES'!AD10</f>
        <v>55980</v>
      </c>
      <c r="AE10" s="65">
        <f>'TOTAL ESTACIONES'!AE10</f>
        <v>55920</v>
      </c>
      <c r="AF10" s="65">
        <f>'TOTAL ESTACIONES'!AF10</f>
        <v>57300</v>
      </c>
      <c r="AG10" s="65">
        <f>'TOTAL ESTACIONES'!AG10</f>
        <v>60900</v>
      </c>
      <c r="AH10" s="65">
        <f>'TOTAL ESTACIONES'!AH10</f>
        <v>56880</v>
      </c>
      <c r="AI10" s="65">
        <f>'TOTAL ESTACIONES'!AI10</f>
        <v>57360</v>
      </c>
      <c r="AJ10" s="65">
        <f>'TOTAL ESTACIONES'!AJ10</f>
        <v>59880</v>
      </c>
      <c r="AK10" s="65">
        <f>'TOTAL ESTACIONES'!AK10</f>
        <v>677640</v>
      </c>
      <c r="AL10" s="73">
        <f>'TOTAL ESTACIONES'!AL10</f>
        <v>1.8886330877146442E-3</v>
      </c>
      <c r="AM10" s="14">
        <f>'TOTAL ESTACIONES'!AM10</f>
        <v>-0.11393662981055885</v>
      </c>
      <c r="AN10" s="89"/>
      <c r="AO10" s="234">
        <v>0</v>
      </c>
      <c r="AP10" s="73">
        <v>0</v>
      </c>
      <c r="AQ10" s="175">
        <v>-1</v>
      </c>
    </row>
    <row r="11" spans="1:43" ht="15" hidden="1" customHeight="1" outlineLevel="1">
      <c r="A11" s="12"/>
      <c r="B11" s="19"/>
      <c r="C11" s="19"/>
      <c r="D11" s="12"/>
      <c r="E11" s="191"/>
      <c r="F11" s="12"/>
      <c r="G11" s="12"/>
      <c r="H11" s="12"/>
      <c r="I11" s="117" t="s">
        <v>106</v>
      </c>
      <c r="J11" s="65">
        <f>'TOTAL ESTACIONES'!J11</f>
        <v>0</v>
      </c>
      <c r="K11" s="65">
        <f>'TOTAL ESTACIONES'!K11</f>
        <v>0</v>
      </c>
      <c r="L11" s="65">
        <f>'TOTAL ESTACIONES'!L11</f>
        <v>0</v>
      </c>
      <c r="M11" s="65">
        <f>'TOTAL ESTACIONES'!M11</f>
        <v>0</v>
      </c>
      <c r="N11" s="65">
        <f>'TOTAL ESTACIONES'!N11</f>
        <v>0</v>
      </c>
      <c r="O11" s="65">
        <f>'TOTAL ESTACIONES'!O11</f>
        <v>0</v>
      </c>
      <c r="P11" s="65">
        <f>'TOTAL ESTACIONES'!P11</f>
        <v>0</v>
      </c>
      <c r="Q11" s="65">
        <f>'TOTAL ESTACIONES'!Q11</f>
        <v>0</v>
      </c>
      <c r="R11" s="65">
        <f>'TOTAL ESTACIONES'!R11</f>
        <v>90502</v>
      </c>
      <c r="S11" s="65">
        <f>'TOTAL ESTACIONES'!S11</f>
        <v>0</v>
      </c>
      <c r="T11" s="65">
        <f>'TOTAL ESTACIONES'!T11</f>
        <v>0</v>
      </c>
      <c r="U11" s="65">
        <f>'TOTAL ESTACIONES'!U11</f>
        <v>0</v>
      </c>
      <c r="V11" s="11">
        <f>'TOTAL ESTACIONES'!V11</f>
        <v>90502</v>
      </c>
      <c r="W11" s="73">
        <f>'TOTAL ESTACIONES'!W11</f>
        <v>2.7457115648677898E-4</v>
      </c>
      <c r="X11" s="89">
        <f>'TOTAL ESTACIONES'!X11</f>
        <v>0</v>
      </c>
      <c r="Y11" s="65">
        <f>'TOTAL ESTACIONES'!Y11</f>
        <v>0</v>
      </c>
      <c r="Z11" s="65">
        <f>'TOTAL ESTACIONES'!Z11</f>
        <v>0</v>
      </c>
      <c r="AA11" s="65">
        <f>'TOTAL ESTACIONES'!AA11</f>
        <v>0</v>
      </c>
      <c r="AB11" s="65">
        <f>'TOTAL ESTACIONES'!AB11</f>
        <v>0</v>
      </c>
      <c r="AC11" s="65">
        <f>'TOTAL ESTACIONES'!AC11</f>
        <v>0</v>
      </c>
      <c r="AD11" s="65">
        <f>'TOTAL ESTACIONES'!AD11</f>
        <v>0</v>
      </c>
      <c r="AE11" s="65">
        <f>'TOTAL ESTACIONES'!AE11</f>
        <v>0</v>
      </c>
      <c r="AF11" s="65">
        <f>'TOTAL ESTACIONES'!AF11</f>
        <v>0</v>
      </c>
      <c r="AG11" s="65">
        <f>'TOTAL ESTACIONES'!AG11</f>
        <v>0</v>
      </c>
      <c r="AH11" s="65">
        <f>'TOTAL ESTACIONES'!AH11</f>
        <v>0</v>
      </c>
      <c r="AI11" s="65">
        <f>'TOTAL ESTACIONES'!AI11</f>
        <v>0</v>
      </c>
      <c r="AJ11" s="65">
        <f>'TOTAL ESTACIONES'!AJ11</f>
        <v>0</v>
      </c>
      <c r="AK11" s="65">
        <f>'TOTAL ESTACIONES'!AK11</f>
        <v>0</v>
      </c>
      <c r="AL11" s="73">
        <f>'TOTAL ESTACIONES'!AL11</f>
        <v>0</v>
      </c>
      <c r="AM11" s="14">
        <f>'TOTAL ESTACIONES'!AM11</f>
        <v>-1</v>
      </c>
      <c r="AN11" s="89"/>
      <c r="AO11" s="234">
        <v>0</v>
      </c>
      <c r="AP11" s="73">
        <v>0</v>
      </c>
      <c r="AQ11" s="175">
        <v>-1</v>
      </c>
    </row>
    <row r="12" spans="1:43" ht="15" collapsed="1">
      <c r="A12" s="12" t="s">
        <v>107</v>
      </c>
      <c r="B12" s="19"/>
      <c r="E12" s="187" t="s">
        <v>108</v>
      </c>
      <c r="I12" s="167" t="s">
        <v>109</v>
      </c>
      <c r="J12" s="15">
        <f>'TOTAL ESTACIONES'!J12</f>
        <v>24443667</v>
      </c>
      <c r="K12" s="15">
        <f>'TOTAL ESTACIONES'!K12</f>
        <v>22953018</v>
      </c>
      <c r="L12" s="15">
        <f>'TOTAL ESTACIONES'!L12</f>
        <v>25490800</v>
      </c>
      <c r="M12" s="15">
        <f>'TOTAL ESTACIONES'!M12</f>
        <v>23658529</v>
      </c>
      <c r="N12" s="15">
        <f>'TOTAL ESTACIONES'!N12</f>
        <v>24196460</v>
      </c>
      <c r="O12" s="15">
        <f>'TOTAL ESTACIONES'!O12</f>
        <v>23804842</v>
      </c>
      <c r="P12" s="15">
        <f>'TOTAL ESTACIONES'!P12</f>
        <v>25118023</v>
      </c>
      <c r="Q12" s="15">
        <f>'TOTAL ESTACIONES'!Q12</f>
        <v>25414036</v>
      </c>
      <c r="R12" s="15">
        <f>'TOTAL ESTACIONES'!R12</f>
        <v>25979440</v>
      </c>
      <c r="S12" s="15">
        <f>'TOTAL ESTACIONES'!S12</f>
        <v>27953549</v>
      </c>
      <c r="T12" s="15">
        <f>'TOTAL ESTACIONES'!T12</f>
        <v>23062373.044591896</v>
      </c>
      <c r="U12" s="15">
        <f>'TOTAL ESTACIONES'!U12</f>
        <v>23870495.846187178</v>
      </c>
      <c r="V12" s="15">
        <f>'TOTAL ESTACIONES'!V12</f>
        <v>295945232.89077908</v>
      </c>
      <c r="W12" s="72">
        <f>'TOTAL ESTACIONES'!W12</f>
        <v>0.8978588854563474</v>
      </c>
      <c r="X12" s="89">
        <f>'TOTAL ESTACIONES'!X12</f>
        <v>0</v>
      </c>
      <c r="Y12" s="15">
        <f>'TOTAL ESTACIONES'!Y12</f>
        <v>25186024.421149429</v>
      </c>
      <c r="Z12" s="15">
        <f>'TOTAL ESTACIONES'!Z12</f>
        <v>24068620.242236789</v>
      </c>
      <c r="AA12" s="15">
        <f>'TOTAL ESTACIONES'!AA12</f>
        <v>26544130.273979079</v>
      </c>
      <c r="AB12" s="15">
        <f>'TOTAL ESTACIONES'!AB12</f>
        <v>25888493.4745178</v>
      </c>
      <c r="AC12" s="15">
        <f>'TOTAL ESTACIONES'!AC12</f>
        <v>26362657.56143903</v>
      </c>
      <c r="AD12" s="15">
        <f>'TOTAL ESTACIONES'!AD12</f>
        <v>25744521.877974894</v>
      </c>
      <c r="AE12" s="15">
        <f>'TOTAL ESTACIONES'!AE12</f>
        <v>26850832.789378017</v>
      </c>
      <c r="AF12" s="15">
        <f>'TOTAL ESTACIONES'!AF12</f>
        <v>27683500.787511762</v>
      </c>
      <c r="AG12" s="15">
        <f>'TOTAL ESTACIONES'!AG12</f>
        <v>27925755.64572335</v>
      </c>
      <c r="AH12" s="15">
        <f>'TOTAL ESTACIONES'!AH12</f>
        <v>29606386.7531913</v>
      </c>
      <c r="AI12" s="15">
        <f>'TOTAL ESTACIONES'!AI12</f>
        <v>29007981.279232193</v>
      </c>
      <c r="AJ12" s="15">
        <f>'TOTAL ESTACIONES'!AJ12</f>
        <v>28510625.30642125</v>
      </c>
      <c r="AK12" s="15">
        <f>'TOTAL ESTACIONES'!AK12</f>
        <v>323379530.41275489</v>
      </c>
      <c r="AL12" s="72">
        <f>'TOTAL ESTACIONES'!AL12</f>
        <v>0.90128280654499882</v>
      </c>
      <c r="AM12" s="10">
        <f>'TOTAL ESTACIONES'!AM12</f>
        <v>9.2700589409732581E-2</v>
      </c>
      <c r="AN12" s="89"/>
      <c r="AO12" s="231">
        <v>3756861719.6856165</v>
      </c>
      <c r="AP12" s="72">
        <v>0.85235874802156519</v>
      </c>
      <c r="AQ12" s="174">
        <v>0.16747314724291318</v>
      </c>
    </row>
    <row r="13" spans="1:43" ht="15" hidden="1" customHeight="1" outlineLevel="1">
      <c r="A13" s="37" t="s">
        <v>107</v>
      </c>
      <c r="B13" s="39"/>
      <c r="C13" s="39" t="s">
        <v>110</v>
      </c>
      <c r="D13" s="37" t="s">
        <v>111</v>
      </c>
      <c r="E13" s="191"/>
      <c r="F13" s="37"/>
      <c r="G13" s="37"/>
      <c r="H13" s="37"/>
      <c r="I13" s="171" t="s">
        <v>112</v>
      </c>
      <c r="J13" s="65">
        <f>'TOTAL ESTACIONES'!J13</f>
        <v>17491983</v>
      </c>
      <c r="K13" s="65">
        <f>'TOTAL ESTACIONES'!K13</f>
        <v>16105749</v>
      </c>
      <c r="L13" s="65">
        <f>'TOTAL ESTACIONES'!L13</f>
        <v>17633587</v>
      </c>
      <c r="M13" s="65">
        <f>'TOTAL ESTACIONES'!M13</f>
        <v>16414267</v>
      </c>
      <c r="N13" s="65">
        <f>'TOTAL ESTACIONES'!N13</f>
        <v>16550960</v>
      </c>
      <c r="O13" s="65">
        <f>'TOTAL ESTACIONES'!O13</f>
        <v>16752932</v>
      </c>
      <c r="P13" s="65">
        <f>'TOTAL ESTACIONES'!P13</f>
        <v>17303449</v>
      </c>
      <c r="Q13" s="65">
        <f>'TOTAL ESTACIONES'!Q13</f>
        <v>17528380</v>
      </c>
      <c r="R13" s="65">
        <f>'TOTAL ESTACIONES'!R13</f>
        <v>17923696</v>
      </c>
      <c r="S13" s="65">
        <f>'TOTAL ESTACIONES'!S13</f>
        <v>18840826</v>
      </c>
      <c r="T13" s="65">
        <f>'TOTAL ESTACIONES'!T13</f>
        <v>17335634.258343872</v>
      </c>
      <c r="U13" s="65">
        <f>'TOTAL ESTACIONES'!U13</f>
        <v>17748781.238209009</v>
      </c>
      <c r="V13" s="11">
        <f>'TOTAL ESTACIONES'!V13</f>
        <v>207630244.49655288</v>
      </c>
      <c r="W13" s="73">
        <f>'TOTAL ESTACIONES'!W13</f>
        <v>0.62992283433571861</v>
      </c>
      <c r="X13" s="89">
        <f>'TOTAL ESTACIONES'!X13</f>
        <v>0</v>
      </c>
      <c r="Y13" s="65">
        <f>'TOTAL ESTACIONES'!Y13</f>
        <v>18268309.581839085</v>
      </c>
      <c r="Z13" s="65">
        <f>'TOTAL ESTACIONES'!Z13</f>
        <v>17247148.087005753</v>
      </c>
      <c r="AA13" s="65">
        <f>'TOTAL ESTACIONES'!AA13</f>
        <v>18765787.840808041</v>
      </c>
      <c r="AB13" s="65">
        <f>'TOTAL ESTACIONES'!AB13</f>
        <v>18233965.254790712</v>
      </c>
      <c r="AC13" s="65">
        <f>'TOTAL ESTACIONES'!AC13</f>
        <v>18195726.8640256</v>
      </c>
      <c r="AD13" s="65">
        <f>'TOTAL ESTACIONES'!AD13</f>
        <v>18213410.941715967</v>
      </c>
      <c r="AE13" s="65">
        <f>'TOTAL ESTACIONES'!AE13</f>
        <v>18857423.759482466</v>
      </c>
      <c r="AF13" s="65">
        <f>'TOTAL ESTACIONES'!AF13</f>
        <v>19454503.68522422</v>
      </c>
      <c r="AG13" s="65">
        <f>'TOTAL ESTACIONES'!AG13</f>
        <v>19608009.184974588</v>
      </c>
      <c r="AH13" s="65">
        <f>'TOTAL ESTACIONES'!AH13</f>
        <v>20816310.929472767</v>
      </c>
      <c r="AI13" s="65">
        <f>'TOTAL ESTACIONES'!AI13</f>
        <v>20632083.783316586</v>
      </c>
      <c r="AJ13" s="65">
        <f>'TOTAL ESTACIONES'!AJ13</f>
        <v>20340563.400761396</v>
      </c>
      <c r="AK13" s="65">
        <f>'TOTAL ESTACIONES'!AK13</f>
        <v>228633243.3134172</v>
      </c>
      <c r="AL13" s="73">
        <f>'TOTAL ESTACIONES'!AL13</f>
        <v>0.63721785649199081</v>
      </c>
      <c r="AM13" s="14">
        <f>'TOTAL ESTACIONES'!AM13</f>
        <v>0.1011557775110794</v>
      </c>
      <c r="AN13" s="89"/>
      <c r="AO13" s="235">
        <v>3523257061.8514996</v>
      </c>
      <c r="AP13" s="73">
        <v>0.79935840131193003</v>
      </c>
      <c r="AQ13" s="175">
        <v>0.13050349365196867</v>
      </c>
    </row>
    <row r="14" spans="1:43" ht="15" hidden="1" customHeight="1" outlineLevel="1">
      <c r="A14" s="37" t="s">
        <v>107</v>
      </c>
      <c r="B14" s="39"/>
      <c r="C14" s="39" t="s">
        <v>113</v>
      </c>
      <c r="D14" s="37" t="s">
        <v>114</v>
      </c>
      <c r="E14" s="191"/>
      <c r="F14" s="37"/>
      <c r="G14" s="37"/>
      <c r="H14" s="37"/>
      <c r="I14" s="172" t="s">
        <v>115</v>
      </c>
      <c r="J14" s="65">
        <f>'TOTAL ESTACIONES'!J14</f>
        <v>4933868</v>
      </c>
      <c r="K14" s="65">
        <f>'TOTAL ESTACIONES'!K14</f>
        <v>4692149</v>
      </c>
      <c r="L14" s="65">
        <f>'TOTAL ESTACIONES'!L14</f>
        <v>5366599</v>
      </c>
      <c r="M14" s="65">
        <f>'TOTAL ESTACIONES'!M14</f>
        <v>4909439</v>
      </c>
      <c r="N14" s="65">
        <f>'TOTAL ESTACIONES'!N14</f>
        <v>5542662</v>
      </c>
      <c r="O14" s="65">
        <f>'TOTAL ESTACIONES'!O14</f>
        <v>4823156</v>
      </c>
      <c r="P14" s="65">
        <f>'TOTAL ESTACIONES'!P14</f>
        <v>5160135</v>
      </c>
      <c r="Q14" s="65">
        <f>'TOTAL ESTACIONES'!Q14</f>
        <v>5519068</v>
      </c>
      <c r="R14" s="65">
        <f>'TOTAL ESTACIONES'!R14</f>
        <v>5541705</v>
      </c>
      <c r="S14" s="65">
        <f>'TOTAL ESTACIONES'!S14</f>
        <v>5997805</v>
      </c>
      <c r="T14" s="65">
        <f>'TOTAL ESTACIONES'!T14</f>
        <v>4383256.782270005</v>
      </c>
      <c r="U14" s="65">
        <f>'TOTAL ESTACIONES'!U14</f>
        <v>4424658.4403014956</v>
      </c>
      <c r="V14" s="11">
        <f>'TOTAL ESTACIONES'!V14</f>
        <v>61294501.2225715</v>
      </c>
      <c r="W14" s="73">
        <f>'TOTAL ESTACIONES'!W14</f>
        <v>0.18595944937086192</v>
      </c>
      <c r="X14" s="89">
        <f>'TOTAL ESTACIONES'!X14</f>
        <v>0</v>
      </c>
      <c r="Y14" s="65">
        <f>'TOTAL ESTACIONES'!Y14</f>
        <v>4970410.0117241386</v>
      </c>
      <c r="Z14" s="65">
        <f>'TOTAL ESTACIONES'!Z14</f>
        <v>4748550.6305836216</v>
      </c>
      <c r="AA14" s="65">
        <f>'TOTAL ESTACIONES'!AA14</f>
        <v>5422697.3043373721</v>
      </c>
      <c r="AB14" s="65">
        <f>'TOTAL ESTACIONES'!AB14</f>
        <v>5082200.0512621924</v>
      </c>
      <c r="AC14" s="65">
        <f>'TOTAL ESTACIONES'!AC14</f>
        <v>5835553.4921681797</v>
      </c>
      <c r="AD14" s="65">
        <f>'TOTAL ESTACIONES'!AD14</f>
        <v>5129082.5499006994</v>
      </c>
      <c r="AE14" s="65">
        <f>'TOTAL ESTACIONES'!AE14</f>
        <v>5317297.6703447215</v>
      </c>
      <c r="AF14" s="65">
        <f>'TOTAL ESTACIONES'!AF14</f>
        <v>5746258.5138332173</v>
      </c>
      <c r="AG14" s="65">
        <f>'TOTAL ESTACIONES'!AG14</f>
        <v>5709886.4898318406</v>
      </c>
      <c r="AH14" s="65">
        <f>'TOTAL ESTACIONES'!AH14</f>
        <v>5913624.1173401885</v>
      </c>
      <c r="AI14" s="65">
        <f>'TOTAL ESTACIONES'!AI14</f>
        <v>5850009.7765055504</v>
      </c>
      <c r="AJ14" s="65">
        <f>'TOTAL ESTACIONES'!AJ14</f>
        <v>5766809.0111245997</v>
      </c>
      <c r="AK14" s="65">
        <f>'TOTAL ESTACIONES'!AK14</f>
        <v>65492379.618956327</v>
      </c>
      <c r="AL14" s="73">
        <f>'TOTAL ESTACIONES'!AL14</f>
        <v>0.18253213379010849</v>
      </c>
      <c r="AM14" s="14">
        <f>'TOTAL ESTACIONES'!AM14</f>
        <v>6.8487030853576325E-2</v>
      </c>
      <c r="AN14" s="89"/>
      <c r="AO14" s="235">
        <v>347166290.67748713</v>
      </c>
      <c r="AP14" s="73">
        <v>7.8765269247630498E-2</v>
      </c>
      <c r="AQ14" s="175">
        <v>0.2474508883647073</v>
      </c>
    </row>
    <row r="15" spans="1:43" ht="15" hidden="1" customHeight="1" outlineLevel="1">
      <c r="A15" s="37" t="s">
        <v>107</v>
      </c>
      <c r="B15" s="39"/>
      <c r="C15" s="39" t="s">
        <v>116</v>
      </c>
      <c r="D15" s="37" t="s">
        <v>117</v>
      </c>
      <c r="E15" s="191"/>
      <c r="F15" s="37"/>
      <c r="G15" s="37"/>
      <c r="H15" s="37"/>
      <c r="I15" s="167" t="s">
        <v>5</v>
      </c>
      <c r="J15" s="65">
        <f>'TOTAL ESTACIONES'!J15</f>
        <v>1953610</v>
      </c>
      <c r="K15" s="65">
        <f>'TOTAL ESTACIONES'!K15</f>
        <v>2086291</v>
      </c>
      <c r="L15" s="65">
        <f>'TOTAL ESTACIONES'!L15</f>
        <v>2425049</v>
      </c>
      <c r="M15" s="65">
        <f>'TOTAL ESTACIONES'!M15</f>
        <v>2457800</v>
      </c>
      <c r="N15" s="65">
        <f>'TOTAL ESTACIONES'!N15</f>
        <v>2174432</v>
      </c>
      <c r="O15" s="65">
        <f>'TOTAL ESTACIONES'!O15</f>
        <v>2274518</v>
      </c>
      <c r="P15" s="65">
        <f>'TOTAL ESTACIONES'!P15</f>
        <v>2653742</v>
      </c>
      <c r="Q15" s="65">
        <f>'TOTAL ESTACIONES'!Q15</f>
        <v>2343362</v>
      </c>
      <c r="R15" s="65">
        <f>'TOTAL ESTACIONES'!R15</f>
        <v>2508939</v>
      </c>
      <c r="S15" s="65">
        <f>'TOTAL ESTACIONES'!S15</f>
        <v>3094936</v>
      </c>
      <c r="T15" s="65">
        <f>'TOTAL ESTACIONES'!T15</f>
        <v>1294522.003978021</v>
      </c>
      <c r="U15" s="65">
        <f>'TOTAL ESTACIONES'!U15</f>
        <v>1648096.1676766712</v>
      </c>
      <c r="V15" s="11">
        <f>'TOTAL ESTACIONES'!V15</f>
        <v>26915297.171654694</v>
      </c>
      <c r="W15" s="73">
        <f>'TOTAL ESTACIONES'!W15</f>
        <v>8.1657469134456262E-2</v>
      </c>
      <c r="X15" s="89">
        <f>'TOTAL ESTACIONES'!X15</f>
        <v>0</v>
      </c>
      <c r="Y15" s="65">
        <f>'TOTAL ESTACIONES'!Y15</f>
        <v>1902016.8275862071</v>
      </c>
      <c r="Z15" s="65">
        <f>'TOTAL ESTACIONES'!Z15</f>
        <v>2027072.5246474142</v>
      </c>
      <c r="AA15" s="65">
        <f>'TOTAL ESTACIONES'!AA15</f>
        <v>2308368.1288336669</v>
      </c>
      <c r="AB15" s="65">
        <f>'TOTAL ESTACIONES'!AB15</f>
        <v>2526428.1684648963</v>
      </c>
      <c r="AC15" s="65">
        <f>'TOTAL ESTACIONES'!AC15</f>
        <v>2283284.2052452508</v>
      </c>
      <c r="AD15" s="65">
        <f>'TOTAL ESTACIONES'!AD15</f>
        <v>2354445.3863582262</v>
      </c>
      <c r="AE15" s="65">
        <f>'TOTAL ESTACIONES'!AE15</f>
        <v>2628579.35955083</v>
      </c>
      <c r="AF15" s="65">
        <f>'TOTAL ESTACIONES'!AF15</f>
        <v>2434033.5884543252</v>
      </c>
      <c r="AG15" s="65">
        <f>'TOTAL ESTACIONES'!AG15</f>
        <v>2556094.970916918</v>
      </c>
      <c r="AH15" s="65">
        <f>'TOTAL ESTACIONES'!AH15</f>
        <v>2828103.7063783463</v>
      </c>
      <c r="AI15" s="65">
        <f>'TOTAL ESTACIONES'!AI15</f>
        <v>2477131.719410059</v>
      </c>
      <c r="AJ15" s="65">
        <f>'TOTAL ESTACIONES'!AJ15</f>
        <v>2352354.8945352561</v>
      </c>
      <c r="AK15" s="65">
        <f>'TOTAL ESTACIONES'!AK15</f>
        <v>28677913.480381392</v>
      </c>
      <c r="AL15" s="73">
        <f>'TOTAL ESTACIONES'!AL15</f>
        <v>7.9927478138342084E-2</v>
      </c>
      <c r="AM15" s="14">
        <f>'TOTAL ESTACIONES'!AM15</f>
        <v>6.5487529172925552E-2</v>
      </c>
      <c r="AN15" s="89"/>
      <c r="AO15" s="235">
        <v>501237842.52485126</v>
      </c>
      <c r="AP15" s="73">
        <v>0.11372110335518677</v>
      </c>
      <c r="AQ15" s="175">
        <v>0.29638109069493579</v>
      </c>
    </row>
    <row r="16" spans="1:43" ht="15" hidden="1" customHeight="1" outlineLevel="1">
      <c r="A16" s="37" t="s">
        <v>107</v>
      </c>
      <c r="B16" s="39"/>
      <c r="C16" s="39" t="s">
        <v>118</v>
      </c>
      <c r="D16" s="37"/>
      <c r="E16" s="191"/>
      <c r="F16" s="37"/>
      <c r="G16" s="37"/>
      <c r="H16" s="37"/>
      <c r="I16" s="171" t="s">
        <v>119</v>
      </c>
      <c r="J16" s="65">
        <f>'TOTAL ESTACIONES'!J16</f>
        <v>0</v>
      </c>
      <c r="K16" s="65">
        <f>'TOTAL ESTACIONES'!K16</f>
        <v>0</v>
      </c>
      <c r="L16" s="65">
        <f>'TOTAL ESTACIONES'!L16</f>
        <v>49100</v>
      </c>
      <c r="M16" s="65">
        <f>'TOTAL ESTACIONES'!M16</f>
        <v>0</v>
      </c>
      <c r="N16" s="65">
        <f>'TOTAL ESTACIONES'!N16</f>
        <v>0</v>
      </c>
      <c r="O16" s="65">
        <f>'TOTAL ESTACIONES'!O16</f>
        <v>0</v>
      </c>
      <c r="P16" s="65">
        <f>'TOTAL ESTACIONES'!P16</f>
        <v>0</v>
      </c>
      <c r="Q16" s="65">
        <f>'TOTAL ESTACIONES'!Q16</f>
        <v>0</v>
      </c>
      <c r="R16" s="65">
        <f>'TOTAL ESTACIONES'!R16</f>
        <v>0</v>
      </c>
      <c r="S16" s="65">
        <f>'TOTAL ESTACIONES'!S16</f>
        <v>0</v>
      </c>
      <c r="T16" s="65">
        <f>'TOTAL ESTACIONES'!T16</f>
        <v>0</v>
      </c>
      <c r="U16" s="65">
        <f>'TOTAL ESTACIONES'!U16</f>
        <v>0</v>
      </c>
      <c r="V16" s="11">
        <f>'TOTAL ESTACIONES'!V16</f>
        <v>49100</v>
      </c>
      <c r="W16" s="73">
        <f>'TOTAL ESTACIONES'!W16</f>
        <v>1.4896293765332091E-4</v>
      </c>
      <c r="X16" s="89">
        <f>'TOTAL ESTACIONES'!X16</f>
        <v>0</v>
      </c>
      <c r="Y16" s="65">
        <f>'TOTAL ESTACIONES'!Y16</f>
        <v>0</v>
      </c>
      <c r="Z16" s="65">
        <f>'TOTAL ESTACIONES'!Z16</f>
        <v>0</v>
      </c>
      <c r="AA16" s="65">
        <f>'TOTAL ESTACIONES'!AA16</f>
        <v>0</v>
      </c>
      <c r="AB16" s="65">
        <f>'TOTAL ESTACIONES'!AB16</f>
        <v>0</v>
      </c>
      <c r="AC16" s="65">
        <f>'TOTAL ESTACIONES'!AC16</f>
        <v>0</v>
      </c>
      <c r="AD16" s="65">
        <f>'TOTAL ESTACIONES'!AD16</f>
        <v>0</v>
      </c>
      <c r="AE16" s="65">
        <f>'TOTAL ESTACIONES'!AE16</f>
        <v>0</v>
      </c>
      <c r="AF16" s="65">
        <f>'TOTAL ESTACIONES'!AF16</f>
        <v>0</v>
      </c>
      <c r="AG16" s="65">
        <f>'TOTAL ESTACIONES'!AG16</f>
        <v>0</v>
      </c>
      <c r="AH16" s="65">
        <f>'TOTAL ESTACIONES'!AH16</f>
        <v>0</v>
      </c>
      <c r="AI16" s="65">
        <f>'TOTAL ESTACIONES'!AI16</f>
        <v>0</v>
      </c>
      <c r="AJ16" s="65">
        <f>'TOTAL ESTACIONES'!AJ16</f>
        <v>0</v>
      </c>
      <c r="AK16" s="65">
        <f>'TOTAL ESTACIONES'!AK16</f>
        <v>0</v>
      </c>
      <c r="AL16" s="73">
        <f>'TOTAL ESTACIONES'!AL16</f>
        <v>0</v>
      </c>
      <c r="AM16" s="14">
        <f>'TOTAL ESTACIONES'!AM16</f>
        <v>-1</v>
      </c>
      <c r="AN16" s="89"/>
      <c r="AO16" s="235">
        <v>0</v>
      </c>
      <c r="AP16" s="73">
        <v>0</v>
      </c>
      <c r="AQ16" s="175">
        <v>-1</v>
      </c>
    </row>
    <row r="17" spans="1:43" ht="15" hidden="1" customHeight="1" outlineLevel="1">
      <c r="A17" s="37" t="s">
        <v>107</v>
      </c>
      <c r="B17" s="39"/>
      <c r="C17" s="39" t="s">
        <v>120</v>
      </c>
      <c r="D17" s="37"/>
      <c r="E17" s="191"/>
      <c r="F17" s="37"/>
      <c r="G17" s="37"/>
      <c r="H17" s="37"/>
      <c r="I17" s="172" t="s">
        <v>121</v>
      </c>
      <c r="J17" s="65">
        <f>'TOTAL ESTACIONES'!J17</f>
        <v>7882</v>
      </c>
      <c r="K17" s="65">
        <f>'TOTAL ESTACIONES'!K17</f>
        <v>14264</v>
      </c>
      <c r="L17" s="65">
        <f>'TOTAL ESTACIONES'!L17</f>
        <v>0</v>
      </c>
      <c r="M17" s="65">
        <f>'TOTAL ESTACIONES'!M17</f>
        <v>0</v>
      </c>
      <c r="N17" s="65">
        <f>'TOTAL ESTACIONES'!N17</f>
        <v>16710</v>
      </c>
      <c r="O17" s="65">
        <f>'TOTAL ESTACIONES'!O17</f>
        <v>0</v>
      </c>
      <c r="P17" s="65">
        <f>'TOTAL ESTACIONES'!P17</f>
        <v>0</v>
      </c>
      <c r="Q17" s="65">
        <f>'TOTAL ESTACIONES'!Q17</f>
        <v>3686</v>
      </c>
      <c r="R17" s="65">
        <f>'TOTAL ESTACIONES'!R17</f>
        <v>0</v>
      </c>
      <c r="S17" s="65">
        <f>'TOTAL ESTACIONES'!S17</f>
        <v>0</v>
      </c>
      <c r="T17" s="65">
        <f>'TOTAL ESTACIONES'!T17</f>
        <v>0</v>
      </c>
      <c r="U17" s="65">
        <f>'TOTAL ESTACIONES'!U17</f>
        <v>0</v>
      </c>
      <c r="V17" s="11">
        <f>'TOTAL ESTACIONES'!V17</f>
        <v>42542</v>
      </c>
      <c r="W17" s="73">
        <f>'TOTAL ESTACIONES'!W17</f>
        <v>1.2906682879119304E-4</v>
      </c>
      <c r="X17" s="89">
        <f>'TOTAL ESTACIONES'!X17</f>
        <v>0</v>
      </c>
      <c r="Y17" s="65">
        <f>'TOTAL ESTACIONES'!Y17</f>
        <v>0</v>
      </c>
      <c r="Z17" s="65">
        <f>'TOTAL ESTACIONES'!Z17</f>
        <v>0</v>
      </c>
      <c r="AA17" s="65">
        <f>'TOTAL ESTACIONES'!AA17</f>
        <v>0</v>
      </c>
      <c r="AB17" s="65">
        <f>'TOTAL ESTACIONES'!AB17</f>
        <v>0</v>
      </c>
      <c r="AC17" s="65">
        <f>'TOTAL ESTACIONES'!AC17</f>
        <v>0</v>
      </c>
      <c r="AD17" s="65">
        <f>'TOTAL ESTACIONES'!AD17</f>
        <v>0</v>
      </c>
      <c r="AE17" s="65">
        <f>'TOTAL ESTACIONES'!AE17</f>
        <v>0</v>
      </c>
      <c r="AF17" s="65">
        <f>'TOTAL ESTACIONES'!AF17</f>
        <v>0</v>
      </c>
      <c r="AG17" s="65">
        <f>'TOTAL ESTACIONES'!AG17</f>
        <v>0</v>
      </c>
      <c r="AH17" s="65">
        <f>'TOTAL ESTACIONES'!AH17</f>
        <v>0</v>
      </c>
      <c r="AI17" s="65">
        <f>'TOTAL ESTACIONES'!AI17</f>
        <v>0</v>
      </c>
      <c r="AJ17" s="65">
        <f>'TOTAL ESTACIONES'!AJ17</f>
        <v>0</v>
      </c>
      <c r="AK17" s="65">
        <f>'TOTAL ESTACIONES'!AK17</f>
        <v>0</v>
      </c>
      <c r="AL17" s="73">
        <f>'TOTAL ESTACIONES'!AL17</f>
        <v>0</v>
      </c>
      <c r="AM17" s="14">
        <f>'TOTAL ESTACIONES'!AM17</f>
        <v>-1</v>
      </c>
      <c r="AN17" s="89"/>
      <c r="AO17" s="235">
        <v>0</v>
      </c>
      <c r="AP17" s="73">
        <v>0</v>
      </c>
      <c r="AQ17" s="175">
        <v>-1</v>
      </c>
    </row>
    <row r="18" spans="1:43" ht="15" hidden="1" customHeight="1" outlineLevel="1">
      <c r="A18" s="37" t="s">
        <v>107</v>
      </c>
      <c r="B18" s="39"/>
      <c r="C18" s="39" t="s">
        <v>122</v>
      </c>
      <c r="D18" s="37"/>
      <c r="E18" s="191"/>
      <c r="F18" s="37"/>
      <c r="G18" s="37"/>
      <c r="H18" s="37"/>
      <c r="I18" s="167" t="s">
        <v>123</v>
      </c>
      <c r="J18" s="65">
        <f>'TOTAL ESTACIONES'!J18</f>
        <v>0</v>
      </c>
      <c r="K18" s="65">
        <f>'TOTAL ESTACIONES'!K18</f>
        <v>0</v>
      </c>
      <c r="L18" s="65">
        <f>'TOTAL ESTACIONES'!L18</f>
        <v>0</v>
      </c>
      <c r="M18" s="65">
        <f>'TOTAL ESTACIONES'!M18</f>
        <v>0</v>
      </c>
      <c r="N18" s="65">
        <f>'TOTAL ESTACIONES'!N18</f>
        <v>0</v>
      </c>
      <c r="O18" s="65">
        <f>'TOTAL ESTACIONES'!O18</f>
        <v>0</v>
      </c>
      <c r="P18" s="65">
        <f>'TOTAL ESTACIONES'!P18</f>
        <v>0</v>
      </c>
      <c r="Q18" s="65">
        <f>'TOTAL ESTACIONES'!Q18</f>
        <v>0</v>
      </c>
      <c r="R18" s="65">
        <f>'TOTAL ESTACIONES'!R18</f>
        <v>33294</v>
      </c>
      <c r="S18" s="65">
        <f>'TOTAL ESTACIONES'!S18</f>
        <v>0</v>
      </c>
      <c r="T18" s="65">
        <f>'TOTAL ESTACIONES'!T18</f>
        <v>0</v>
      </c>
      <c r="U18" s="65">
        <f>'TOTAL ESTACIONES'!U18</f>
        <v>0</v>
      </c>
      <c r="V18" s="11">
        <f>'TOTAL ESTACIONES'!V18</f>
        <v>33294</v>
      </c>
      <c r="W18" s="73">
        <f>'TOTAL ESTACIONES'!W18</f>
        <v>1.0100961397616428E-4</v>
      </c>
      <c r="X18" s="89">
        <f>'TOTAL ESTACIONES'!X18</f>
        <v>0</v>
      </c>
      <c r="Y18" s="65">
        <f>'TOTAL ESTACIONES'!Y18</f>
        <v>0</v>
      </c>
      <c r="Z18" s="65">
        <f>'TOTAL ESTACIONES'!Z18</f>
        <v>0</v>
      </c>
      <c r="AA18" s="65">
        <f>'TOTAL ESTACIONES'!AA18</f>
        <v>0</v>
      </c>
      <c r="AB18" s="65">
        <f>'TOTAL ESTACIONES'!AB18</f>
        <v>0</v>
      </c>
      <c r="AC18" s="65">
        <f>'TOTAL ESTACIONES'!AC18</f>
        <v>0</v>
      </c>
      <c r="AD18" s="65">
        <f>'TOTAL ESTACIONES'!AD18</f>
        <v>0</v>
      </c>
      <c r="AE18" s="65">
        <f>'TOTAL ESTACIONES'!AE18</f>
        <v>0</v>
      </c>
      <c r="AF18" s="65">
        <f>'TOTAL ESTACIONES'!AF18</f>
        <v>0</v>
      </c>
      <c r="AG18" s="65">
        <f>'TOTAL ESTACIONES'!AG18</f>
        <v>0</v>
      </c>
      <c r="AH18" s="65">
        <f>'TOTAL ESTACIONES'!AH18</f>
        <v>0</v>
      </c>
      <c r="AI18" s="65">
        <f>'TOTAL ESTACIONES'!AI18</f>
        <v>0</v>
      </c>
      <c r="AJ18" s="65">
        <f>'TOTAL ESTACIONES'!AJ18</f>
        <v>0</v>
      </c>
      <c r="AK18" s="65">
        <f>'TOTAL ESTACIONES'!AK18</f>
        <v>0</v>
      </c>
      <c r="AL18" s="73">
        <f>'TOTAL ESTACIONES'!AL18</f>
        <v>0</v>
      </c>
      <c r="AM18" s="14">
        <f>'TOTAL ESTACIONES'!AM18</f>
        <v>-1</v>
      </c>
      <c r="AN18" s="89"/>
      <c r="AO18" s="235">
        <v>0</v>
      </c>
      <c r="AP18" s="73">
        <v>0</v>
      </c>
      <c r="AQ18" s="175">
        <v>-1</v>
      </c>
    </row>
    <row r="19" spans="1:43" ht="15" hidden="1" customHeight="1" outlineLevel="1">
      <c r="A19" s="37" t="s">
        <v>107</v>
      </c>
      <c r="B19" s="39"/>
      <c r="C19" s="39" t="s">
        <v>124</v>
      </c>
      <c r="D19" s="37" t="s">
        <v>125</v>
      </c>
      <c r="E19" s="191"/>
      <c r="F19" s="37"/>
      <c r="G19" s="37"/>
      <c r="H19" s="37"/>
      <c r="I19" s="171" t="s">
        <v>126</v>
      </c>
      <c r="J19" s="65">
        <f>'TOTAL ESTACIONES'!J19</f>
        <v>37098</v>
      </c>
      <c r="K19" s="65">
        <f>'TOTAL ESTACIONES'!K19</f>
        <v>30373</v>
      </c>
      <c r="L19" s="65">
        <f>'TOTAL ESTACIONES'!L19</f>
        <v>39778</v>
      </c>
      <c r="M19" s="65">
        <f>'TOTAL ESTACIONES'!M19</f>
        <v>31691</v>
      </c>
      <c r="N19" s="65">
        <f>'TOTAL ESTACIONES'!N19</f>
        <v>35405</v>
      </c>
      <c r="O19" s="65">
        <f>'TOTAL ESTACIONES'!O19</f>
        <v>33757</v>
      </c>
      <c r="P19" s="65">
        <f>'TOTAL ESTACIONES'!P19</f>
        <v>37244</v>
      </c>
      <c r="Q19" s="65">
        <f>'TOTAL ESTACIONES'!Q19</f>
        <v>38255</v>
      </c>
      <c r="R19" s="65">
        <f>'TOTAL ESTACIONES'!R19</f>
        <v>36441</v>
      </c>
      <c r="S19" s="65">
        <f>'TOTAL ESTACIONES'!S19</f>
        <v>39121</v>
      </c>
      <c r="T19" s="65">
        <f>'TOTAL ESTACIONES'!T19</f>
        <v>0</v>
      </c>
      <c r="U19" s="65">
        <f>'TOTAL ESTACIONES'!U19</f>
        <v>0</v>
      </c>
      <c r="V19" s="11">
        <f>'TOTAL ESTACIONES'!V19</f>
        <v>359163</v>
      </c>
      <c r="W19" s="73">
        <f>'TOTAL ESTACIONES'!W19</f>
        <v>1.0896532703946985E-3</v>
      </c>
      <c r="X19" s="89">
        <f>'TOTAL ESTACIONES'!X19</f>
        <v>0</v>
      </c>
      <c r="Y19" s="65">
        <f>'TOTAL ESTACIONES'!Y19</f>
        <v>0</v>
      </c>
      <c r="Z19" s="65">
        <f>'TOTAL ESTACIONES'!Z19</f>
        <v>0</v>
      </c>
      <c r="AA19" s="65">
        <f>'TOTAL ESTACIONES'!AA19</f>
        <v>0</v>
      </c>
      <c r="AB19" s="65">
        <f>'TOTAL ESTACIONES'!AB19</f>
        <v>0</v>
      </c>
      <c r="AC19" s="65">
        <f>'TOTAL ESTACIONES'!AC19</f>
        <v>0</v>
      </c>
      <c r="AD19" s="65">
        <f>'TOTAL ESTACIONES'!AD19</f>
        <v>0</v>
      </c>
      <c r="AE19" s="65">
        <f>'TOTAL ESTACIONES'!AE19</f>
        <v>0</v>
      </c>
      <c r="AF19" s="65">
        <f>'TOTAL ESTACIONES'!AF19</f>
        <v>0</v>
      </c>
      <c r="AG19" s="65">
        <f>'TOTAL ESTACIONES'!AG19</f>
        <v>0</v>
      </c>
      <c r="AH19" s="65">
        <f>'TOTAL ESTACIONES'!AH19</f>
        <v>0</v>
      </c>
      <c r="AI19" s="65">
        <f>'TOTAL ESTACIONES'!AI19</f>
        <v>0</v>
      </c>
      <c r="AJ19" s="65">
        <f>'TOTAL ESTACIONES'!AJ19</f>
        <v>0</v>
      </c>
      <c r="AK19" s="65">
        <f>'TOTAL ESTACIONES'!AK19</f>
        <v>0</v>
      </c>
      <c r="AL19" s="73">
        <f>'TOTAL ESTACIONES'!AL19</f>
        <v>0</v>
      </c>
      <c r="AM19" s="14">
        <f>'TOTAL ESTACIONES'!AM19</f>
        <v>-1</v>
      </c>
      <c r="AN19" s="89"/>
      <c r="AO19" s="235">
        <v>0</v>
      </c>
      <c r="AP19" s="73">
        <v>0</v>
      </c>
      <c r="AQ19" s="175">
        <v>-1</v>
      </c>
    </row>
    <row r="20" spans="1:43" ht="15" hidden="1" customHeight="1" outlineLevel="1">
      <c r="A20" s="37" t="s">
        <v>107</v>
      </c>
      <c r="B20" s="39"/>
      <c r="C20" s="39" t="s">
        <v>127</v>
      </c>
      <c r="D20" s="37"/>
      <c r="E20" s="191"/>
      <c r="F20" s="37"/>
      <c r="G20" s="37"/>
      <c r="H20" s="37"/>
      <c r="I20" s="172" t="s">
        <v>128</v>
      </c>
      <c r="J20" s="65">
        <f>'TOTAL ESTACIONES'!J20</f>
        <v>10383</v>
      </c>
      <c r="K20" s="65">
        <f>'TOTAL ESTACIONES'!K20</f>
        <v>7510</v>
      </c>
      <c r="L20" s="65">
        <f>'TOTAL ESTACIONES'!L20</f>
        <v>11713</v>
      </c>
      <c r="M20" s="65">
        <f>'TOTAL ESTACIONES'!M20</f>
        <v>9665</v>
      </c>
      <c r="N20" s="65">
        <f>'TOTAL ESTACIONES'!N20</f>
        <v>10014</v>
      </c>
      <c r="O20" s="65">
        <f>'TOTAL ESTACIONES'!O20</f>
        <v>10264</v>
      </c>
      <c r="P20" s="65">
        <f>'TOTAL ESTACIONES'!P20</f>
        <v>11873</v>
      </c>
      <c r="Q20" s="65">
        <f>'TOTAL ESTACIONES'!Q20</f>
        <v>9035</v>
      </c>
      <c r="R20" s="65">
        <f>'TOTAL ESTACIONES'!R20</f>
        <v>10659</v>
      </c>
      <c r="S20" s="65">
        <f>'TOTAL ESTACIONES'!S20</f>
        <v>11765</v>
      </c>
      <c r="T20" s="65">
        <f>'TOTAL ESTACIONES'!T20</f>
        <v>0</v>
      </c>
      <c r="U20" s="65">
        <f>'TOTAL ESTACIONES'!U20</f>
        <v>0</v>
      </c>
      <c r="V20" s="11">
        <f>'TOTAL ESTACIONES'!V20</f>
        <v>102881</v>
      </c>
      <c r="W20" s="73">
        <f>'TOTAL ESTACIONES'!W20</f>
        <v>3.1212741321204291E-4</v>
      </c>
      <c r="X20" s="89">
        <f>'TOTAL ESTACIONES'!X20</f>
        <v>0</v>
      </c>
      <c r="Y20" s="65">
        <f>'TOTAL ESTACIONES'!Y20</f>
        <v>0</v>
      </c>
      <c r="Z20" s="65">
        <f>'TOTAL ESTACIONES'!Z20</f>
        <v>0</v>
      </c>
      <c r="AA20" s="65">
        <f>'TOTAL ESTACIONES'!AA20</f>
        <v>0</v>
      </c>
      <c r="AB20" s="65">
        <f>'TOTAL ESTACIONES'!AB20</f>
        <v>0</v>
      </c>
      <c r="AC20" s="65">
        <f>'TOTAL ESTACIONES'!AC20</f>
        <v>0</v>
      </c>
      <c r="AD20" s="65">
        <f>'TOTAL ESTACIONES'!AD20</f>
        <v>0</v>
      </c>
      <c r="AE20" s="65">
        <f>'TOTAL ESTACIONES'!AE20</f>
        <v>0</v>
      </c>
      <c r="AF20" s="65">
        <f>'TOTAL ESTACIONES'!AF20</f>
        <v>0</v>
      </c>
      <c r="AG20" s="65">
        <f>'TOTAL ESTACIONES'!AG20</f>
        <v>0</v>
      </c>
      <c r="AH20" s="65">
        <f>'TOTAL ESTACIONES'!AH20</f>
        <v>0</v>
      </c>
      <c r="AI20" s="65">
        <f>'TOTAL ESTACIONES'!AI20</f>
        <v>0</v>
      </c>
      <c r="AJ20" s="65">
        <f>'TOTAL ESTACIONES'!AJ20</f>
        <v>0</v>
      </c>
      <c r="AK20" s="65">
        <f>'TOTAL ESTACIONES'!AK20</f>
        <v>0</v>
      </c>
      <c r="AL20" s="73">
        <f>'TOTAL ESTACIONES'!AL20</f>
        <v>0</v>
      </c>
      <c r="AM20" s="14">
        <f>'TOTAL ESTACIONES'!AM20</f>
        <v>-1</v>
      </c>
      <c r="AN20" s="89"/>
      <c r="AO20" s="235">
        <v>0</v>
      </c>
      <c r="AP20" s="73">
        <v>0</v>
      </c>
      <c r="AQ20" s="175">
        <v>-1</v>
      </c>
    </row>
    <row r="21" spans="1:43" ht="15" hidden="1" customHeight="1" outlineLevel="1">
      <c r="A21" s="37" t="s">
        <v>107</v>
      </c>
      <c r="B21" s="39"/>
      <c r="C21" s="39" t="s">
        <v>129</v>
      </c>
      <c r="D21" s="37"/>
      <c r="E21" s="191"/>
      <c r="F21" s="37"/>
      <c r="G21" s="37"/>
      <c r="H21" s="37"/>
      <c r="I21" s="171" t="s">
        <v>130</v>
      </c>
      <c r="J21" s="65">
        <f>'TOTAL ESTACIONES'!J21</f>
        <v>0</v>
      </c>
      <c r="K21" s="65">
        <f>'TOTAL ESTACIONES'!K21</f>
        <v>0</v>
      </c>
      <c r="L21" s="65">
        <f>'TOTAL ESTACIONES'!L21</f>
        <v>0</v>
      </c>
      <c r="M21" s="65">
        <f>'TOTAL ESTACIONES'!M21</f>
        <v>0</v>
      </c>
      <c r="N21" s="65">
        <f>'TOTAL ESTACIONES'!N21</f>
        <v>0</v>
      </c>
      <c r="O21" s="65">
        <f>'TOTAL ESTACIONES'!O21</f>
        <v>0</v>
      </c>
      <c r="P21" s="65">
        <f>'TOTAL ESTACIONES'!P21</f>
        <v>0</v>
      </c>
      <c r="Q21" s="65">
        <f>'TOTAL ESTACIONES'!Q21</f>
        <v>0</v>
      </c>
      <c r="R21" s="65">
        <f>'TOTAL ESTACIONES'!R21</f>
        <v>0</v>
      </c>
      <c r="S21" s="65">
        <f>'TOTAL ESTACIONES'!S21</f>
        <v>0</v>
      </c>
      <c r="T21" s="65">
        <f>'TOTAL ESTACIONES'!T21</f>
        <v>0</v>
      </c>
      <c r="U21" s="65">
        <f>'TOTAL ESTACIONES'!U21</f>
        <v>0</v>
      </c>
      <c r="V21" s="11">
        <f>'TOTAL ESTACIONES'!V21</f>
        <v>0</v>
      </c>
      <c r="W21" s="73">
        <f>'TOTAL ESTACIONES'!W21</f>
        <v>0</v>
      </c>
      <c r="X21" s="89">
        <f>'TOTAL ESTACIONES'!X21</f>
        <v>0</v>
      </c>
      <c r="Y21" s="65">
        <f>'TOTAL ESTACIONES'!Y21</f>
        <v>0</v>
      </c>
      <c r="Z21" s="65">
        <f>'TOTAL ESTACIONES'!Z21</f>
        <v>0</v>
      </c>
      <c r="AA21" s="65">
        <f>'TOTAL ESTACIONES'!AA21</f>
        <v>0</v>
      </c>
      <c r="AB21" s="65">
        <f>'TOTAL ESTACIONES'!AB21</f>
        <v>0</v>
      </c>
      <c r="AC21" s="65">
        <f>'TOTAL ESTACIONES'!AC21</f>
        <v>0</v>
      </c>
      <c r="AD21" s="65">
        <f>'TOTAL ESTACIONES'!AD21</f>
        <v>0</v>
      </c>
      <c r="AE21" s="65">
        <f>'TOTAL ESTACIONES'!AE21</f>
        <v>0</v>
      </c>
      <c r="AF21" s="65">
        <f>'TOTAL ESTACIONES'!AF21</f>
        <v>0</v>
      </c>
      <c r="AG21" s="65">
        <f>'TOTAL ESTACIONES'!AG21</f>
        <v>0</v>
      </c>
      <c r="AH21" s="65">
        <f>'TOTAL ESTACIONES'!AH21</f>
        <v>0</v>
      </c>
      <c r="AI21" s="65">
        <f>'TOTAL ESTACIONES'!AI21</f>
        <v>0</v>
      </c>
      <c r="AJ21" s="65">
        <f>'TOTAL ESTACIONES'!AJ21</f>
        <v>0</v>
      </c>
      <c r="AK21" s="65">
        <f>'TOTAL ESTACIONES'!AK21</f>
        <v>0</v>
      </c>
      <c r="AL21" s="73">
        <f>'TOTAL ESTACIONES'!AL21</f>
        <v>0</v>
      </c>
      <c r="AM21" s="14">
        <f>'TOTAL ESTACIONES'!AM21</f>
        <v>0</v>
      </c>
      <c r="AN21" s="89"/>
      <c r="AO21" s="235">
        <v>0</v>
      </c>
      <c r="AP21" s="73">
        <v>0</v>
      </c>
      <c r="AQ21" s="175">
        <v>-1</v>
      </c>
    </row>
    <row r="22" spans="1:43" ht="15" hidden="1" customHeight="1" outlineLevel="1">
      <c r="A22" s="37" t="s">
        <v>107</v>
      </c>
      <c r="B22" s="39"/>
      <c r="C22" s="39" t="s">
        <v>131</v>
      </c>
      <c r="D22" s="37"/>
      <c r="E22" s="191"/>
      <c r="F22" s="37"/>
      <c r="G22" s="37"/>
      <c r="H22" s="37"/>
      <c r="I22" s="172" t="s">
        <v>132</v>
      </c>
      <c r="J22" s="65">
        <f>'TOTAL ESTACIONES'!J22</f>
        <v>0</v>
      </c>
      <c r="K22" s="65">
        <f>'TOTAL ESTACIONES'!K22</f>
        <v>0</v>
      </c>
      <c r="L22" s="65">
        <f>'TOTAL ESTACIONES'!L22</f>
        <v>0</v>
      </c>
      <c r="M22" s="65">
        <f>'TOTAL ESTACIONES'!M22</f>
        <v>0</v>
      </c>
      <c r="N22" s="65">
        <f>'TOTAL ESTACIONES'!N22</f>
        <v>0</v>
      </c>
      <c r="O22" s="65">
        <f>'TOTAL ESTACIONES'!O22</f>
        <v>0</v>
      </c>
      <c r="P22" s="65">
        <f>'TOTAL ESTACIONES'!P22</f>
        <v>0</v>
      </c>
      <c r="Q22" s="65">
        <f>'TOTAL ESTACIONES'!Q22</f>
        <v>0</v>
      </c>
      <c r="R22" s="65">
        <f>'TOTAL ESTACIONES'!R22</f>
        <v>0</v>
      </c>
      <c r="S22" s="65">
        <f>'TOTAL ESTACIONES'!S22</f>
        <v>0</v>
      </c>
      <c r="T22" s="65">
        <f>'TOTAL ESTACIONES'!T22</f>
        <v>0</v>
      </c>
      <c r="U22" s="65">
        <f>'TOTAL ESTACIONES'!U22</f>
        <v>0</v>
      </c>
      <c r="V22" s="11">
        <f>'TOTAL ESTACIONES'!V22</f>
        <v>0</v>
      </c>
      <c r="W22" s="73">
        <f>'TOTAL ESTACIONES'!W22</f>
        <v>0</v>
      </c>
      <c r="X22" s="89">
        <f>'TOTAL ESTACIONES'!X22</f>
        <v>0</v>
      </c>
      <c r="Y22" s="65">
        <f>'TOTAL ESTACIONES'!Y22</f>
        <v>0</v>
      </c>
      <c r="Z22" s="65">
        <f>'TOTAL ESTACIONES'!Z22</f>
        <v>0</v>
      </c>
      <c r="AA22" s="65">
        <f>'TOTAL ESTACIONES'!AA22</f>
        <v>0</v>
      </c>
      <c r="AB22" s="65">
        <f>'TOTAL ESTACIONES'!AB22</f>
        <v>0</v>
      </c>
      <c r="AC22" s="65">
        <f>'TOTAL ESTACIONES'!AC22</f>
        <v>0</v>
      </c>
      <c r="AD22" s="65">
        <f>'TOTAL ESTACIONES'!AD22</f>
        <v>0</v>
      </c>
      <c r="AE22" s="65">
        <f>'TOTAL ESTACIONES'!AE22</f>
        <v>0</v>
      </c>
      <c r="AF22" s="65">
        <f>'TOTAL ESTACIONES'!AF22</f>
        <v>0</v>
      </c>
      <c r="AG22" s="65">
        <f>'TOTAL ESTACIONES'!AG22</f>
        <v>0</v>
      </c>
      <c r="AH22" s="65">
        <f>'TOTAL ESTACIONES'!AH22</f>
        <v>0</v>
      </c>
      <c r="AI22" s="65">
        <f>'TOTAL ESTACIONES'!AI22</f>
        <v>0</v>
      </c>
      <c r="AJ22" s="65">
        <f>'TOTAL ESTACIONES'!AJ22</f>
        <v>0</v>
      </c>
      <c r="AK22" s="65">
        <f>'TOTAL ESTACIONES'!AK22</f>
        <v>0</v>
      </c>
      <c r="AL22" s="73">
        <f>'TOTAL ESTACIONES'!AL22</f>
        <v>0</v>
      </c>
      <c r="AM22" s="14">
        <f>'TOTAL ESTACIONES'!AM22</f>
        <v>0</v>
      </c>
      <c r="AN22" s="89"/>
      <c r="AO22" s="235">
        <v>0</v>
      </c>
      <c r="AP22" s="73">
        <v>0</v>
      </c>
      <c r="AQ22" s="175">
        <v>-1</v>
      </c>
    </row>
    <row r="23" spans="1:43" ht="15" hidden="1" customHeight="1" outlineLevel="1">
      <c r="A23" s="37" t="s">
        <v>107</v>
      </c>
      <c r="B23" s="39"/>
      <c r="C23" s="39" t="s">
        <v>133</v>
      </c>
      <c r="D23" s="37"/>
      <c r="E23" s="191"/>
      <c r="F23" s="37"/>
      <c r="G23" s="37"/>
      <c r="H23" s="37"/>
      <c r="I23" s="167" t="s">
        <v>133</v>
      </c>
      <c r="J23" s="65">
        <f>'TOTAL ESTACIONES'!J23</f>
        <v>0</v>
      </c>
      <c r="K23" s="65">
        <f>'TOTAL ESTACIONES'!K23</f>
        <v>0</v>
      </c>
      <c r="L23" s="65">
        <f>'TOTAL ESTACIONES'!L23</f>
        <v>0</v>
      </c>
      <c r="M23" s="65">
        <f>'TOTAL ESTACIONES'!M23</f>
        <v>0</v>
      </c>
      <c r="N23" s="65">
        <f>'TOTAL ESTACIONES'!N23</f>
        <v>0</v>
      </c>
      <c r="O23" s="65">
        <f>'TOTAL ESTACIONES'!O23</f>
        <v>0</v>
      </c>
      <c r="P23" s="65">
        <f>'TOTAL ESTACIONES'!P23</f>
        <v>0</v>
      </c>
      <c r="Q23" s="65">
        <f>'TOTAL ESTACIONES'!Q23</f>
        <v>0</v>
      </c>
      <c r="R23" s="65">
        <f>'TOTAL ESTACIONES'!R23</f>
        <v>0</v>
      </c>
      <c r="S23" s="65">
        <f>'TOTAL ESTACIONES'!S23</f>
        <v>0</v>
      </c>
      <c r="T23" s="65">
        <f>'TOTAL ESTACIONES'!T23</f>
        <v>0</v>
      </c>
      <c r="U23" s="65">
        <f>'TOTAL ESTACIONES'!U23</f>
        <v>0</v>
      </c>
      <c r="V23" s="11">
        <f>'TOTAL ESTACIONES'!V23</f>
        <v>0</v>
      </c>
      <c r="W23" s="73">
        <f>'TOTAL ESTACIONES'!W23</f>
        <v>0</v>
      </c>
      <c r="X23" s="89">
        <f>'TOTAL ESTACIONES'!X23</f>
        <v>0</v>
      </c>
      <c r="Y23" s="65">
        <f>'TOTAL ESTACIONES'!Y23</f>
        <v>0</v>
      </c>
      <c r="Z23" s="65">
        <f>'TOTAL ESTACIONES'!Z23</f>
        <v>0</v>
      </c>
      <c r="AA23" s="65">
        <f>'TOTAL ESTACIONES'!AA23</f>
        <v>0</v>
      </c>
      <c r="AB23" s="65">
        <f>'TOTAL ESTACIONES'!AB23</f>
        <v>0</v>
      </c>
      <c r="AC23" s="65">
        <f>'TOTAL ESTACIONES'!AC23</f>
        <v>0</v>
      </c>
      <c r="AD23" s="65">
        <f>'TOTAL ESTACIONES'!AD23</f>
        <v>0</v>
      </c>
      <c r="AE23" s="65">
        <f>'TOTAL ESTACIONES'!AE23</f>
        <v>0</v>
      </c>
      <c r="AF23" s="65">
        <f>'TOTAL ESTACIONES'!AF23</f>
        <v>0</v>
      </c>
      <c r="AG23" s="65">
        <f>'TOTAL ESTACIONES'!AG23</f>
        <v>0</v>
      </c>
      <c r="AH23" s="65">
        <f>'TOTAL ESTACIONES'!AH23</f>
        <v>0</v>
      </c>
      <c r="AI23" s="65">
        <f>'TOTAL ESTACIONES'!AI23</f>
        <v>0</v>
      </c>
      <c r="AJ23" s="65">
        <f>'TOTAL ESTACIONES'!AJ23</f>
        <v>0</v>
      </c>
      <c r="AK23" s="65">
        <f>'TOTAL ESTACIONES'!AK23</f>
        <v>0</v>
      </c>
      <c r="AL23" s="73">
        <f>'TOTAL ESTACIONES'!AL23</f>
        <v>0</v>
      </c>
      <c r="AM23" s="14">
        <f>'TOTAL ESTACIONES'!AM23</f>
        <v>0</v>
      </c>
      <c r="AN23" s="89"/>
      <c r="AO23" s="235">
        <v>0</v>
      </c>
      <c r="AP23" s="73">
        <v>0</v>
      </c>
      <c r="AQ23" s="175">
        <v>-1</v>
      </c>
    </row>
    <row r="24" spans="1:43" ht="15" hidden="1" customHeight="1" outlineLevel="1">
      <c r="A24" s="37" t="s">
        <v>107</v>
      </c>
      <c r="B24" s="39"/>
      <c r="C24" s="39" t="s">
        <v>134</v>
      </c>
      <c r="D24" s="37" t="s">
        <v>91</v>
      </c>
      <c r="E24" s="191"/>
      <c r="F24" s="37"/>
      <c r="G24" s="37"/>
      <c r="H24" s="37"/>
      <c r="I24" s="171" t="s">
        <v>135</v>
      </c>
      <c r="J24" s="65">
        <f>'TOTAL ESTACIONES'!J24</f>
        <v>0</v>
      </c>
      <c r="K24" s="65">
        <f>'TOTAL ESTACIONES'!K24</f>
        <v>0</v>
      </c>
      <c r="L24" s="65">
        <f>'TOTAL ESTACIONES'!L24</f>
        <v>267</v>
      </c>
      <c r="M24" s="65">
        <f>'TOTAL ESTACIONES'!M24</f>
        <v>0</v>
      </c>
      <c r="N24" s="65">
        <f>'TOTAL ESTACIONES'!N24</f>
        <v>0</v>
      </c>
      <c r="O24" s="65">
        <f>'TOTAL ESTACIONES'!O24</f>
        <v>0</v>
      </c>
      <c r="P24" s="65">
        <f>'TOTAL ESTACIONES'!P24</f>
        <v>0</v>
      </c>
      <c r="Q24" s="65">
        <f>'TOTAL ESTACIONES'!Q24</f>
        <v>0</v>
      </c>
      <c r="R24" s="65">
        <f>'TOTAL ESTACIONES'!R24</f>
        <v>0</v>
      </c>
      <c r="S24" s="65">
        <f>'TOTAL ESTACIONES'!S24</f>
        <v>0</v>
      </c>
      <c r="T24" s="65">
        <f>'TOTAL ESTACIONES'!T24</f>
        <v>0</v>
      </c>
      <c r="U24" s="65">
        <f>'TOTAL ESTACIONES'!U24</f>
        <v>0</v>
      </c>
      <c r="V24" s="11">
        <f>'TOTAL ESTACIONES'!V24</f>
        <v>267</v>
      </c>
      <c r="W24" s="73">
        <f>'TOTAL ESTACIONES'!W24</f>
        <v>8.1004285852213198E-7</v>
      </c>
      <c r="X24" s="89">
        <f>'TOTAL ESTACIONES'!X24</f>
        <v>0</v>
      </c>
      <c r="Y24" s="65">
        <f>'TOTAL ESTACIONES'!Y24</f>
        <v>0</v>
      </c>
      <c r="Z24" s="65">
        <f>'TOTAL ESTACIONES'!Z24</f>
        <v>0</v>
      </c>
      <c r="AA24" s="65">
        <f>'TOTAL ESTACIONES'!AA24</f>
        <v>0</v>
      </c>
      <c r="AB24" s="65">
        <f>'TOTAL ESTACIONES'!AB24</f>
        <v>0</v>
      </c>
      <c r="AC24" s="65">
        <f>'TOTAL ESTACIONES'!AC24</f>
        <v>0</v>
      </c>
      <c r="AD24" s="65">
        <f>'TOTAL ESTACIONES'!AD24</f>
        <v>0</v>
      </c>
      <c r="AE24" s="65">
        <f>'TOTAL ESTACIONES'!AE24</f>
        <v>0</v>
      </c>
      <c r="AF24" s="65">
        <f>'TOTAL ESTACIONES'!AF24</f>
        <v>0</v>
      </c>
      <c r="AG24" s="65">
        <f>'TOTAL ESTACIONES'!AG24</f>
        <v>0</v>
      </c>
      <c r="AH24" s="65">
        <f>'TOTAL ESTACIONES'!AH24</f>
        <v>0</v>
      </c>
      <c r="AI24" s="65">
        <f>'TOTAL ESTACIONES'!AI24</f>
        <v>0</v>
      </c>
      <c r="AJ24" s="65">
        <f>'TOTAL ESTACIONES'!AJ24</f>
        <v>0</v>
      </c>
      <c r="AK24" s="65">
        <f>'TOTAL ESTACIONES'!AK24</f>
        <v>0</v>
      </c>
      <c r="AL24" s="73">
        <f>'TOTAL ESTACIONES'!AL24</f>
        <v>0</v>
      </c>
      <c r="AM24" s="14">
        <f>'TOTAL ESTACIONES'!AM24</f>
        <v>-1</v>
      </c>
      <c r="AN24" s="89"/>
      <c r="AO24" s="235">
        <v>-577841992.85085654</v>
      </c>
      <c r="AP24" s="73">
        <v>-0.13110109296805803</v>
      </c>
      <c r="AQ24" s="175">
        <v>6.6558615712661195E-2</v>
      </c>
    </row>
    <row r="25" spans="1:43" ht="15" hidden="1" customHeight="1" outlineLevel="1">
      <c r="A25" s="37"/>
      <c r="B25" s="39"/>
      <c r="C25" s="39"/>
      <c r="D25" s="37"/>
      <c r="E25" s="191"/>
      <c r="F25" s="37"/>
      <c r="G25" s="37"/>
      <c r="H25" s="37"/>
      <c r="I25" s="172" t="s">
        <v>137</v>
      </c>
      <c r="J25" s="65">
        <f>'TOTAL ESTACIONES'!J25</f>
        <v>0</v>
      </c>
      <c r="K25" s="65">
        <f>'TOTAL ESTACIONES'!K25</f>
        <v>0</v>
      </c>
      <c r="L25" s="65">
        <f>'TOTAL ESTACIONES'!L25</f>
        <v>1204</v>
      </c>
      <c r="M25" s="65">
        <f>'TOTAL ESTACIONES'!M25</f>
        <v>2070</v>
      </c>
      <c r="N25" s="65">
        <f>'TOTAL ESTACIONES'!N25</f>
        <v>0</v>
      </c>
      <c r="O25" s="65">
        <f>'TOTAL ESTACIONES'!O25</f>
        <v>0</v>
      </c>
      <c r="P25" s="65">
        <f>'TOTAL ESTACIONES'!P25</f>
        <v>2068</v>
      </c>
      <c r="Q25" s="65">
        <f>'TOTAL ESTACIONES'!Q25</f>
        <v>0</v>
      </c>
      <c r="R25" s="65">
        <f>'TOTAL ESTACIONES'!R25</f>
        <v>0</v>
      </c>
      <c r="S25" s="65">
        <f>'TOTAL ESTACIONES'!S25</f>
        <v>0</v>
      </c>
      <c r="T25" s="65">
        <f>'TOTAL ESTACIONES'!T25</f>
        <v>0</v>
      </c>
      <c r="U25" s="65">
        <f>'TOTAL ESTACIONES'!U25</f>
        <v>0</v>
      </c>
      <c r="V25" s="11">
        <f>'TOTAL ESTACIONES'!V25</f>
        <v>5342</v>
      </c>
      <c r="W25" s="73">
        <f>'TOTAL ESTACIONES'!W25</f>
        <v>1.6206924907210597E-5</v>
      </c>
      <c r="X25" s="89">
        <f>'TOTAL ESTACIONES'!X25</f>
        <v>0</v>
      </c>
      <c r="Y25" s="65">
        <f>'TOTAL ESTACIONES'!Y25</f>
        <v>0</v>
      </c>
      <c r="Z25" s="65">
        <f>'TOTAL ESTACIONES'!Z25</f>
        <v>0</v>
      </c>
      <c r="AA25" s="65">
        <f>'TOTAL ESTACIONES'!AA25</f>
        <v>0</v>
      </c>
      <c r="AB25" s="65">
        <f>'TOTAL ESTACIONES'!AB25</f>
        <v>0</v>
      </c>
      <c r="AC25" s="65">
        <f>'TOTAL ESTACIONES'!AC25</f>
        <v>0</v>
      </c>
      <c r="AD25" s="65">
        <f>'TOTAL ESTACIONES'!AD25</f>
        <v>0</v>
      </c>
      <c r="AE25" s="65">
        <f>'TOTAL ESTACIONES'!AE25</f>
        <v>0</v>
      </c>
      <c r="AF25" s="65">
        <f>'TOTAL ESTACIONES'!AF25</f>
        <v>0</v>
      </c>
      <c r="AG25" s="65">
        <f>'TOTAL ESTACIONES'!AG25</f>
        <v>0</v>
      </c>
      <c r="AH25" s="65">
        <f>'TOTAL ESTACIONES'!AH25</f>
        <v>0</v>
      </c>
      <c r="AI25" s="65">
        <f>'TOTAL ESTACIONES'!AI25</f>
        <v>0</v>
      </c>
      <c r="AJ25" s="65">
        <f>'TOTAL ESTACIONES'!AJ25</f>
        <v>0</v>
      </c>
      <c r="AK25" s="65">
        <f>'TOTAL ESTACIONES'!AK25</f>
        <v>0</v>
      </c>
      <c r="AL25" s="73">
        <f>'TOTAL ESTACIONES'!AL25</f>
        <v>0</v>
      </c>
      <c r="AM25" s="14">
        <f>'TOTAL ESTACIONES'!AM25</f>
        <v>-1</v>
      </c>
      <c r="AN25" s="89"/>
      <c r="AO25" s="235">
        <v>-36957482.517364532</v>
      </c>
      <c r="AP25" s="73">
        <v>-8.3849329251239526E-3</v>
      </c>
      <c r="AQ25" s="175">
        <v>6.4257394686814795E-2</v>
      </c>
    </row>
    <row r="26" spans="1:43" ht="15" hidden="1" customHeight="1" outlineLevel="1">
      <c r="A26" s="37"/>
      <c r="B26" s="39"/>
      <c r="C26" s="39"/>
      <c r="D26" s="37"/>
      <c r="E26" s="191"/>
      <c r="F26" s="37"/>
      <c r="G26" s="37"/>
      <c r="H26" s="37"/>
      <c r="I26" s="167" t="s">
        <v>138</v>
      </c>
      <c r="J26" s="65">
        <f>'TOTAL ESTACIONES'!J26</f>
        <v>-16996</v>
      </c>
      <c r="K26" s="65">
        <f>'TOTAL ESTACIONES'!K26</f>
        <v>-26879</v>
      </c>
      <c r="L26" s="65">
        <f>'TOTAL ESTACIONES'!L26</f>
        <v>-49360</v>
      </c>
      <c r="M26" s="65">
        <f>'TOTAL ESTACIONES'!M26</f>
        <v>-134972</v>
      </c>
      <c r="N26" s="65">
        <f>'TOTAL ESTACIONES'!N26</f>
        <v>-145599</v>
      </c>
      <c r="O26" s="65">
        <f>'TOTAL ESTACIONES'!O26</f>
        <v>-112171</v>
      </c>
      <c r="P26" s="65">
        <f>'TOTAL ESTACIONES'!P26</f>
        <v>-72748</v>
      </c>
      <c r="Q26" s="65">
        <f>'TOTAL ESTACIONES'!Q26</f>
        <v>-71093</v>
      </c>
      <c r="R26" s="65">
        <f>'TOTAL ESTACIONES'!R26</f>
        <v>-103796</v>
      </c>
      <c r="S26" s="65">
        <f>'TOTAL ESTACIONES'!S26</f>
        <v>-64111</v>
      </c>
      <c r="T26" s="65">
        <f>'TOTAL ESTACIONES'!T26</f>
        <v>0</v>
      </c>
      <c r="U26" s="65">
        <f>'TOTAL ESTACIONES'!U26</f>
        <v>0</v>
      </c>
      <c r="V26" s="11">
        <f>'TOTAL ESTACIONES'!V26</f>
        <v>-797725</v>
      </c>
      <c r="W26" s="73">
        <f>'TOTAL ESTACIONES'!W26</f>
        <v>-2.4201926566088678E-3</v>
      </c>
      <c r="X26" s="89">
        <f>'TOTAL ESTACIONES'!X26</f>
        <v>0</v>
      </c>
      <c r="Y26" s="65">
        <f>'TOTAL ESTACIONES'!Y26</f>
        <v>0</v>
      </c>
      <c r="Z26" s="65">
        <f>'TOTAL ESTACIONES'!Z26</f>
        <v>0</v>
      </c>
      <c r="AA26" s="65">
        <f>'TOTAL ESTACIONES'!AA26</f>
        <v>0</v>
      </c>
      <c r="AB26" s="65">
        <f>'TOTAL ESTACIONES'!AB26</f>
        <v>0</v>
      </c>
      <c r="AC26" s="65">
        <f>'TOTAL ESTACIONES'!AC26</f>
        <v>0</v>
      </c>
      <c r="AD26" s="65">
        <f>'TOTAL ESTACIONES'!AD26</f>
        <v>0</v>
      </c>
      <c r="AE26" s="65">
        <f>'TOTAL ESTACIONES'!AE26</f>
        <v>0</v>
      </c>
      <c r="AF26" s="65">
        <f>'TOTAL ESTACIONES'!AF26</f>
        <v>0</v>
      </c>
      <c r="AG26" s="65">
        <f>'TOTAL ESTACIONES'!AG26</f>
        <v>0</v>
      </c>
      <c r="AH26" s="65">
        <f>'TOTAL ESTACIONES'!AH26</f>
        <v>0</v>
      </c>
      <c r="AI26" s="65">
        <f>'TOTAL ESTACIONES'!AI26</f>
        <v>0</v>
      </c>
      <c r="AJ26" s="65">
        <f>'TOTAL ESTACIONES'!AJ26</f>
        <v>0</v>
      </c>
      <c r="AK26" s="65">
        <f>'TOTAL ESTACIONES'!AK26</f>
        <v>0</v>
      </c>
      <c r="AL26" s="73">
        <f>'TOTAL ESTACIONES'!AL26</f>
        <v>0</v>
      </c>
      <c r="AM26" s="14">
        <f>'TOTAL ESTACIONES'!AM26</f>
        <v>-1</v>
      </c>
      <c r="AN26" s="89"/>
      <c r="AO26" s="235">
        <v>0</v>
      </c>
      <c r="AP26" s="73">
        <v>0</v>
      </c>
      <c r="AQ26" s="175">
        <v>-1</v>
      </c>
    </row>
    <row r="27" spans="1:43" ht="15.75" hidden="1" outlineLevel="1">
      <c r="I27" s="167" t="s">
        <v>139</v>
      </c>
      <c r="J27" s="65">
        <f>'TOTAL ESTACIONES'!J27</f>
        <v>-15808</v>
      </c>
      <c r="K27" s="65">
        <f>'TOTAL ESTACIONES'!K27</f>
        <v>-8530</v>
      </c>
      <c r="L27" s="65">
        <f>'TOTAL ESTACIONES'!L27</f>
        <v>-22247</v>
      </c>
      <c r="M27" s="65">
        <f>'TOTAL ESTACIONES'!M27</f>
        <v>-24612</v>
      </c>
      <c r="N27" s="65">
        <f>'TOTAL ESTACIONES'!N27</f>
        <v>-30658</v>
      </c>
      <c r="O27" s="65">
        <f>'TOTAL ESTACIONES'!O27</f>
        <v>-20889</v>
      </c>
      <c r="P27" s="65">
        <f>'TOTAL ESTACIONES'!P27</f>
        <v>-26813</v>
      </c>
      <c r="Q27" s="65">
        <f>'TOTAL ESTACIONES'!Q27</f>
        <v>-8260</v>
      </c>
      <c r="R27" s="65">
        <f>'TOTAL ESTACIONES'!R27</f>
        <v>-37857</v>
      </c>
      <c r="S27" s="65">
        <f>'TOTAL ESTACIONES'!S27</f>
        <v>-6897</v>
      </c>
      <c r="T27" s="65">
        <f>'TOTAL ESTACIONES'!T27</f>
        <v>0</v>
      </c>
      <c r="U27" s="65">
        <f>'TOTAL ESTACIONES'!U27</f>
        <v>0</v>
      </c>
      <c r="V27" s="11">
        <f>'TOTAL ESTACIONES'!V27</f>
        <v>-202571</v>
      </c>
      <c r="W27" s="73">
        <f>'TOTAL ESTACIONES'!W27</f>
        <v>-6.1457375241081203E-4</v>
      </c>
      <c r="X27" s="89">
        <f>'TOTAL ESTACIONES'!X27</f>
        <v>0</v>
      </c>
      <c r="Y27" s="65">
        <f>'TOTAL ESTACIONES'!Y27</f>
        <v>0</v>
      </c>
      <c r="Z27" s="65">
        <f>'TOTAL ESTACIONES'!Z27</f>
        <v>0</v>
      </c>
      <c r="AA27" s="65">
        <f>'TOTAL ESTACIONES'!AA27</f>
        <v>0</v>
      </c>
      <c r="AB27" s="65">
        <f>'TOTAL ESTACIONES'!AB27</f>
        <v>0</v>
      </c>
      <c r="AC27" s="65">
        <f>'TOTAL ESTACIONES'!AC27</f>
        <v>0</v>
      </c>
      <c r="AD27" s="65">
        <f>'TOTAL ESTACIONES'!AD27</f>
        <v>0</v>
      </c>
      <c r="AE27" s="65">
        <f>'TOTAL ESTACIONES'!AE27</f>
        <v>0</v>
      </c>
      <c r="AF27" s="65">
        <f>'TOTAL ESTACIONES'!AF27</f>
        <v>0</v>
      </c>
      <c r="AG27" s="65">
        <f>'TOTAL ESTACIONES'!AG27</f>
        <v>0</v>
      </c>
      <c r="AH27" s="65">
        <f>'TOTAL ESTACIONES'!AH27</f>
        <v>0</v>
      </c>
      <c r="AI27" s="65">
        <f>'TOTAL ESTACIONES'!AI27</f>
        <v>0</v>
      </c>
      <c r="AJ27" s="65">
        <f>'TOTAL ESTACIONES'!AJ27</f>
        <v>0</v>
      </c>
      <c r="AK27" s="65">
        <f>'TOTAL ESTACIONES'!AK27</f>
        <v>0</v>
      </c>
      <c r="AL27" s="73">
        <f>'TOTAL ESTACIONES'!AL27</f>
        <v>0</v>
      </c>
      <c r="AM27" s="14">
        <f>'TOTAL ESTACIONES'!AM27</f>
        <v>-1</v>
      </c>
      <c r="AN27" s="89"/>
      <c r="AO27" s="237">
        <v>650744500.58932972</v>
      </c>
      <c r="AP27" s="73">
        <v>0.14764125197843475</v>
      </c>
      <c r="AQ27" s="178">
        <v>0.17255416190461581</v>
      </c>
    </row>
    <row r="28" spans="1:43" ht="15" hidden="1" customHeight="1" outlineLevel="1">
      <c r="I28" s="167" t="s">
        <v>140</v>
      </c>
      <c r="J28" s="65">
        <f>'TOTAL ESTACIONES'!J28</f>
        <v>-6436</v>
      </c>
      <c r="K28" s="65">
        <f>'TOTAL ESTACIONES'!K28</f>
        <v>0</v>
      </c>
      <c r="L28" s="65">
        <f>'TOTAL ESTACIONES'!L28</f>
        <v>-18941</v>
      </c>
      <c r="M28" s="65">
        <f>'TOTAL ESTACIONES'!M28</f>
        <v>-22943</v>
      </c>
      <c r="N28" s="65">
        <f>'TOTAL ESTACIONES'!N28</f>
        <v>-9722</v>
      </c>
      <c r="O28" s="65">
        <f>'TOTAL ESTACIONES'!O28</f>
        <v>-17371</v>
      </c>
      <c r="P28" s="65">
        <f>'TOTAL ESTACIONES'!P28</f>
        <v>-18629</v>
      </c>
      <c r="Q28" s="65">
        <f>'TOTAL ESTACIONES'!Q28</f>
        <v>-16467</v>
      </c>
      <c r="R28" s="65">
        <f>'TOTAL ESTACIONES'!R28</f>
        <v>0</v>
      </c>
      <c r="S28" s="65">
        <f>'TOTAL ESTACIONES'!S28</f>
        <v>-22768</v>
      </c>
      <c r="T28" s="65">
        <f>'TOTAL ESTACIONES'!T28</f>
        <v>0</v>
      </c>
      <c r="U28" s="65">
        <f>'TOTAL ESTACIONES'!U28</f>
        <v>0</v>
      </c>
      <c r="V28" s="11">
        <f>'TOTAL ESTACIONES'!V28</f>
        <v>-133277</v>
      </c>
      <c r="W28" s="73">
        <f>'TOTAL ESTACIONES'!W28</f>
        <v>-4.0434487661143888E-4</v>
      </c>
      <c r="X28" s="89">
        <f>'TOTAL ESTACIONES'!X28</f>
        <v>0</v>
      </c>
      <c r="Y28" s="65">
        <f>'TOTAL ESTACIONES'!Y28</f>
        <v>0</v>
      </c>
      <c r="Z28" s="65">
        <f>'TOTAL ESTACIONES'!Z28</f>
        <v>0</v>
      </c>
      <c r="AA28" s="65">
        <f>'TOTAL ESTACIONES'!AA28</f>
        <v>0</v>
      </c>
      <c r="AB28" s="65">
        <f>'TOTAL ESTACIONES'!AB28</f>
        <v>0</v>
      </c>
      <c r="AC28" s="65">
        <f>'TOTAL ESTACIONES'!AC28</f>
        <v>0</v>
      </c>
      <c r="AD28" s="65">
        <f>'TOTAL ESTACIONES'!AD28</f>
        <v>0</v>
      </c>
      <c r="AE28" s="65">
        <f>'TOTAL ESTACIONES'!AE28</f>
        <v>0</v>
      </c>
      <c r="AF28" s="65">
        <f>'TOTAL ESTACIONES'!AF28</f>
        <v>0</v>
      </c>
      <c r="AG28" s="65">
        <f>'TOTAL ESTACIONES'!AG28</f>
        <v>0</v>
      </c>
      <c r="AH28" s="65">
        <f>'TOTAL ESTACIONES'!AH28</f>
        <v>0</v>
      </c>
      <c r="AI28" s="65">
        <f>'TOTAL ESTACIONES'!AI28</f>
        <v>0</v>
      </c>
      <c r="AJ28" s="65">
        <f>'TOTAL ESTACIONES'!AJ28</f>
        <v>0</v>
      </c>
      <c r="AK28" s="65">
        <f>'TOTAL ESTACIONES'!AK28</f>
        <v>0</v>
      </c>
      <c r="AL28" s="73">
        <f>'TOTAL ESTACIONES'!AL28</f>
        <v>0</v>
      </c>
      <c r="AM28" s="14">
        <f>'TOTAL ESTACIONES'!AM28</f>
        <v>-1</v>
      </c>
      <c r="AN28" s="90"/>
      <c r="AO28" s="239">
        <v>543437463.87452662</v>
      </c>
      <c r="AP28" s="74" t="e">
        <v>#REF!</v>
      </c>
      <c r="AQ28" s="179">
        <v>0.13532128173743607</v>
      </c>
    </row>
    <row r="29" spans="1:43" ht="15" hidden="1" customHeight="1" outlineLevel="1">
      <c r="I29" s="172" t="s">
        <v>141</v>
      </c>
      <c r="J29" s="65">
        <f>'TOTAL ESTACIONES'!J29</f>
        <v>48083</v>
      </c>
      <c r="K29" s="65">
        <f>'TOTAL ESTACIONES'!K29</f>
        <v>52091</v>
      </c>
      <c r="L29" s="65">
        <f>'TOTAL ESTACIONES'!L29</f>
        <v>54051</v>
      </c>
      <c r="M29" s="65">
        <f>'TOTAL ESTACIONES'!M29</f>
        <v>16124</v>
      </c>
      <c r="N29" s="65">
        <f>'TOTAL ESTACIONES'!N29</f>
        <v>52256</v>
      </c>
      <c r="O29" s="65">
        <f>'TOTAL ESTACIONES'!O29</f>
        <v>60646</v>
      </c>
      <c r="P29" s="65">
        <f>'TOTAL ESTACIONES'!P29</f>
        <v>67702</v>
      </c>
      <c r="Q29" s="65">
        <f>'TOTAL ESTACIONES'!Q29</f>
        <v>68070</v>
      </c>
      <c r="R29" s="65">
        <f>'TOTAL ESTACIONES'!R29</f>
        <v>66359</v>
      </c>
      <c r="S29" s="65">
        <f>'TOTAL ESTACIONES'!S29</f>
        <v>62872</v>
      </c>
      <c r="T29" s="65">
        <f>'TOTAL ESTACIONES'!T29</f>
        <v>48960</v>
      </c>
      <c r="U29" s="65">
        <f>'TOTAL ESTACIONES'!U29</f>
        <v>48960</v>
      </c>
      <c r="V29" s="11">
        <f>'TOTAL ESTACIONES'!V29</f>
        <v>646174</v>
      </c>
      <c r="W29" s="73">
        <f>'TOTAL ESTACIONES'!W29</f>
        <v>1.9604068691486147E-3</v>
      </c>
      <c r="X29" s="89">
        <f>'TOTAL ESTACIONES'!X29</f>
        <v>0</v>
      </c>
      <c r="Y29" s="65">
        <f>'TOTAL ESTACIONES'!Y29</f>
        <v>45288</v>
      </c>
      <c r="Z29" s="65">
        <f>'TOTAL ESTACIONES'!Z29</f>
        <v>45849</v>
      </c>
      <c r="AA29" s="65">
        <f>'TOTAL ESTACIONES'!AA29</f>
        <v>47277</v>
      </c>
      <c r="AB29" s="65">
        <f>'TOTAL ESTACIONES'!AB29</f>
        <v>45900</v>
      </c>
      <c r="AC29" s="65">
        <f>'TOTAL ESTACIONES'!AC29</f>
        <v>48093</v>
      </c>
      <c r="AD29" s="65">
        <f>'TOTAL ESTACIONES'!AD29</f>
        <v>47583</v>
      </c>
      <c r="AE29" s="65">
        <f>'TOTAL ESTACIONES'!AE29</f>
        <v>47532</v>
      </c>
      <c r="AF29" s="65">
        <f>'TOTAL ESTACIONES'!AF29</f>
        <v>48705</v>
      </c>
      <c r="AG29" s="65">
        <f>'TOTAL ESTACIONES'!AG29</f>
        <v>51765</v>
      </c>
      <c r="AH29" s="65">
        <f>'TOTAL ESTACIONES'!AH29</f>
        <v>48348</v>
      </c>
      <c r="AI29" s="65">
        <f>'TOTAL ESTACIONES'!AI29</f>
        <v>48756</v>
      </c>
      <c r="AJ29" s="65">
        <f>'TOTAL ESTACIONES'!AJ29</f>
        <v>50898</v>
      </c>
      <c r="AK29" s="65">
        <f>'TOTAL ESTACIONES'!AK29</f>
        <v>575994</v>
      </c>
      <c r="AL29" s="73">
        <f>'TOTAL ESTACIONES'!AL29</f>
        <v>1.6053381245574477E-3</v>
      </c>
      <c r="AM29" s="14">
        <f>'TOTAL ESTACIONES'!AM29</f>
        <v>-0.10860851721053466</v>
      </c>
      <c r="AN29" s="90"/>
      <c r="AO29" s="239">
        <v>42647062.426652193</v>
      </c>
      <c r="AP29" s="74" t="e">
        <v>#REF!</v>
      </c>
      <c r="AQ29" s="179">
        <v>0.48513341383897091</v>
      </c>
    </row>
    <row r="30" spans="1:43" ht="15" hidden="1" customHeight="1" outlineLevel="1">
      <c r="I30" s="172" t="s">
        <v>142</v>
      </c>
      <c r="J30" s="65">
        <f>'TOTAL ESTACIONES'!J30</f>
        <v>0</v>
      </c>
      <c r="K30" s="65">
        <f>'TOTAL ESTACIONES'!K30</f>
        <v>0</v>
      </c>
      <c r="L30" s="65">
        <f>'TOTAL ESTACIONES'!L30</f>
        <v>0</v>
      </c>
      <c r="M30" s="65">
        <f>'TOTAL ESTACIONES'!M30</f>
        <v>0</v>
      </c>
      <c r="N30" s="65">
        <f>'TOTAL ESTACIONES'!N30</f>
        <v>0</v>
      </c>
      <c r="O30" s="65">
        <f>'TOTAL ESTACIONES'!O30</f>
        <v>0</v>
      </c>
      <c r="P30" s="65">
        <f>'TOTAL ESTACIONES'!P30</f>
        <v>0</v>
      </c>
      <c r="Q30" s="65">
        <f>'TOTAL ESTACIONES'!Q30</f>
        <v>0</v>
      </c>
      <c r="R30" s="65">
        <f>'TOTAL ESTACIONES'!R30</f>
        <v>0</v>
      </c>
      <c r="S30" s="65">
        <f>'TOTAL ESTACIONES'!S30</f>
        <v>0</v>
      </c>
      <c r="T30" s="65">
        <f>'TOTAL ESTACIONES'!T30</f>
        <v>0</v>
      </c>
      <c r="U30" s="65">
        <f>'TOTAL ESTACIONES'!U30</f>
        <v>0</v>
      </c>
      <c r="V30" s="11">
        <f>'TOTAL ESTACIONES'!V30</f>
        <v>0</v>
      </c>
      <c r="W30" s="73">
        <f>'TOTAL ESTACIONES'!W30</f>
        <v>0</v>
      </c>
      <c r="X30" s="89">
        <f>'TOTAL ESTACIONES'!X30</f>
        <v>0</v>
      </c>
      <c r="Y30" s="65">
        <f>'TOTAL ESTACIONES'!Y30</f>
        <v>0</v>
      </c>
      <c r="Z30" s="65">
        <f>'TOTAL ESTACIONES'!Z30</f>
        <v>0</v>
      </c>
      <c r="AA30" s="65">
        <f>'TOTAL ESTACIONES'!AA30</f>
        <v>0</v>
      </c>
      <c r="AB30" s="65">
        <f>'TOTAL ESTACIONES'!AB30</f>
        <v>0</v>
      </c>
      <c r="AC30" s="65">
        <f>'TOTAL ESTACIONES'!AC30</f>
        <v>0</v>
      </c>
      <c r="AD30" s="65">
        <f>'TOTAL ESTACIONES'!AD30</f>
        <v>0</v>
      </c>
      <c r="AE30" s="65">
        <f>'TOTAL ESTACIONES'!AE30</f>
        <v>0</v>
      </c>
      <c r="AF30" s="65">
        <f>'TOTAL ESTACIONES'!AF30</f>
        <v>0</v>
      </c>
      <c r="AG30" s="65">
        <f>'TOTAL ESTACIONES'!AG30</f>
        <v>0</v>
      </c>
      <c r="AH30" s="65">
        <f>'TOTAL ESTACIONES'!AH30</f>
        <v>0</v>
      </c>
      <c r="AI30" s="65">
        <f>'TOTAL ESTACIONES'!AI30</f>
        <v>0</v>
      </c>
      <c r="AJ30" s="65">
        <f>'TOTAL ESTACIONES'!AJ30</f>
        <v>0</v>
      </c>
      <c r="AK30" s="65">
        <f>'TOTAL ESTACIONES'!AK30</f>
        <v>0</v>
      </c>
      <c r="AL30" s="73">
        <f>'TOTAL ESTACIONES'!AL30</f>
        <v>0</v>
      </c>
      <c r="AM30" s="14">
        <f>'TOTAL ESTACIONES'!AM30</f>
        <v>0</v>
      </c>
      <c r="AN30" s="90"/>
      <c r="AO30" s="239">
        <v>64659974.288150027</v>
      </c>
      <c r="AP30" s="74" t="e">
        <v>#REF!</v>
      </c>
      <c r="AQ30" s="179">
        <v>0.41061113477855393</v>
      </c>
    </row>
    <row r="31" spans="1:43" ht="15" hidden="1" customHeight="1" outlineLevel="1">
      <c r="I31" s="172" t="s">
        <v>143</v>
      </c>
      <c r="J31" s="65">
        <f>'TOTAL ESTACIONES'!J31</f>
        <v>0</v>
      </c>
      <c r="K31" s="65">
        <f>'TOTAL ESTACIONES'!K31</f>
        <v>0</v>
      </c>
      <c r="L31" s="65">
        <f>'TOTAL ESTACIONES'!L31</f>
        <v>0</v>
      </c>
      <c r="M31" s="65">
        <f>'TOTAL ESTACIONES'!M31</f>
        <v>0</v>
      </c>
      <c r="N31" s="65">
        <f>'TOTAL ESTACIONES'!N31</f>
        <v>0</v>
      </c>
      <c r="O31" s="65">
        <f>'TOTAL ESTACIONES'!O31</f>
        <v>0</v>
      </c>
      <c r="P31" s="65">
        <f>'TOTAL ESTACIONES'!P31</f>
        <v>0</v>
      </c>
      <c r="Q31" s="65">
        <f>'TOTAL ESTACIONES'!Q31</f>
        <v>0</v>
      </c>
      <c r="R31" s="65">
        <f>'TOTAL ESTACIONES'!R31</f>
        <v>0</v>
      </c>
      <c r="S31" s="65">
        <f>'TOTAL ESTACIONES'!S31</f>
        <v>0</v>
      </c>
      <c r="T31" s="65">
        <f>'TOTAL ESTACIONES'!T31</f>
        <v>0</v>
      </c>
      <c r="U31" s="65">
        <f>'TOTAL ESTACIONES'!U31</f>
        <v>0</v>
      </c>
      <c r="V31" s="11">
        <f>'TOTAL ESTACIONES'!V31</f>
        <v>0</v>
      </c>
      <c r="W31" s="73">
        <f>'TOTAL ESTACIONES'!W31</f>
        <v>0</v>
      </c>
      <c r="X31" s="89">
        <f>'TOTAL ESTACIONES'!X31</f>
        <v>0</v>
      </c>
      <c r="Y31" s="65">
        <f>'TOTAL ESTACIONES'!Y31</f>
        <v>0</v>
      </c>
      <c r="Z31" s="65">
        <f>'TOTAL ESTACIONES'!Z31</f>
        <v>0</v>
      </c>
      <c r="AA31" s="65">
        <f>'TOTAL ESTACIONES'!AA31</f>
        <v>0</v>
      </c>
      <c r="AB31" s="65">
        <f>'TOTAL ESTACIONES'!AB31</f>
        <v>0</v>
      </c>
      <c r="AC31" s="65">
        <f>'TOTAL ESTACIONES'!AC31</f>
        <v>0</v>
      </c>
      <c r="AD31" s="65">
        <f>'TOTAL ESTACIONES'!AD31</f>
        <v>0</v>
      </c>
      <c r="AE31" s="65">
        <f>'TOTAL ESTACIONES'!AE31</f>
        <v>0</v>
      </c>
      <c r="AF31" s="65">
        <f>'TOTAL ESTACIONES'!AF31</f>
        <v>0</v>
      </c>
      <c r="AG31" s="65">
        <f>'TOTAL ESTACIONES'!AG31</f>
        <v>0</v>
      </c>
      <c r="AH31" s="65">
        <f>'TOTAL ESTACIONES'!AH31</f>
        <v>0</v>
      </c>
      <c r="AI31" s="65">
        <f>'TOTAL ESTACIONES'!AI31</f>
        <v>0</v>
      </c>
      <c r="AJ31" s="65">
        <f>'TOTAL ESTACIONES'!AJ31</f>
        <v>0</v>
      </c>
      <c r="AK31" s="65">
        <f>'TOTAL ESTACIONES'!AK31</f>
        <v>0</v>
      </c>
      <c r="AL31" s="73">
        <f>'TOTAL ESTACIONES'!AL31</f>
        <v>0</v>
      </c>
      <c r="AM31" s="14">
        <f>'TOTAL ESTACIONES'!AM31</f>
        <v>0</v>
      </c>
      <c r="AN31" s="90"/>
      <c r="AO31" s="239">
        <v>0</v>
      </c>
      <c r="AP31" s="74" t="e">
        <v>#REF!</v>
      </c>
      <c r="AQ31" s="179">
        <v>-1</v>
      </c>
    </row>
    <row r="32" spans="1:43" hidden="1" outlineLevel="1">
      <c r="I32" s="172" t="s">
        <v>144</v>
      </c>
      <c r="J32" s="65">
        <v>0</v>
      </c>
      <c r="K32" s="65">
        <f>'TOTAL ESTACIONES'!K32</f>
        <v>0</v>
      </c>
      <c r="L32" s="65">
        <f>'TOTAL ESTACIONES'!L32</f>
        <v>0</v>
      </c>
      <c r="M32" s="65">
        <f>'TOTAL ESTACIONES'!M32</f>
        <v>0</v>
      </c>
      <c r="N32" s="65">
        <f>'TOTAL ESTACIONES'!N32</f>
        <v>0</v>
      </c>
      <c r="O32" s="65">
        <f>'TOTAL ESTACIONES'!O32</f>
        <v>0</v>
      </c>
      <c r="P32" s="65">
        <f>'TOTAL ESTACIONES'!P32</f>
        <v>0</v>
      </c>
      <c r="Q32" s="65">
        <f>'TOTAL ESTACIONES'!Q32</f>
        <v>0</v>
      </c>
      <c r="R32" s="65">
        <f>'TOTAL ESTACIONES'!R32</f>
        <v>0</v>
      </c>
      <c r="S32" s="65">
        <f>'TOTAL ESTACIONES'!S32</f>
        <v>0</v>
      </c>
      <c r="T32" s="65">
        <f>'TOTAL ESTACIONES'!T32</f>
        <v>0</v>
      </c>
      <c r="U32" s="65">
        <f>'TOTAL ESTACIONES'!U32</f>
        <v>0</v>
      </c>
      <c r="V32" s="11">
        <f>'TOTAL ESTACIONES'!V32</f>
        <v>0</v>
      </c>
      <c r="W32" s="73">
        <f>'TOTAL ESTACIONES'!W32</f>
        <v>0</v>
      </c>
      <c r="X32" s="89">
        <f>'TOTAL ESTACIONES'!X32</f>
        <v>0</v>
      </c>
      <c r="Y32" s="65">
        <f>'TOTAL ESTACIONES'!Y32</f>
        <v>0</v>
      </c>
      <c r="Z32" s="65">
        <f>'TOTAL ESTACIONES'!Z32</f>
        <v>0</v>
      </c>
      <c r="AA32" s="65">
        <f>'TOTAL ESTACIONES'!AA32</f>
        <v>0</v>
      </c>
      <c r="AB32" s="65">
        <f>'TOTAL ESTACIONES'!AB32</f>
        <v>0</v>
      </c>
      <c r="AC32" s="65">
        <f>'TOTAL ESTACIONES'!AC32</f>
        <v>0</v>
      </c>
      <c r="AD32" s="65">
        <f>'TOTAL ESTACIONES'!AD32</f>
        <v>0</v>
      </c>
      <c r="AE32" s="65">
        <f>'TOTAL ESTACIONES'!AE32</f>
        <v>0</v>
      </c>
      <c r="AF32" s="65">
        <f>'TOTAL ESTACIONES'!AF32</f>
        <v>0</v>
      </c>
      <c r="AG32" s="65">
        <f>'TOTAL ESTACIONES'!AG32</f>
        <v>0</v>
      </c>
      <c r="AH32" s="65">
        <f>'TOTAL ESTACIONES'!AH32</f>
        <v>0</v>
      </c>
      <c r="AI32" s="65">
        <f>'TOTAL ESTACIONES'!AI32</f>
        <v>0</v>
      </c>
      <c r="AJ32" s="65">
        <f>'TOTAL ESTACIONES'!AJ32</f>
        <v>0</v>
      </c>
      <c r="AK32" s="65">
        <f>'TOTAL ESTACIONES'!AK32</f>
        <v>0</v>
      </c>
      <c r="AL32" s="73">
        <f>'TOTAL ESTACIONES'!AL32</f>
        <v>0</v>
      </c>
      <c r="AM32" s="14">
        <f>'TOTAL ESTACIONES'!AM32</f>
        <v>0</v>
      </c>
      <c r="AN32" s="90"/>
      <c r="AO32" s="241">
        <v>245936244.80767727</v>
      </c>
      <c r="AP32" s="176"/>
      <c r="AQ32" s="228">
        <v>0.13595410459666168</v>
      </c>
    </row>
    <row r="33" spans="1:45" ht="15" customHeight="1" collapsed="1">
      <c r="I33" s="36" t="s">
        <v>145</v>
      </c>
      <c r="J33" s="35">
        <f>'TOTAL ESTACIONES'!J33</f>
        <v>2434969</v>
      </c>
      <c r="K33" s="35">
        <f>'TOTAL ESTACIONES'!K33</f>
        <v>2575469</v>
      </c>
      <c r="L33" s="35">
        <f>'TOTAL ESTACIONES'!L33</f>
        <v>2816470</v>
      </c>
      <c r="M33" s="35">
        <f>'TOTAL ESTACIONES'!M33</f>
        <v>2921173</v>
      </c>
      <c r="N33" s="35">
        <f>'TOTAL ESTACIONES'!N33</f>
        <v>3162916</v>
      </c>
      <c r="O33" s="35">
        <f>'TOTAL ESTACIONES'!O33</f>
        <v>2922393</v>
      </c>
      <c r="P33" s="35">
        <f>'TOTAL ESTACIONES'!P33</f>
        <v>2794510</v>
      </c>
      <c r="Q33" s="35">
        <f>'TOTAL ESTACIONES'!Q33</f>
        <v>2819367</v>
      </c>
      <c r="R33" s="35">
        <f>'TOTAL ESTACIONES'!R33</f>
        <v>2845425</v>
      </c>
      <c r="S33" s="35">
        <f>'TOTAL ESTACIONES'!S33</f>
        <v>2819768</v>
      </c>
      <c r="T33" s="35">
        <f>'TOTAL ESTACIONES'!T33</f>
        <v>2828187.6666666665</v>
      </c>
      <c r="U33" s="35">
        <f>'TOTAL ESTACIONES'!U33</f>
        <v>2831126.8888888885</v>
      </c>
      <c r="V33" s="35">
        <f>'TOTAL ESTACIONES'!V33</f>
        <v>33666956.379210055</v>
      </c>
      <c r="W33" s="73">
        <f>'TOTAL ESTACIONES'!W33</f>
        <v>0.10214111454365259</v>
      </c>
      <c r="X33" s="89">
        <f>'TOTAL ESTACIONES'!X33</f>
        <v>0</v>
      </c>
      <c r="Y33" s="35">
        <f>'TOTAL ESTACIONES'!Y33</f>
        <v>2758919.363333337</v>
      </c>
      <c r="Z33" s="35">
        <f>'TOTAL ESTACIONES'!Z33</f>
        <v>2561154.2266666628</v>
      </c>
      <c r="AA33" s="35">
        <f>'TOTAL ESTACIONES'!AA33</f>
        <v>3055649.5566666685</v>
      </c>
      <c r="AB33" s="35">
        <f>'TOTAL ESTACIONES'!AB33</f>
        <v>2778786.756666664</v>
      </c>
      <c r="AC33" s="35">
        <f>'TOTAL ESTACIONES'!AC33</f>
        <v>2930839.2533333339</v>
      </c>
      <c r="AD33" s="35">
        <f>'TOTAL ESTACIONES'!AD33</f>
        <v>2758353.2199999988</v>
      </c>
      <c r="AE33" s="35">
        <f>'TOTAL ESTACIONES'!AE33</f>
        <v>2995235.2799999975</v>
      </c>
      <c r="AF33" s="35">
        <f>'TOTAL ESTACIONES'!AF33</f>
        <v>3062857.0133333318</v>
      </c>
      <c r="AG33" s="35">
        <f>'TOTAL ESTACIONES'!AG33</f>
        <v>3052880.2666666657</v>
      </c>
      <c r="AH33" s="35">
        <f>'TOTAL ESTACIONES'!AH33</f>
        <v>3299657.1000000015</v>
      </c>
      <c r="AI33" s="35">
        <f>'TOTAL ESTACIONES'!AI33</f>
        <v>3108971.5300000012</v>
      </c>
      <c r="AJ33" s="35">
        <f>'TOTAL ESTACIONES'!AJ33</f>
        <v>3056344.3300000094</v>
      </c>
      <c r="AK33" s="35">
        <f>'TOTAL ESTACIONES'!AK33</f>
        <v>35419647.896666646</v>
      </c>
      <c r="AL33" s="73">
        <f>'TOTAL ESTACIONES'!AL33</f>
        <v>9.8717193455001226E-2</v>
      </c>
      <c r="AM33" s="34">
        <f>'TOTAL ESTACIONES'!AM33</f>
        <v>5.205969609236516E-2</v>
      </c>
      <c r="AN33" s="90"/>
      <c r="AO33" s="238">
        <v>201847663.03813493</v>
      </c>
      <c r="AP33" s="73">
        <v>4.5795303153361937E-2</v>
      </c>
      <c r="AQ33" s="229">
        <v>0.11498404798752948</v>
      </c>
      <c r="AR33" s="9">
        <f>+AK33-V33</f>
        <v>1752691.5174565911</v>
      </c>
    </row>
    <row r="34" spans="1:45" ht="15" hidden="1" customHeight="1" outlineLevel="1">
      <c r="I34" s="31" t="s">
        <v>401</v>
      </c>
      <c r="J34" s="30">
        <f>'TOTAL ESTACIONES'!J34</f>
        <v>1583804</v>
      </c>
      <c r="K34" s="30">
        <f>'TOTAL ESTACIONES'!K34</f>
        <v>1768980</v>
      </c>
      <c r="L34" s="30">
        <f>'TOTAL ESTACIONES'!L34</f>
        <v>1858476</v>
      </c>
      <c r="M34" s="30">
        <f>'TOTAL ESTACIONES'!M34</f>
        <v>1817025</v>
      </c>
      <c r="N34" s="30">
        <f>'TOTAL ESTACIONES'!N34</f>
        <v>1788723</v>
      </c>
      <c r="O34" s="30">
        <f>'TOTAL ESTACIONES'!O34</f>
        <v>1730298</v>
      </c>
      <c r="P34" s="30">
        <f>'TOTAL ESTACIONES'!P34</f>
        <v>1786554</v>
      </c>
      <c r="Q34" s="30">
        <f>'TOTAL ESTACIONES'!Q34</f>
        <v>1833363</v>
      </c>
      <c r="R34" s="30">
        <f>'TOTAL ESTACIONES'!R34</f>
        <v>1783405</v>
      </c>
      <c r="S34" s="30">
        <f>'TOTAL ESTACIONES'!S34</f>
        <v>1801107.3333333333</v>
      </c>
      <c r="T34" s="30">
        <f>'TOTAL ESTACIONES'!T34</f>
        <v>1805958.4444444443</v>
      </c>
      <c r="U34" s="30">
        <f>'TOTAL ESTACIONES'!U34</f>
        <v>1796823.5925925924</v>
      </c>
      <c r="V34" s="32">
        <f>'TOTAL ESTACIONES'!V34</f>
        <v>21354517.370370369</v>
      </c>
      <c r="W34" s="74">
        <f>'TOTAL ESTACIONES'!W34</f>
        <v>1.3654701946940657</v>
      </c>
      <c r="X34" s="90">
        <f>'TOTAL ESTACIONES'!X34</f>
        <v>0</v>
      </c>
      <c r="Y34" s="30">
        <f>'TOTAL ESTACIONES'!Y34</f>
        <v>1800949.8233333332</v>
      </c>
      <c r="Z34" s="30">
        <f>'TOTAL ESTACIONES'!Z34</f>
        <v>1631789.5466666666</v>
      </c>
      <c r="AA34" s="30">
        <f>'TOTAL ESTACIONES'!AA34</f>
        <v>1930782.9066666672</v>
      </c>
      <c r="AB34" s="30">
        <f>'TOTAL ESTACIONES'!AB34</f>
        <v>1751684.8966666665</v>
      </c>
      <c r="AC34" s="30">
        <f>'TOTAL ESTACIONES'!AC34</f>
        <v>1775286.4933333332</v>
      </c>
      <c r="AD34" s="30">
        <f>'TOTAL ESTACIONES'!AD34</f>
        <v>1774113.0700000005</v>
      </c>
      <c r="AE34" s="30">
        <f>'TOTAL ESTACIONES'!AE34</f>
        <v>1885219.06</v>
      </c>
      <c r="AF34" s="30">
        <f>'TOTAL ESTACIONES'!AF34</f>
        <v>1927955.5333333332</v>
      </c>
      <c r="AG34" s="30">
        <f>'TOTAL ESTACIONES'!AG34</f>
        <v>1919483.6666666665</v>
      </c>
      <c r="AH34" s="30">
        <f>'TOTAL ESTACIONES'!AH34</f>
        <v>2095008.21</v>
      </c>
      <c r="AI34" s="30">
        <f>'TOTAL ESTACIONES'!AI34</f>
        <v>1986504.6599999997</v>
      </c>
      <c r="AJ34" s="30">
        <f>'TOTAL ESTACIONES'!AJ34</f>
        <v>1956077.5499999998</v>
      </c>
      <c r="AK34" s="30">
        <f>'TOTAL ESTACIONES'!AK34</f>
        <v>22434855.416666668</v>
      </c>
      <c r="AL34" s="74">
        <f>'TOTAL ESTACIONES'!AL34</f>
        <v>1.3680143569971974</v>
      </c>
      <c r="AM34" s="29">
        <f>'TOTAL ESTACIONES'!AM34</f>
        <v>5.0590609357216376E-2</v>
      </c>
      <c r="AN34" s="90"/>
      <c r="AO34" s="238">
        <v>17513400.102549024</v>
      </c>
      <c r="AP34" s="73">
        <v>3.9734493571561705E-3</v>
      </c>
      <c r="AQ34" s="229">
        <v>0.21609610089949771</v>
      </c>
    </row>
    <row r="35" spans="1:45" ht="15" hidden="1" customHeight="1" outlineLevel="1">
      <c r="I35" s="31" t="s">
        <v>402</v>
      </c>
      <c r="J35" s="30">
        <f>'TOTAL ESTACIONES'!J35</f>
        <v>687232</v>
      </c>
      <c r="K35" s="30">
        <f>'TOTAL ESTACIONES'!K35</f>
        <v>639721</v>
      </c>
      <c r="L35" s="30">
        <f>'TOTAL ESTACIONES'!L35</f>
        <v>793954</v>
      </c>
      <c r="M35" s="30">
        <f>'TOTAL ESTACIONES'!M35</f>
        <v>752348</v>
      </c>
      <c r="N35" s="30">
        <f>'TOTAL ESTACIONES'!N35</f>
        <v>1021198</v>
      </c>
      <c r="O35" s="30">
        <f>'TOTAL ESTACIONES'!O35</f>
        <v>843354</v>
      </c>
      <c r="P35" s="30">
        <f>'TOTAL ESTACIONES'!P35</f>
        <v>710352</v>
      </c>
      <c r="Q35" s="30">
        <f>'TOTAL ESTACIONES'!Q35</f>
        <v>674069</v>
      </c>
      <c r="R35" s="30">
        <f>'TOTAL ESTACIONES'!R35</f>
        <v>742591.66666666663</v>
      </c>
      <c r="S35" s="30">
        <f>'TOTAL ESTACIONES'!S35</f>
        <v>709004.22222222213</v>
      </c>
      <c r="T35" s="30">
        <f>'TOTAL ESTACIONES'!T35</f>
        <v>708554.9629629628</v>
      </c>
      <c r="U35" s="30">
        <f>'TOTAL ESTACIONES'!U35</f>
        <v>720050.28395061719</v>
      </c>
      <c r="V35" s="32">
        <f>'TOTAL ESTACIONES'!V35</f>
        <v>9002429.1358024683</v>
      </c>
      <c r="W35" s="74">
        <f>'TOTAL ESTACIONES'!W35</f>
        <v>0.57564160554805022</v>
      </c>
      <c r="X35" s="90">
        <f>'TOTAL ESTACIONES'!X35</f>
        <v>0</v>
      </c>
      <c r="Y35" s="30">
        <f>'TOTAL ESTACIONES'!Y35</f>
        <v>750729.54</v>
      </c>
      <c r="Z35" s="30">
        <f>'TOTAL ESTACIONES'!Z35</f>
        <v>701346.35000000009</v>
      </c>
      <c r="AA35" s="30">
        <f>'TOTAL ESTACIONES'!AA35</f>
        <v>858693.28</v>
      </c>
      <c r="AB35" s="30">
        <f>'TOTAL ESTACIONES'!AB35</f>
        <v>742768.39999999991</v>
      </c>
      <c r="AC35" s="30">
        <f>'TOTAL ESTACIONES'!AC35</f>
        <v>923967.28</v>
      </c>
      <c r="AD35" s="30">
        <f>'TOTAL ESTACIONES'!AD35</f>
        <v>725527.35</v>
      </c>
      <c r="AE35" s="30">
        <f>'TOTAL ESTACIONES'!AE35</f>
        <v>812372.37</v>
      </c>
      <c r="AF35" s="30">
        <f>'TOTAL ESTACIONES'!AF35</f>
        <v>885391.9</v>
      </c>
      <c r="AG35" s="30">
        <f>'TOTAL ESTACIONES'!AG35</f>
        <v>850695.44</v>
      </c>
      <c r="AH35" s="30">
        <f>'TOTAL ESTACIONES'!AH35</f>
        <v>895355.54</v>
      </c>
      <c r="AI35" s="30">
        <f>'TOTAL ESTACIONES'!AI35</f>
        <v>869569.48</v>
      </c>
      <c r="AJ35" s="30">
        <f>'TOTAL ESTACIONES'!AJ35</f>
        <v>854501.58000000007</v>
      </c>
      <c r="AK35" s="30">
        <f>'TOTAL ESTACIONES'!AK35</f>
        <v>9870918.5099999998</v>
      </c>
      <c r="AL35" s="74">
        <f>'TOTAL ESTACIONES'!AL35</f>
        <v>0.60190083633869562</v>
      </c>
      <c r="AM35" s="29">
        <f>'TOTAL ESTACIONES'!AM35</f>
        <v>9.6472780967924221E-2</v>
      </c>
      <c r="AN35" s="90"/>
      <c r="AO35" s="238">
        <v>26575181.666993298</v>
      </c>
      <c r="AP35" s="73">
        <v>6.0293910886929317E-3</v>
      </c>
      <c r="AQ35" s="230">
        <v>0.26135798506195496</v>
      </c>
    </row>
    <row r="36" spans="1:45" ht="15" hidden="1" outlineLevel="1">
      <c r="I36" s="31" t="s">
        <v>403</v>
      </c>
      <c r="J36" s="30">
        <f>'TOTAL ESTACIONES'!J36</f>
        <v>143034</v>
      </c>
      <c r="K36" s="30">
        <f>'TOTAL ESTACIONES'!K36</f>
        <v>149243</v>
      </c>
      <c r="L36" s="30">
        <f>'TOTAL ESTACIONES'!L36</f>
        <v>149199</v>
      </c>
      <c r="M36" s="30">
        <f>'TOTAL ESTACIONES'!M36</f>
        <v>338891</v>
      </c>
      <c r="N36" s="30">
        <f>'TOTAL ESTACIONES'!N36</f>
        <v>322767</v>
      </c>
      <c r="O36" s="30">
        <f>'TOTAL ESTACIONES'!O36</f>
        <v>332192</v>
      </c>
      <c r="P36" s="30">
        <f>'TOTAL ESTACIONES'!P36</f>
        <v>284840</v>
      </c>
      <c r="Q36" s="30">
        <f>'TOTAL ESTACIONES'!Q36</f>
        <v>292173</v>
      </c>
      <c r="R36" s="30">
        <f>'TOTAL ESTACIONES'!R36</f>
        <v>303068.33333333331</v>
      </c>
      <c r="S36" s="30">
        <f>'TOTAL ESTACIONES'!S36</f>
        <v>293360.44444444444</v>
      </c>
      <c r="T36" s="30">
        <f>'TOTAL ESTACIONES'!T36</f>
        <v>296200.59259259258</v>
      </c>
      <c r="U36" s="30">
        <f>'TOTAL ESTACIONES'!U36</f>
        <v>297543.12345679011</v>
      </c>
      <c r="V36" s="32">
        <f>'TOTAL ESTACIONES'!V36</f>
        <v>3202511.4938271604</v>
      </c>
      <c r="W36" s="74">
        <f>'TOTAL ESTACIONES'!W36</f>
        <v>0.20477793607518616</v>
      </c>
      <c r="X36" s="90">
        <f>'TOTAL ESTACIONES'!X36</f>
        <v>0</v>
      </c>
      <c r="Y36" s="30">
        <f>'TOTAL ESTACIONES'!Y36</f>
        <v>199248</v>
      </c>
      <c r="Z36" s="30">
        <f>'TOTAL ESTACIONES'!Z36</f>
        <v>219927.33</v>
      </c>
      <c r="AA36" s="30">
        <f>'TOTAL ESTACIONES'!AA36</f>
        <v>257830.37</v>
      </c>
      <c r="AB36" s="30">
        <f>'TOTAL ESTACIONES'!AB36</f>
        <v>276233.46000000002</v>
      </c>
      <c r="AC36" s="30">
        <f>'TOTAL ESTACIONES'!AC36</f>
        <v>223098.48</v>
      </c>
      <c r="AD36" s="30">
        <f>'TOTAL ESTACIONES'!AD36</f>
        <v>250315.80000000002</v>
      </c>
      <c r="AE36" s="30">
        <f>'TOTAL ESTACIONES'!AE36</f>
        <v>289255.84999999998</v>
      </c>
      <c r="AF36" s="30">
        <f>'TOTAL ESTACIONES'!AF36</f>
        <v>240914.58</v>
      </c>
      <c r="AG36" s="30">
        <f>'TOTAL ESTACIONES'!AG36</f>
        <v>273566.16000000003</v>
      </c>
      <c r="AH36" s="30">
        <f>'TOTAL ESTACIONES'!AH36</f>
        <v>300761.34999999998</v>
      </c>
      <c r="AI36" s="30">
        <f>'TOTAL ESTACIONES'!AI36</f>
        <v>244293.38999999998</v>
      </c>
      <c r="AJ36" s="30">
        <f>'TOTAL ESTACIONES'!AJ36</f>
        <v>236783.19999999998</v>
      </c>
      <c r="AK36" s="30">
        <f>'TOTAL ESTACIONES'!AK36</f>
        <v>3012227.9700000007</v>
      </c>
      <c r="AL36" s="74">
        <f>'TOTAL ESTACIONES'!AL36</f>
        <v>0.18367718592236781</v>
      </c>
      <c r="AM36" s="29">
        <f>'TOTAL ESTACIONES'!AM36</f>
        <v>-5.9416968274409343E-2</v>
      </c>
      <c r="AN36" s="90"/>
      <c r="AO36" s="241">
        <v>2.645988602038766</v>
      </c>
      <c r="AP36" s="74"/>
      <c r="AQ36" s="16">
        <v>2.9597448259182535E-2</v>
      </c>
    </row>
    <row r="37" spans="1:45" ht="15" hidden="1" outlineLevel="1">
      <c r="I37" s="31" t="s">
        <v>149</v>
      </c>
      <c r="J37" s="30">
        <f>'TOTAL ESTACIONES'!J37</f>
        <v>20901</v>
      </c>
      <c r="K37" s="30">
        <f>'TOTAL ESTACIONES'!K37</f>
        <v>17524</v>
      </c>
      <c r="L37" s="30">
        <f>'TOTAL ESTACIONES'!L37</f>
        <v>14837</v>
      </c>
      <c r="M37" s="30">
        <f>'TOTAL ESTACIONES'!M37</f>
        <v>12910</v>
      </c>
      <c r="N37" s="30">
        <f>'TOTAL ESTACIONES'!N37</f>
        <v>30226</v>
      </c>
      <c r="O37" s="30">
        <f>'TOTAL ESTACIONES'!O37</f>
        <v>16552</v>
      </c>
      <c r="P37" s="30">
        <f>'TOTAL ESTACIONES'!P37</f>
        <v>12763</v>
      </c>
      <c r="Q37" s="30">
        <f>'TOTAL ESTACIONES'!Q37</f>
        <v>19765</v>
      </c>
      <c r="R37" s="30">
        <f>'TOTAL ESTACIONES'!R37</f>
        <v>16360</v>
      </c>
      <c r="S37" s="30">
        <f>'TOTAL ESTACIONES'!S37</f>
        <v>16296</v>
      </c>
      <c r="T37" s="30">
        <f>'TOTAL ESTACIONES'!T37</f>
        <v>17473.666666666668</v>
      </c>
      <c r="U37" s="30">
        <f>'TOTAL ESTACIONES'!U37</f>
        <v>16709.888888888891</v>
      </c>
      <c r="V37" s="32">
        <f>'TOTAL ESTACIONES'!V37</f>
        <v>212317.55555555556</v>
      </c>
      <c r="W37" s="74">
        <f>'TOTAL ESTACIONES'!W37</f>
        <v>1.3576204457969651E-2</v>
      </c>
      <c r="X37" s="90">
        <f>'TOTAL ESTACIONES'!X37</f>
        <v>0</v>
      </c>
      <c r="Y37" s="30">
        <f>'TOTAL ESTACIONES'!Y37</f>
        <v>0</v>
      </c>
      <c r="Z37" s="30">
        <f>'TOTAL ESTACIONES'!Z37</f>
        <v>0</v>
      </c>
      <c r="AA37" s="30">
        <f>'TOTAL ESTACIONES'!AA37</f>
        <v>0</v>
      </c>
      <c r="AB37" s="30">
        <f>'TOTAL ESTACIONES'!AB37</f>
        <v>0</v>
      </c>
      <c r="AC37" s="30">
        <f>'TOTAL ESTACIONES'!AC37</f>
        <v>0</v>
      </c>
      <c r="AD37" s="30">
        <f>'TOTAL ESTACIONES'!AD37</f>
        <v>0</v>
      </c>
      <c r="AE37" s="30">
        <f>'TOTAL ESTACIONES'!AE37</f>
        <v>0</v>
      </c>
      <c r="AF37" s="30">
        <f>'TOTAL ESTACIONES'!AF37</f>
        <v>0</v>
      </c>
      <c r="AG37" s="30">
        <f>'TOTAL ESTACIONES'!AG37</f>
        <v>0</v>
      </c>
      <c r="AH37" s="30">
        <f>'TOTAL ESTACIONES'!AH37</f>
        <v>0</v>
      </c>
      <c r="AI37" s="30">
        <f>'TOTAL ESTACIONES'!AI37</f>
        <v>0</v>
      </c>
      <c r="AJ37" s="30">
        <f>'TOTAL ESTACIONES'!AJ37</f>
        <v>0</v>
      </c>
      <c r="AK37" s="30">
        <f>'TOTAL ESTACIONES'!AK37</f>
        <v>0</v>
      </c>
      <c r="AL37" s="74">
        <f>'TOTAL ESTACIONES'!AL37</f>
        <v>0</v>
      </c>
      <c r="AM37" s="29">
        <f>'TOTAL ESTACIONES'!AM37</f>
        <v>-1</v>
      </c>
      <c r="AN37" s="90"/>
      <c r="AO37" s="241"/>
      <c r="AP37" s="74"/>
      <c r="AQ37" s="16"/>
    </row>
    <row r="38" spans="1:45" ht="15" hidden="1" customHeight="1" outlineLevel="1">
      <c r="I38" s="31" t="s">
        <v>150</v>
      </c>
      <c r="J38" s="30">
        <f>'TOTAL ESTACIONES'!J38</f>
        <v>0</v>
      </c>
      <c r="K38" s="30">
        <f>'TOTAL ESTACIONES'!K38</f>
        <v>0</v>
      </c>
      <c r="L38" s="30">
        <f>'TOTAL ESTACIONES'!L38</f>
        <v>0</v>
      </c>
      <c r="M38" s="30">
        <f>'TOTAL ESTACIONES'!M38</f>
        <v>0</v>
      </c>
      <c r="N38" s="30">
        <f>'TOTAL ESTACIONES'!N38</f>
        <v>0</v>
      </c>
      <c r="O38" s="30">
        <f>'TOTAL ESTACIONES'!O38</f>
        <v>0</v>
      </c>
      <c r="P38" s="30">
        <f>'TOTAL ESTACIONES'!P38</f>
        <v>0</v>
      </c>
      <c r="Q38" s="30">
        <f>'TOTAL ESTACIONES'!Q38</f>
        <v>0</v>
      </c>
      <c r="R38" s="30">
        <f>'TOTAL ESTACIONES'!R38</f>
        <v>0</v>
      </c>
      <c r="S38" s="30">
        <f>'TOTAL ESTACIONES'!S38</f>
        <v>0</v>
      </c>
      <c r="T38" s="30">
        <f>'TOTAL ESTACIONES'!T38</f>
        <v>0</v>
      </c>
      <c r="U38" s="30">
        <f>'TOTAL ESTACIONES'!U38</f>
        <v>0</v>
      </c>
      <c r="V38" s="32">
        <f>'TOTAL ESTACIONES'!V38</f>
        <v>0</v>
      </c>
      <c r="W38" s="74">
        <f>'TOTAL ESTACIONES'!W38</f>
        <v>0</v>
      </c>
      <c r="X38" s="90">
        <f>'TOTAL ESTACIONES'!X38</f>
        <v>0</v>
      </c>
      <c r="Y38" s="30">
        <f>'TOTAL ESTACIONES'!Y38</f>
        <v>7992</v>
      </c>
      <c r="Z38" s="30">
        <f>'TOTAL ESTACIONES'!Z38</f>
        <v>8091</v>
      </c>
      <c r="AA38" s="30">
        <f>'TOTAL ESTACIONES'!AA38</f>
        <v>8343</v>
      </c>
      <c r="AB38" s="30">
        <f>'TOTAL ESTACIONES'!AB38</f>
        <v>8100</v>
      </c>
      <c r="AC38" s="30">
        <f>'TOTAL ESTACIONES'!AC38</f>
        <v>8487</v>
      </c>
      <c r="AD38" s="30">
        <f>'TOTAL ESTACIONES'!AD38</f>
        <v>8397</v>
      </c>
      <c r="AE38" s="30">
        <f>'TOTAL ESTACIONES'!AE38</f>
        <v>8388</v>
      </c>
      <c r="AF38" s="30">
        <f>'TOTAL ESTACIONES'!AF38</f>
        <v>8595</v>
      </c>
      <c r="AG38" s="30">
        <f>'TOTAL ESTACIONES'!AG38</f>
        <v>9135</v>
      </c>
      <c r="AH38" s="30">
        <f>'TOTAL ESTACIONES'!AH38</f>
        <v>8532</v>
      </c>
      <c r="AI38" s="30">
        <f>'TOTAL ESTACIONES'!AI38</f>
        <v>8604</v>
      </c>
      <c r="AJ38" s="30">
        <f>'TOTAL ESTACIONES'!AJ38</f>
        <v>8982</v>
      </c>
      <c r="AK38" s="30">
        <f>'TOTAL ESTACIONES'!AK38</f>
        <v>101646</v>
      </c>
      <c r="AL38" s="74">
        <f>'TOTAL ESTACIONES'!AL38</f>
        <v>6.1980870724950461E-3</v>
      </c>
      <c r="AM38" s="29">
        <f>'TOTAL ESTACIONES'!AM38</f>
        <v>0</v>
      </c>
      <c r="AN38" s="90"/>
      <c r="AO38" s="238">
        <v>2.6923148660475484</v>
      </c>
      <c r="AP38" s="74">
        <v>6.1083380218108546E-10</v>
      </c>
      <c r="AQ38" s="29">
        <v>3.6930089944017697E-2</v>
      </c>
    </row>
    <row r="39" spans="1:45" ht="15" customHeight="1" collapsed="1">
      <c r="I39" s="18" t="s">
        <v>151</v>
      </c>
      <c r="J39" s="33">
        <f>'TOTAL ESTACIONES'!J39</f>
        <v>1223164</v>
      </c>
      <c r="K39" s="33">
        <f>'TOTAL ESTACIONES'!K39</f>
        <v>1160892</v>
      </c>
      <c r="L39" s="33">
        <f>'TOTAL ESTACIONES'!L39</f>
        <v>1313320</v>
      </c>
      <c r="M39" s="33">
        <f>'TOTAL ESTACIONES'!M39</f>
        <v>1240762</v>
      </c>
      <c r="N39" s="33">
        <f>'TOTAL ESTACIONES'!N39</f>
        <v>1272351</v>
      </c>
      <c r="O39" s="33">
        <f>'TOTAL ESTACIONES'!O39</f>
        <v>1247404</v>
      </c>
      <c r="P39" s="33">
        <f>'TOTAL ESTACIONES'!P39</f>
        <v>1302246</v>
      </c>
      <c r="Q39" s="33">
        <f>'TOTAL ESTACIONES'!Q39</f>
        <v>1316933</v>
      </c>
      <c r="R39" s="33">
        <f>'TOTAL ESTACIONES'!R39</f>
        <v>1347758</v>
      </c>
      <c r="S39" s="33">
        <f>'TOTAL ESTACIONES'!S39</f>
        <v>1448553</v>
      </c>
      <c r="T39" s="33">
        <f>'TOTAL ESTACIONES'!T39</f>
        <v>1396419</v>
      </c>
      <c r="U39" s="33">
        <f>'TOTAL ESTACIONES'!U39</f>
        <v>1369146</v>
      </c>
      <c r="V39" s="33">
        <f>'TOTAL ESTACIONES'!V39</f>
        <v>15638948</v>
      </c>
      <c r="W39" s="74">
        <f>'TOTAL ESTACIONES'!W39</f>
        <v>1</v>
      </c>
      <c r="X39" s="90">
        <f>'TOTAL ESTACIONES'!X39</f>
        <v>0</v>
      </c>
      <c r="Y39" s="33">
        <f>'TOTAL ESTACIONES'!Y39</f>
        <v>1286437.6666666667</v>
      </c>
      <c r="Z39" s="33">
        <f>'TOTAL ESTACIONES'!Z39</f>
        <v>1223958.6666666667</v>
      </c>
      <c r="AA39" s="33">
        <f>'TOTAL ESTACIONES'!AA39</f>
        <v>1358263.666666667</v>
      </c>
      <c r="AB39" s="33">
        <f>'TOTAL ESTACIONES'!AB39</f>
        <v>1314350.6666666667</v>
      </c>
      <c r="AC39" s="33">
        <f>'TOTAL ESTACIONES'!AC39</f>
        <v>1339341.6666666667</v>
      </c>
      <c r="AD39" s="33">
        <f>'TOTAL ESTACIONES'!AD39</f>
        <v>1303945.666666667</v>
      </c>
      <c r="AE39" s="33">
        <f>'TOTAL ESTACIONES'!AE39</f>
        <v>1363676.6666666667</v>
      </c>
      <c r="AF39" s="33">
        <f>'TOTAL ESTACIONES'!AF39</f>
        <v>1402774.6666666667</v>
      </c>
      <c r="AG39" s="33">
        <f>'TOTAL ESTACIONES'!AG39</f>
        <v>1411850.6666666667</v>
      </c>
      <c r="AH39" s="33">
        <f>'TOTAL ESTACIONES'!AH39</f>
        <v>1498741.6666666665</v>
      </c>
      <c r="AI39" s="33">
        <f>'TOTAL ESTACIONES'!AI39</f>
        <v>1461452.6666666665</v>
      </c>
      <c r="AJ39" s="33">
        <f>'TOTAL ESTACIONES'!AJ39</f>
        <v>1434781.6666666665</v>
      </c>
      <c r="AK39" s="33">
        <f>'TOTAL ESTACIONES'!AK39</f>
        <v>16399575.999999998</v>
      </c>
      <c r="AL39" s="74">
        <f>'TOTAL ESTACIONES'!AL39</f>
        <v>1</v>
      </c>
      <c r="AM39" s="16">
        <f>'TOTAL ESTACIONES'!AM39</f>
        <v>4.8636775312508096E-2</v>
      </c>
      <c r="AN39" s="90"/>
      <c r="AO39" s="238">
        <v>2.4351103827317369</v>
      </c>
      <c r="AP39" s="74">
        <v>5.5247911474719595E-10</v>
      </c>
      <c r="AQ39" s="29">
        <v>0.11346523163001843</v>
      </c>
      <c r="AR39" s="298">
        <f>+AK39/12</f>
        <v>1366631.3333333333</v>
      </c>
      <c r="AS39" s="1" t="s">
        <v>404</v>
      </c>
    </row>
    <row r="40" spans="1:45" ht="15" hidden="1" customHeight="1" outlineLevel="1">
      <c r="I40" s="31" t="s">
        <v>405</v>
      </c>
      <c r="J40" s="30">
        <f>'TOTAL ESTACIONES'!J40</f>
        <v>1223164</v>
      </c>
      <c r="K40" s="30">
        <f>'TOTAL ESTACIONES'!K40</f>
        <v>830539</v>
      </c>
      <c r="L40" s="30">
        <f>'TOTAL ESTACIONES'!L40</f>
        <v>933279</v>
      </c>
      <c r="M40" s="30">
        <f>'TOTAL ESTACIONES'!M40</f>
        <v>873321</v>
      </c>
      <c r="N40" s="30">
        <f>'TOTAL ESTACIONES'!N40</f>
        <v>878218</v>
      </c>
      <c r="O40" s="30">
        <f>'TOTAL ESTACIONES'!O40</f>
        <v>887806</v>
      </c>
      <c r="P40" s="30">
        <f>'TOTAL ESTACIONES'!P40</f>
        <v>918225</v>
      </c>
      <c r="Q40" s="30">
        <f>'TOTAL ESTACIONES'!Q40</f>
        <v>931120</v>
      </c>
      <c r="R40" s="30">
        <f>'TOTAL ESTACIONES'!R40</f>
        <v>952306</v>
      </c>
      <c r="S40" s="30">
        <f>'TOTAL ESTACIONES'!S40</f>
        <v>1001030</v>
      </c>
      <c r="T40" s="30">
        <f>'TOTAL ESTACIONES'!T40</f>
        <v>995817</v>
      </c>
      <c r="U40" s="30">
        <f>'TOTAL ESTACIONES'!U40</f>
        <v>979221</v>
      </c>
      <c r="V40" s="32">
        <f>'TOTAL ESTACIONES'!V40</f>
        <v>11404046</v>
      </c>
      <c r="W40" s="74">
        <f>'TOTAL ESTACIONES'!W40</f>
        <v>0.72920800043583489</v>
      </c>
      <c r="X40" s="90">
        <f>'TOTAL ESTACIONES'!X40</f>
        <v>0</v>
      </c>
      <c r="Y40" s="30">
        <f>'TOTAL ESTACIONES'!Y40</f>
        <v>942905.66666666674</v>
      </c>
      <c r="Z40" s="30">
        <f>'TOTAL ESTACIONES'!Z40</f>
        <v>886006.66666666674</v>
      </c>
      <c r="AA40" s="30">
        <f>'TOTAL ESTACIONES'!AA40</f>
        <v>970242.66666666698</v>
      </c>
      <c r="AB40" s="30">
        <f>'TOTAL ESTACIONES'!AB40</f>
        <v>935885.66666666674</v>
      </c>
      <c r="AC40" s="30">
        <f>'TOTAL ESTACIONES'!AC40</f>
        <v>934172.66666666674</v>
      </c>
      <c r="AD40" s="30">
        <f>'TOTAL ESTACIONES'!AD40</f>
        <v>933917.66666666698</v>
      </c>
      <c r="AE40" s="30">
        <f>'TOTAL ESTACIONES'!AE40</f>
        <v>968135.66666666674</v>
      </c>
      <c r="AF40" s="30">
        <f>'TOTAL ESTACIONES'!AF40</f>
        <v>996901.66666666674</v>
      </c>
      <c r="AG40" s="30">
        <f>'TOTAL ESTACIONES'!AG40</f>
        <v>1002560.6666666667</v>
      </c>
      <c r="AH40" s="30">
        <f>'TOTAL ESTACIONES'!AH40</f>
        <v>1065834.6666666665</v>
      </c>
      <c r="AI40" s="30">
        <f>'TOTAL ESTACIONES'!AI40</f>
        <v>1051060.6666666665</v>
      </c>
      <c r="AJ40" s="30">
        <f>'TOTAL ESTACIONES'!AJ40</f>
        <v>1034961.6666666666</v>
      </c>
      <c r="AK40" s="32">
        <f>'TOTAL ESTACIONES'!AK40</f>
        <v>11722586</v>
      </c>
      <c r="AL40" s="74">
        <f>'TOTAL ESTACIONES'!AL40</f>
        <v>0.71481030972995896</v>
      </c>
      <c r="AM40" s="29">
        <f>'TOTAL ESTACIONES'!AM40</f>
        <v>2.7932191785266403E-2</v>
      </c>
      <c r="AN40" s="90"/>
      <c r="AO40" s="238">
        <v>2.4330962285935565</v>
      </c>
      <c r="AP40" s="74">
        <v>5.520221424049492E-10</v>
      </c>
      <c r="AQ40" s="29">
        <v>0.1130793900210143</v>
      </c>
    </row>
    <row r="41" spans="1:45" hidden="1" outlineLevel="1">
      <c r="I41" s="31" t="s">
        <v>406</v>
      </c>
      <c r="J41" s="30">
        <f>'TOTAL ESTACIONES'!J41</f>
        <v>887027</v>
      </c>
      <c r="K41" s="30">
        <f>'TOTAL ESTACIONES'!K41</f>
        <v>231283</v>
      </c>
      <c r="L41" s="30">
        <f>'TOTAL ESTACIONES'!L41</f>
        <v>266800</v>
      </c>
      <c r="M41" s="30">
        <f>'TOTAL ESTACIONES'!M41</f>
        <v>244981</v>
      </c>
      <c r="N41" s="30">
        <f>'TOTAL ESTACIONES'!N41</f>
        <v>284526</v>
      </c>
      <c r="O41" s="30">
        <f>'TOTAL ESTACIONES'!O41</f>
        <v>245926</v>
      </c>
      <c r="P41" s="30">
        <f>'TOTAL ESTACIONES'!P41</f>
        <v>256948</v>
      </c>
      <c r="Q41" s="30">
        <f>'TOTAL ESTACIONES'!Q41</f>
        <v>271880</v>
      </c>
      <c r="R41" s="30">
        <f>'TOTAL ESTACIONES'!R41</f>
        <v>273083</v>
      </c>
      <c r="S41" s="30">
        <f>'TOTAL ESTACIONES'!S41</f>
        <v>297273</v>
      </c>
      <c r="T41" s="30">
        <f>'TOTAL ESTACIONES'!T41</f>
        <v>280714</v>
      </c>
      <c r="U41" s="30">
        <f>'TOTAL ESTACIONES'!U41</f>
        <v>276035</v>
      </c>
      <c r="V41" s="32">
        <f>'TOTAL ESTACIONES'!V41</f>
        <v>3816476</v>
      </c>
      <c r="W41" s="74">
        <f>'TOTAL ESTACIONES'!W41</f>
        <v>0.24403661934293791</v>
      </c>
      <c r="X41" s="90">
        <f>'TOTAL ESTACIONES'!X41</f>
        <v>0</v>
      </c>
      <c r="Y41" s="30">
        <f>'TOTAL ESTACIONES'!Y41</f>
        <v>248652</v>
      </c>
      <c r="Z41" s="30">
        <f>'TOTAL ESTACIONES'!Z41</f>
        <v>236603</v>
      </c>
      <c r="AA41" s="30">
        <f>'TOTAL ESTACIONES'!AA41</f>
        <v>272402</v>
      </c>
      <c r="AB41" s="30">
        <f>'TOTAL ESTACIONES'!AB41</f>
        <v>252331</v>
      </c>
      <c r="AC41" s="30">
        <f>'TOTAL ESTACIONES'!AC41</f>
        <v>292493</v>
      </c>
      <c r="AD41" s="30">
        <f>'TOTAL ESTACIONES'!AD41</f>
        <v>253058</v>
      </c>
      <c r="AE41" s="30">
        <f>'TOTAL ESTACIONES'!AE41</f>
        <v>264656</v>
      </c>
      <c r="AF41" s="30">
        <f>'TOTAL ESTACIONES'!AF41</f>
        <v>286015</v>
      </c>
      <c r="AG41" s="30">
        <f>'TOTAL ESTACIONES'!AG41</f>
        <v>282639</v>
      </c>
      <c r="AH41" s="30">
        <f>'TOTAL ESTACIONES'!AH41</f>
        <v>293018</v>
      </c>
      <c r="AI41" s="30">
        <f>'TOTAL ESTACIONES'!AI41</f>
        <v>288853</v>
      </c>
      <c r="AJ41" s="30">
        <f>'TOTAL ESTACIONES'!AJ41</f>
        <v>284316</v>
      </c>
      <c r="AK41" s="32">
        <f>'TOTAL ESTACIONES'!AK41</f>
        <v>3255036</v>
      </c>
      <c r="AL41" s="74">
        <f>'TOTAL ESTACIONES'!AL41</f>
        <v>0.19848293638811151</v>
      </c>
      <c r="AM41" s="29">
        <f>'TOTAL ESTACIONES'!AM41</f>
        <v>-0.14710953245873948</v>
      </c>
      <c r="AN41" s="89"/>
      <c r="AO41" s="3"/>
      <c r="AP41" s="75"/>
      <c r="AQ41" s="13"/>
    </row>
    <row r="42" spans="1:45" hidden="1" outlineLevel="1">
      <c r="A42" s="21"/>
      <c r="B42" s="21"/>
      <c r="C42" s="21"/>
      <c r="D42" s="21"/>
      <c r="E42" s="187" t="s">
        <v>108</v>
      </c>
      <c r="I42" s="31" t="s">
        <v>148</v>
      </c>
      <c r="J42" s="30">
        <f>'TOTAL ESTACIONES'!J42</f>
        <v>243300</v>
      </c>
      <c r="K42" s="30">
        <f>'TOTAL ESTACIONES'!K42</f>
        <v>99070</v>
      </c>
      <c r="L42" s="30">
        <f>'TOTAL ESTACIONES'!L42</f>
        <v>113241</v>
      </c>
      <c r="M42" s="30">
        <f>'TOTAL ESTACIONES'!M42</f>
        <v>122460</v>
      </c>
      <c r="N42" s="30">
        <f>'TOTAL ESTACIONES'!N42</f>
        <v>109607</v>
      </c>
      <c r="O42" s="30">
        <f>'TOTAL ESTACIONES'!O42</f>
        <v>113673</v>
      </c>
      <c r="P42" s="30">
        <f>'TOTAL ESTACIONES'!P42</f>
        <v>127073</v>
      </c>
      <c r="Q42" s="30">
        <f>'TOTAL ESTACIONES'!Q42</f>
        <v>113934</v>
      </c>
      <c r="R42" s="30">
        <f>'TOTAL ESTACIONES'!R42</f>
        <v>122369</v>
      </c>
      <c r="S42" s="30">
        <f>'TOTAL ESTACIONES'!S42</f>
        <v>150249</v>
      </c>
      <c r="T42" s="30">
        <f>'TOTAL ESTACIONES'!T42</f>
        <v>119888</v>
      </c>
      <c r="U42" s="30">
        <f>'TOTAL ESTACIONES'!U42</f>
        <v>113890</v>
      </c>
      <c r="V42" s="32">
        <f>'TOTAL ESTACIONES'!V42</f>
        <v>1548754</v>
      </c>
      <c r="W42" s="74">
        <f>'TOTAL ESTACIONES'!W42</f>
        <v>9.903185303768515E-2</v>
      </c>
      <c r="X42" s="90">
        <f>'TOTAL ESTACIONES'!X42</f>
        <v>0</v>
      </c>
      <c r="Y42" s="30">
        <f>'TOTAL ESTACIONES'!Y42</f>
        <v>94880</v>
      </c>
      <c r="Z42" s="30">
        <f>'TOTAL ESTACIONES'!Z42</f>
        <v>101349</v>
      </c>
      <c r="AA42" s="30">
        <f>'TOTAL ESTACIONES'!AA42</f>
        <v>115619</v>
      </c>
      <c r="AB42" s="30">
        <f>'TOTAL ESTACIONES'!AB42</f>
        <v>126134</v>
      </c>
      <c r="AC42" s="30">
        <f>'TOTAL ESTACIONES'!AC42</f>
        <v>112676</v>
      </c>
      <c r="AD42" s="30">
        <f>'TOTAL ESTACIONES'!AD42</f>
        <v>116970</v>
      </c>
      <c r="AE42" s="30">
        <f>'TOTAL ESTACIONES'!AE42</f>
        <v>130885</v>
      </c>
      <c r="AF42" s="30">
        <f>'TOTAL ESTACIONES'!AF42</f>
        <v>119858</v>
      </c>
      <c r="AG42" s="30">
        <f>'TOTAL ESTACIONES'!AG42</f>
        <v>126651</v>
      </c>
      <c r="AH42" s="30">
        <f>'TOTAL ESTACIONES'!AH42</f>
        <v>139889</v>
      </c>
      <c r="AI42" s="30">
        <f>'TOTAL ESTACIONES'!AI42</f>
        <v>121539</v>
      </c>
      <c r="AJ42" s="30">
        <f>'TOTAL ESTACIONES'!AJ42</f>
        <v>115504</v>
      </c>
      <c r="AK42" s="32">
        <f>'TOTAL ESTACIONES'!AK42</f>
        <v>1421954</v>
      </c>
      <c r="AL42" s="74">
        <f>'TOTAL ESTACIONES'!AL42</f>
        <v>8.6706753881929638E-2</v>
      </c>
      <c r="AM42" s="29">
        <f>'TOTAL ESTACIONES'!AM42</f>
        <v>-8.1872266350885958E-2</v>
      </c>
      <c r="AN42" s="89"/>
      <c r="AO42" s="3"/>
      <c r="AP42" s="75"/>
      <c r="AQ42" s="173"/>
    </row>
    <row r="43" spans="1:45" ht="15" collapsed="1">
      <c r="A43" s="21"/>
      <c r="B43" s="21"/>
      <c r="C43" s="21"/>
      <c r="D43" s="21"/>
      <c r="E43" s="192"/>
      <c r="F43" s="21"/>
      <c r="G43" s="21"/>
      <c r="H43" s="21"/>
      <c r="I43" s="18" t="s">
        <v>407</v>
      </c>
      <c r="J43" s="17">
        <f>'TOTAL ESTACIONES'!J43</f>
        <v>1.9907134284527668</v>
      </c>
      <c r="K43" s="17">
        <f>'TOTAL ESTACIONES'!K43</f>
        <v>2.218525926615051</v>
      </c>
      <c r="L43" s="17">
        <f>'TOTAL ESTACIONES'!L43</f>
        <v>2.1445420765693051</v>
      </c>
      <c r="M43" s="17">
        <f>'TOTAL ESTACIONES'!M43</f>
        <v>2.354337898807346</v>
      </c>
      <c r="N43" s="17">
        <f>'TOTAL ESTACIONES'!N43</f>
        <v>2.4858832193317726</v>
      </c>
      <c r="O43" s="17">
        <f>'TOTAL ESTACIONES'!O43</f>
        <v>2.34277988526572</v>
      </c>
      <c r="P43" s="17">
        <f>'TOTAL ESTACIONES'!P43</f>
        <v>2.1459155950565409</v>
      </c>
      <c r="Q43" s="17">
        <f>'TOTAL ESTACIONES'!Q43</f>
        <v>2.1408583428314123</v>
      </c>
      <c r="R43" s="17">
        <f>'TOTAL ESTACIONES'!R43</f>
        <v>2.1112284252810967</v>
      </c>
      <c r="S43" s="17">
        <f>'TOTAL ESTACIONES'!S43</f>
        <v>1.9466101689064881</v>
      </c>
      <c r="T43" s="17">
        <f>'TOTAL ESTACIONES'!T43</f>
        <v>2.0253145128121766</v>
      </c>
      <c r="U43" s="17">
        <f>'TOTAL ESTACIONES'!U43</f>
        <v>2.0678049593607173</v>
      </c>
      <c r="V43" s="17">
        <f>'TOTAL ESTACIONES'!V43</f>
        <v>2.1527634965734301</v>
      </c>
      <c r="W43" s="74">
        <f>'TOTAL ESTACIONES'!W43</f>
        <v>1.3765398392356252E-7</v>
      </c>
      <c r="X43" s="90">
        <f>'TOTAL ESTACIONES'!X43</f>
        <v>0</v>
      </c>
      <c r="Y43" s="17">
        <f>'TOTAL ESTACIONES'!Y43</f>
        <v>2.1446195449811949</v>
      </c>
      <c r="Z43" s="17">
        <f>'TOTAL ESTACIONES'!Z43</f>
        <v>2.0925169259528338</v>
      </c>
      <c r="AA43" s="17">
        <f>'TOTAL ESTACIONES'!AA43</f>
        <v>2.2496733378472671</v>
      </c>
      <c r="AB43" s="17">
        <f>'TOTAL ESTACIONES'!AB43</f>
        <v>2.1141897875047024</v>
      </c>
      <c r="AC43" s="17">
        <f>'TOTAL ESTACIONES'!AC43</f>
        <v>2.1882685548248211</v>
      </c>
      <c r="AD43" s="17">
        <f>'TOTAL ESTACIONES'!AD43</f>
        <v>2.1153896903168499</v>
      </c>
      <c r="AE43" s="17">
        <f>'TOTAL ESTACIONES'!AE43</f>
        <v>2.1964409549673292</v>
      </c>
      <c r="AF43" s="17">
        <f>'TOTAL ESTACIONES'!AF43</f>
        <v>2.18342766383957</v>
      </c>
      <c r="AG43" s="17">
        <f>'TOTAL ESTACIONES'!AG43</f>
        <v>2.1623251939770771</v>
      </c>
      <c r="AH43" s="17">
        <f>'TOTAL ESTACIONES'!AH43</f>
        <v>2.201618313140469</v>
      </c>
      <c r="AI43" s="17">
        <f>'TOTAL ESTACIONES'!AI43</f>
        <v>2.1273159240189794</v>
      </c>
      <c r="AJ43" s="17">
        <f>'TOTAL ESTACIONES'!AJ43</f>
        <v>2.1301807801187009</v>
      </c>
      <c r="AK43" s="17">
        <f>'TOTAL ESTACIONES'!AK43</f>
        <v>2.1597904663307546</v>
      </c>
      <c r="AL43" s="74">
        <f>'TOTAL ESTACIONES'!AL43</f>
        <v>1.3169794550363709E-7</v>
      </c>
      <c r="AM43" s="16">
        <f>'TOTAL ESTACIONES'!AM43</f>
        <v>3.2641624444622597E-3</v>
      </c>
      <c r="AN43" s="89"/>
      <c r="AO43" s="3"/>
      <c r="AP43" s="75"/>
      <c r="AQ43" s="173"/>
    </row>
    <row r="44" spans="1:45" hidden="1" outlineLevel="1">
      <c r="A44" s="12" t="s">
        <v>154</v>
      </c>
      <c r="B44" s="19" t="s">
        <v>89</v>
      </c>
      <c r="I44" s="31" t="s">
        <v>405</v>
      </c>
      <c r="J44" s="30">
        <f>'TOTAL ESTACIONES'!J44</f>
        <v>1.3241993714661322</v>
      </c>
      <c r="K44" s="30">
        <f>'TOTAL ESTACIONES'!K44</f>
        <v>2.14439659064776</v>
      </c>
      <c r="L44" s="30">
        <f>'TOTAL ESTACIONES'!L44</f>
        <v>2.0049117145033799</v>
      </c>
      <c r="M44" s="30">
        <f>'TOTAL ESTACIONES'!M44</f>
        <v>1.9905097896420674</v>
      </c>
      <c r="N44" s="30">
        <f>'TOTAL ESTACIONES'!N44</f>
        <v>1.9462001462051564</v>
      </c>
      <c r="O44" s="30">
        <f>'TOTAL ESTACIONES'!O44</f>
        <v>1.8841638826500384</v>
      </c>
      <c r="P44" s="30">
        <f>'TOTAL ESTACIONES'!P44</f>
        <v>1.9361953769500939</v>
      </c>
      <c r="Q44" s="30">
        <f>'TOTAL ESTACIONES'!Q44</f>
        <v>1.9425895695506488</v>
      </c>
      <c r="R44" s="30">
        <f>'TOTAL ESTACIONES'!R44</f>
        <v>1.8727226332712386</v>
      </c>
      <c r="S44" s="30">
        <f>'TOTAL ESTACIONES'!S44</f>
        <v>1.7992541016086763</v>
      </c>
      <c r="T44" s="30">
        <f>'TOTAL ESTACIONES'!T44</f>
        <v>1.8135445010925142</v>
      </c>
      <c r="U44" s="30">
        <f>'TOTAL ESTACIONES'!U44</f>
        <v>1.8349520614780446</v>
      </c>
      <c r="V44" s="30">
        <f>'TOTAL ESTACIONES'!V44</f>
        <v>1.8725386911250945</v>
      </c>
      <c r="W44" s="74">
        <f>'TOTAL ESTACIONES'!W44</f>
        <v>1.1973559162196169E-7</v>
      </c>
      <c r="X44" s="90">
        <f>'TOTAL ESTACIONES'!X44</f>
        <v>0</v>
      </c>
      <c r="Y44" s="30">
        <f>'TOTAL ESTACIONES'!Y44</f>
        <v>1.9100000000000008</v>
      </c>
      <c r="Z44" s="30">
        <f>'TOTAL ESTACIONES'!Z44</f>
        <v>1.8417350659513474</v>
      </c>
      <c r="AA44" s="30">
        <f>'TOTAL ESTACIONES'!AA44</f>
        <v>1.9899999999999989</v>
      </c>
      <c r="AB44" s="30">
        <f>'TOTAL ESTACIONES'!AB44</f>
        <v>1.8716868513497174</v>
      </c>
      <c r="AC44" s="30">
        <f>'TOTAL ESTACIONES'!AC44</f>
        <v>1.9003836835303096</v>
      </c>
      <c r="AD44" s="30">
        <f>'TOTAL ESTACIONES'!AD44</f>
        <v>1.8996461179839905</v>
      </c>
      <c r="AE44" s="30">
        <f>'TOTAL ESTACIONES'!AE44</f>
        <v>1.9472674387577207</v>
      </c>
      <c r="AF44" s="30">
        <f>'TOTAL ESTACIONES'!AF44</f>
        <v>1.9339475474846211</v>
      </c>
      <c r="AG44" s="30">
        <f>'TOTAL ESTACIONES'!AG44</f>
        <v>1.9145810627586306</v>
      </c>
      <c r="AH44" s="30">
        <f>'TOTAL ESTACIONES'!AH44</f>
        <v>1.9656033675016524</v>
      </c>
      <c r="AI44" s="30">
        <f>'TOTAL ESTACIONES'!AI44</f>
        <v>1.8900000000000003</v>
      </c>
      <c r="AJ44" s="30">
        <f>'TOTAL ESTACIONES'!AJ44</f>
        <v>1.8900000000000043</v>
      </c>
      <c r="AK44" s="30">
        <f>'TOTAL ESTACIONES'!AK44</f>
        <v>1.9138145300590388</v>
      </c>
      <c r="AL44" s="74">
        <f>'TOTAL ESTACIONES'!AL44</f>
        <v>1.1669902502717381E-7</v>
      </c>
      <c r="AM44" s="29">
        <f>'TOTAL ESTACIONES'!AM44</f>
        <v>2.2042716195703305E-2</v>
      </c>
      <c r="AN44" s="89"/>
      <c r="AO44" s="253">
        <v>19598286.685818601</v>
      </c>
      <c r="AP44" s="72">
        <v>4.4464695134666683E-3</v>
      </c>
      <c r="AQ44" s="180">
        <v>0.32875159541404253</v>
      </c>
    </row>
    <row r="45" spans="1:45" ht="15" hidden="1" customHeight="1" outlineLevel="1">
      <c r="A45" s="12" t="s">
        <v>154</v>
      </c>
      <c r="B45" s="8" t="s">
        <v>89</v>
      </c>
      <c r="C45" s="19" t="s">
        <v>156</v>
      </c>
      <c r="D45" s="12"/>
      <c r="E45" s="191"/>
      <c r="F45" s="12"/>
      <c r="G45" s="12"/>
      <c r="H45" s="12"/>
      <c r="I45" s="31" t="s">
        <v>406</v>
      </c>
      <c r="J45" s="30">
        <f>'TOTAL ESTACIONES'!J45</f>
        <v>0.77589746422600436</v>
      </c>
      <c r="K45" s="30">
        <f>'TOTAL ESTACIONES'!K45</f>
        <v>2.7615605124457914</v>
      </c>
      <c r="L45" s="30">
        <f>'TOTAL ESTACIONES'!L45</f>
        <v>3.007357571214393</v>
      </c>
      <c r="M45" s="30">
        <f>'TOTAL ESTACIONES'!M45</f>
        <v>3.1036855919438651</v>
      </c>
      <c r="N45" s="30">
        <f>'TOTAL ESTACIONES'!N45</f>
        <v>3.5507335006291165</v>
      </c>
      <c r="O45" s="30">
        <f>'TOTAL ESTACIONES'!O45</f>
        <v>3.4567268202630062</v>
      </c>
      <c r="P45" s="30">
        <f>'TOTAL ESTACIONES'!P45</f>
        <v>2.778931923969052</v>
      </c>
      <c r="Q45" s="30">
        <f>'TOTAL ESTACIONES'!Q45</f>
        <v>2.542702662939532</v>
      </c>
      <c r="R45" s="30">
        <f>'TOTAL ESTACIONES'!R45</f>
        <v>2.7192892514974076</v>
      </c>
      <c r="S45" s="30">
        <f>'TOTAL ESTACIONES'!S45</f>
        <v>2.3850273056154516</v>
      </c>
      <c r="T45" s="30">
        <f>'TOTAL ESTACIONES'!T45</f>
        <v>2.5241169409540061</v>
      </c>
      <c r="U45" s="30">
        <f>'TOTAL ESTACIONES'!U45</f>
        <v>2.6085470463912808</v>
      </c>
      <c r="V45" s="30">
        <f>'TOTAL ESTACIONES'!V45</f>
        <v>2.3588328960544933</v>
      </c>
      <c r="W45" s="74">
        <f>'TOTAL ESTACIONES'!W45</f>
        <v>1.5083066303785224E-7</v>
      </c>
      <c r="X45" s="90">
        <f>'TOTAL ESTACIONES'!X45</f>
        <v>0</v>
      </c>
      <c r="Y45" s="30">
        <f>'TOTAL ESTACIONES'!Y45</f>
        <v>3.0191976738574358</v>
      </c>
      <c r="Z45" s="30">
        <f>'TOTAL ESTACIONES'!Z45</f>
        <v>2.9642327020367434</v>
      </c>
      <c r="AA45" s="30">
        <f>'TOTAL ESTACIONES'!AA45</f>
        <v>3.1523016717938939</v>
      </c>
      <c r="AB45" s="30">
        <f>'TOTAL ESTACIONES'!AB45</f>
        <v>2.9436272198025586</v>
      </c>
      <c r="AC45" s="30">
        <f>'TOTAL ESTACIONES'!AC45</f>
        <v>3.1589380942449914</v>
      </c>
      <c r="AD45" s="30">
        <f>'TOTAL ESTACIONES'!AD45</f>
        <v>2.8670397695389975</v>
      </c>
      <c r="AE45" s="30">
        <f>'TOTAL ESTACIONES'!AE45</f>
        <v>3.0695407245632036</v>
      </c>
      <c r="AF45" s="30">
        <f>'TOTAL ESTACIONES'!AF45</f>
        <v>3.0956135167735939</v>
      </c>
      <c r="AG45" s="30">
        <f>'TOTAL ESTACIONES'!AG45</f>
        <v>3.0098303489610405</v>
      </c>
      <c r="AH45" s="30">
        <f>'TOTAL ESTACIONES'!AH45</f>
        <v>3.0556332375485433</v>
      </c>
      <c r="AI45" s="30">
        <f>'TOTAL ESTACIONES'!AI45</f>
        <v>3.0104221870640098</v>
      </c>
      <c r="AJ45" s="30">
        <f>'TOTAL ESTACIONES'!AJ45</f>
        <v>3.0054642721478921</v>
      </c>
      <c r="AK45" s="30">
        <f>'TOTAL ESTACIONES'!AK45</f>
        <v>3.0325067096032119</v>
      </c>
      <c r="AL45" s="74">
        <f>'TOTAL ESTACIONES'!AL45</f>
        <v>1.8491372640385411E-7</v>
      </c>
      <c r="AM45" s="29">
        <f>'TOTAL ESTACIONES'!AM45</f>
        <v>0.28559624324196098</v>
      </c>
      <c r="AN45" s="89"/>
      <c r="AO45" s="254">
        <v>7218265.7016049754</v>
      </c>
      <c r="AP45" s="73">
        <v>1.6376838902715544E-3</v>
      </c>
      <c r="AQ45" s="180">
        <v>0.24066656726597158</v>
      </c>
    </row>
    <row r="46" spans="1:45" ht="15" hidden="1" customHeight="1" outlineLevel="1">
      <c r="A46" s="12" t="s">
        <v>154</v>
      </c>
      <c r="B46" s="8" t="s">
        <v>89</v>
      </c>
      <c r="I46" s="31" t="s">
        <v>148</v>
      </c>
      <c r="J46" s="30">
        <f>'TOTAL ESTACIONES'!J46</f>
        <v>0.63129469790382242</v>
      </c>
      <c r="K46" s="30">
        <f>'TOTAL ESTACIONES'!K46</f>
        <v>1.7777531038659533</v>
      </c>
      <c r="L46" s="30">
        <f>'TOTAL ESTACIONES'!L46</f>
        <v>1.5861657880096431</v>
      </c>
      <c r="M46" s="30">
        <f>'TOTAL ESTACIONES'!M46</f>
        <v>3.6821901028907398</v>
      </c>
      <c r="N46" s="30">
        <f>'TOTAL ESTACIONES'!N46</f>
        <v>4.1844498982729208</v>
      </c>
      <c r="O46" s="30">
        <f>'TOTAL ESTACIONES'!O46</f>
        <v>3.7563097657315283</v>
      </c>
      <c r="P46" s="30">
        <f>'TOTAL ESTACIONES'!P46</f>
        <v>2.6674352537517803</v>
      </c>
      <c r="Q46" s="30">
        <f>'TOTAL ESTACIONES'!Q46</f>
        <v>3.0438499482156338</v>
      </c>
      <c r="R46" s="30">
        <f>'TOTAL ESTACIONES'!R46</f>
        <v>2.4766757375914921</v>
      </c>
      <c r="S46" s="30">
        <f>'TOTAL ESTACIONES'!S46</f>
        <v>1.9524951543400917</v>
      </c>
      <c r="T46" s="30">
        <f>'TOTAL ESTACIONES'!T46</f>
        <v>2.470644206197389</v>
      </c>
      <c r="U46" s="30">
        <f>'TOTAL ESTACIONES'!U46</f>
        <v>2.6125482786617797</v>
      </c>
      <c r="V46" s="30">
        <f>'TOTAL ESTACIONES'!V46</f>
        <v>2.0677986909652279</v>
      </c>
      <c r="W46" s="74">
        <f>'TOTAL ESTACIONES'!W46</f>
        <v>1.3222108616034966E-7</v>
      </c>
      <c r="X46" s="90">
        <f>'TOTAL ESTACIONES'!X46</f>
        <v>0</v>
      </c>
      <c r="Y46" s="30">
        <f>'TOTAL ESTACIONES'!Y46</f>
        <v>2.1</v>
      </c>
      <c r="Z46" s="30">
        <f>'TOTAL ESTACIONES'!Z46</f>
        <v>2.1700000000000008</v>
      </c>
      <c r="AA46" s="30">
        <f>'TOTAL ESTACIONES'!AA46</f>
        <v>2.2300000000000009</v>
      </c>
      <c r="AB46" s="30">
        <f>'TOTAL ESTACIONES'!AB46</f>
        <v>2.1899999999999995</v>
      </c>
      <c r="AC46" s="30">
        <f>'TOTAL ESTACIONES'!AC46</f>
        <v>1.9799999999999998</v>
      </c>
      <c r="AD46" s="30">
        <f>'TOTAL ESTACIONES'!AD46</f>
        <v>2.1399999999999983</v>
      </c>
      <c r="AE46" s="30">
        <f>'TOTAL ESTACIONES'!AE46</f>
        <v>2.2100000000000009</v>
      </c>
      <c r="AF46" s="30">
        <f>'TOTAL ESTACIONES'!AF46</f>
        <v>2.0100000000000007</v>
      </c>
      <c r="AG46" s="30">
        <f>'TOTAL ESTACIONES'!AG46</f>
        <v>2.160000000000001</v>
      </c>
      <c r="AH46" s="30">
        <f>'TOTAL ESTACIONES'!AH46</f>
        <v>2.1500000000000008</v>
      </c>
      <c r="AI46" s="30">
        <f>'TOTAL ESTACIONES'!AI46</f>
        <v>2.0100000000000011</v>
      </c>
      <c r="AJ46" s="30">
        <f>'TOTAL ESTACIONES'!AJ46</f>
        <v>2.0500000000000016</v>
      </c>
      <c r="AK46" s="30">
        <f>'TOTAL ESTACIONES'!AK46</f>
        <v>2.1183723031828037</v>
      </c>
      <c r="AL46" s="74">
        <f>'TOTAL ESTACIONES'!AL46</f>
        <v>1.291723824556686E-7</v>
      </c>
      <c r="AM46" s="29">
        <f>'TOTAL ESTACIONES'!AM46</f>
        <v>2.4457705887205305E-2</v>
      </c>
      <c r="AN46" s="89"/>
      <c r="AO46" s="254">
        <v>446400</v>
      </c>
      <c r="AP46" s="73">
        <v>1.0127946501812351E-4</v>
      </c>
      <c r="AQ46" s="180">
        <v>3.7504051588122422E-2</v>
      </c>
    </row>
    <row r="47" spans="1:45" ht="15" customHeight="1">
      <c r="A47" s="12" t="s">
        <v>154</v>
      </c>
      <c r="B47" s="8" t="s">
        <v>89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89"/>
      <c r="AO47" s="254">
        <v>0</v>
      </c>
      <c r="AP47" s="73">
        <v>0</v>
      </c>
      <c r="AQ47" s="180">
        <v>-1</v>
      </c>
      <c r="AR47" s="286">
        <f>+AK6/AK39</f>
        <v>21.878564318334913</v>
      </c>
    </row>
    <row r="48" spans="1:45" ht="15" customHeight="1">
      <c r="A48" s="12" t="s">
        <v>154</v>
      </c>
      <c r="B48" s="8" t="s">
        <v>89</v>
      </c>
      <c r="I48" s="138" t="s">
        <v>153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89"/>
      <c r="AO48" s="254">
        <v>1004640</v>
      </c>
      <c r="AP48" s="73">
        <v>2.2793324761605647E-4</v>
      </c>
      <c r="AQ48" s="180">
        <v>0.82748833208073691</v>
      </c>
    </row>
    <row r="49" spans="1:49" ht="15" customHeight="1">
      <c r="A49" s="12" t="s">
        <v>154</v>
      </c>
      <c r="B49" s="8" t="s">
        <v>89</v>
      </c>
      <c r="C49" s="8" t="s">
        <v>160</v>
      </c>
      <c r="I49" s="138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89"/>
      <c r="AO49" s="254">
        <v>230499.09999999998</v>
      </c>
      <c r="AP49" s="73">
        <v>5.2295756127148185E-5</v>
      </c>
      <c r="AQ49" s="180">
        <v>7.2444774304313597</v>
      </c>
    </row>
    <row r="50" spans="1:49" ht="15" customHeight="1" collapsed="1">
      <c r="A50" s="12" t="s">
        <v>154</v>
      </c>
      <c r="B50" s="8" t="s">
        <v>89</v>
      </c>
      <c r="I50" s="166" t="s">
        <v>155</v>
      </c>
      <c r="J50" s="15">
        <f>'TOTAL ESTACIONES'!J50</f>
        <v>149335</v>
      </c>
      <c r="K50" s="15">
        <f>'TOTAL ESTACIONES'!K50</f>
        <v>140634</v>
      </c>
      <c r="L50" s="15">
        <f>'TOTAL ESTACIONES'!L50</f>
        <v>144094</v>
      </c>
      <c r="M50" s="15">
        <f>'TOTAL ESTACIONES'!M50</f>
        <v>146807</v>
      </c>
      <c r="N50" s="15">
        <f>'TOTAL ESTACIONES'!N50</f>
        <v>133714</v>
      </c>
      <c r="O50" s="15">
        <f>'TOTAL ESTACIONES'!O50</f>
        <v>211152</v>
      </c>
      <c r="P50" s="15">
        <f>'TOTAL ESTACIONES'!P50</f>
        <v>171855</v>
      </c>
      <c r="Q50" s="15">
        <f>'TOTAL ESTACIONES'!Q50</f>
        <v>232162</v>
      </c>
      <c r="R50" s="15">
        <f>'TOTAL ESTACIONES'!R50</f>
        <v>145137</v>
      </c>
      <c r="S50" s="15">
        <f>'TOTAL ESTACIONES'!S50</f>
        <v>178465</v>
      </c>
      <c r="T50" s="15">
        <f>'TOTAL ESTACIONES'!T50</f>
        <v>210122.88</v>
      </c>
      <c r="U50" s="15">
        <f>'TOTAL ESTACIONES'!U50</f>
        <v>232659.595</v>
      </c>
      <c r="V50" s="15">
        <f>'TOTAL ESTACIONES'!V50</f>
        <v>2096137.4749999999</v>
      </c>
      <c r="W50" s="72">
        <f>'TOTAL ESTACIONES'!W50</f>
        <v>6.3594052138740221E-3</v>
      </c>
      <c r="X50" s="89">
        <f>'TOTAL ESTACIONES'!X50</f>
        <v>0</v>
      </c>
      <c r="Y50" s="15">
        <f>'TOTAL ESTACIONES'!Y50</f>
        <v>173323.12037130955</v>
      </c>
      <c r="Z50" s="15">
        <f>'TOTAL ESTACIONES'!Z50</f>
        <v>151901.52094310903</v>
      </c>
      <c r="AA50" s="15">
        <f>'TOTAL ESTACIONES'!AA50</f>
        <v>196710.11940125417</v>
      </c>
      <c r="AB50" s="15">
        <f>'TOTAL ESTACIONES'!AB50</f>
        <v>149019.89471643779</v>
      </c>
      <c r="AC50" s="15">
        <f>'TOTAL ESTACIONES'!AC50</f>
        <v>245649.71558135562</v>
      </c>
      <c r="AD50" s="15">
        <f>'TOTAL ESTACIONES'!AD50</f>
        <v>167657.55882178858</v>
      </c>
      <c r="AE50" s="15">
        <f>'TOTAL ESTACIONES'!AE50</f>
        <v>147464.02159945169</v>
      </c>
      <c r="AF50" s="15">
        <f>'TOTAL ESTACIONES'!AF50</f>
        <v>172216.7421055538</v>
      </c>
      <c r="AG50" s="15">
        <f>'TOTAL ESTACIONES'!AG50</f>
        <v>204223.32839206647</v>
      </c>
      <c r="AH50" s="15">
        <f>'TOTAL ESTACIONES'!AH50</f>
        <v>244659.66468107392</v>
      </c>
      <c r="AI50" s="15">
        <f>'TOTAL ESTACIONES'!AI50</f>
        <v>138385.35796632949</v>
      </c>
      <c r="AJ50" s="15">
        <f>'TOTAL ESTACIONES'!AJ50</f>
        <v>246643.7201312668</v>
      </c>
      <c r="AK50" s="15">
        <f>'TOTAL ESTACIONES'!AK50</f>
        <v>2237854.7647109968</v>
      </c>
      <c r="AL50" s="72">
        <f>'TOTAL ESTACIONES'!AL50</f>
        <v>6.2370676969084743E-3</v>
      </c>
      <c r="AM50" s="10">
        <f>+AK50/V50-1</f>
        <v>6.7608776333239806E-2</v>
      </c>
      <c r="AN50" s="89"/>
      <c r="AO50" s="254">
        <v>0</v>
      </c>
      <c r="AP50" s="73">
        <v>0</v>
      </c>
      <c r="AQ50" s="180">
        <v>-1</v>
      </c>
      <c r="AR50" s="9">
        <f>+AK50-V50</f>
        <v>141717.28971099691</v>
      </c>
      <c r="AS50" s="1">
        <f>+V50*1.0375</f>
        <v>2174742.6303125001</v>
      </c>
      <c r="AT50" s="9">
        <f>+AS50-AK50</f>
        <v>-63112.13439849671</v>
      </c>
    </row>
    <row r="51" spans="1:49" ht="15" hidden="1" customHeight="1" outlineLevel="1">
      <c r="A51" s="12" t="s">
        <v>154</v>
      </c>
      <c r="B51" s="8" t="s">
        <v>89</v>
      </c>
      <c r="I51" s="261" t="s">
        <v>157</v>
      </c>
      <c r="J51" s="65">
        <f>'TOTAL ESTACIONES'!J51</f>
        <v>71186</v>
      </c>
      <c r="K51" s="65">
        <f>'TOTAL ESTACIONES'!K51</f>
        <v>61124</v>
      </c>
      <c r="L51" s="65">
        <f>'TOTAL ESTACIONES'!L51</f>
        <v>62666</v>
      </c>
      <c r="M51" s="65">
        <f>'TOTAL ESTACIONES'!M51</f>
        <v>63208</v>
      </c>
      <c r="N51" s="65">
        <f>'TOTAL ESTACIONES'!N51</f>
        <v>60682</v>
      </c>
      <c r="O51" s="65">
        <f>'TOTAL ESTACIONES'!O51</f>
        <v>63108</v>
      </c>
      <c r="P51" s="65">
        <f>'TOTAL ESTACIONES'!P51</f>
        <v>63432</v>
      </c>
      <c r="Q51" s="65">
        <f>'TOTAL ESTACIONES'!Q51</f>
        <v>62303</v>
      </c>
      <c r="R51" s="65">
        <f>'TOTAL ESTACIONES'!R51</f>
        <v>71042</v>
      </c>
      <c r="S51" s="65">
        <f>'TOTAL ESTACIONES'!S51</f>
        <v>63056</v>
      </c>
      <c r="T51" s="65">
        <f>'TOTAL ESTACIONES'!T51</f>
        <v>64958.25</v>
      </c>
      <c r="U51" s="65">
        <f>'TOTAL ESTACIONES'!U51</f>
        <v>65339.8125</v>
      </c>
      <c r="V51" s="11">
        <f>'TOTAL ESTACIONES'!V51</f>
        <v>772105.0625</v>
      </c>
      <c r="W51" s="73">
        <f>'TOTAL ESTACIONES'!W51</f>
        <v>2.3424651382281249E-3</v>
      </c>
      <c r="X51" s="89">
        <f>'TOTAL ESTACIONES'!X51</f>
        <v>0</v>
      </c>
      <c r="Y51" s="65">
        <f>'TOTAL ESTACIONES'!Y51</f>
        <v>59657.676628734218</v>
      </c>
      <c r="Z51" s="65">
        <f>'TOTAL ESTACIONES'!Z51</f>
        <v>61089.918165338757</v>
      </c>
      <c r="AA51" s="65">
        <f>'TOTAL ESTACIONES'!AA51</f>
        <v>68165.222587524986</v>
      </c>
      <c r="AB51" s="65">
        <f>'TOTAL ESTACIONES'!AB51</f>
        <v>66689.400314848783</v>
      </c>
      <c r="AC51" s="65">
        <f>'TOTAL ESTACIONES'!AC51</f>
        <v>69755.166944780314</v>
      </c>
      <c r="AD51" s="65">
        <f>'TOTAL ESTACIONES'!AD51</f>
        <v>68382.835332199538</v>
      </c>
      <c r="AE51" s="65">
        <f>'TOTAL ESTACIONES'!AE51</f>
        <v>70447.400462876351</v>
      </c>
      <c r="AF51" s="65">
        <f>'TOTAL ESTACIONES'!AF51</f>
        <v>71160.917164978513</v>
      </c>
      <c r="AG51" s="65">
        <f>'TOTAL ESTACIONES'!AG51</f>
        <v>70699.87258847749</v>
      </c>
      <c r="AH51" s="65">
        <f>'TOTAL ESTACIONES'!AH51</f>
        <v>73539.514794498624</v>
      </c>
      <c r="AI51" s="65">
        <f>'TOTAL ESTACIONES'!AI51</f>
        <v>72018.092956740467</v>
      </c>
      <c r="AJ51" s="65">
        <f>'TOTAL ESTACIONES'!AJ51</f>
        <v>70588.419200691511</v>
      </c>
      <c r="AK51" s="123">
        <f>'TOTAL ESTACIONES'!AK51</f>
        <v>822194.43714168936</v>
      </c>
      <c r="AL51" s="73">
        <f>'TOTAL ESTACIONES'!AL51</f>
        <v>2.291517057022479E-3</v>
      </c>
      <c r="AM51" s="14">
        <f>'TOTAL ESTACIONES'!AM51</f>
        <v>6.4873780880939869E-2</v>
      </c>
      <c r="AN51" s="89"/>
      <c r="AO51" s="254">
        <v>721958.48100479983</v>
      </c>
      <c r="AP51" s="73">
        <v>1.6379831702836742E-4</v>
      </c>
      <c r="AQ51" s="180">
        <v>0.22172790909472995</v>
      </c>
      <c r="AR51" s="295">
        <f>+AK51-V51</f>
        <v>50089.374641689355</v>
      </c>
    </row>
    <row r="52" spans="1:49" ht="15" hidden="1" customHeight="1" outlineLevel="1">
      <c r="A52" s="12" t="s">
        <v>154</v>
      </c>
      <c r="B52" s="8" t="s">
        <v>89</v>
      </c>
      <c r="I52" s="261" t="s">
        <v>156</v>
      </c>
      <c r="J52" s="65">
        <f>'TOTAL ESTACIONES'!J52</f>
        <v>4000</v>
      </c>
      <c r="K52" s="65">
        <f>'TOTAL ESTACIONES'!K52</f>
        <v>5000</v>
      </c>
      <c r="L52" s="65">
        <f>'TOTAL ESTACIONES'!L52</f>
        <v>4000</v>
      </c>
      <c r="M52" s="65">
        <f>'TOTAL ESTACIONES'!M52</f>
        <v>4000</v>
      </c>
      <c r="N52" s="65">
        <f>'TOTAL ESTACIONES'!N52</f>
        <v>5000</v>
      </c>
      <c r="O52" s="65">
        <f>'TOTAL ESTACIONES'!O52</f>
        <v>4000</v>
      </c>
      <c r="P52" s="65">
        <f>'TOTAL ESTACIONES'!P52</f>
        <v>4000</v>
      </c>
      <c r="Q52" s="65">
        <f>'TOTAL ESTACIONES'!Q52</f>
        <v>5000</v>
      </c>
      <c r="R52" s="65">
        <f>'TOTAL ESTACIONES'!R52</f>
        <v>4000</v>
      </c>
      <c r="S52" s="65">
        <f>'TOTAL ESTACIONES'!S52</f>
        <v>5000</v>
      </c>
      <c r="T52" s="65">
        <f>'TOTAL ESTACIONES'!T52</f>
        <v>4500</v>
      </c>
      <c r="U52" s="65">
        <f>'TOTAL ESTACIONES'!U52</f>
        <v>4625</v>
      </c>
      <c r="V52" s="11">
        <f>'TOTAL ESTACIONES'!V52</f>
        <v>53125</v>
      </c>
      <c r="W52" s="73">
        <f>'TOTAL ESTACIONES'!W52</f>
        <v>1.6117425789883243E-4</v>
      </c>
      <c r="X52" s="89">
        <f>'TOTAL ESTACIONES'!X52</f>
        <v>0</v>
      </c>
      <c r="Y52" s="65">
        <f>'TOTAL ESTACIONES'!Y52</f>
        <v>4200</v>
      </c>
      <c r="Z52" s="65">
        <f>'TOTAL ESTACIONES'!Z52</f>
        <v>4200</v>
      </c>
      <c r="AA52" s="65">
        <f>'TOTAL ESTACIONES'!AA52</f>
        <v>4200</v>
      </c>
      <c r="AB52" s="65">
        <f>'TOTAL ESTACIONES'!AB52</f>
        <v>4200</v>
      </c>
      <c r="AC52" s="65">
        <f>'TOTAL ESTACIONES'!AC52</f>
        <v>4200</v>
      </c>
      <c r="AD52" s="65">
        <f>'TOTAL ESTACIONES'!AD52</f>
        <v>4200</v>
      </c>
      <c r="AE52" s="65">
        <f>'TOTAL ESTACIONES'!AE52</f>
        <v>4200</v>
      </c>
      <c r="AF52" s="65">
        <f>'TOTAL ESTACIONES'!AF52</f>
        <v>4200</v>
      </c>
      <c r="AG52" s="65">
        <f>'TOTAL ESTACIONES'!AG52</f>
        <v>4200</v>
      </c>
      <c r="AH52" s="65">
        <f>'TOTAL ESTACIONES'!AH52</f>
        <v>4200</v>
      </c>
      <c r="AI52" s="65">
        <f>'TOTAL ESTACIONES'!AI52</f>
        <v>4200</v>
      </c>
      <c r="AJ52" s="65">
        <f>'TOTAL ESTACIONES'!AJ52</f>
        <v>4200</v>
      </c>
      <c r="AK52" s="123">
        <f>'TOTAL ESTACIONES'!AK52</f>
        <v>50400</v>
      </c>
      <c r="AL52" s="73">
        <f>'TOTAL ESTACIONES'!AL52</f>
        <v>1.4046854911282992E-4</v>
      </c>
      <c r="AM52" s="14">
        <f>'TOTAL ESTACIONES'!AM52</f>
        <v>-5.1294117647058823E-2</v>
      </c>
      <c r="AN52" s="89"/>
      <c r="AO52" s="254">
        <v>1101110.7686250003</v>
      </c>
      <c r="AP52" s="73">
        <v>2.4982058595885933E-4</v>
      </c>
      <c r="AQ52" s="180">
        <v>0.24826578215621686</v>
      </c>
      <c r="AR52" s="9">
        <f>+AK52-V52</f>
        <v>-2725</v>
      </c>
    </row>
    <row r="53" spans="1:49" ht="15" hidden="1" customHeight="1" outlineLevel="1">
      <c r="A53" s="12" t="s">
        <v>154</v>
      </c>
      <c r="B53" s="8" t="s">
        <v>89</v>
      </c>
      <c r="I53" s="261" t="s">
        <v>158</v>
      </c>
      <c r="J53" s="65">
        <f>'TOTAL ESTACIONES'!J53</f>
        <v>386</v>
      </c>
      <c r="K53" s="65">
        <f>'TOTAL ESTACIONES'!K53</f>
        <v>0</v>
      </c>
      <c r="L53" s="65">
        <f>'TOTAL ESTACIONES'!L53</f>
        <v>0</v>
      </c>
      <c r="M53" s="65">
        <f>'TOTAL ESTACIONES'!M53</f>
        <v>0</v>
      </c>
      <c r="N53" s="65">
        <f>'TOTAL ESTACIONES'!N53</f>
        <v>0</v>
      </c>
      <c r="O53" s="65">
        <f>'TOTAL ESTACIONES'!O53</f>
        <v>0</v>
      </c>
      <c r="P53" s="65">
        <f>'TOTAL ESTACIONES'!P53</f>
        <v>4841</v>
      </c>
      <c r="Q53" s="65">
        <f>'TOTAL ESTACIONES'!Q53</f>
        <v>0</v>
      </c>
      <c r="R53" s="65">
        <f>'TOTAL ESTACIONES'!R53</f>
        <v>0</v>
      </c>
      <c r="S53" s="65">
        <f>'TOTAL ESTACIONES'!S53</f>
        <v>817</v>
      </c>
      <c r="T53" s="65">
        <f>'TOTAL ESTACIONES'!T53</f>
        <v>1414.5</v>
      </c>
      <c r="U53" s="65">
        <f>'TOTAL ESTACIONES'!U53</f>
        <v>2957</v>
      </c>
      <c r="V53" s="11">
        <f>'TOTAL ESTACIONES'!V53</f>
        <v>10415.5</v>
      </c>
      <c r="W53" s="73">
        <f>'TOTAL ESTACIONES'!W53</f>
        <v>3.1599256153323094E-5</v>
      </c>
      <c r="X53" s="89">
        <f>'TOTAL ESTACIONES'!X53</f>
        <v>0</v>
      </c>
      <c r="Y53" s="65">
        <f>'TOTAL ESTACIONES'!Y53</f>
        <v>1040</v>
      </c>
      <c r="Z53" s="65">
        <f>'TOTAL ESTACIONES'!Z53</f>
        <v>1040</v>
      </c>
      <c r="AA53" s="65">
        <f>'TOTAL ESTACIONES'!AA53</f>
        <v>1040</v>
      </c>
      <c r="AB53" s="65">
        <f>'TOTAL ESTACIONES'!AB53</f>
        <v>1040</v>
      </c>
      <c r="AC53" s="65">
        <f>'TOTAL ESTACIONES'!AC53</f>
        <v>1040</v>
      </c>
      <c r="AD53" s="65">
        <f>'TOTAL ESTACIONES'!AD53</f>
        <v>1040</v>
      </c>
      <c r="AE53" s="65">
        <f>'TOTAL ESTACIONES'!AE53</f>
        <v>1040</v>
      </c>
      <c r="AF53" s="65">
        <f>'TOTAL ESTACIONES'!AF53</f>
        <v>1040</v>
      </c>
      <c r="AG53" s="65">
        <f>'TOTAL ESTACIONES'!AG53</f>
        <v>1040</v>
      </c>
      <c r="AH53" s="65">
        <f>'TOTAL ESTACIONES'!AH53</f>
        <v>1040</v>
      </c>
      <c r="AI53" s="65">
        <f>'TOTAL ESTACIONES'!AI53</f>
        <v>1040</v>
      </c>
      <c r="AJ53" s="65">
        <f>'TOTAL ESTACIONES'!AJ53</f>
        <v>3536</v>
      </c>
      <c r="AK53" s="123">
        <f>'TOTAL ESTACIONES'!AK53</f>
        <v>14976</v>
      </c>
      <c r="AL53" s="73">
        <f>'TOTAL ESTACIONES'!AL53</f>
        <v>4.1739226022098032E-5</v>
      </c>
      <c r="AM53" s="14">
        <f>'TOTAL ESTACIONES'!AM53</f>
        <v>0.43785703998847869</v>
      </c>
      <c r="AN53" s="89"/>
      <c r="AO53" s="254">
        <v>279218.19000000006</v>
      </c>
      <c r="AP53" s="73">
        <v>6.3349168697421083E-5</v>
      </c>
      <c r="AQ53" s="180">
        <v>497.6039107142858</v>
      </c>
      <c r="AR53" s="9">
        <f>+AK53-V53</f>
        <v>4560.5</v>
      </c>
    </row>
    <row r="54" spans="1:49" ht="15" hidden="1" customHeight="1" outlineLevel="1">
      <c r="A54" s="12"/>
      <c r="I54" s="261" t="s">
        <v>159</v>
      </c>
      <c r="J54" s="65">
        <f>'TOTAL ESTACIONES'!J54</f>
        <v>0</v>
      </c>
      <c r="K54" s="65">
        <f>'TOTAL ESTACIONES'!K54</f>
        <v>0</v>
      </c>
      <c r="L54" s="65">
        <f>'TOTAL ESTACIONES'!L54</f>
        <v>0</v>
      </c>
      <c r="M54" s="65">
        <f>'TOTAL ESTACIONES'!M54</f>
        <v>0</v>
      </c>
      <c r="N54" s="65">
        <f>'TOTAL ESTACIONES'!N54</f>
        <v>0</v>
      </c>
      <c r="O54" s="65">
        <f>'TOTAL ESTACIONES'!O54</f>
        <v>0</v>
      </c>
      <c r="P54" s="65">
        <f>'TOTAL ESTACIONES'!P54</f>
        <v>0</v>
      </c>
      <c r="Q54" s="65">
        <f>'TOTAL ESTACIONES'!Q54</f>
        <v>0</v>
      </c>
      <c r="R54" s="65">
        <f>'TOTAL ESTACIONES'!R54</f>
        <v>0</v>
      </c>
      <c r="S54" s="65">
        <f>'TOTAL ESTACIONES'!S54</f>
        <v>0</v>
      </c>
      <c r="T54" s="65">
        <f>'TOTAL ESTACIONES'!T54</f>
        <v>0</v>
      </c>
      <c r="U54" s="65">
        <f>'TOTAL ESTACIONES'!U54</f>
        <v>0</v>
      </c>
      <c r="V54" s="11">
        <f>'TOTAL ESTACIONES'!V54</f>
        <v>0</v>
      </c>
      <c r="W54" s="73">
        <f>'TOTAL ESTACIONES'!W54</f>
        <v>0</v>
      </c>
      <c r="X54" s="89">
        <f>'TOTAL ESTACIONES'!X54</f>
        <v>0</v>
      </c>
      <c r="Y54" s="65">
        <f>'TOTAL ESTACIONES'!Y54</f>
        <v>0</v>
      </c>
      <c r="Z54" s="65">
        <f>'TOTAL ESTACIONES'!Z54</f>
        <v>0</v>
      </c>
      <c r="AA54" s="65">
        <f>'TOTAL ESTACIONES'!AA54</f>
        <v>0</v>
      </c>
      <c r="AB54" s="65">
        <f>'TOTAL ESTACIONES'!AB54</f>
        <v>0</v>
      </c>
      <c r="AC54" s="65">
        <f>'TOTAL ESTACIONES'!AC54</f>
        <v>0</v>
      </c>
      <c r="AD54" s="65">
        <f>'TOTAL ESTACIONES'!AD54</f>
        <v>23897.120000000003</v>
      </c>
      <c r="AE54" s="65">
        <f>'TOTAL ESTACIONES'!AE54</f>
        <v>0</v>
      </c>
      <c r="AF54" s="65">
        <f>'TOTAL ESTACIONES'!AF54</f>
        <v>0</v>
      </c>
      <c r="AG54" s="65">
        <f>'TOTAL ESTACIONES'!AG54</f>
        <v>0</v>
      </c>
      <c r="AH54" s="65">
        <f>'TOTAL ESTACIONES'!AH54</f>
        <v>0</v>
      </c>
      <c r="AI54" s="65">
        <f>'TOTAL ESTACIONES'!AI54</f>
        <v>0</v>
      </c>
      <c r="AJ54" s="65">
        <f>'TOTAL ESTACIONES'!AJ54</f>
        <v>0</v>
      </c>
      <c r="AK54" s="123">
        <f>'TOTAL ESTACIONES'!AK54</f>
        <v>23897.120000000003</v>
      </c>
      <c r="AL54" s="73">
        <f>'TOTAL ESTACIONES'!AL54</f>
        <v>6.6603051078872834E-5</v>
      </c>
      <c r="AM54" s="14">
        <f>'TOTAL ESTACIONES'!AM54</f>
        <v>0</v>
      </c>
      <c r="AN54" s="89"/>
      <c r="AO54" s="254">
        <v>0</v>
      </c>
      <c r="AP54" s="73">
        <v>0</v>
      </c>
      <c r="AQ54" s="180">
        <v>-1</v>
      </c>
      <c r="AR54" s="9">
        <f>+AK54-V54</f>
        <v>23897.120000000003</v>
      </c>
    </row>
    <row r="55" spans="1:49" ht="15" hidden="1" customHeight="1" outlineLevel="1">
      <c r="A55" s="12"/>
      <c r="I55" s="261" t="s">
        <v>161</v>
      </c>
      <c r="J55" s="65">
        <f>'TOTAL ESTACIONES'!J55</f>
        <v>7403</v>
      </c>
      <c r="K55" s="65">
        <f>'TOTAL ESTACIONES'!K55</f>
        <v>4200</v>
      </c>
      <c r="L55" s="65">
        <f>'TOTAL ESTACIONES'!L55</f>
        <v>0</v>
      </c>
      <c r="M55" s="65">
        <f>'TOTAL ESTACIONES'!M55</f>
        <v>6021</v>
      </c>
      <c r="N55" s="65">
        <f>'TOTAL ESTACIONES'!N55</f>
        <v>5080</v>
      </c>
      <c r="O55" s="65">
        <f>'TOTAL ESTACIONES'!O55</f>
        <v>4579</v>
      </c>
      <c r="P55" s="65">
        <f>'TOTAL ESTACIONES'!P55</f>
        <v>1996</v>
      </c>
      <c r="Q55" s="65">
        <f>'TOTAL ESTACIONES'!Q55</f>
        <v>8097</v>
      </c>
      <c r="R55" s="65">
        <f>'TOTAL ESTACIONES'!R55</f>
        <v>4947</v>
      </c>
      <c r="S55" s="65">
        <f>'TOTAL ESTACIONES'!S55</f>
        <v>4305</v>
      </c>
      <c r="T55" s="65">
        <f>'TOTAL ESTACIONES'!T55</f>
        <v>4836.25</v>
      </c>
      <c r="U55" s="65">
        <f>'TOTAL ESTACIONES'!U55</f>
        <v>5546.3125</v>
      </c>
      <c r="V55" s="11">
        <f>'TOTAL ESTACIONES'!V55</f>
        <v>57010.5625</v>
      </c>
      <c r="W55" s="73">
        <f>'TOTAL ESTACIONES'!W55</f>
        <v>1.7296254312155305E-4</v>
      </c>
      <c r="X55" s="89">
        <f>'TOTAL ESTACIONES'!X55</f>
        <v>0</v>
      </c>
      <c r="Y55" s="65">
        <f>'TOTAL ESTACIONES'!Y55</f>
        <v>5749.9804999999997</v>
      </c>
      <c r="Z55" s="65">
        <f>'TOTAL ESTACIONES'!Z55</f>
        <v>5749.9804999999997</v>
      </c>
      <c r="AA55" s="65">
        <f>'TOTAL ESTACIONES'!AA55</f>
        <v>5749.9804999999997</v>
      </c>
      <c r="AB55" s="65">
        <f>'TOTAL ESTACIONES'!AB55</f>
        <v>5749.9804999999997</v>
      </c>
      <c r="AC55" s="65">
        <f>'TOTAL ESTACIONES'!AC55</f>
        <v>5749.9804999999997</v>
      </c>
      <c r="AD55" s="65">
        <f>'TOTAL ESTACIONES'!AD55</f>
        <v>5749.9804999999997</v>
      </c>
      <c r="AE55" s="65">
        <f>'TOTAL ESTACIONES'!AE55</f>
        <v>5749.9804999999997</v>
      </c>
      <c r="AF55" s="65">
        <f>'TOTAL ESTACIONES'!AF55</f>
        <v>5749.9804999999997</v>
      </c>
      <c r="AG55" s="65">
        <f>'TOTAL ESTACIONES'!AG55</f>
        <v>5749.9804999999997</v>
      </c>
      <c r="AH55" s="65">
        <f>'TOTAL ESTACIONES'!AH55</f>
        <v>5749.9804999999997</v>
      </c>
      <c r="AI55" s="65">
        <f>'TOTAL ESTACIONES'!AI55</f>
        <v>5749.9804999999997</v>
      </c>
      <c r="AJ55" s="65">
        <f>'TOTAL ESTACIONES'!AJ55</f>
        <v>5749.9804999999997</v>
      </c>
      <c r="AK55" s="123">
        <f>'TOTAL ESTACIONES'!AK55</f>
        <v>68999.765999999989</v>
      </c>
      <c r="AL55" s="73">
        <f>'TOTAL ESTACIONES'!AL55</f>
        <v>1.9230748053858672E-4</v>
      </c>
      <c r="AM55" s="14">
        <f>'TOTAL ESTACIONES'!AM55</f>
        <v>0.21029793382585882</v>
      </c>
      <c r="AN55" s="89"/>
      <c r="AO55" s="254">
        <v>0</v>
      </c>
      <c r="AP55" s="73">
        <v>0</v>
      </c>
      <c r="AQ55" s="180">
        <v>-1</v>
      </c>
      <c r="AR55" s="9">
        <f>+AK55-V55</f>
        <v>11989.203499999989</v>
      </c>
    </row>
    <row r="56" spans="1:49" ht="15" hidden="1" customHeight="1" outlineLevel="1">
      <c r="A56" s="12"/>
      <c r="I56" s="261" t="s">
        <v>162</v>
      </c>
      <c r="J56" s="65">
        <f>'TOTAL ESTACIONES'!J56</f>
        <v>28950</v>
      </c>
      <c r="K56" s="65">
        <f>'TOTAL ESTACIONES'!K56</f>
        <v>43277</v>
      </c>
      <c r="L56" s="65">
        <f>'TOTAL ESTACIONES'!L56</f>
        <v>55400</v>
      </c>
      <c r="M56" s="65">
        <f>'TOTAL ESTACIONES'!M56</f>
        <v>46508</v>
      </c>
      <c r="N56" s="65">
        <f>'TOTAL ESTACIONES'!N56</f>
        <v>28961</v>
      </c>
      <c r="O56" s="65">
        <f>'TOTAL ESTACIONES'!O56</f>
        <v>56934</v>
      </c>
      <c r="P56" s="65">
        <f>'TOTAL ESTACIONES'!P56</f>
        <v>58133</v>
      </c>
      <c r="Q56" s="65">
        <f>'TOTAL ESTACIONES'!Q56</f>
        <v>116238</v>
      </c>
      <c r="R56" s="65">
        <f>'TOTAL ESTACIONES'!R56</f>
        <v>44011</v>
      </c>
      <c r="S56" s="65">
        <f>'TOTAL ESTACIONES'!S56</f>
        <v>39270</v>
      </c>
      <c r="T56" s="65">
        <f>'TOTAL ESTACIONES'!T56</f>
        <v>50000</v>
      </c>
      <c r="U56" s="65">
        <f>'TOTAL ESTACIONES'!U56</f>
        <v>50000</v>
      </c>
      <c r="V56" s="11">
        <f>'TOTAL ESTACIONES'!V56</f>
        <v>617682</v>
      </c>
      <c r="W56" s="73">
        <f>'TOTAL ESTACIONES'!W56</f>
        <v>1.8739658911523128E-3</v>
      </c>
      <c r="X56" s="89">
        <f>'TOTAL ESTACIONES'!X56</f>
        <v>0</v>
      </c>
      <c r="Y56" s="65">
        <f>'TOTAL ESTACIONES'!Y56</f>
        <v>49560.587999999996</v>
      </c>
      <c r="Z56" s="65">
        <f>'TOTAL ESTACIONES'!Z56</f>
        <v>44592.107999999993</v>
      </c>
      <c r="AA56" s="65">
        <f>'TOTAL ESTACIONES'!AA56</f>
        <v>87341.737999999998</v>
      </c>
      <c r="AB56" s="65">
        <f>'TOTAL ESTACIONES'!AB56</f>
        <v>35690.248</v>
      </c>
      <c r="AC56" s="65">
        <f>'TOTAL ESTACIONES'!AC56</f>
        <v>121707.05799999999</v>
      </c>
      <c r="AD56" s="65">
        <f>'TOTAL ESTACIONES'!AD56</f>
        <v>5258.3079999999991</v>
      </c>
      <c r="AE56" s="65">
        <f>'TOTAL ESTACIONES'!AE56</f>
        <v>27409.447999999997</v>
      </c>
      <c r="AF56" s="65">
        <f>'TOTAL ESTACIONES'!AF56</f>
        <v>49250.057999999997</v>
      </c>
      <c r="AG56" s="65">
        <f>'TOTAL ESTACIONES'!AG56</f>
        <v>51630.787999999993</v>
      </c>
      <c r="AH56" s="65">
        <f>'TOTAL ESTACIONES'!AH56</f>
        <v>79785.507999999987</v>
      </c>
      <c r="AI56" s="65">
        <f>'TOTAL ESTACIONES'!AI56</f>
        <v>30514.748</v>
      </c>
      <c r="AJ56" s="65">
        <f>'TOTAL ESTACIONES'!AJ56</f>
        <v>58358.937999999995</v>
      </c>
      <c r="AK56" s="123">
        <f>'TOTAL ESTACIONES'!AK56</f>
        <v>641099.53599999996</v>
      </c>
      <c r="AL56" s="73">
        <f>'TOTAL ESTACIONES'!AL56</f>
        <v>1.7867920964053268E-3</v>
      </c>
      <c r="AM56" s="14">
        <f>'TOTAL ESTACIONES'!AM56</f>
        <v>3.7911961170958408E-2</v>
      </c>
      <c r="AN56" s="89"/>
      <c r="AO56" s="254">
        <v>0</v>
      </c>
      <c r="AP56" s="73">
        <v>0</v>
      </c>
      <c r="AQ56" s="180">
        <v>-1</v>
      </c>
      <c r="AR56" s="296">
        <f>+AK56-V56</f>
        <v>23417.535999999964</v>
      </c>
      <c r="AS56" s="1" t="s">
        <v>408</v>
      </c>
      <c r="AT56" s="291">
        <f>+V56*1.0375</f>
        <v>640845.07500000007</v>
      </c>
      <c r="AU56" s="291">
        <f>+AT56-AK56</f>
        <v>-254.46099999989383</v>
      </c>
      <c r="AV56" s="1">
        <f>+AU56/12/2</f>
        <v>-10.602541666662242</v>
      </c>
      <c r="AW56" s="1">
        <f>+AV56/1.0375</f>
        <v>-10.21931726907204</v>
      </c>
    </row>
    <row r="57" spans="1:49" ht="15" hidden="1" customHeight="1" outlineLevel="1">
      <c r="A57" s="12"/>
      <c r="I57" s="261" t="s">
        <v>163</v>
      </c>
      <c r="J57" s="65">
        <f>'TOTAL ESTACIONES'!J57</f>
        <v>0</v>
      </c>
      <c r="K57" s="65">
        <f>'TOTAL ESTACIONES'!K57</f>
        <v>0</v>
      </c>
      <c r="L57" s="65">
        <f>'TOTAL ESTACIONES'!L57</f>
        <v>0</v>
      </c>
      <c r="M57" s="65">
        <f>'TOTAL ESTACIONES'!M57</f>
        <v>0</v>
      </c>
      <c r="N57" s="65">
        <f>'TOTAL ESTACIONES'!N57</f>
        <v>0</v>
      </c>
      <c r="O57" s="65">
        <f>'TOTAL ESTACIONES'!O57</f>
        <v>0</v>
      </c>
      <c r="P57" s="65">
        <f>'TOTAL ESTACIONES'!P57</f>
        <v>0</v>
      </c>
      <c r="Q57" s="65">
        <f>'TOTAL ESTACIONES'!Q57</f>
        <v>0</v>
      </c>
      <c r="R57" s="65">
        <f>'TOTAL ESTACIONES'!R57</f>
        <v>0</v>
      </c>
      <c r="S57" s="65">
        <f>'TOTAL ESTACIONES'!S57</f>
        <v>0</v>
      </c>
      <c r="T57" s="65">
        <f>'TOTAL ESTACIONES'!T57</f>
        <v>3640</v>
      </c>
      <c r="U57" s="65">
        <f>'TOTAL ESTACIONES'!U57</f>
        <v>0</v>
      </c>
      <c r="V57" s="11">
        <f>'TOTAL ESTACIONES'!V57</f>
        <v>3640</v>
      </c>
      <c r="W57" s="73">
        <f>'TOTAL ESTACIONES'!W57</f>
        <v>1.1043280917680001E-5</v>
      </c>
      <c r="X57" s="89">
        <f>'TOTAL ESTACIONES'!X57</f>
        <v>0</v>
      </c>
      <c r="Y57" s="65">
        <f>'TOTAL ESTACIONES'!Y57</f>
        <v>0</v>
      </c>
      <c r="Z57" s="65">
        <f>'TOTAL ESTACIONES'!Z57</f>
        <v>6568.9038461538457</v>
      </c>
      <c r="AA57" s="65">
        <f>'TOTAL ESTACIONES'!AA57</f>
        <v>1231.669471153846</v>
      </c>
      <c r="AB57" s="65">
        <f>'TOTAL ESTACIONES'!AB57</f>
        <v>0</v>
      </c>
      <c r="AC57" s="65">
        <f>'TOTAL ESTACIONES'!AC57</f>
        <v>0</v>
      </c>
      <c r="AD57" s="65">
        <f>'TOTAL ESTACIONES'!AD57</f>
        <v>0</v>
      </c>
      <c r="AE57" s="65">
        <f>'TOTAL ESTACIONES'!AE57</f>
        <v>0</v>
      </c>
      <c r="AF57" s="65">
        <f>'TOTAL ESTACIONES'!AF57</f>
        <v>0</v>
      </c>
      <c r="AG57" s="65">
        <f>'TOTAL ESTACIONES'!AG57</f>
        <v>0</v>
      </c>
      <c r="AH57" s="65">
        <f>'TOTAL ESTACIONES'!AH57</f>
        <v>0</v>
      </c>
      <c r="AI57" s="65">
        <f>'TOTAL ESTACIONES'!AI57</f>
        <v>0</v>
      </c>
      <c r="AJ57" s="65">
        <f>'TOTAL ESTACIONES'!AJ57</f>
        <v>0</v>
      </c>
      <c r="AK57" s="123">
        <f>'TOTAL ESTACIONES'!AK57</f>
        <v>7800.5733173076915</v>
      </c>
      <c r="AL57" s="73">
        <f>'TOTAL ESTACIONES'!AL57</f>
        <v>2.1740778097826708E-5</v>
      </c>
      <c r="AM57" s="14">
        <f>'TOTAL ESTACIONES'!AM57</f>
        <v>1.1430146476120031</v>
      </c>
      <c r="AN57" s="89"/>
      <c r="AO57" s="254">
        <v>0</v>
      </c>
      <c r="AP57" s="73">
        <v>0</v>
      </c>
      <c r="AQ57" s="180">
        <v>0</v>
      </c>
      <c r="AR57" s="9">
        <f>+AK57-V57</f>
        <v>4160.5733173076915</v>
      </c>
    </row>
    <row r="58" spans="1:49" ht="15" hidden="1" customHeight="1" outlineLevel="1">
      <c r="A58" s="12"/>
      <c r="I58" s="261" t="s">
        <v>164</v>
      </c>
      <c r="J58" s="65">
        <f>'TOTAL ESTACIONES'!J58</f>
        <v>0</v>
      </c>
      <c r="K58" s="65">
        <f>'TOTAL ESTACIONES'!K58</f>
        <v>0</v>
      </c>
      <c r="L58" s="65">
        <f>'TOTAL ESTACIONES'!L58</f>
        <v>0</v>
      </c>
      <c r="M58" s="65">
        <f>'TOTAL ESTACIONES'!M58</f>
        <v>0</v>
      </c>
      <c r="N58" s="65">
        <f>'TOTAL ESTACIONES'!N58</f>
        <v>0</v>
      </c>
      <c r="O58" s="65">
        <f>'TOTAL ESTACIONES'!O58</f>
        <v>0</v>
      </c>
      <c r="P58" s="65">
        <f>'TOTAL ESTACIONES'!P58</f>
        <v>0</v>
      </c>
      <c r="Q58" s="65">
        <f>'TOTAL ESTACIONES'!Q58</f>
        <v>0</v>
      </c>
      <c r="R58" s="65">
        <f>'TOTAL ESTACIONES'!R58</f>
        <v>0</v>
      </c>
      <c r="S58" s="65">
        <f>'TOTAL ESTACIONES'!S58</f>
        <v>0</v>
      </c>
      <c r="T58" s="65">
        <f>'TOTAL ESTACIONES'!T58</f>
        <v>0</v>
      </c>
      <c r="U58" s="65">
        <f>'TOTAL ESTACIONES'!U58</f>
        <v>0</v>
      </c>
      <c r="V58" s="11">
        <f>'TOTAL ESTACIONES'!V58</f>
        <v>0</v>
      </c>
      <c r="W58" s="73">
        <f>'TOTAL ESTACIONES'!W58</f>
        <v>0</v>
      </c>
      <c r="X58" s="89">
        <f>'TOTAL ESTACIONES'!X58</f>
        <v>0</v>
      </c>
      <c r="Y58" s="65">
        <f>'TOTAL ESTACIONES'!Y58</f>
        <v>0</v>
      </c>
      <c r="Z58" s="65">
        <f>'TOTAL ESTACIONES'!Z58</f>
        <v>0</v>
      </c>
      <c r="AA58" s="65">
        <f>'TOTAL ESTACIONES'!AA58</f>
        <v>0</v>
      </c>
      <c r="AB58" s="65">
        <f>'TOTAL ESTACIONES'!AB58</f>
        <v>0</v>
      </c>
      <c r="AC58" s="65">
        <f>'TOTAL ESTACIONES'!AC58</f>
        <v>0</v>
      </c>
      <c r="AD58" s="65">
        <f>'TOTAL ESTACIONES'!AD58</f>
        <v>0</v>
      </c>
      <c r="AE58" s="65">
        <f>'TOTAL ESTACIONES'!AE58</f>
        <v>0</v>
      </c>
      <c r="AF58" s="65">
        <f>'TOTAL ESTACIONES'!AF58</f>
        <v>0</v>
      </c>
      <c r="AG58" s="65">
        <f>'TOTAL ESTACIONES'!AG58</f>
        <v>0</v>
      </c>
      <c r="AH58" s="65">
        <f>'TOTAL ESTACIONES'!AH58</f>
        <v>0</v>
      </c>
      <c r="AI58" s="65">
        <f>'TOTAL ESTACIONES'!AI58</f>
        <v>0</v>
      </c>
      <c r="AJ58" s="65">
        <f>'TOTAL ESTACIONES'!AJ58</f>
        <v>0</v>
      </c>
      <c r="AK58" s="123">
        <f>'TOTAL ESTACIONES'!AK58</f>
        <v>0</v>
      </c>
      <c r="AL58" s="73">
        <f>'TOTAL ESTACIONES'!AL58</f>
        <v>0</v>
      </c>
      <c r="AM58" s="14">
        <f>'TOTAL ESTACIONES'!AM58</f>
        <v>0</v>
      </c>
      <c r="AN58" s="89"/>
      <c r="AO58" s="254">
        <v>0</v>
      </c>
      <c r="AP58" s="73">
        <v>0</v>
      </c>
      <c r="AQ58" s="180">
        <v>-1</v>
      </c>
      <c r="AR58" s="9">
        <f>+AK58-V58</f>
        <v>0</v>
      </c>
    </row>
    <row r="59" spans="1:49" ht="15" hidden="1" customHeight="1" outlineLevel="1">
      <c r="A59" s="12"/>
      <c r="I59" s="261" t="s">
        <v>165</v>
      </c>
      <c r="J59" s="65">
        <f>'TOTAL ESTACIONES'!J59</f>
        <v>0</v>
      </c>
      <c r="K59" s="65">
        <f>'TOTAL ESTACIONES'!K59</f>
        <v>0</v>
      </c>
      <c r="L59" s="65">
        <f>'TOTAL ESTACIONES'!L59</f>
        <v>0</v>
      </c>
      <c r="M59" s="65">
        <f>'TOTAL ESTACIONES'!M59</f>
        <v>0</v>
      </c>
      <c r="N59" s="65">
        <f>'TOTAL ESTACIONES'!N59</f>
        <v>0</v>
      </c>
      <c r="O59" s="65">
        <f>'TOTAL ESTACIONES'!O59</f>
        <v>0</v>
      </c>
      <c r="P59" s="65">
        <f>'TOTAL ESTACIONES'!P59</f>
        <v>0</v>
      </c>
      <c r="Q59" s="65">
        <f>'TOTAL ESTACIONES'!Q59</f>
        <v>0</v>
      </c>
      <c r="R59" s="65">
        <f>'TOTAL ESTACIONES'!R59</f>
        <v>0</v>
      </c>
      <c r="S59" s="65">
        <f>'TOTAL ESTACIONES'!S59</f>
        <v>0</v>
      </c>
      <c r="T59" s="65">
        <f>'TOTAL ESTACIONES'!T59</f>
        <v>0</v>
      </c>
      <c r="U59" s="65">
        <f>'TOTAL ESTACIONES'!U59</f>
        <v>0</v>
      </c>
      <c r="V59" s="11">
        <f>'TOTAL ESTACIONES'!V59</f>
        <v>0</v>
      </c>
      <c r="W59" s="73">
        <f>'TOTAL ESTACIONES'!W59</f>
        <v>0</v>
      </c>
      <c r="X59" s="89">
        <f>'TOTAL ESTACIONES'!X59</f>
        <v>0</v>
      </c>
      <c r="Y59" s="65">
        <f>'TOTAL ESTACIONES'!Y59</f>
        <v>0</v>
      </c>
      <c r="Z59" s="65">
        <f>'TOTAL ESTACIONES'!Z59</f>
        <v>0</v>
      </c>
      <c r="AA59" s="65">
        <f>'TOTAL ESTACIONES'!AA59</f>
        <v>0</v>
      </c>
      <c r="AB59" s="65">
        <f>'TOTAL ESTACIONES'!AB59</f>
        <v>0</v>
      </c>
      <c r="AC59" s="65">
        <f>'TOTAL ESTACIONES'!AC59</f>
        <v>0</v>
      </c>
      <c r="AD59" s="65">
        <f>'TOTAL ESTACIONES'!AD59</f>
        <v>0</v>
      </c>
      <c r="AE59" s="65">
        <f>'TOTAL ESTACIONES'!AE59</f>
        <v>0</v>
      </c>
      <c r="AF59" s="65">
        <f>'TOTAL ESTACIONES'!AF59</f>
        <v>0</v>
      </c>
      <c r="AG59" s="65">
        <f>'TOTAL ESTACIONES'!AG59</f>
        <v>0</v>
      </c>
      <c r="AH59" s="65">
        <f>'TOTAL ESTACIONES'!AH59</f>
        <v>0</v>
      </c>
      <c r="AI59" s="65">
        <f>'TOTAL ESTACIONES'!AI59</f>
        <v>0</v>
      </c>
      <c r="AJ59" s="65">
        <f>'TOTAL ESTACIONES'!AJ59</f>
        <v>0</v>
      </c>
      <c r="AK59" s="123">
        <f>'TOTAL ESTACIONES'!AK59</f>
        <v>0</v>
      </c>
      <c r="AL59" s="73">
        <f>'TOTAL ESTACIONES'!AL59</f>
        <v>0</v>
      </c>
      <c r="AM59" s="14">
        <f>'TOTAL ESTACIONES'!AM59</f>
        <v>0</v>
      </c>
      <c r="AN59" s="89"/>
      <c r="AO59" s="254">
        <v>343092</v>
      </c>
      <c r="AP59" s="73">
        <v>7.7840892051966922E-5</v>
      </c>
      <c r="AQ59" s="180">
        <v>8.4376955918243013E-2</v>
      </c>
      <c r="AR59" s="9">
        <f>+AK59-V59</f>
        <v>0</v>
      </c>
    </row>
    <row r="60" spans="1:49" ht="15" hidden="1" customHeight="1" outlineLevel="1">
      <c r="A60" s="12"/>
      <c r="I60" s="261" t="s">
        <v>166</v>
      </c>
      <c r="J60" s="65">
        <f>'TOTAL ESTACIONES'!J60</f>
        <v>0</v>
      </c>
      <c r="K60" s="65">
        <f>'TOTAL ESTACIONES'!K60</f>
        <v>0</v>
      </c>
      <c r="L60" s="65">
        <f>'TOTAL ESTACIONES'!L60</f>
        <v>0</v>
      </c>
      <c r="M60" s="65">
        <f>'TOTAL ESTACIONES'!M60</f>
        <v>0</v>
      </c>
      <c r="N60" s="65">
        <f>'TOTAL ESTACIONES'!N60</f>
        <v>0</v>
      </c>
      <c r="O60" s="65">
        <f>'TOTAL ESTACIONES'!O60</f>
        <v>0</v>
      </c>
      <c r="P60" s="65">
        <f>'TOTAL ESTACIONES'!P60</f>
        <v>0</v>
      </c>
      <c r="Q60" s="65">
        <f>'TOTAL ESTACIONES'!Q60</f>
        <v>0</v>
      </c>
      <c r="R60" s="65">
        <f>'TOTAL ESTACIONES'!R60</f>
        <v>0</v>
      </c>
      <c r="S60" s="65">
        <f>'TOTAL ESTACIONES'!S60</f>
        <v>0</v>
      </c>
      <c r="T60" s="65">
        <f>'TOTAL ESTACIONES'!T60</f>
        <v>0</v>
      </c>
      <c r="U60" s="65">
        <f>'TOTAL ESTACIONES'!U60</f>
        <v>0</v>
      </c>
      <c r="V60" s="11">
        <f>'TOTAL ESTACIONES'!V60</f>
        <v>0</v>
      </c>
      <c r="W60" s="73">
        <f>'TOTAL ESTACIONES'!W60</f>
        <v>0</v>
      </c>
      <c r="X60" s="89">
        <f>'TOTAL ESTACIONES'!X60</f>
        <v>0</v>
      </c>
      <c r="Y60" s="65">
        <f>'TOTAL ESTACIONES'!Y60</f>
        <v>0</v>
      </c>
      <c r="Z60" s="65">
        <f>'TOTAL ESTACIONES'!Z60</f>
        <v>0</v>
      </c>
      <c r="AA60" s="65">
        <f>'TOTAL ESTACIONES'!AA60</f>
        <v>0</v>
      </c>
      <c r="AB60" s="65">
        <f>'TOTAL ESTACIONES'!AB60</f>
        <v>0</v>
      </c>
      <c r="AC60" s="65">
        <f>'TOTAL ESTACIONES'!AC60</f>
        <v>0</v>
      </c>
      <c r="AD60" s="65">
        <f>'TOTAL ESTACIONES'!AD60</f>
        <v>0</v>
      </c>
      <c r="AE60" s="65">
        <f>'TOTAL ESTACIONES'!AE60</f>
        <v>0</v>
      </c>
      <c r="AF60" s="65">
        <f>'TOTAL ESTACIONES'!AF60</f>
        <v>0</v>
      </c>
      <c r="AG60" s="65">
        <f>'TOTAL ESTACIONES'!AG60</f>
        <v>0</v>
      </c>
      <c r="AH60" s="65">
        <f>'TOTAL ESTACIONES'!AH60</f>
        <v>0</v>
      </c>
      <c r="AI60" s="65">
        <f>'TOTAL ESTACIONES'!AI60</f>
        <v>0</v>
      </c>
      <c r="AJ60" s="65">
        <f>'TOTAL ESTACIONES'!AJ60</f>
        <v>0</v>
      </c>
      <c r="AK60" s="123">
        <f>'TOTAL ESTACIONES'!AK60</f>
        <v>0</v>
      </c>
      <c r="AL60" s="73">
        <f>'TOTAL ESTACIONES'!AL60</f>
        <v>0</v>
      </c>
      <c r="AM60" s="14">
        <f>'TOTAL ESTACIONES'!AM60</f>
        <v>0</v>
      </c>
      <c r="AN60" s="89"/>
      <c r="AO60" s="254">
        <v>0</v>
      </c>
      <c r="AP60" s="73">
        <v>0</v>
      </c>
      <c r="AQ60" s="180">
        <v>0</v>
      </c>
      <c r="AR60" s="9">
        <f>+AK60-V60</f>
        <v>0</v>
      </c>
    </row>
    <row r="61" spans="1:49" ht="15" hidden="1" customHeight="1" outlineLevel="1">
      <c r="A61" s="12" t="s">
        <v>154</v>
      </c>
      <c r="B61" s="8" t="s">
        <v>89</v>
      </c>
      <c r="I61" s="261" t="s">
        <v>167</v>
      </c>
      <c r="J61" s="65">
        <f>'TOTAL ESTACIONES'!J61</f>
        <v>1500</v>
      </c>
      <c r="K61" s="65">
        <f>'TOTAL ESTACIONES'!K61</f>
        <v>554</v>
      </c>
      <c r="L61" s="65">
        <f>'TOTAL ESTACIONES'!L61</f>
        <v>-555</v>
      </c>
      <c r="M61" s="65">
        <f>'TOTAL ESTACIONES'!M61</f>
        <v>169</v>
      </c>
      <c r="N61" s="65">
        <f>'TOTAL ESTACIONES'!N61</f>
        <v>1200</v>
      </c>
      <c r="O61" s="65">
        <f>'TOTAL ESTACIONES'!O61</f>
        <v>-2719</v>
      </c>
      <c r="P61" s="65">
        <f>'TOTAL ESTACIONES'!P61</f>
        <v>4319</v>
      </c>
      <c r="Q61" s="65">
        <f>'TOTAL ESTACIONES'!Q61</f>
        <v>783</v>
      </c>
      <c r="R61" s="65">
        <f>'TOTAL ESTACIONES'!R61</f>
        <v>2301</v>
      </c>
      <c r="S61" s="65">
        <f>'TOTAL ESTACIONES'!S61</f>
        <v>1</v>
      </c>
      <c r="T61" s="65">
        <f>'TOTAL ESTACIONES'!T61</f>
        <v>0</v>
      </c>
      <c r="U61" s="65">
        <f>'TOTAL ESTACIONES'!U61</f>
        <v>0</v>
      </c>
      <c r="V61" s="11">
        <f>'TOTAL ESTACIONES'!V61</f>
        <v>7553</v>
      </c>
      <c r="W61" s="73">
        <f>'TOTAL ESTACIONES'!W61</f>
        <v>2.2914807904186003E-5</v>
      </c>
      <c r="X61" s="89">
        <f>'TOTAL ESTACIONES'!X61</f>
        <v>0</v>
      </c>
      <c r="Y61" s="65">
        <f>'TOTAL ESTACIONES'!Y61</f>
        <v>0</v>
      </c>
      <c r="Z61" s="65">
        <f>'TOTAL ESTACIONES'!Z61</f>
        <v>0</v>
      </c>
      <c r="AA61" s="65">
        <f>'TOTAL ESTACIONES'!AA61</f>
        <v>0</v>
      </c>
      <c r="AB61" s="65">
        <f>'TOTAL ESTACIONES'!AB61</f>
        <v>0</v>
      </c>
      <c r="AC61" s="65">
        <f>'TOTAL ESTACIONES'!AC61</f>
        <v>0</v>
      </c>
      <c r="AD61" s="65">
        <f>'TOTAL ESTACIONES'!AD61</f>
        <v>0</v>
      </c>
      <c r="AE61" s="65">
        <f>'TOTAL ESTACIONES'!AE61</f>
        <v>0</v>
      </c>
      <c r="AF61" s="65">
        <f>'TOTAL ESTACIONES'!AF61</f>
        <v>0</v>
      </c>
      <c r="AG61" s="65">
        <f>'TOTAL ESTACIONES'!AG61</f>
        <v>0</v>
      </c>
      <c r="AH61" s="65">
        <f>'TOTAL ESTACIONES'!AH61</f>
        <v>0</v>
      </c>
      <c r="AI61" s="65">
        <f>'TOTAL ESTACIONES'!AI61</f>
        <v>0</v>
      </c>
      <c r="AJ61" s="65">
        <f>'TOTAL ESTACIONES'!AJ61</f>
        <v>0</v>
      </c>
      <c r="AK61" s="123">
        <f>'TOTAL ESTACIONES'!AK61</f>
        <v>0</v>
      </c>
      <c r="AL61" s="73">
        <f>'TOTAL ESTACIONES'!AL61</f>
        <v>0</v>
      </c>
      <c r="AM61" s="14">
        <f>'TOTAL ESTACIONES'!AM61</f>
        <v>-1</v>
      </c>
      <c r="AN61" s="89"/>
      <c r="AO61" s="254">
        <v>230499.09999999998</v>
      </c>
      <c r="AP61" s="73">
        <v>5.2295756127148185E-5</v>
      </c>
      <c r="AQ61" s="180">
        <v>-5.89955448952926</v>
      </c>
      <c r="AR61" s="9">
        <f>+AK61-V61</f>
        <v>-7553</v>
      </c>
      <c r="AS61" s="1" t="s">
        <v>408</v>
      </c>
    </row>
    <row r="62" spans="1:49" ht="15" hidden="1" customHeight="1" outlineLevel="1">
      <c r="A62" s="12" t="s">
        <v>154</v>
      </c>
      <c r="B62" s="8" t="s">
        <v>89</v>
      </c>
      <c r="I62" s="261" t="s">
        <v>168</v>
      </c>
      <c r="J62" s="65">
        <f>'TOTAL ESTACIONES'!J62</f>
        <v>4603</v>
      </c>
      <c r="K62" s="65">
        <f>'TOTAL ESTACIONES'!K62</f>
        <v>2640</v>
      </c>
      <c r="L62" s="65">
        <f>'TOTAL ESTACIONES'!L62</f>
        <v>1962</v>
      </c>
      <c r="M62" s="65">
        <f>'TOTAL ESTACIONES'!M62</f>
        <v>3960</v>
      </c>
      <c r="N62" s="65">
        <f>'TOTAL ESTACIONES'!N62</f>
        <v>3161</v>
      </c>
      <c r="O62" s="65">
        <f>'TOTAL ESTACIONES'!O62</f>
        <v>3802</v>
      </c>
      <c r="P62" s="65">
        <f>'TOTAL ESTACIONES'!P62</f>
        <v>3025</v>
      </c>
      <c r="Q62" s="65">
        <f>'TOTAL ESTACIONES'!Q62</f>
        <v>5693</v>
      </c>
      <c r="R62" s="65">
        <f>'TOTAL ESTACIONES'!R62</f>
        <v>2916</v>
      </c>
      <c r="S62" s="65">
        <f>'TOTAL ESTACIONES'!S62</f>
        <v>2380</v>
      </c>
      <c r="T62" s="65">
        <f>'TOTAL ESTACIONES'!T62</f>
        <v>3503.5</v>
      </c>
      <c r="U62" s="65">
        <f>'TOTAL ESTACIONES'!U62</f>
        <v>3623.125</v>
      </c>
      <c r="V62" s="11">
        <f>'TOTAL ESTACIONES'!V62</f>
        <v>41268.625</v>
      </c>
      <c r="W62" s="73">
        <f>'TOTAL ESTACIONES'!W62</f>
        <v>1.2520357663774501E-4</v>
      </c>
      <c r="X62" s="89">
        <f>'TOTAL ESTACIONES'!X62</f>
        <v>0</v>
      </c>
      <c r="Y62" s="65">
        <f>'TOTAL ESTACIONES'!Y62</f>
        <v>3622.85</v>
      </c>
      <c r="Z62" s="65">
        <f>'TOTAL ESTACIONES'!Z62</f>
        <v>3622.85</v>
      </c>
      <c r="AA62" s="65">
        <f>'TOTAL ESTACIONES'!AA62</f>
        <v>3622.85</v>
      </c>
      <c r="AB62" s="65">
        <f>'TOTAL ESTACIONES'!AB62</f>
        <v>3622.85</v>
      </c>
      <c r="AC62" s="65">
        <f>'TOTAL ESTACIONES'!AC62</f>
        <v>3622.85</v>
      </c>
      <c r="AD62" s="65">
        <f>'TOTAL ESTACIONES'!AD62</f>
        <v>3622.85</v>
      </c>
      <c r="AE62" s="65">
        <f>'TOTAL ESTACIONES'!AE62</f>
        <v>3622.85</v>
      </c>
      <c r="AF62" s="65">
        <f>'TOTAL ESTACIONES'!AF62</f>
        <v>3622.85</v>
      </c>
      <c r="AG62" s="65">
        <f>'TOTAL ESTACIONES'!AG62</f>
        <v>3622.85</v>
      </c>
      <c r="AH62" s="65">
        <f>'TOTAL ESTACIONES'!AH62</f>
        <v>3622.85</v>
      </c>
      <c r="AI62" s="65">
        <f>'TOTAL ESTACIONES'!AI62</f>
        <v>3622.85</v>
      </c>
      <c r="AJ62" s="65">
        <f>'TOTAL ESTACIONES'!AJ62</f>
        <v>3622.85</v>
      </c>
      <c r="AK62" s="123">
        <f>'TOTAL ESTACIONES'!AK62</f>
        <v>43474.19999999999</v>
      </c>
      <c r="AL62" s="73">
        <f>'TOTAL ESTACIONES'!AL62</f>
        <v>1.2116582932224184E-4</v>
      </c>
      <c r="AM62" s="14">
        <f>'TOTAL ESTACIONES'!AM62</f>
        <v>5.3444353912929898E-2</v>
      </c>
      <c r="AN62" s="89"/>
      <c r="AO62" s="254">
        <v>2418673.399999998</v>
      </c>
      <c r="AP62" s="73">
        <v>5.4874988352501266E-4</v>
      </c>
      <c r="AQ62" s="180">
        <v>0.79309425377659437</v>
      </c>
      <c r="AR62" s="9">
        <f>+AK62-V62</f>
        <v>2205.5749999999898</v>
      </c>
    </row>
    <row r="63" spans="1:49" ht="15" hidden="1" customHeight="1" outlineLevel="1">
      <c r="A63" s="12" t="s">
        <v>154</v>
      </c>
      <c r="B63" s="8" t="s">
        <v>89</v>
      </c>
      <c r="I63" s="261" t="s">
        <v>169</v>
      </c>
      <c r="J63" s="65">
        <f>'TOTAL ESTACIONES'!J63</f>
        <v>0</v>
      </c>
      <c r="K63" s="65">
        <f>'TOTAL ESTACIONES'!K63</f>
        <v>0</v>
      </c>
      <c r="L63" s="65">
        <f>'TOTAL ESTACIONES'!L63</f>
        <v>0</v>
      </c>
      <c r="M63" s="65">
        <f>'TOTAL ESTACIONES'!M63</f>
        <v>0</v>
      </c>
      <c r="N63" s="65">
        <f>'TOTAL ESTACIONES'!N63</f>
        <v>0</v>
      </c>
      <c r="O63" s="65">
        <f>'TOTAL ESTACIONES'!O63</f>
        <v>0</v>
      </c>
      <c r="P63" s="65">
        <f>'TOTAL ESTACIONES'!P63</f>
        <v>0</v>
      </c>
      <c r="Q63" s="65">
        <f>'TOTAL ESTACIONES'!Q63</f>
        <v>0</v>
      </c>
      <c r="R63" s="65">
        <f>'TOTAL ESTACIONES'!R63</f>
        <v>0</v>
      </c>
      <c r="S63" s="65">
        <f>'TOTAL ESTACIONES'!S63</f>
        <v>0</v>
      </c>
      <c r="T63" s="65">
        <f>'TOTAL ESTACIONES'!T63</f>
        <v>0</v>
      </c>
      <c r="U63" s="65">
        <f>'TOTAL ESTACIONES'!U63</f>
        <v>0</v>
      </c>
      <c r="V63" s="11">
        <f>'TOTAL ESTACIONES'!V63</f>
        <v>0</v>
      </c>
      <c r="W63" s="73">
        <f>'TOTAL ESTACIONES'!W63</f>
        <v>0</v>
      </c>
      <c r="X63" s="89">
        <f>'TOTAL ESTACIONES'!X63</f>
        <v>0</v>
      </c>
      <c r="Y63" s="65">
        <f>'TOTAL ESTACIONES'!Y63</f>
        <v>0</v>
      </c>
      <c r="Z63" s="65">
        <f>'TOTAL ESTACIONES'!Z63</f>
        <v>0</v>
      </c>
      <c r="AA63" s="65">
        <f>'TOTAL ESTACIONES'!AA63</f>
        <v>0</v>
      </c>
      <c r="AB63" s="65">
        <f>'TOTAL ESTACIONES'!AB63</f>
        <v>0</v>
      </c>
      <c r="AC63" s="65">
        <f>'TOTAL ESTACIONES'!AC63</f>
        <v>0</v>
      </c>
      <c r="AD63" s="65">
        <f>'TOTAL ESTACIONES'!AD63</f>
        <v>0</v>
      </c>
      <c r="AE63" s="65">
        <f>'TOTAL ESTACIONES'!AE63</f>
        <v>0</v>
      </c>
      <c r="AF63" s="65">
        <f>'TOTAL ESTACIONES'!AF63</f>
        <v>0</v>
      </c>
      <c r="AG63" s="65">
        <f>'TOTAL ESTACIONES'!AG63</f>
        <v>0</v>
      </c>
      <c r="AH63" s="65">
        <f>'TOTAL ESTACIONES'!AH63</f>
        <v>0</v>
      </c>
      <c r="AI63" s="65">
        <f>'TOTAL ESTACIONES'!AI63</f>
        <v>0</v>
      </c>
      <c r="AJ63" s="65">
        <f>'TOTAL ESTACIONES'!AJ63</f>
        <v>0</v>
      </c>
      <c r="AK63" s="123">
        <f>'TOTAL ESTACIONES'!AK63</f>
        <v>0</v>
      </c>
      <c r="AL63" s="73">
        <f>'TOTAL ESTACIONES'!AL63</f>
        <v>0</v>
      </c>
      <c r="AM63" s="14">
        <f>'TOTAL ESTACIONES'!AM63</f>
        <v>0</v>
      </c>
      <c r="AN63" s="89"/>
      <c r="AO63" s="254">
        <v>0</v>
      </c>
      <c r="AP63" s="73">
        <v>0</v>
      </c>
      <c r="AQ63" s="180">
        <v>0</v>
      </c>
      <c r="AR63" s="9">
        <f t="shared" ref="AR52:AR92" si="0">+AK63-V63</f>
        <v>0</v>
      </c>
    </row>
    <row r="64" spans="1:49" ht="15" hidden="1" customHeight="1" outlineLevel="1">
      <c r="A64" s="12" t="s">
        <v>154</v>
      </c>
      <c r="B64" s="8" t="s">
        <v>89</v>
      </c>
      <c r="I64" s="261" t="s">
        <v>170</v>
      </c>
      <c r="J64" s="65">
        <f>'TOTAL ESTACIONES'!J64</f>
        <v>0</v>
      </c>
      <c r="K64" s="65">
        <f>'TOTAL ESTACIONES'!K64</f>
        <v>0</v>
      </c>
      <c r="L64" s="65">
        <f>'TOTAL ESTACIONES'!L64</f>
        <v>0</v>
      </c>
      <c r="M64" s="65">
        <f>'TOTAL ESTACIONES'!M64</f>
        <v>0</v>
      </c>
      <c r="N64" s="65">
        <f>'TOTAL ESTACIONES'!N64</f>
        <v>0</v>
      </c>
      <c r="O64" s="65">
        <f>'TOTAL ESTACIONES'!O64</f>
        <v>0</v>
      </c>
      <c r="P64" s="65">
        <f>'TOTAL ESTACIONES'!P64</f>
        <v>0</v>
      </c>
      <c r="Q64" s="65">
        <f>'TOTAL ESTACIONES'!Q64</f>
        <v>0</v>
      </c>
      <c r="R64" s="65">
        <f>'TOTAL ESTACIONES'!R64</f>
        <v>0</v>
      </c>
      <c r="S64" s="65">
        <f>'TOTAL ESTACIONES'!S64</f>
        <v>0</v>
      </c>
      <c r="T64" s="65">
        <f>'TOTAL ESTACIONES'!T64</f>
        <v>0</v>
      </c>
      <c r="U64" s="65">
        <f>'TOTAL ESTACIONES'!U64</f>
        <v>0</v>
      </c>
      <c r="V64" s="11">
        <f>'TOTAL ESTACIONES'!V64</f>
        <v>0</v>
      </c>
      <c r="W64" s="73">
        <f>'TOTAL ESTACIONES'!W64</f>
        <v>0</v>
      </c>
      <c r="X64" s="89">
        <f>'TOTAL ESTACIONES'!X64</f>
        <v>0</v>
      </c>
      <c r="Y64" s="65">
        <f>'TOTAL ESTACIONES'!Y64</f>
        <v>0</v>
      </c>
      <c r="Z64" s="65">
        <f>'TOTAL ESTACIONES'!Z64</f>
        <v>0</v>
      </c>
      <c r="AA64" s="65">
        <f>'TOTAL ESTACIONES'!AA64</f>
        <v>0</v>
      </c>
      <c r="AB64" s="65">
        <f>'TOTAL ESTACIONES'!AB64</f>
        <v>0</v>
      </c>
      <c r="AC64" s="65">
        <f>'TOTAL ESTACIONES'!AC64</f>
        <v>0</v>
      </c>
      <c r="AD64" s="65">
        <f>'TOTAL ESTACIONES'!AD64</f>
        <v>0</v>
      </c>
      <c r="AE64" s="65">
        <f>'TOTAL ESTACIONES'!AE64</f>
        <v>0</v>
      </c>
      <c r="AF64" s="65">
        <f>'TOTAL ESTACIONES'!AF64</f>
        <v>0</v>
      </c>
      <c r="AG64" s="65">
        <f>'TOTAL ESTACIONES'!AG64</f>
        <v>0</v>
      </c>
      <c r="AH64" s="65">
        <f>'TOTAL ESTACIONES'!AH64</f>
        <v>0</v>
      </c>
      <c r="AI64" s="65">
        <f>'TOTAL ESTACIONES'!AI64</f>
        <v>0</v>
      </c>
      <c r="AJ64" s="65">
        <f>'TOTAL ESTACIONES'!AJ64</f>
        <v>0</v>
      </c>
      <c r="AK64" s="123">
        <f>'TOTAL ESTACIONES'!AK64</f>
        <v>0</v>
      </c>
      <c r="AL64" s="73">
        <f>'TOTAL ESTACIONES'!AL64</f>
        <v>0</v>
      </c>
      <c r="AM64" s="14">
        <f>'TOTAL ESTACIONES'!AM64</f>
        <v>0</v>
      </c>
      <c r="AN64" s="89"/>
      <c r="AO64" s="254">
        <v>0</v>
      </c>
      <c r="AP64" s="73">
        <v>0</v>
      </c>
      <c r="AQ64" s="180">
        <v>-1</v>
      </c>
      <c r="AR64" s="9">
        <f>+AK64-V64</f>
        <v>0</v>
      </c>
    </row>
    <row r="65" spans="1:45" ht="15" hidden="1" customHeight="1" outlineLevel="1">
      <c r="A65" s="12" t="s">
        <v>154</v>
      </c>
      <c r="B65" s="8" t="s">
        <v>89</v>
      </c>
      <c r="I65" s="261" t="s">
        <v>171</v>
      </c>
      <c r="J65" s="65">
        <f>'TOTAL ESTACIONES'!J65</f>
        <v>7256</v>
      </c>
      <c r="K65" s="65">
        <f>'TOTAL ESTACIONES'!K65</f>
        <v>7256</v>
      </c>
      <c r="L65" s="65">
        <f>'TOTAL ESTACIONES'!L65</f>
        <v>7256</v>
      </c>
      <c r="M65" s="65">
        <f>'TOTAL ESTACIONES'!M65</f>
        <v>7256</v>
      </c>
      <c r="N65" s="65">
        <f>'TOTAL ESTACIONES'!N65</f>
        <v>7256</v>
      </c>
      <c r="O65" s="65">
        <f>'TOTAL ESTACIONES'!O65</f>
        <v>7256</v>
      </c>
      <c r="P65" s="65">
        <f>'TOTAL ESTACIONES'!P65</f>
        <v>7256</v>
      </c>
      <c r="Q65" s="65">
        <f>'TOTAL ESTACIONES'!Q65</f>
        <v>7256</v>
      </c>
      <c r="R65" s="65">
        <f>'TOTAL ESTACIONES'!R65</f>
        <v>7256</v>
      </c>
      <c r="S65" s="65">
        <f>'TOTAL ESTACIONES'!S65</f>
        <v>7256</v>
      </c>
      <c r="T65" s="65">
        <f>'TOTAL ESTACIONES'!T65</f>
        <v>7256</v>
      </c>
      <c r="U65" s="65">
        <f>'TOTAL ESTACIONES'!U65</f>
        <v>7256</v>
      </c>
      <c r="V65" s="11">
        <f>'TOTAL ESTACIONES'!V65</f>
        <v>87072</v>
      </c>
      <c r="W65" s="73">
        <f>'TOTAL ESTACIONES'!W65</f>
        <v>2.6416498792973438E-4</v>
      </c>
      <c r="X65" s="89">
        <f>'TOTAL ESTACIONES'!X65</f>
        <v>0</v>
      </c>
      <c r="Y65" s="65">
        <f>'TOTAL ESTACIONES'!Y65</f>
        <v>11669.7174</v>
      </c>
      <c r="Z65" s="65">
        <f>'TOTAL ESTACIONES'!Z65</f>
        <v>11669.7174</v>
      </c>
      <c r="AA65" s="65">
        <f>'TOTAL ESTACIONES'!AA65</f>
        <v>11669.7174</v>
      </c>
      <c r="AB65" s="65">
        <f>'TOTAL ESTACIONES'!AB65</f>
        <v>11669.7174</v>
      </c>
      <c r="AC65" s="65">
        <f>'TOTAL ESTACIONES'!AC65</f>
        <v>11669.7174</v>
      </c>
      <c r="AD65" s="65">
        <f>'TOTAL ESTACIONES'!AD65</f>
        <v>11669.7174</v>
      </c>
      <c r="AE65" s="65">
        <f>'TOTAL ESTACIONES'!AE65</f>
        <v>11669.7174</v>
      </c>
      <c r="AF65" s="65">
        <f>'TOTAL ESTACIONES'!AF65</f>
        <v>11669.7174</v>
      </c>
      <c r="AG65" s="65">
        <f>'TOTAL ESTACIONES'!AG65</f>
        <v>11669.7174</v>
      </c>
      <c r="AH65" s="65">
        <f>'TOTAL ESTACIONES'!AH65</f>
        <v>11669.7174</v>
      </c>
      <c r="AI65" s="65">
        <f>'TOTAL ESTACIONES'!AI65</f>
        <v>11669.7174</v>
      </c>
      <c r="AJ65" s="65">
        <f>'TOTAL ESTACIONES'!AJ65</f>
        <v>11669.7174</v>
      </c>
      <c r="AK65" s="123">
        <f>'TOTAL ESTACIONES'!AK65</f>
        <v>140036.60879999996</v>
      </c>
      <c r="AL65" s="73">
        <f>'TOTAL ESTACIONES'!AL65</f>
        <v>3.9029244565112986E-4</v>
      </c>
      <c r="AM65" s="14">
        <f>'TOTAL ESTACIONES'!AM65</f>
        <v>0.60828519845644946</v>
      </c>
      <c r="AN65" s="89"/>
      <c r="AO65" s="254">
        <v>409356.28799999988</v>
      </c>
      <c r="AP65" s="73">
        <v>9.2874968302967924E-5</v>
      </c>
      <c r="AQ65" s="180">
        <v>0.11739717078126621</v>
      </c>
      <c r="AR65" s="295">
        <f>+AK65-V65</f>
        <v>52964.608799999958</v>
      </c>
      <c r="AS65" s="1" t="s">
        <v>409</v>
      </c>
    </row>
    <row r="66" spans="1:45" ht="15" hidden="1" customHeight="1" outlineLevel="1">
      <c r="A66" s="12" t="s">
        <v>154</v>
      </c>
      <c r="B66" s="8" t="s">
        <v>89</v>
      </c>
      <c r="I66" s="261" t="s">
        <v>172</v>
      </c>
      <c r="J66" s="65">
        <f>'TOTAL ESTACIONES'!J66</f>
        <v>0</v>
      </c>
      <c r="K66" s="65">
        <f>'TOTAL ESTACIONES'!K66</f>
        <v>0</v>
      </c>
      <c r="L66" s="65">
        <f>'TOTAL ESTACIONES'!L66</f>
        <v>0</v>
      </c>
      <c r="M66" s="65">
        <f>'TOTAL ESTACIONES'!M66</f>
        <v>0</v>
      </c>
      <c r="N66" s="65">
        <f>'TOTAL ESTACIONES'!N66</f>
        <v>0</v>
      </c>
      <c r="O66" s="65">
        <f>'TOTAL ESTACIONES'!O66</f>
        <v>0</v>
      </c>
      <c r="P66" s="65">
        <f>'TOTAL ESTACIONES'!P66</f>
        <v>0</v>
      </c>
      <c r="Q66" s="65">
        <f>'TOTAL ESTACIONES'!Q66</f>
        <v>0</v>
      </c>
      <c r="R66" s="65">
        <f>'TOTAL ESTACIONES'!R66</f>
        <v>0</v>
      </c>
      <c r="S66" s="65">
        <f>'TOTAL ESTACIONES'!S66</f>
        <v>0</v>
      </c>
      <c r="T66" s="65">
        <f>'TOTAL ESTACIONES'!T66</f>
        <v>0</v>
      </c>
      <c r="U66" s="65">
        <f>'TOTAL ESTACIONES'!U66</f>
        <v>0</v>
      </c>
      <c r="V66" s="11">
        <f>'TOTAL ESTACIONES'!V66</f>
        <v>0</v>
      </c>
      <c r="W66" s="73">
        <f>'TOTAL ESTACIONES'!W66</f>
        <v>0</v>
      </c>
      <c r="X66" s="89">
        <f>'TOTAL ESTACIONES'!X66</f>
        <v>0</v>
      </c>
      <c r="Y66" s="65">
        <f>'TOTAL ESTACIONES'!Y66</f>
        <v>0</v>
      </c>
      <c r="Z66" s="65">
        <f>'TOTAL ESTACIONES'!Z66</f>
        <v>0</v>
      </c>
      <c r="AA66" s="65">
        <f>'TOTAL ESTACIONES'!AA66</f>
        <v>0</v>
      </c>
      <c r="AB66" s="65">
        <f>'TOTAL ESTACIONES'!AB66</f>
        <v>0</v>
      </c>
      <c r="AC66" s="65">
        <f>'TOTAL ESTACIONES'!AC66</f>
        <v>0</v>
      </c>
      <c r="AD66" s="65">
        <f>'TOTAL ESTACIONES'!AD66</f>
        <v>0</v>
      </c>
      <c r="AE66" s="65">
        <f>'TOTAL ESTACIONES'!AE66</f>
        <v>0</v>
      </c>
      <c r="AF66" s="65">
        <f>'TOTAL ESTACIONES'!AF66</f>
        <v>0</v>
      </c>
      <c r="AG66" s="65">
        <f>'TOTAL ESTACIONES'!AG66</f>
        <v>0</v>
      </c>
      <c r="AH66" s="65">
        <f>'TOTAL ESTACIONES'!AH66</f>
        <v>0</v>
      </c>
      <c r="AI66" s="65">
        <f>'TOTAL ESTACIONES'!AI66</f>
        <v>0</v>
      </c>
      <c r="AJ66" s="65">
        <f>'TOTAL ESTACIONES'!AJ66</f>
        <v>0</v>
      </c>
      <c r="AK66" s="123">
        <f>'TOTAL ESTACIONES'!AK66</f>
        <v>0</v>
      </c>
      <c r="AL66" s="73">
        <f>'TOTAL ESTACIONES'!AL66</f>
        <v>0</v>
      </c>
      <c r="AM66" s="14">
        <f>'TOTAL ESTACIONES'!AM66</f>
        <v>0</v>
      </c>
      <c r="AN66" s="89"/>
      <c r="AO66" s="254">
        <v>0</v>
      </c>
      <c r="AP66" s="73">
        <v>0</v>
      </c>
      <c r="AQ66" s="180">
        <v>0</v>
      </c>
      <c r="AR66" s="9">
        <f>+AK66-V66</f>
        <v>0</v>
      </c>
    </row>
    <row r="67" spans="1:45" ht="15" hidden="1" customHeight="1" outlineLevel="1">
      <c r="A67" s="12" t="s">
        <v>154</v>
      </c>
      <c r="B67" s="8" t="s">
        <v>89</v>
      </c>
      <c r="I67" s="261" t="s">
        <v>173</v>
      </c>
      <c r="J67" s="65">
        <f>'TOTAL ESTACIONES'!J67</f>
        <v>0</v>
      </c>
      <c r="K67" s="65">
        <f>'TOTAL ESTACIONES'!K67</f>
        <v>0</v>
      </c>
      <c r="L67" s="65">
        <f>'TOTAL ESTACIONES'!L67</f>
        <v>0</v>
      </c>
      <c r="M67" s="65">
        <f>'TOTAL ESTACIONES'!M67</f>
        <v>3048</v>
      </c>
      <c r="N67" s="65">
        <f>'TOTAL ESTACIONES'!N67</f>
        <v>2097</v>
      </c>
      <c r="O67" s="65">
        <f>'TOTAL ESTACIONES'!O67</f>
        <v>2669</v>
      </c>
      <c r="P67" s="65">
        <f>'TOTAL ESTACIONES'!P67</f>
        <v>2793</v>
      </c>
      <c r="Q67" s="65">
        <f>'TOTAL ESTACIONES'!Q67</f>
        <v>0</v>
      </c>
      <c r="R67" s="65">
        <f>'TOTAL ESTACIONES'!R67</f>
        <v>0</v>
      </c>
      <c r="S67" s="65">
        <f>'TOTAL ESTACIONES'!S67</f>
        <v>243</v>
      </c>
      <c r="T67" s="65">
        <f>'TOTAL ESTACIONES'!T67</f>
        <v>0</v>
      </c>
      <c r="U67" s="65">
        <f>'TOTAL ESTACIONES'!U67</f>
        <v>0</v>
      </c>
      <c r="V67" s="11">
        <f>'TOTAL ESTACIONES'!V67</f>
        <v>10850</v>
      </c>
      <c r="W67" s="73">
        <f>'TOTAL ESTACIONES'!W67</f>
        <v>3.2917471966161543E-5</v>
      </c>
      <c r="X67" s="89">
        <f>'TOTAL ESTACIONES'!X67</f>
        <v>0</v>
      </c>
      <c r="Y67" s="65">
        <f>'TOTAL ESTACIONES'!Y67</f>
        <v>0</v>
      </c>
      <c r="Z67" s="65">
        <f>'TOTAL ESTACIONES'!Z67</f>
        <v>0</v>
      </c>
      <c r="AA67" s="65">
        <f>'TOTAL ESTACIONES'!AA67</f>
        <v>0</v>
      </c>
      <c r="AB67" s="65">
        <f>'TOTAL ESTACIONES'!AB67</f>
        <v>0</v>
      </c>
      <c r="AC67" s="65">
        <f>'TOTAL ESTACIONES'!AC67</f>
        <v>0</v>
      </c>
      <c r="AD67" s="65">
        <f>'TOTAL ESTACIONES'!AD67</f>
        <v>0</v>
      </c>
      <c r="AE67" s="65">
        <f>'TOTAL ESTACIONES'!AE67</f>
        <v>0</v>
      </c>
      <c r="AF67" s="65">
        <f>'TOTAL ESTACIONES'!AF67</f>
        <v>0</v>
      </c>
      <c r="AG67" s="65">
        <f>'TOTAL ESTACIONES'!AG67</f>
        <v>0</v>
      </c>
      <c r="AH67" s="65">
        <f>'TOTAL ESTACIONES'!AH67</f>
        <v>0</v>
      </c>
      <c r="AI67" s="65">
        <f>'TOTAL ESTACIONES'!AI67</f>
        <v>0</v>
      </c>
      <c r="AJ67" s="65">
        <f>'TOTAL ESTACIONES'!AJ67</f>
        <v>0</v>
      </c>
      <c r="AK67" s="123">
        <f>'TOTAL ESTACIONES'!AK67</f>
        <v>0</v>
      </c>
      <c r="AL67" s="73">
        <f>'TOTAL ESTACIONES'!AL67</f>
        <v>0</v>
      </c>
      <c r="AM67" s="14">
        <f>'TOTAL ESTACIONES'!AM67</f>
        <v>-1</v>
      </c>
      <c r="AN67" s="89"/>
      <c r="AO67" s="254">
        <v>167582.08860000002</v>
      </c>
      <c r="AP67" s="73">
        <v>3.8021111738413478E-5</v>
      </c>
      <c r="AQ67" s="180">
        <v>3.1923391819347335E-2</v>
      </c>
      <c r="AR67" s="9">
        <f>+AK67-V67</f>
        <v>-10850</v>
      </c>
      <c r="AS67" s="1" t="s">
        <v>408</v>
      </c>
    </row>
    <row r="68" spans="1:45" ht="15" hidden="1" customHeight="1" outlineLevel="1">
      <c r="A68" s="12" t="s">
        <v>154</v>
      </c>
      <c r="B68" s="8" t="s">
        <v>89</v>
      </c>
      <c r="I68" s="261" t="s">
        <v>174</v>
      </c>
      <c r="J68" s="65">
        <f>'TOTAL ESTACIONES'!J68</f>
        <v>1664</v>
      </c>
      <c r="K68" s="65">
        <f>'TOTAL ESTACIONES'!K68</f>
        <v>1664</v>
      </c>
      <c r="L68" s="65">
        <f>'TOTAL ESTACIONES'!L68</f>
        <v>1664</v>
      </c>
      <c r="M68" s="65">
        <f>'TOTAL ESTACIONES'!M68</f>
        <v>1664</v>
      </c>
      <c r="N68" s="65">
        <f>'TOTAL ESTACIONES'!N68</f>
        <v>1664</v>
      </c>
      <c r="O68" s="65">
        <f>'TOTAL ESTACIONES'!O68</f>
        <v>1664</v>
      </c>
      <c r="P68" s="65">
        <f>'TOTAL ESTACIONES'!P68</f>
        <v>3328</v>
      </c>
      <c r="Q68" s="65">
        <f>'TOTAL ESTACIONES'!Q68</f>
        <v>1664</v>
      </c>
      <c r="R68" s="65">
        <f>'TOTAL ESTACIONES'!R68</f>
        <v>0</v>
      </c>
      <c r="S68" s="65">
        <f>'TOTAL ESTACIONES'!S68</f>
        <v>3328</v>
      </c>
      <c r="T68" s="65">
        <f>'TOTAL ESTACIONES'!T68</f>
        <v>1664</v>
      </c>
      <c r="U68" s="65">
        <f>'TOTAL ESTACIONES'!U68</f>
        <v>1664</v>
      </c>
      <c r="V68" s="11">
        <f>'TOTAL ESTACIONES'!V68</f>
        <v>21632</v>
      </c>
      <c r="W68" s="73">
        <f>'TOTAL ESTACIONES'!W68</f>
        <v>6.5628640882212577E-5</v>
      </c>
      <c r="X68" s="89">
        <f>'TOTAL ESTACIONES'!X68</f>
        <v>0</v>
      </c>
      <c r="Y68" s="65">
        <f>'TOTAL ESTACIONES'!Y68</f>
        <v>1730.56</v>
      </c>
      <c r="Z68" s="65">
        <f>'TOTAL ESTACIONES'!Z68</f>
        <v>1730.56</v>
      </c>
      <c r="AA68" s="65">
        <f>'TOTAL ESTACIONES'!AA68</f>
        <v>1730.56</v>
      </c>
      <c r="AB68" s="65">
        <f>'TOTAL ESTACIONES'!AB68</f>
        <v>1730.56</v>
      </c>
      <c r="AC68" s="65">
        <f>'TOTAL ESTACIONES'!AC68</f>
        <v>1730.56</v>
      </c>
      <c r="AD68" s="65">
        <f>'TOTAL ESTACIONES'!AD68</f>
        <v>1730.56</v>
      </c>
      <c r="AE68" s="65">
        <f>'TOTAL ESTACIONES'!AE68</f>
        <v>1730.56</v>
      </c>
      <c r="AF68" s="65">
        <f>'TOTAL ESTACIONES'!AF68</f>
        <v>1730.56</v>
      </c>
      <c r="AG68" s="65">
        <f>'TOTAL ESTACIONES'!AG68</f>
        <v>1730.56</v>
      </c>
      <c r="AH68" s="65">
        <f>'TOTAL ESTACIONES'!AH68</f>
        <v>1730.56</v>
      </c>
      <c r="AI68" s="65">
        <f>'TOTAL ESTACIONES'!AI68</f>
        <v>1730.56</v>
      </c>
      <c r="AJ68" s="65">
        <f>'TOTAL ESTACIONES'!AJ68</f>
        <v>1730.56</v>
      </c>
      <c r="AK68" s="123">
        <f>'TOTAL ESTACIONES'!AK68</f>
        <v>20766.72</v>
      </c>
      <c r="AL68" s="73">
        <f>'TOTAL ESTACIONES'!AL68</f>
        <v>5.787839341730928E-5</v>
      </c>
      <c r="AM68" s="14">
        <f>'TOTAL ESTACIONES'!AM68</f>
        <v>-3.9999999999999925E-2</v>
      </c>
      <c r="AN68" s="89"/>
      <c r="AO68" s="254">
        <v>0</v>
      </c>
      <c r="AP68" s="73">
        <v>0</v>
      </c>
      <c r="AQ68" s="180">
        <v>-1</v>
      </c>
      <c r="AR68" s="9">
        <f t="shared" si="0"/>
        <v>-865.27999999999884</v>
      </c>
      <c r="AS68" s="1" t="s">
        <v>408</v>
      </c>
    </row>
    <row r="69" spans="1:45" ht="14.45" hidden="1" customHeight="1" outlineLevel="1">
      <c r="A69" s="12" t="s">
        <v>154</v>
      </c>
      <c r="B69" s="8" t="s">
        <v>89</v>
      </c>
      <c r="I69" s="261" t="s">
        <v>175</v>
      </c>
      <c r="J69" s="65">
        <f>'TOTAL ESTACIONES'!J69</f>
        <v>0</v>
      </c>
      <c r="K69" s="65">
        <f>'TOTAL ESTACIONES'!K69</f>
        <v>0</v>
      </c>
      <c r="L69" s="65">
        <f>'TOTAL ESTACIONES'!L69</f>
        <v>0</v>
      </c>
      <c r="M69" s="65">
        <f>'TOTAL ESTACIONES'!M69</f>
        <v>0</v>
      </c>
      <c r="N69" s="65">
        <f>'TOTAL ESTACIONES'!N69</f>
        <v>0</v>
      </c>
      <c r="O69" s="65">
        <f>'TOTAL ESTACIONES'!O69</f>
        <v>0</v>
      </c>
      <c r="P69" s="65">
        <f>'TOTAL ESTACIONES'!P69</f>
        <v>0</v>
      </c>
      <c r="Q69" s="65">
        <f>'TOTAL ESTACIONES'!Q69</f>
        <v>0</v>
      </c>
      <c r="R69" s="65">
        <f>'TOTAL ESTACIONES'!R69</f>
        <v>0</v>
      </c>
      <c r="S69" s="65">
        <f>'TOTAL ESTACIONES'!S69</f>
        <v>0</v>
      </c>
      <c r="T69" s="65">
        <f>'TOTAL ESTACIONES'!T69</f>
        <v>0</v>
      </c>
      <c r="U69" s="65">
        <f>'TOTAL ESTACIONES'!U69</f>
        <v>0</v>
      </c>
      <c r="V69" s="11">
        <f>'TOTAL ESTACIONES'!V69</f>
        <v>0</v>
      </c>
      <c r="W69" s="73">
        <f>'TOTAL ESTACIONES'!W69</f>
        <v>0</v>
      </c>
      <c r="X69" s="89">
        <f>'TOTAL ESTACIONES'!X69</f>
        <v>0</v>
      </c>
      <c r="Y69" s="65">
        <f>'TOTAL ESTACIONES'!Y69</f>
        <v>0</v>
      </c>
      <c r="Z69" s="65">
        <f>'TOTAL ESTACIONES'!Z69</f>
        <v>0</v>
      </c>
      <c r="AA69" s="65">
        <f>'TOTAL ESTACIONES'!AA69</f>
        <v>0</v>
      </c>
      <c r="AB69" s="65">
        <f>'TOTAL ESTACIONES'!AB69</f>
        <v>0</v>
      </c>
      <c r="AC69" s="65">
        <f>'TOTAL ESTACIONES'!AC69</f>
        <v>0</v>
      </c>
      <c r="AD69" s="65">
        <f>'TOTAL ESTACIONES'!AD69</f>
        <v>0</v>
      </c>
      <c r="AE69" s="65">
        <f>'TOTAL ESTACIONES'!AE69</f>
        <v>0</v>
      </c>
      <c r="AF69" s="65">
        <f>'TOTAL ESTACIONES'!AF69</f>
        <v>0</v>
      </c>
      <c r="AG69" s="65">
        <f>'TOTAL ESTACIONES'!AG69</f>
        <v>0</v>
      </c>
      <c r="AH69" s="65">
        <f>'TOTAL ESTACIONES'!AH69</f>
        <v>0</v>
      </c>
      <c r="AI69" s="65">
        <f>'TOTAL ESTACIONES'!AI69</f>
        <v>0</v>
      </c>
      <c r="AJ69" s="65">
        <f>'TOTAL ESTACIONES'!AJ69</f>
        <v>0</v>
      </c>
      <c r="AK69" s="123">
        <f>'TOTAL ESTACIONES'!AK69</f>
        <v>0</v>
      </c>
      <c r="AL69" s="73">
        <f>'TOTAL ESTACIONES'!AL69</f>
        <v>0</v>
      </c>
      <c r="AM69" s="14">
        <f>'TOTAL ESTACIONES'!AM69</f>
        <v>0</v>
      </c>
      <c r="AN69" s="89"/>
      <c r="AO69" s="254">
        <v>0</v>
      </c>
      <c r="AP69" s="73">
        <v>0</v>
      </c>
      <c r="AQ69" s="180">
        <v>-1</v>
      </c>
      <c r="AR69" s="9">
        <f t="shared" si="0"/>
        <v>0</v>
      </c>
    </row>
    <row r="70" spans="1:45" ht="15" hidden="1" customHeight="1" outlineLevel="1">
      <c r="A70" s="12" t="s">
        <v>154</v>
      </c>
      <c r="B70" s="8" t="s">
        <v>89</v>
      </c>
      <c r="I70" s="261" t="s">
        <v>176</v>
      </c>
      <c r="J70" s="65">
        <f>'TOTAL ESTACIONES'!J70</f>
        <v>0</v>
      </c>
      <c r="K70" s="65">
        <f>'TOTAL ESTACIONES'!K70</f>
        <v>0</v>
      </c>
      <c r="L70" s="65">
        <f>'TOTAL ESTACIONES'!L70</f>
        <v>0</v>
      </c>
      <c r="M70" s="65">
        <f>'TOTAL ESTACIONES'!M70</f>
        <v>0</v>
      </c>
      <c r="N70" s="65">
        <f>'TOTAL ESTACIONES'!N70</f>
        <v>0</v>
      </c>
      <c r="O70" s="65">
        <f>'TOTAL ESTACIONES'!O70</f>
        <v>0</v>
      </c>
      <c r="P70" s="65">
        <f>'TOTAL ESTACIONES'!P70</f>
        <v>0</v>
      </c>
      <c r="Q70" s="65">
        <f>'TOTAL ESTACIONES'!Q70</f>
        <v>0</v>
      </c>
      <c r="R70" s="65">
        <f>'TOTAL ESTACIONES'!R70</f>
        <v>0</v>
      </c>
      <c r="S70" s="65">
        <f>'TOTAL ESTACIONES'!S70</f>
        <v>0</v>
      </c>
      <c r="T70" s="65">
        <f>'TOTAL ESTACIONES'!T70</f>
        <v>0</v>
      </c>
      <c r="U70" s="65">
        <f>'TOTAL ESTACIONES'!U70</f>
        <v>0</v>
      </c>
      <c r="V70" s="11">
        <f>'TOTAL ESTACIONES'!V70</f>
        <v>0</v>
      </c>
      <c r="W70" s="73">
        <f>'TOTAL ESTACIONES'!W70</f>
        <v>0</v>
      </c>
      <c r="X70" s="89">
        <f>'TOTAL ESTACIONES'!X70</f>
        <v>0</v>
      </c>
      <c r="Y70" s="65">
        <f>'TOTAL ESTACIONES'!Y70</f>
        <v>748.80000000000007</v>
      </c>
      <c r="Z70" s="65">
        <f>'TOTAL ESTACIONES'!Z70</f>
        <v>748.80000000000007</v>
      </c>
      <c r="AA70" s="65">
        <f>'TOTAL ESTACIONES'!AA70</f>
        <v>748.80000000000007</v>
      </c>
      <c r="AB70" s="65">
        <f>'TOTAL ESTACIONES'!AB70</f>
        <v>748.80000000000007</v>
      </c>
      <c r="AC70" s="65">
        <f>'TOTAL ESTACIONES'!AC70</f>
        <v>748.80000000000007</v>
      </c>
      <c r="AD70" s="65">
        <f>'TOTAL ESTACIONES'!AD70</f>
        <v>748.80000000000007</v>
      </c>
      <c r="AE70" s="65">
        <f>'TOTAL ESTACIONES'!AE70</f>
        <v>748.80000000000007</v>
      </c>
      <c r="AF70" s="65">
        <f>'TOTAL ESTACIONES'!AF70</f>
        <v>748.80000000000007</v>
      </c>
      <c r="AG70" s="65">
        <f>'TOTAL ESTACIONES'!AG70</f>
        <v>748.80000000000007</v>
      </c>
      <c r="AH70" s="65">
        <f>'TOTAL ESTACIONES'!AH70</f>
        <v>748.80000000000007</v>
      </c>
      <c r="AI70" s="65">
        <f>'TOTAL ESTACIONES'!AI70</f>
        <v>748.80000000000007</v>
      </c>
      <c r="AJ70" s="65">
        <f>'TOTAL ESTACIONES'!AJ70</f>
        <v>748.80000000000007</v>
      </c>
      <c r="AK70" s="123">
        <f>'TOTAL ESTACIONES'!AK70</f>
        <v>8985.6</v>
      </c>
      <c r="AL70" s="73">
        <f>'TOTAL ESTACIONES'!AL70</f>
        <v>2.5043535613258821E-5</v>
      </c>
      <c r="AM70" s="14">
        <f>'TOTAL ESTACIONES'!AM70</f>
        <v>0</v>
      </c>
      <c r="AN70" s="89"/>
      <c r="AO70" s="254">
        <v>0</v>
      </c>
      <c r="AP70" s="73">
        <v>0</v>
      </c>
      <c r="AQ70" s="180">
        <v>-1</v>
      </c>
      <c r="AR70" s="9">
        <f t="shared" si="0"/>
        <v>8985.6</v>
      </c>
      <c r="AS70" s="1" t="s">
        <v>410</v>
      </c>
    </row>
    <row r="71" spans="1:45" ht="15" hidden="1" customHeight="1" outlineLevel="1">
      <c r="A71" s="12" t="s">
        <v>154</v>
      </c>
      <c r="B71" s="8" t="s">
        <v>89</v>
      </c>
      <c r="I71" s="261" t="s">
        <v>177</v>
      </c>
      <c r="J71" s="65">
        <f>'TOTAL ESTACIONES'!J71</f>
        <v>0</v>
      </c>
      <c r="K71" s="65">
        <f>'TOTAL ESTACIONES'!K71</f>
        <v>0</v>
      </c>
      <c r="L71" s="65">
        <f>'TOTAL ESTACIONES'!L71</f>
        <v>0</v>
      </c>
      <c r="M71" s="65">
        <f>'TOTAL ESTACIONES'!M71</f>
        <v>0</v>
      </c>
      <c r="N71" s="65">
        <f>'TOTAL ESTACIONES'!N71</f>
        <v>0</v>
      </c>
      <c r="O71" s="65">
        <f>'TOTAL ESTACIONES'!O71</f>
        <v>0</v>
      </c>
      <c r="P71" s="65">
        <f>'TOTAL ESTACIONES'!P71</f>
        <v>0</v>
      </c>
      <c r="Q71" s="65">
        <f>'TOTAL ESTACIONES'!Q71</f>
        <v>0</v>
      </c>
      <c r="R71" s="65">
        <f>'TOTAL ESTACIONES'!R71</f>
        <v>0</v>
      </c>
      <c r="S71" s="65">
        <f>'TOTAL ESTACIONES'!S71</f>
        <v>0</v>
      </c>
      <c r="T71" s="65">
        <f>'TOTAL ESTACIONES'!T71</f>
        <v>0</v>
      </c>
      <c r="U71" s="65">
        <f>'TOTAL ESTACIONES'!U71</f>
        <v>0</v>
      </c>
      <c r="V71" s="11">
        <f>'TOTAL ESTACIONES'!V71</f>
        <v>0</v>
      </c>
      <c r="W71" s="73">
        <f>'TOTAL ESTACIONES'!W71</f>
        <v>0</v>
      </c>
      <c r="X71" s="89">
        <f>'TOTAL ESTACIONES'!X71</f>
        <v>0</v>
      </c>
      <c r="Y71" s="65">
        <f>'TOTAL ESTACIONES'!Y71</f>
        <v>0</v>
      </c>
      <c r="Z71" s="65">
        <f>'TOTAL ESTACIONES'!Z71</f>
        <v>0</v>
      </c>
      <c r="AA71" s="65">
        <f>'TOTAL ESTACIONES'!AA71</f>
        <v>0</v>
      </c>
      <c r="AB71" s="65">
        <f>'TOTAL ESTACIONES'!AB71</f>
        <v>0</v>
      </c>
      <c r="AC71" s="65">
        <f>'TOTAL ESTACIONES'!AC71</f>
        <v>0</v>
      </c>
      <c r="AD71" s="65">
        <f>'TOTAL ESTACIONES'!AD71</f>
        <v>0</v>
      </c>
      <c r="AE71" s="65">
        <f>'TOTAL ESTACIONES'!AE71</f>
        <v>0</v>
      </c>
      <c r="AF71" s="65">
        <f>'TOTAL ESTACIONES'!AF71</f>
        <v>0</v>
      </c>
      <c r="AG71" s="65">
        <f>'TOTAL ESTACIONES'!AG71</f>
        <v>0</v>
      </c>
      <c r="AH71" s="65">
        <f>'TOTAL ESTACIONES'!AH71</f>
        <v>0</v>
      </c>
      <c r="AI71" s="65">
        <f>'TOTAL ESTACIONES'!AI71</f>
        <v>0</v>
      </c>
      <c r="AJ71" s="65">
        <f>'TOTAL ESTACIONES'!AJ71</f>
        <v>0</v>
      </c>
      <c r="AK71" s="123">
        <f>'TOTAL ESTACIONES'!AK71</f>
        <v>0</v>
      </c>
      <c r="AL71" s="73">
        <f>'TOTAL ESTACIONES'!AL71</f>
        <v>0</v>
      </c>
      <c r="AM71" s="14">
        <f>'TOTAL ESTACIONES'!AM71</f>
        <v>0</v>
      </c>
      <c r="AN71" s="89"/>
      <c r="AO71" s="254">
        <v>231497.50856000005</v>
      </c>
      <c r="AP71" s="73">
        <v>5.2522275582404285E-5</v>
      </c>
      <c r="AQ71" s="180">
        <v>6.0000000000000053E-2</v>
      </c>
      <c r="AR71" s="9">
        <f t="shared" si="0"/>
        <v>0</v>
      </c>
    </row>
    <row r="72" spans="1:45" ht="15" hidden="1" customHeight="1" outlineLevel="1">
      <c r="A72" s="12" t="s">
        <v>154</v>
      </c>
      <c r="B72" s="8" t="s">
        <v>89</v>
      </c>
      <c r="I72" s="261" t="s">
        <v>178</v>
      </c>
      <c r="J72" s="65">
        <f>'TOTAL ESTACIONES'!J72</f>
        <v>0</v>
      </c>
      <c r="K72" s="65">
        <f>'TOTAL ESTACIONES'!K72</f>
        <v>0</v>
      </c>
      <c r="L72" s="65">
        <f>'TOTAL ESTACIONES'!L72</f>
        <v>0</v>
      </c>
      <c r="M72" s="65">
        <f>'TOTAL ESTACIONES'!M72</f>
        <v>0</v>
      </c>
      <c r="N72" s="65">
        <f>'TOTAL ESTACIONES'!N72</f>
        <v>0</v>
      </c>
      <c r="O72" s="65">
        <f>'TOTAL ESTACIONES'!O72</f>
        <v>0</v>
      </c>
      <c r="P72" s="65">
        <f>'TOTAL ESTACIONES'!P72</f>
        <v>0</v>
      </c>
      <c r="Q72" s="65">
        <f>'TOTAL ESTACIONES'!Q72</f>
        <v>0</v>
      </c>
      <c r="R72" s="65">
        <f>'TOTAL ESTACIONES'!R72</f>
        <v>0</v>
      </c>
      <c r="S72" s="65">
        <f>'TOTAL ESTACIONES'!S72</f>
        <v>0</v>
      </c>
      <c r="T72" s="65">
        <f>'TOTAL ESTACIONES'!T72</f>
        <v>0</v>
      </c>
      <c r="U72" s="65">
        <f>'TOTAL ESTACIONES'!U72</f>
        <v>0</v>
      </c>
      <c r="V72" s="11">
        <f>'TOTAL ESTACIONES'!V72</f>
        <v>0</v>
      </c>
      <c r="W72" s="73">
        <f>'TOTAL ESTACIONES'!W72</f>
        <v>0</v>
      </c>
      <c r="X72" s="89">
        <f>'TOTAL ESTACIONES'!X72</f>
        <v>0</v>
      </c>
      <c r="Y72" s="65">
        <f>'TOTAL ESTACIONES'!Y72</f>
        <v>0</v>
      </c>
      <c r="Z72" s="65">
        <f>'TOTAL ESTACIONES'!Z72</f>
        <v>0</v>
      </c>
      <c r="AA72" s="65">
        <f>'TOTAL ESTACIONES'!AA72</f>
        <v>0</v>
      </c>
      <c r="AB72" s="65">
        <f>'TOTAL ESTACIONES'!AB72</f>
        <v>0</v>
      </c>
      <c r="AC72" s="65">
        <f>'TOTAL ESTACIONES'!AC72</f>
        <v>0</v>
      </c>
      <c r="AD72" s="65">
        <f>'TOTAL ESTACIONES'!AD72</f>
        <v>0</v>
      </c>
      <c r="AE72" s="65">
        <f>'TOTAL ESTACIONES'!AE72</f>
        <v>0</v>
      </c>
      <c r="AF72" s="65">
        <f>'TOTAL ESTACIONES'!AF72</f>
        <v>0</v>
      </c>
      <c r="AG72" s="65">
        <f>'TOTAL ESTACIONES'!AG72</f>
        <v>0</v>
      </c>
      <c r="AH72" s="65">
        <f>'TOTAL ESTACIONES'!AH72</f>
        <v>0</v>
      </c>
      <c r="AI72" s="65">
        <f>'TOTAL ESTACIONES'!AI72</f>
        <v>0</v>
      </c>
      <c r="AJ72" s="65">
        <f>'TOTAL ESTACIONES'!AJ72</f>
        <v>0</v>
      </c>
      <c r="AK72" s="123">
        <f>'TOTAL ESTACIONES'!AK72</f>
        <v>0</v>
      </c>
      <c r="AL72" s="73">
        <f>'TOTAL ESTACIONES'!AL72</f>
        <v>0</v>
      </c>
      <c r="AM72" s="14">
        <f>'TOTAL ESTACIONES'!AM72</f>
        <v>0</v>
      </c>
      <c r="AN72" s="89"/>
      <c r="AO72" s="254">
        <v>817328.52111382864</v>
      </c>
      <c r="AP72" s="73">
        <v>1.85435921510893E-4</v>
      </c>
      <c r="AQ72" s="180">
        <v>2.65457241988504</v>
      </c>
      <c r="AR72" s="9">
        <f t="shared" si="0"/>
        <v>0</v>
      </c>
    </row>
    <row r="73" spans="1:45" ht="15" hidden="1" customHeight="1" outlineLevel="1">
      <c r="A73" s="12" t="s">
        <v>154</v>
      </c>
      <c r="B73" s="8" t="s">
        <v>89</v>
      </c>
      <c r="I73" s="261" t="s">
        <v>179</v>
      </c>
      <c r="J73" s="65">
        <f>'TOTAL ESTACIONES'!J73</f>
        <v>0</v>
      </c>
      <c r="K73" s="65">
        <f>'TOTAL ESTACIONES'!K73</f>
        <v>5215</v>
      </c>
      <c r="L73" s="65">
        <f>'TOTAL ESTACIONES'!L73</f>
        <v>2103</v>
      </c>
      <c r="M73" s="65">
        <f>'TOTAL ESTACIONES'!M73</f>
        <v>1656</v>
      </c>
      <c r="N73" s="65">
        <f>'TOTAL ESTACIONES'!N73</f>
        <v>1812</v>
      </c>
      <c r="O73" s="65">
        <f>'TOTAL ESTACIONES'!O73</f>
        <v>1949</v>
      </c>
      <c r="P73" s="65">
        <f>'TOTAL ESTACIONES'!P73</f>
        <v>2020</v>
      </c>
      <c r="Q73" s="65">
        <f>'TOTAL ESTACIONES'!Q73</f>
        <v>725</v>
      </c>
      <c r="R73" s="65">
        <f>'TOTAL ESTACIONES'!R73</f>
        <v>695</v>
      </c>
      <c r="S73" s="65">
        <f>'TOTAL ESTACIONES'!S73</f>
        <v>0</v>
      </c>
      <c r="T73" s="65">
        <f>'TOTAL ESTACIONES'!T73</f>
        <v>0</v>
      </c>
      <c r="U73" s="65">
        <f>'TOTAL ESTACIONES'!U73</f>
        <v>0</v>
      </c>
      <c r="V73" s="11">
        <f>'TOTAL ESTACIONES'!V73</f>
        <v>16175</v>
      </c>
      <c r="W73" s="73">
        <f>'TOTAL ESTACIONES'!W73</f>
        <v>4.9072821110844513E-5</v>
      </c>
      <c r="X73" s="89">
        <f>'TOTAL ESTACIONES'!X73</f>
        <v>0</v>
      </c>
      <c r="Y73" s="65">
        <f>'TOTAL ESTACIONES'!Y73</f>
        <v>0</v>
      </c>
      <c r="Z73" s="65">
        <f>'TOTAL ESTACIONES'!Z73</f>
        <v>0</v>
      </c>
      <c r="AA73" s="65">
        <f>'TOTAL ESTACIONES'!AA73</f>
        <v>0</v>
      </c>
      <c r="AB73" s="65">
        <f>'TOTAL ESTACIONES'!AB73</f>
        <v>0</v>
      </c>
      <c r="AC73" s="65">
        <f>'TOTAL ESTACIONES'!AC73</f>
        <v>0</v>
      </c>
      <c r="AD73" s="65">
        <f>'TOTAL ESTACIONES'!AD73</f>
        <v>0</v>
      </c>
      <c r="AE73" s="65">
        <f>'TOTAL ESTACIONES'!AE73</f>
        <v>0</v>
      </c>
      <c r="AF73" s="65">
        <f>'TOTAL ESTACIONES'!AF73</f>
        <v>0</v>
      </c>
      <c r="AG73" s="65">
        <f>'TOTAL ESTACIONES'!AG73</f>
        <v>0</v>
      </c>
      <c r="AH73" s="65">
        <f>'TOTAL ESTACIONES'!AH73</f>
        <v>0</v>
      </c>
      <c r="AI73" s="65">
        <f>'TOTAL ESTACIONES'!AI73</f>
        <v>0</v>
      </c>
      <c r="AJ73" s="65">
        <f>'TOTAL ESTACIONES'!AJ73</f>
        <v>0</v>
      </c>
      <c r="AK73" s="123">
        <f>'TOTAL ESTACIONES'!AK73</f>
        <v>0</v>
      </c>
      <c r="AL73" s="73">
        <f>'TOTAL ESTACIONES'!AL73</f>
        <v>0</v>
      </c>
      <c r="AM73" s="14">
        <f>'TOTAL ESTACIONES'!AM73</f>
        <v>-1</v>
      </c>
      <c r="AN73" s="89"/>
      <c r="AO73" s="254">
        <v>0</v>
      </c>
      <c r="AP73" s="73">
        <v>0</v>
      </c>
      <c r="AQ73" s="180">
        <v>0</v>
      </c>
      <c r="AR73" s="9">
        <f t="shared" si="0"/>
        <v>-16175</v>
      </c>
    </row>
    <row r="74" spans="1:45" ht="15" hidden="1" customHeight="1" outlineLevel="1">
      <c r="A74" s="12" t="s">
        <v>154</v>
      </c>
      <c r="B74" s="8" t="s">
        <v>89</v>
      </c>
      <c r="I74" s="261" t="s">
        <v>180</v>
      </c>
      <c r="J74" s="65">
        <f>'TOTAL ESTACIONES'!J74</f>
        <v>1620</v>
      </c>
      <c r="K74" s="65">
        <f>'TOTAL ESTACIONES'!K74</f>
        <v>1867</v>
      </c>
      <c r="L74" s="65">
        <f>'TOTAL ESTACIONES'!L74</f>
        <v>1554</v>
      </c>
      <c r="M74" s="65">
        <f>'TOTAL ESTACIONES'!M74</f>
        <v>1597</v>
      </c>
      <c r="N74" s="65">
        <f>'TOTAL ESTACIONES'!N74</f>
        <v>1515</v>
      </c>
      <c r="O74" s="65">
        <f>'TOTAL ESTACIONES'!O74</f>
        <v>1645</v>
      </c>
      <c r="P74" s="65">
        <f>'TOTAL ESTACIONES'!P74</f>
        <v>1654</v>
      </c>
      <c r="Q74" s="65">
        <f>'TOTAL ESTACIONES'!Q74</f>
        <v>1616</v>
      </c>
      <c r="R74" s="65">
        <f>'TOTAL ESTACIONES'!R74</f>
        <v>1643</v>
      </c>
      <c r="S74" s="65">
        <f>'TOTAL ESTACIONES'!S74</f>
        <v>1554</v>
      </c>
      <c r="T74" s="65">
        <f>'TOTAL ESTACIONES'!T74</f>
        <v>1616.75</v>
      </c>
      <c r="U74" s="65">
        <f>'TOTAL ESTACIONES'!U74</f>
        <v>1607.4375</v>
      </c>
      <c r="V74" s="11">
        <f>'TOTAL ESTACIONES'!V74</f>
        <v>19489.1875</v>
      </c>
      <c r="W74" s="73">
        <f>'TOTAL ESTACIONES'!W74</f>
        <v>5.9127629785669678E-5</v>
      </c>
      <c r="X74" s="89">
        <f>'TOTAL ESTACIONES'!X74</f>
        <v>0</v>
      </c>
      <c r="Y74" s="65">
        <f>'TOTAL ESTACIONES'!Y74</f>
        <v>2173.71</v>
      </c>
      <c r="Z74" s="65">
        <f>'TOTAL ESTACIONES'!Z74</f>
        <v>2173.71</v>
      </c>
      <c r="AA74" s="65">
        <f>'TOTAL ESTACIONES'!AA74</f>
        <v>2173.71</v>
      </c>
      <c r="AB74" s="65">
        <f>'TOTAL ESTACIONES'!AB74</f>
        <v>2173.71</v>
      </c>
      <c r="AC74" s="65">
        <f>'TOTAL ESTACIONES'!AC74</f>
        <v>2173.71</v>
      </c>
      <c r="AD74" s="65">
        <f>'TOTAL ESTACIONES'!AD74</f>
        <v>2173.71</v>
      </c>
      <c r="AE74" s="65">
        <f>'TOTAL ESTACIONES'!AE74</f>
        <v>2173.71</v>
      </c>
      <c r="AF74" s="65">
        <f>'TOTAL ESTACIONES'!AF74</f>
        <v>2173.71</v>
      </c>
      <c r="AG74" s="65">
        <f>'TOTAL ESTACIONES'!AG74</f>
        <v>2173.71</v>
      </c>
      <c r="AH74" s="65">
        <f>'TOTAL ESTACIONES'!AH74</f>
        <v>2173.71</v>
      </c>
      <c r="AI74" s="65">
        <f>'TOTAL ESTACIONES'!AI74</f>
        <v>2173.71</v>
      </c>
      <c r="AJ74" s="65">
        <f>'TOTAL ESTACIONES'!AJ74</f>
        <v>2173.71</v>
      </c>
      <c r="AK74" s="123">
        <f>'TOTAL ESTACIONES'!AK74</f>
        <v>26084.519999999993</v>
      </c>
      <c r="AL74" s="73">
        <f>'TOTAL ESTACIONES'!AL74</f>
        <v>7.2699497593345112E-5</v>
      </c>
      <c r="AM74" s="14">
        <f>'TOTAL ESTACIONES'!AM74</f>
        <v>0.3384098233956645</v>
      </c>
      <c r="AN74" s="89"/>
      <c r="AO74" s="254">
        <v>3050316.0983099998</v>
      </c>
      <c r="AP74" s="73">
        <v>6.9205730863128724E-4</v>
      </c>
      <c r="AQ74" s="180">
        <v>6.2999999999999945E-2</v>
      </c>
      <c r="AR74" s="9">
        <f t="shared" si="0"/>
        <v>6595.3324999999932</v>
      </c>
    </row>
    <row r="75" spans="1:45" ht="15" hidden="1" customHeight="1" outlineLevel="1">
      <c r="A75" s="12" t="s">
        <v>154</v>
      </c>
      <c r="B75" s="8" t="s">
        <v>89</v>
      </c>
      <c r="I75" s="261" t="s">
        <v>181</v>
      </c>
      <c r="J75" s="65">
        <f>'TOTAL ESTACIONES'!J75</f>
        <v>3272</v>
      </c>
      <c r="K75" s="65">
        <f>'TOTAL ESTACIONES'!K75</f>
        <v>5065</v>
      </c>
      <c r="L75" s="65">
        <f>'TOTAL ESTACIONES'!L75</f>
        <v>3231</v>
      </c>
      <c r="M75" s="65">
        <f>'TOTAL ESTACIONES'!M75</f>
        <v>3598</v>
      </c>
      <c r="N75" s="65">
        <f>'TOTAL ESTACIONES'!N75</f>
        <v>3473</v>
      </c>
      <c r="O75" s="65">
        <f>'TOTAL ESTACIONES'!O75</f>
        <v>5434</v>
      </c>
      <c r="P75" s="65">
        <f>'TOTAL ESTACIONES'!P75</f>
        <v>4665</v>
      </c>
      <c r="Q75" s="65">
        <f>'TOTAL ESTACIONES'!Q75</f>
        <v>4760</v>
      </c>
      <c r="R75" s="65">
        <f>'TOTAL ESTACIONES'!R75</f>
        <v>3554</v>
      </c>
      <c r="S75" s="65">
        <f>'TOTAL ESTACIONES'!S75</f>
        <v>1768</v>
      </c>
      <c r="T75" s="65">
        <f>'TOTAL ESTACIONES'!T75</f>
        <v>3686.75</v>
      </c>
      <c r="U75" s="65">
        <f>'TOTAL ESTACIONES'!U75</f>
        <v>3442.1875</v>
      </c>
      <c r="V75" s="11">
        <f>'TOTAL ESTACIONES'!V75</f>
        <v>45948.9375</v>
      </c>
      <c r="W75" s="73">
        <f>'TOTAL ESTACIONES'!W75</f>
        <v>1.3940302875863216E-4</v>
      </c>
      <c r="X75" s="89">
        <f>'TOTAL ESTACIONES'!X75</f>
        <v>0</v>
      </c>
      <c r="Y75" s="65">
        <f>'TOTAL ESTACIONES'!Y75</f>
        <v>3315.9502465753426</v>
      </c>
      <c r="Z75" s="65">
        <f>'TOTAL ESTACIONES'!Z75</f>
        <v>2995.0518356164384</v>
      </c>
      <c r="AA75" s="65">
        <f>'TOTAL ESTACIONES'!AA75</f>
        <v>3315.9502465753426</v>
      </c>
      <c r="AB75" s="65">
        <f>'TOTAL ESTACIONES'!AB75</f>
        <v>3208.9841095890411</v>
      </c>
      <c r="AC75" s="65">
        <f>'TOTAL ESTACIONES'!AC75</f>
        <v>3315.9502465753426</v>
      </c>
      <c r="AD75" s="65">
        <f>'TOTAL ESTACIONES'!AD75</f>
        <v>3208.9841095890411</v>
      </c>
      <c r="AE75" s="65">
        <f>'TOTAL ESTACIONES'!AE75</f>
        <v>3315.9502465753426</v>
      </c>
      <c r="AF75" s="65">
        <f>'TOTAL ESTACIONES'!AF75</f>
        <v>3315.9502465753426</v>
      </c>
      <c r="AG75" s="65">
        <f>'TOTAL ESTACIONES'!AG75</f>
        <v>3208.9841095890411</v>
      </c>
      <c r="AH75" s="65">
        <f>'TOTAL ESTACIONES'!AH75</f>
        <v>3315.9502465753426</v>
      </c>
      <c r="AI75" s="65">
        <f>'TOTAL ESTACIONES'!AI75</f>
        <v>3208.9841095890411</v>
      </c>
      <c r="AJ75" s="65">
        <f>'TOTAL ESTACIONES'!AJ75</f>
        <v>3315.9502465753426</v>
      </c>
      <c r="AK75" s="123">
        <f>'TOTAL ESTACIONES'!AK75</f>
        <v>39042.639999999999</v>
      </c>
      <c r="AL75" s="73">
        <f>'TOTAL ESTACIONES'!AL75</f>
        <v>1.0881474195108211E-4</v>
      </c>
      <c r="AM75" s="14">
        <f>'TOTAL ESTACIONES'!AM75</f>
        <v>-0.15030374750232256</v>
      </c>
      <c r="AN75" s="89"/>
      <c r="AO75" s="254">
        <v>353957.24000000022</v>
      </c>
      <c r="AP75" s="73">
        <v>8.0306003374757098E-5</v>
      </c>
      <c r="AQ75" s="180">
        <v>27.041747639732531</v>
      </c>
      <c r="AR75" s="9">
        <f t="shared" si="0"/>
        <v>-6906.2975000000006</v>
      </c>
    </row>
    <row r="76" spans="1:45" ht="15" hidden="1" customHeight="1" outlineLevel="1">
      <c r="A76" s="12"/>
      <c r="I76" s="261" t="s">
        <v>182</v>
      </c>
      <c r="J76" s="65">
        <f>'TOTAL ESTACIONES'!J76</f>
        <v>13204</v>
      </c>
      <c r="K76" s="65">
        <f>'TOTAL ESTACIONES'!K76</f>
        <v>0</v>
      </c>
      <c r="L76" s="65">
        <f>'TOTAL ESTACIONES'!L76</f>
        <v>2041</v>
      </c>
      <c r="M76" s="65">
        <f>'TOTAL ESTACIONES'!M76</f>
        <v>620</v>
      </c>
      <c r="N76" s="65">
        <f>'TOTAL ESTACIONES'!N76</f>
        <v>2676</v>
      </c>
      <c r="O76" s="65">
        <f>'TOTAL ESTACIONES'!O76</f>
        <v>58059</v>
      </c>
      <c r="P76" s="65">
        <f>'TOTAL ESTACIONES'!P76</f>
        <v>9140</v>
      </c>
      <c r="Q76" s="65">
        <f>'TOTAL ESTACIONES'!Q76</f>
        <v>6869</v>
      </c>
      <c r="R76" s="65">
        <f>'TOTAL ESTACIONES'!R76</f>
        <v>0</v>
      </c>
      <c r="S76" s="65">
        <f>'TOTAL ESTACIONES'!S76</f>
        <v>8235</v>
      </c>
      <c r="T76" s="65">
        <f>'TOTAL ESTACIONES'!T76</f>
        <v>57790.720000000001</v>
      </c>
      <c r="U76" s="65">
        <f>'TOTAL ESTACIONES'!U76</f>
        <v>15358.720000000001</v>
      </c>
      <c r="V76" s="11">
        <f>'TOTAL ESTACIONES'!V76</f>
        <v>173993.44</v>
      </c>
      <c r="W76" s="73">
        <f>'TOTAL ESTACIONES'!W76</f>
        <v>5.2787319663557706E-4</v>
      </c>
      <c r="X76" s="89">
        <f>'TOTAL ESTACIONES'!X76</f>
        <v>0</v>
      </c>
      <c r="Y76" s="65">
        <f>'TOTAL ESTACIONES'!Y76</f>
        <v>5719.9211959999993</v>
      </c>
      <c r="Z76" s="65">
        <f>'TOTAL ESTACIONES'!Z76</f>
        <v>5719.9211959999993</v>
      </c>
      <c r="AA76" s="65">
        <f>'TOTAL ESTACIONES'!AA76</f>
        <v>5719.9211959999993</v>
      </c>
      <c r="AB76" s="65">
        <f>'TOTAL ESTACIONES'!AB76</f>
        <v>11439.842391999999</v>
      </c>
      <c r="AC76" s="65">
        <f>'TOTAL ESTACIONES'!AC76</f>
        <v>14299.802989999996</v>
      </c>
      <c r="AD76" s="65">
        <f>'TOTAL ESTACIONES'!AD76</f>
        <v>28599.605979999997</v>
      </c>
      <c r="AE76" s="65">
        <f>'TOTAL ESTACIONES'!AE76</f>
        <v>14299.802989999998</v>
      </c>
      <c r="AF76" s="65">
        <f>'TOTAL ESTACIONES'!AF76</f>
        <v>8579.8817939999972</v>
      </c>
      <c r="AG76" s="65">
        <f>'TOTAL ESTACIONES'!AG76</f>
        <v>8579.881793999999</v>
      </c>
      <c r="AH76" s="65">
        <f>'TOTAL ESTACIONES'!AH76</f>
        <v>54350.409739999988</v>
      </c>
      <c r="AI76" s="65">
        <f>'TOTAL ESTACIONES'!AI76</f>
        <v>0</v>
      </c>
      <c r="AJ76" s="65">
        <f>'TOTAL ESTACIONES'!AJ76</f>
        <v>22879.684783999997</v>
      </c>
      <c r="AK76" s="123">
        <f>'TOTAL ESTACIONES'!AK76</f>
        <v>180188.67605199997</v>
      </c>
      <c r="AL76" s="73">
        <f>'TOTAL ESTACIONES'!AL76</f>
        <v>5.0219924388067775E-4</v>
      </c>
      <c r="AM76" s="14">
        <f>'TOTAL ESTACIONES'!AM76</f>
        <v>3.5606147289230838E-2</v>
      </c>
      <c r="AN76" s="89"/>
      <c r="AO76" s="254">
        <v>0</v>
      </c>
      <c r="AP76" s="73">
        <v>0</v>
      </c>
      <c r="AQ76" s="180">
        <v>0</v>
      </c>
      <c r="AR76" s="295">
        <f t="shared" si="0"/>
        <v>6195.2360519999638</v>
      </c>
      <c r="AS76" s="1" t="s">
        <v>411</v>
      </c>
    </row>
    <row r="77" spans="1:45" ht="15" hidden="1" customHeight="1" outlineLevel="1">
      <c r="A77" s="12"/>
      <c r="I77" s="261" t="s">
        <v>183</v>
      </c>
      <c r="J77" s="65">
        <f>'TOTAL ESTACIONES'!J77</f>
        <v>0</v>
      </c>
      <c r="K77" s="65">
        <f>'TOTAL ESTACIONES'!K77</f>
        <v>0</v>
      </c>
      <c r="L77" s="65">
        <f>'TOTAL ESTACIONES'!L77</f>
        <v>0</v>
      </c>
      <c r="M77" s="65">
        <f>'TOTAL ESTACIONES'!M77</f>
        <v>730</v>
      </c>
      <c r="N77" s="65">
        <f>'TOTAL ESTACIONES'!N77</f>
        <v>0</v>
      </c>
      <c r="O77" s="65">
        <f>'TOTAL ESTACIONES'!O77</f>
        <v>0</v>
      </c>
      <c r="P77" s="65">
        <f>'TOTAL ESTACIONES'!P77</f>
        <v>0</v>
      </c>
      <c r="Q77" s="65">
        <f>'TOTAL ESTACIONES'!Q77</f>
        <v>1460</v>
      </c>
      <c r="R77" s="65">
        <f>'TOTAL ESTACIONES'!R77</f>
        <v>0</v>
      </c>
      <c r="S77" s="65">
        <f>'TOTAL ESTACIONES'!S77</f>
        <v>0</v>
      </c>
      <c r="T77" s="65">
        <f>'TOTAL ESTACIONES'!T77</f>
        <v>520</v>
      </c>
      <c r="U77" s="65">
        <f>'TOTAL ESTACIONES'!U77</f>
        <v>520</v>
      </c>
      <c r="V77" s="11">
        <f>'TOTAL ESTACIONES'!V77</f>
        <v>3230</v>
      </c>
      <c r="W77" s="73">
        <f>'TOTAL ESTACIONES'!W77</f>
        <v>9.7993948802490122E-6</v>
      </c>
      <c r="X77" s="89">
        <f>'TOTAL ESTACIONES'!X77</f>
        <v>0</v>
      </c>
      <c r="Y77" s="65">
        <f>'TOTAL ESTACIONES'!Y77</f>
        <v>0</v>
      </c>
      <c r="Z77" s="65">
        <f>'TOTAL ESTACIONES'!Z77</f>
        <v>0</v>
      </c>
      <c r="AA77" s="65">
        <f>'TOTAL ESTACIONES'!AA77</f>
        <v>0</v>
      </c>
      <c r="AB77" s="65">
        <f>'TOTAL ESTACIONES'!AB77</f>
        <v>1055.8019999999999</v>
      </c>
      <c r="AC77" s="65">
        <f>'TOTAL ESTACIONES'!AC77</f>
        <v>0</v>
      </c>
      <c r="AD77" s="65">
        <f>'TOTAL ESTACIONES'!AD77</f>
        <v>1055.8019999999999</v>
      </c>
      <c r="AE77" s="65">
        <f>'TOTAL ESTACIONES'!AE77</f>
        <v>1055.8019999999999</v>
      </c>
      <c r="AF77" s="65">
        <f>'TOTAL ESTACIONES'!AF77</f>
        <v>3167.4059999999999</v>
      </c>
      <c r="AG77" s="65">
        <f>'TOTAL ESTACIONES'!AG77</f>
        <v>2111.6039999999998</v>
      </c>
      <c r="AH77" s="65">
        <f>'TOTAL ESTACIONES'!AH77</f>
        <v>0</v>
      </c>
      <c r="AI77" s="65">
        <f>'TOTAL ESTACIONES'!AI77</f>
        <v>0</v>
      </c>
      <c r="AJ77" s="65">
        <f>'TOTAL ESTACIONES'!AJ77</f>
        <v>0</v>
      </c>
      <c r="AK77" s="123">
        <f>'TOTAL ESTACIONES'!AK77</f>
        <v>8446.4159999999993</v>
      </c>
      <c r="AL77" s="73">
        <f>'TOTAL ESTACIONES'!AL77</f>
        <v>2.3540789696892705E-5</v>
      </c>
      <c r="AM77" s="14">
        <f>'TOTAL ESTACIONES'!AM77</f>
        <v>1.6149894736842101</v>
      </c>
      <c r="AN77" s="89"/>
      <c r="AO77" s="254">
        <v>0</v>
      </c>
      <c r="AP77" s="73">
        <v>0</v>
      </c>
      <c r="AQ77" s="180">
        <v>-1</v>
      </c>
      <c r="AR77" s="9">
        <f t="shared" si="0"/>
        <v>5216.4159999999993</v>
      </c>
    </row>
    <row r="78" spans="1:45" ht="15" hidden="1" customHeight="1" outlineLevel="1">
      <c r="A78" s="12"/>
      <c r="I78" s="261" t="s">
        <v>184</v>
      </c>
      <c r="J78" s="65">
        <f>'TOTAL ESTACIONES'!J78</f>
        <v>4291</v>
      </c>
      <c r="K78" s="65">
        <f>'TOTAL ESTACIONES'!K78</f>
        <v>2772</v>
      </c>
      <c r="L78" s="65">
        <f>'TOTAL ESTACIONES'!L78</f>
        <v>2772</v>
      </c>
      <c r="M78" s="65">
        <f>'TOTAL ESTACIONES'!M78</f>
        <v>2772</v>
      </c>
      <c r="N78" s="65">
        <f>'TOTAL ESTACIONES'!N78</f>
        <v>2772</v>
      </c>
      <c r="O78" s="65">
        <f>'TOTAL ESTACIONES'!O78</f>
        <v>2772</v>
      </c>
      <c r="P78" s="65">
        <f>'TOTAL ESTACIONES'!P78</f>
        <v>1253</v>
      </c>
      <c r="Q78" s="65">
        <f>'TOTAL ESTACIONES'!Q78</f>
        <v>2772</v>
      </c>
      <c r="R78" s="65">
        <f>'TOTAL ESTACIONES'!R78</f>
        <v>2772</v>
      </c>
      <c r="S78" s="65">
        <f>'TOTAL ESTACIONES'!S78</f>
        <v>2772</v>
      </c>
      <c r="T78" s="65">
        <f>'TOTAL ESTACIONES'!T78</f>
        <v>0</v>
      </c>
      <c r="U78" s="65">
        <f>'TOTAL ESTACIONES'!U78</f>
        <v>0</v>
      </c>
      <c r="V78" s="11">
        <f>'TOTAL ESTACIONES'!V78</f>
        <v>27720</v>
      </c>
      <c r="W78" s="73">
        <f>'TOTAL ESTACIONES'!W78</f>
        <v>8.4098831603870788E-5</v>
      </c>
      <c r="X78" s="89">
        <f>'TOTAL ESTACIONES'!X78</f>
        <v>0</v>
      </c>
      <c r="Y78" s="65">
        <f>'TOTAL ESTACIONES'!Y78</f>
        <v>1881.5264000000002</v>
      </c>
      <c r="Z78" s="65">
        <f>'TOTAL ESTACIONES'!Z78</f>
        <v>0</v>
      </c>
      <c r="AA78" s="65">
        <f>'TOTAL ESTACIONES'!AA78</f>
        <v>0</v>
      </c>
      <c r="AB78" s="65">
        <f>'TOTAL ESTACIONES'!AB78</f>
        <v>0</v>
      </c>
      <c r="AC78" s="65">
        <f>'TOTAL ESTACIONES'!AC78</f>
        <v>0</v>
      </c>
      <c r="AD78" s="65">
        <f>'TOTAL ESTACIONES'!AD78</f>
        <v>0</v>
      </c>
      <c r="AE78" s="65">
        <f>'TOTAL ESTACIONES'!AE78</f>
        <v>0</v>
      </c>
      <c r="AF78" s="65">
        <f>'TOTAL ESTACIONES'!AF78</f>
        <v>0</v>
      </c>
      <c r="AG78" s="65">
        <f>'TOTAL ESTACIONES'!AG78</f>
        <v>0</v>
      </c>
      <c r="AH78" s="65">
        <f>'TOTAL ESTACIONES'!AH78</f>
        <v>0</v>
      </c>
      <c r="AI78" s="65">
        <f>'TOTAL ESTACIONES'!AI78</f>
        <v>0</v>
      </c>
      <c r="AJ78" s="65">
        <f>'TOTAL ESTACIONES'!AJ78</f>
        <v>0</v>
      </c>
      <c r="AK78" s="123">
        <f>'TOTAL ESTACIONES'!AK78</f>
        <v>1881.5264000000002</v>
      </c>
      <c r="AL78" s="73">
        <f>'TOTAL ESTACIONES'!AL78</f>
        <v>5.2439540382040897E-6</v>
      </c>
      <c r="AM78" s="14">
        <f>'TOTAL ESTACIONES'!AM78</f>
        <v>-0.9321238672438672</v>
      </c>
      <c r="AN78" s="89"/>
      <c r="AO78" s="254">
        <v>0</v>
      </c>
      <c r="AP78" s="73">
        <v>0</v>
      </c>
      <c r="AQ78" s="180">
        <v>0</v>
      </c>
      <c r="AR78" s="9">
        <f t="shared" si="0"/>
        <v>-25838.473600000001</v>
      </c>
    </row>
    <row r="79" spans="1:45" ht="15" hidden="1" customHeight="1" outlineLevel="1">
      <c r="A79" s="12"/>
      <c r="I79" s="261" t="s">
        <v>185</v>
      </c>
      <c r="J79" s="65">
        <f>'TOTAL ESTACIONES'!J79</f>
        <v>0</v>
      </c>
      <c r="K79" s="65">
        <f>'TOTAL ESTACIONES'!K79</f>
        <v>0</v>
      </c>
      <c r="L79" s="65">
        <f>'TOTAL ESTACIONES'!L79</f>
        <v>0</v>
      </c>
      <c r="M79" s="65">
        <f>'TOTAL ESTACIONES'!M79</f>
        <v>0</v>
      </c>
      <c r="N79" s="65">
        <f>'TOTAL ESTACIONES'!N79</f>
        <v>0</v>
      </c>
      <c r="O79" s="65">
        <f>'TOTAL ESTACIONES'!O79</f>
        <v>0</v>
      </c>
      <c r="P79" s="65">
        <f>'TOTAL ESTACIONES'!P79</f>
        <v>0</v>
      </c>
      <c r="Q79" s="65">
        <f>'TOTAL ESTACIONES'!Q79</f>
        <v>0</v>
      </c>
      <c r="R79" s="65">
        <f>'TOTAL ESTACIONES'!R79</f>
        <v>0</v>
      </c>
      <c r="S79" s="65">
        <f>'TOTAL ESTACIONES'!S79</f>
        <v>0</v>
      </c>
      <c r="T79" s="65">
        <f>'TOTAL ESTACIONES'!T79</f>
        <v>0</v>
      </c>
      <c r="U79" s="65">
        <f>'TOTAL ESTACIONES'!U79</f>
        <v>0</v>
      </c>
      <c r="V79" s="11">
        <f>'TOTAL ESTACIONES'!V79</f>
        <v>0</v>
      </c>
      <c r="W79" s="73">
        <f>'TOTAL ESTACIONES'!W79</f>
        <v>0</v>
      </c>
      <c r="X79" s="89">
        <f>'TOTAL ESTACIONES'!X79</f>
        <v>0</v>
      </c>
      <c r="Y79" s="65">
        <f>'TOTAL ESTACIONES'!Y79</f>
        <v>0</v>
      </c>
      <c r="Z79" s="65">
        <f>'TOTAL ESTACIONES'!Z79</f>
        <v>0</v>
      </c>
      <c r="AA79" s="65">
        <f>'TOTAL ESTACIONES'!AA79</f>
        <v>0</v>
      </c>
      <c r="AB79" s="65">
        <f>'TOTAL ESTACIONES'!AB79</f>
        <v>0</v>
      </c>
      <c r="AC79" s="65">
        <f>'TOTAL ESTACIONES'!AC79</f>
        <v>0</v>
      </c>
      <c r="AD79" s="65">
        <f>'TOTAL ESTACIONES'!AD79</f>
        <v>0</v>
      </c>
      <c r="AE79" s="65">
        <f>'TOTAL ESTACIONES'!AE79</f>
        <v>0</v>
      </c>
      <c r="AF79" s="65">
        <f>'TOTAL ESTACIONES'!AF79</f>
        <v>0</v>
      </c>
      <c r="AG79" s="65">
        <f>'TOTAL ESTACIONES'!AG79</f>
        <v>0</v>
      </c>
      <c r="AH79" s="65">
        <f>'TOTAL ESTACIONES'!AH79</f>
        <v>0</v>
      </c>
      <c r="AI79" s="65">
        <f>'TOTAL ESTACIONES'!AI79</f>
        <v>0</v>
      </c>
      <c r="AJ79" s="65">
        <f>'TOTAL ESTACIONES'!AJ79</f>
        <v>0</v>
      </c>
      <c r="AK79" s="123">
        <f>'TOTAL ESTACIONES'!AK79</f>
        <v>0</v>
      </c>
      <c r="AL79" s="73">
        <f>'TOTAL ESTACIONES'!AL79</f>
        <v>0</v>
      </c>
      <c r="AM79" s="14">
        <f>'TOTAL ESTACIONES'!AM79</f>
        <v>0</v>
      </c>
      <c r="AN79" s="89"/>
      <c r="AO79" s="254">
        <v>0</v>
      </c>
      <c r="AP79" s="73">
        <v>0</v>
      </c>
      <c r="AQ79" s="180">
        <v>-1</v>
      </c>
      <c r="AR79" s="9">
        <f t="shared" si="0"/>
        <v>0</v>
      </c>
    </row>
    <row r="80" spans="1:45" ht="15" hidden="1" customHeight="1" outlineLevel="1">
      <c r="A80" s="12"/>
      <c r="I80" s="261" t="s">
        <v>186</v>
      </c>
      <c r="J80" s="65">
        <f>'TOTAL ESTACIONES'!J80</f>
        <v>0</v>
      </c>
      <c r="K80" s="65">
        <f>'TOTAL ESTACIONES'!K80</f>
        <v>0</v>
      </c>
      <c r="L80" s="65">
        <f>'TOTAL ESTACIONES'!L80</f>
        <v>0</v>
      </c>
      <c r="M80" s="65">
        <f>'TOTAL ESTACIONES'!M80</f>
        <v>0</v>
      </c>
      <c r="N80" s="65">
        <f>'TOTAL ESTACIONES'!N80</f>
        <v>0</v>
      </c>
      <c r="O80" s="65">
        <f>'TOTAL ESTACIONES'!O80</f>
        <v>0</v>
      </c>
      <c r="P80" s="65">
        <f>'TOTAL ESTACIONES'!P80</f>
        <v>0</v>
      </c>
      <c r="Q80" s="65">
        <f>'TOTAL ESTACIONES'!Q80</f>
        <v>0</v>
      </c>
      <c r="R80" s="65">
        <f>'TOTAL ESTACIONES'!R80</f>
        <v>0</v>
      </c>
      <c r="S80" s="65">
        <f>'TOTAL ESTACIONES'!S80</f>
        <v>0</v>
      </c>
      <c r="T80" s="65">
        <f>'TOTAL ESTACIONES'!T80</f>
        <v>0</v>
      </c>
      <c r="U80" s="65">
        <f>'TOTAL ESTACIONES'!U80</f>
        <v>0</v>
      </c>
      <c r="V80" s="11">
        <f>'TOTAL ESTACIONES'!V80</f>
        <v>0</v>
      </c>
      <c r="W80" s="73">
        <f>'TOTAL ESTACIONES'!W80</f>
        <v>0</v>
      </c>
      <c r="X80" s="89">
        <f>'TOTAL ESTACIONES'!X80</f>
        <v>0</v>
      </c>
      <c r="Y80" s="65">
        <f>'TOTAL ESTACIONES'!Y80</f>
        <v>22251.84</v>
      </c>
      <c r="Z80" s="65">
        <f>'TOTAL ESTACIONES'!Z80</f>
        <v>0</v>
      </c>
      <c r="AA80" s="65">
        <f>'TOTAL ESTACIONES'!AA80</f>
        <v>0</v>
      </c>
      <c r="AB80" s="65">
        <f>'TOTAL ESTACIONES'!AB80</f>
        <v>0</v>
      </c>
      <c r="AC80" s="65">
        <f>'TOTAL ESTACIONES'!AC80</f>
        <v>0</v>
      </c>
      <c r="AD80" s="65">
        <f>'TOTAL ESTACIONES'!AD80</f>
        <v>0</v>
      </c>
      <c r="AE80" s="65">
        <f>'TOTAL ESTACIONES'!AE80</f>
        <v>0</v>
      </c>
      <c r="AF80" s="65">
        <f>'TOTAL ESTACIONES'!AF80</f>
        <v>0</v>
      </c>
      <c r="AG80" s="65">
        <f>'TOTAL ESTACIONES'!AG80</f>
        <v>0</v>
      </c>
      <c r="AH80" s="65">
        <f>'TOTAL ESTACIONES'!AH80</f>
        <v>0</v>
      </c>
      <c r="AI80" s="65">
        <f>'TOTAL ESTACIONES'!AI80</f>
        <v>0</v>
      </c>
      <c r="AJ80" s="65">
        <f>'TOTAL ESTACIONES'!AJ80</f>
        <v>0</v>
      </c>
      <c r="AK80" s="123">
        <f>'TOTAL ESTACIONES'!AK80</f>
        <v>22251.84</v>
      </c>
      <c r="AL80" s="73">
        <f>'TOTAL ESTACIONES'!AL80</f>
        <v>6.2017533331167328E-5</v>
      </c>
      <c r="AM80" s="14">
        <f>'TOTAL ESTACIONES'!AM80</f>
        <v>0</v>
      </c>
      <c r="AN80" s="89"/>
      <c r="AO80" s="254">
        <v>573892.19999999995</v>
      </c>
      <c r="AP80" s="73">
        <v>1.3020496190428748E-4</v>
      </c>
      <c r="AQ80" s="180">
        <v>0.47501310797890373</v>
      </c>
      <c r="AR80" s="9">
        <f t="shared" si="0"/>
        <v>22251.84</v>
      </c>
    </row>
    <row r="81" spans="1:45" ht="15" hidden="1" outlineLevel="1">
      <c r="A81" s="12" t="s">
        <v>196</v>
      </c>
      <c r="B81" s="8" t="s">
        <v>89</v>
      </c>
      <c r="E81" s="1"/>
      <c r="I81" s="261" t="s">
        <v>187</v>
      </c>
      <c r="J81" s="65">
        <f>'TOTAL ESTACIONES'!J81</f>
        <v>0</v>
      </c>
      <c r="K81" s="65">
        <f>'TOTAL ESTACIONES'!K81</f>
        <v>0</v>
      </c>
      <c r="L81" s="65">
        <f>'TOTAL ESTACIONES'!L81</f>
        <v>0</v>
      </c>
      <c r="M81" s="65">
        <f>'TOTAL ESTACIONES'!M81</f>
        <v>0</v>
      </c>
      <c r="N81" s="65">
        <f>'TOTAL ESTACIONES'!N81</f>
        <v>0</v>
      </c>
      <c r="O81" s="65">
        <f>'TOTAL ESTACIONES'!O81</f>
        <v>0</v>
      </c>
      <c r="P81" s="65">
        <f>'TOTAL ESTACIONES'!P81</f>
        <v>0</v>
      </c>
      <c r="Q81" s="65">
        <f>'TOTAL ESTACIONES'!Q81</f>
        <v>0</v>
      </c>
      <c r="R81" s="65">
        <f>'TOTAL ESTACIONES'!R81</f>
        <v>0</v>
      </c>
      <c r="S81" s="65">
        <f>'TOTAL ESTACIONES'!S81</f>
        <v>38480</v>
      </c>
      <c r="T81" s="65">
        <f>'TOTAL ESTACIONES'!T81</f>
        <v>0</v>
      </c>
      <c r="U81" s="65">
        <f>'TOTAL ESTACIONES'!U81</f>
        <v>0</v>
      </c>
      <c r="V81" s="11">
        <f>'TOTAL ESTACIONES'!V81</f>
        <v>38480</v>
      </c>
      <c r="W81" s="73">
        <f>'TOTAL ESTACIONES'!W81</f>
        <v>1.1674325541547431E-4</v>
      </c>
      <c r="X81" s="89">
        <f>'TOTAL ESTACIONES'!X81</f>
        <v>0</v>
      </c>
      <c r="Y81" s="65">
        <f>'TOTAL ESTACIONES'!Y81</f>
        <v>0</v>
      </c>
      <c r="Z81" s="65">
        <f>'TOTAL ESTACIONES'!Z81</f>
        <v>0</v>
      </c>
      <c r="AA81" s="65">
        <f>'TOTAL ESTACIONES'!AA81</f>
        <v>0</v>
      </c>
      <c r="AB81" s="65">
        <f>'TOTAL ESTACIONES'!AB81</f>
        <v>0</v>
      </c>
      <c r="AC81" s="65">
        <f>'TOTAL ESTACIONES'!AC81</f>
        <v>0</v>
      </c>
      <c r="AD81" s="65">
        <f>'TOTAL ESTACIONES'!AD81</f>
        <v>0</v>
      </c>
      <c r="AE81" s="65">
        <f>'TOTAL ESTACIONES'!AE81</f>
        <v>0</v>
      </c>
      <c r="AF81" s="65">
        <f>'TOTAL ESTACIONES'!AF81</f>
        <v>0</v>
      </c>
      <c r="AG81" s="65">
        <f>'TOTAL ESTACIONES'!AG81</f>
        <v>37056.579999999994</v>
      </c>
      <c r="AH81" s="65">
        <f>'TOTAL ESTACIONES'!AH81</f>
        <v>0</v>
      </c>
      <c r="AI81" s="65">
        <f>'TOTAL ESTACIONES'!AI81</f>
        <v>0</v>
      </c>
      <c r="AJ81" s="65">
        <f>'TOTAL ESTACIONES'!AJ81</f>
        <v>0</v>
      </c>
      <c r="AK81" s="123">
        <f>'TOTAL ESTACIONES'!AK81</f>
        <v>37056.579999999994</v>
      </c>
      <c r="AL81" s="73">
        <f>'TOTAL ESTACIONES'!AL81</f>
        <v>1.0327944499372045E-4</v>
      </c>
      <c r="AM81" s="14">
        <f>'TOTAL ESTACIONES'!AM81</f>
        <v>-3.6991164241164332E-2</v>
      </c>
      <c r="AN81" s="89"/>
      <c r="AO81" s="253">
        <v>84376394.377056956</v>
      </c>
      <c r="AP81" s="196">
        <v>1.9143360400238649E-2</v>
      </c>
      <c r="AQ81" s="180">
        <v>0.3576927024483223</v>
      </c>
      <c r="AR81" s="9">
        <f t="shared" si="0"/>
        <v>-1423.4200000000055</v>
      </c>
    </row>
    <row r="82" spans="1:45" ht="15" hidden="1" customHeight="1" outlineLevel="1">
      <c r="A82" s="12" t="s">
        <v>196</v>
      </c>
      <c r="B82" s="8" t="s">
        <v>89</v>
      </c>
      <c r="E82" s="1"/>
      <c r="I82" s="261" t="s">
        <v>188</v>
      </c>
      <c r="J82" s="65">
        <f>'TOTAL ESTACIONES'!J82</f>
        <v>0</v>
      </c>
      <c r="K82" s="65">
        <f>'TOTAL ESTACIONES'!K82</f>
        <v>0</v>
      </c>
      <c r="L82" s="65">
        <f>'TOTAL ESTACIONES'!L82</f>
        <v>0</v>
      </c>
      <c r="M82" s="65">
        <f>'TOTAL ESTACIONES'!M82</f>
        <v>0</v>
      </c>
      <c r="N82" s="65">
        <f>'TOTAL ESTACIONES'!N82</f>
        <v>0</v>
      </c>
      <c r="O82" s="65">
        <f>'TOTAL ESTACIONES'!O82</f>
        <v>0</v>
      </c>
      <c r="P82" s="65">
        <f>'TOTAL ESTACIONES'!P82</f>
        <v>0</v>
      </c>
      <c r="Q82" s="65">
        <f>'TOTAL ESTACIONES'!Q82</f>
        <v>0</v>
      </c>
      <c r="R82" s="65">
        <f>'TOTAL ESTACIONES'!R82</f>
        <v>0</v>
      </c>
      <c r="S82" s="65">
        <f>'TOTAL ESTACIONES'!S82</f>
        <v>0</v>
      </c>
      <c r="T82" s="65">
        <f>'TOTAL ESTACIONES'!T82</f>
        <v>0</v>
      </c>
      <c r="U82" s="65">
        <f>'TOTAL ESTACIONES'!U82</f>
        <v>0</v>
      </c>
      <c r="V82" s="11">
        <f>'TOTAL ESTACIONES'!V82</f>
        <v>0</v>
      </c>
      <c r="W82" s="73">
        <f>'TOTAL ESTACIONES'!W82</f>
        <v>0</v>
      </c>
      <c r="X82" s="89">
        <f>'TOTAL ESTACIONES'!X82</f>
        <v>0</v>
      </c>
      <c r="Y82" s="65">
        <f>'TOTAL ESTACIONES'!Y82</f>
        <v>0</v>
      </c>
      <c r="Z82" s="65">
        <f>'TOTAL ESTACIONES'!Z82</f>
        <v>0</v>
      </c>
      <c r="AA82" s="65">
        <f>'TOTAL ESTACIONES'!AA82</f>
        <v>0</v>
      </c>
      <c r="AB82" s="65">
        <f>'TOTAL ESTACIONES'!AB82</f>
        <v>0</v>
      </c>
      <c r="AC82" s="65">
        <f>'TOTAL ESTACIONES'!AC82</f>
        <v>0</v>
      </c>
      <c r="AD82" s="65">
        <f>'TOTAL ESTACIONES'!AD82</f>
        <v>0</v>
      </c>
      <c r="AE82" s="65">
        <f>'TOTAL ESTACIONES'!AE82</f>
        <v>0</v>
      </c>
      <c r="AF82" s="65">
        <f>'TOTAL ESTACIONES'!AF82</f>
        <v>0</v>
      </c>
      <c r="AG82" s="65">
        <f>'TOTAL ESTACIONES'!AG82</f>
        <v>0</v>
      </c>
      <c r="AH82" s="65">
        <f>'TOTAL ESTACIONES'!AH82</f>
        <v>0</v>
      </c>
      <c r="AI82" s="65">
        <f>'TOTAL ESTACIONES'!AI82</f>
        <v>0</v>
      </c>
      <c r="AJ82" s="65">
        <f>'TOTAL ESTACIONES'!AJ82</f>
        <v>0</v>
      </c>
      <c r="AK82" s="123">
        <f>'TOTAL ESTACIONES'!AK82</f>
        <v>0</v>
      </c>
      <c r="AL82" s="73">
        <f>'TOTAL ESTACIONES'!AL82</f>
        <v>0</v>
      </c>
      <c r="AM82" s="14">
        <f>'TOTAL ESTACIONES'!AM82</f>
        <v>0</v>
      </c>
      <c r="AN82" s="89"/>
      <c r="AO82" s="253">
        <v>2447479.4202739727</v>
      </c>
      <c r="AP82" s="196">
        <v>5.5528540844134193E-4</v>
      </c>
      <c r="AQ82" s="180">
        <v>0.40769364586369905</v>
      </c>
      <c r="AR82" s="9">
        <f t="shared" si="0"/>
        <v>0</v>
      </c>
    </row>
    <row r="83" spans="1:45" ht="15" hidden="1" customHeight="1" outlineLevel="1">
      <c r="A83" s="12" t="s">
        <v>196</v>
      </c>
      <c r="B83" s="8" t="s">
        <v>89</v>
      </c>
      <c r="E83" s="1"/>
      <c r="I83" s="261" t="s">
        <v>189</v>
      </c>
      <c r="J83" s="65">
        <f>'TOTAL ESTACIONES'!J83</f>
        <v>0</v>
      </c>
      <c r="K83" s="65">
        <f>'TOTAL ESTACIONES'!K83</f>
        <v>0</v>
      </c>
      <c r="L83" s="65">
        <f>'TOTAL ESTACIONES'!L83</f>
        <v>0</v>
      </c>
      <c r="M83" s="65">
        <f>'TOTAL ESTACIONES'!M83</f>
        <v>0</v>
      </c>
      <c r="N83" s="65">
        <f>'TOTAL ESTACIONES'!N83</f>
        <v>0</v>
      </c>
      <c r="O83" s="65">
        <f>'TOTAL ESTACIONES'!O83</f>
        <v>0</v>
      </c>
      <c r="P83" s="65">
        <f>'TOTAL ESTACIONES'!P83</f>
        <v>0</v>
      </c>
      <c r="Q83" s="65">
        <f>'TOTAL ESTACIONES'!Q83</f>
        <v>0</v>
      </c>
      <c r="R83" s="65">
        <f>'TOTAL ESTACIONES'!R83</f>
        <v>0</v>
      </c>
      <c r="S83" s="65">
        <f>'TOTAL ESTACIONES'!S83</f>
        <v>0</v>
      </c>
      <c r="T83" s="65">
        <f>'TOTAL ESTACIONES'!T83</f>
        <v>0</v>
      </c>
      <c r="U83" s="65">
        <f>'TOTAL ESTACIONES'!U83</f>
        <v>0</v>
      </c>
      <c r="V83" s="11">
        <f>'TOTAL ESTACIONES'!V83</f>
        <v>0</v>
      </c>
      <c r="W83" s="73">
        <f>'TOTAL ESTACIONES'!W83</f>
        <v>0</v>
      </c>
      <c r="X83" s="89">
        <f>'TOTAL ESTACIONES'!X83</f>
        <v>0</v>
      </c>
      <c r="Y83" s="65">
        <f>'TOTAL ESTACIONES'!Y83</f>
        <v>0</v>
      </c>
      <c r="Z83" s="65">
        <f>'TOTAL ESTACIONES'!Z83</f>
        <v>0</v>
      </c>
      <c r="AA83" s="65">
        <f>'TOTAL ESTACIONES'!AA83</f>
        <v>0</v>
      </c>
      <c r="AB83" s="65">
        <f>'TOTAL ESTACIONES'!AB83</f>
        <v>0</v>
      </c>
      <c r="AC83" s="65">
        <f>'TOTAL ESTACIONES'!AC83</f>
        <v>0</v>
      </c>
      <c r="AD83" s="65">
        <f>'TOTAL ESTACIONES'!AD83</f>
        <v>0</v>
      </c>
      <c r="AE83" s="65">
        <f>'TOTAL ESTACIONES'!AE83</f>
        <v>0</v>
      </c>
      <c r="AF83" s="65">
        <f>'TOTAL ESTACIONES'!AF83</f>
        <v>0</v>
      </c>
      <c r="AG83" s="65">
        <f>'TOTAL ESTACIONES'!AG83</f>
        <v>0</v>
      </c>
      <c r="AH83" s="65">
        <f>'TOTAL ESTACIONES'!AH83</f>
        <v>0</v>
      </c>
      <c r="AI83" s="65">
        <f>'TOTAL ESTACIONES'!AI83</f>
        <v>0</v>
      </c>
      <c r="AJ83" s="65">
        <f>'TOTAL ESTACIONES'!AJ83</f>
        <v>0</v>
      </c>
      <c r="AK83" s="123">
        <f>'TOTAL ESTACIONES'!AK83</f>
        <v>0</v>
      </c>
      <c r="AL83" s="73">
        <f>'TOTAL ESTACIONES'!AL83</f>
        <v>0</v>
      </c>
      <c r="AM83" s="14">
        <f>'TOTAL ESTACIONES'!AM83</f>
        <v>0</v>
      </c>
      <c r="AN83" s="89"/>
      <c r="AO83" s="253">
        <v>9194940.3142857142</v>
      </c>
      <c r="AP83" s="196">
        <v>2.0861528582088564E-3</v>
      </c>
      <c r="AQ83" s="180">
        <v>0.397398253435989</v>
      </c>
      <c r="AR83" s="9">
        <f t="shared" si="0"/>
        <v>0</v>
      </c>
    </row>
    <row r="84" spans="1:45" ht="15" hidden="1" customHeight="1" outlineLevel="1">
      <c r="A84" s="12" t="s">
        <v>196</v>
      </c>
      <c r="B84" s="8" t="s">
        <v>89</v>
      </c>
      <c r="E84" s="1"/>
      <c r="I84" s="261" t="s">
        <v>190</v>
      </c>
      <c r="J84" s="65">
        <f>'TOTAL ESTACIONES'!J84</f>
        <v>0</v>
      </c>
      <c r="K84" s="65">
        <f>'TOTAL ESTACIONES'!K84</f>
        <v>0</v>
      </c>
      <c r="L84" s="65">
        <f>'TOTAL ESTACIONES'!L84</f>
        <v>0</v>
      </c>
      <c r="M84" s="65">
        <f>'TOTAL ESTACIONES'!M84</f>
        <v>0</v>
      </c>
      <c r="N84" s="65">
        <f>'TOTAL ESTACIONES'!N84</f>
        <v>0</v>
      </c>
      <c r="O84" s="65">
        <f>'TOTAL ESTACIONES'!O84</f>
        <v>0</v>
      </c>
      <c r="P84" s="65">
        <f>'TOTAL ESTACIONES'!P84</f>
        <v>0</v>
      </c>
      <c r="Q84" s="65">
        <f>'TOTAL ESTACIONES'!Q84</f>
        <v>0</v>
      </c>
      <c r="R84" s="65">
        <f>'TOTAL ESTACIONES'!R84</f>
        <v>0</v>
      </c>
      <c r="S84" s="65">
        <f>'TOTAL ESTACIONES'!S84</f>
        <v>0</v>
      </c>
      <c r="T84" s="65">
        <f>'TOTAL ESTACIONES'!T84</f>
        <v>0</v>
      </c>
      <c r="U84" s="65">
        <f>'TOTAL ESTACIONES'!U84</f>
        <v>0</v>
      </c>
      <c r="V84" s="11">
        <f>'TOTAL ESTACIONES'!V84</f>
        <v>0</v>
      </c>
      <c r="W84" s="73">
        <f>'TOTAL ESTACIONES'!W84</f>
        <v>0</v>
      </c>
      <c r="X84" s="89">
        <f>'TOTAL ESTACIONES'!X84</f>
        <v>0</v>
      </c>
      <c r="Y84" s="65">
        <f>'TOTAL ESTACIONES'!Y84</f>
        <v>0</v>
      </c>
      <c r="Z84" s="65">
        <f>'TOTAL ESTACIONES'!Z84</f>
        <v>0</v>
      </c>
      <c r="AA84" s="65">
        <f>'TOTAL ESTACIONES'!AA84</f>
        <v>0</v>
      </c>
      <c r="AB84" s="65">
        <f>'TOTAL ESTACIONES'!AB84</f>
        <v>0</v>
      </c>
      <c r="AC84" s="65">
        <f>'TOTAL ESTACIONES'!AC84</f>
        <v>0</v>
      </c>
      <c r="AD84" s="65">
        <f>'TOTAL ESTACIONES'!AD84</f>
        <v>0</v>
      </c>
      <c r="AE84" s="65">
        <f>'TOTAL ESTACIONES'!AE84</f>
        <v>0</v>
      </c>
      <c r="AF84" s="65">
        <f>'TOTAL ESTACIONES'!AF84</f>
        <v>0</v>
      </c>
      <c r="AG84" s="65">
        <f>'TOTAL ESTACIONES'!AG84</f>
        <v>0</v>
      </c>
      <c r="AH84" s="65">
        <f>'TOTAL ESTACIONES'!AH84</f>
        <v>0</v>
      </c>
      <c r="AI84" s="65">
        <f>'TOTAL ESTACIONES'!AI84</f>
        <v>0</v>
      </c>
      <c r="AJ84" s="65">
        <f>'TOTAL ESTACIONES'!AJ84</f>
        <v>0</v>
      </c>
      <c r="AK84" s="123">
        <f>'TOTAL ESTACIONES'!AK84</f>
        <v>0</v>
      </c>
      <c r="AL84" s="73">
        <f>'TOTAL ESTACIONES'!AL84</f>
        <v>0</v>
      </c>
      <c r="AM84" s="14">
        <f>'TOTAL ESTACIONES'!AM84</f>
        <v>0</v>
      </c>
      <c r="AN84" s="89"/>
      <c r="AO84" s="253">
        <v>576608.06999999983</v>
      </c>
      <c r="AP84" s="196">
        <v>1.3082113990755531E-4</v>
      </c>
      <c r="AQ84" s="180">
        <v>0.73982375593869376</v>
      </c>
      <c r="AR84" s="9">
        <f t="shared" si="0"/>
        <v>0</v>
      </c>
    </row>
    <row r="85" spans="1:45" ht="15" hidden="1" customHeight="1" outlineLevel="1">
      <c r="A85" s="12" t="s">
        <v>196</v>
      </c>
      <c r="B85" s="8" t="s">
        <v>89</v>
      </c>
      <c r="E85" s="1"/>
      <c r="I85" s="261" t="s">
        <v>191</v>
      </c>
      <c r="J85" s="65">
        <f>'TOTAL ESTACIONES'!J85</f>
        <v>0</v>
      </c>
      <c r="K85" s="65">
        <f>'TOTAL ESTACIONES'!K85</f>
        <v>0</v>
      </c>
      <c r="L85" s="65">
        <f>'TOTAL ESTACIONES'!L85</f>
        <v>0</v>
      </c>
      <c r="M85" s="65">
        <f>'TOTAL ESTACIONES'!M85</f>
        <v>0</v>
      </c>
      <c r="N85" s="65">
        <f>'TOTAL ESTACIONES'!N85</f>
        <v>0</v>
      </c>
      <c r="O85" s="65">
        <f>'TOTAL ESTACIONES'!O85</f>
        <v>0</v>
      </c>
      <c r="P85" s="65">
        <f>'TOTAL ESTACIONES'!P85</f>
        <v>0</v>
      </c>
      <c r="Q85" s="65">
        <f>'TOTAL ESTACIONES'!Q85</f>
        <v>0</v>
      </c>
      <c r="R85" s="65">
        <f>'TOTAL ESTACIONES'!R85</f>
        <v>0</v>
      </c>
      <c r="S85" s="65">
        <f>'TOTAL ESTACIONES'!S85</f>
        <v>0</v>
      </c>
      <c r="T85" s="65">
        <f>'TOTAL ESTACIONES'!T85</f>
        <v>0</v>
      </c>
      <c r="U85" s="65">
        <f>'TOTAL ESTACIONES'!U85</f>
        <v>0</v>
      </c>
      <c r="V85" s="11">
        <f>'TOTAL ESTACIONES'!V85</f>
        <v>0</v>
      </c>
      <c r="W85" s="73">
        <f>'TOTAL ESTACIONES'!W85</f>
        <v>0</v>
      </c>
      <c r="X85" s="89">
        <f>'TOTAL ESTACIONES'!X85</f>
        <v>0</v>
      </c>
      <c r="Y85" s="65">
        <f>'TOTAL ESTACIONES'!Y85</f>
        <v>0</v>
      </c>
      <c r="Z85" s="65">
        <f>'TOTAL ESTACIONES'!Z85</f>
        <v>0</v>
      </c>
      <c r="AA85" s="65">
        <f>'TOTAL ESTACIONES'!AA85</f>
        <v>0</v>
      </c>
      <c r="AB85" s="65">
        <f>'TOTAL ESTACIONES'!AB85</f>
        <v>0</v>
      </c>
      <c r="AC85" s="65">
        <f>'TOTAL ESTACIONES'!AC85</f>
        <v>0</v>
      </c>
      <c r="AD85" s="65">
        <f>'TOTAL ESTACIONES'!AD85</f>
        <v>0</v>
      </c>
      <c r="AE85" s="65">
        <f>'TOTAL ESTACIONES'!AE85</f>
        <v>0</v>
      </c>
      <c r="AF85" s="65">
        <f>'TOTAL ESTACIONES'!AF85</f>
        <v>0</v>
      </c>
      <c r="AG85" s="65">
        <f>'TOTAL ESTACIONES'!AG85</f>
        <v>0</v>
      </c>
      <c r="AH85" s="65">
        <f>'TOTAL ESTACIONES'!AH85</f>
        <v>0</v>
      </c>
      <c r="AI85" s="65">
        <f>'TOTAL ESTACIONES'!AI85</f>
        <v>0</v>
      </c>
      <c r="AJ85" s="65">
        <f>'TOTAL ESTACIONES'!AJ85</f>
        <v>0</v>
      </c>
      <c r="AK85" s="123">
        <f>'TOTAL ESTACIONES'!AK85</f>
        <v>0</v>
      </c>
      <c r="AL85" s="73">
        <f>'TOTAL ESTACIONES'!AL85</f>
        <v>0</v>
      </c>
      <c r="AM85" s="14">
        <f>'TOTAL ESTACIONES'!AM85</f>
        <v>0</v>
      </c>
      <c r="AN85" s="89"/>
      <c r="AO85" s="253">
        <v>3573319.9536000011</v>
      </c>
      <c r="AP85" s="196">
        <v>8.1071669632435935E-4</v>
      </c>
      <c r="AQ85" s="180">
        <v>0.55792510931487871</v>
      </c>
      <c r="AR85" s="9">
        <f t="shared" si="0"/>
        <v>0</v>
      </c>
    </row>
    <row r="86" spans="1:45" ht="15" hidden="1" customHeight="1" outlineLevel="1">
      <c r="A86" s="12" t="s">
        <v>196</v>
      </c>
      <c r="B86" s="8" t="s">
        <v>89</v>
      </c>
      <c r="I86" s="261" t="s">
        <v>192</v>
      </c>
      <c r="J86" s="65">
        <f>'TOTAL ESTACIONES'!J86</f>
        <v>0</v>
      </c>
      <c r="K86" s="65">
        <f>'TOTAL ESTACIONES'!K86</f>
        <v>0</v>
      </c>
      <c r="L86" s="65">
        <f>'TOTAL ESTACIONES'!L86</f>
        <v>0</v>
      </c>
      <c r="M86" s="65">
        <f>'TOTAL ESTACIONES'!M86</f>
        <v>0</v>
      </c>
      <c r="N86" s="65">
        <f>'TOTAL ESTACIONES'!N86</f>
        <v>0</v>
      </c>
      <c r="O86" s="65">
        <f>'TOTAL ESTACIONES'!O86</f>
        <v>0</v>
      </c>
      <c r="P86" s="65">
        <f>'TOTAL ESTACIONES'!P86</f>
        <v>0</v>
      </c>
      <c r="Q86" s="65">
        <f>'TOTAL ESTACIONES'!Q86</f>
        <v>0</v>
      </c>
      <c r="R86" s="65">
        <f>'TOTAL ESTACIONES'!R86</f>
        <v>0</v>
      </c>
      <c r="S86" s="65">
        <f>'TOTAL ESTACIONES'!S86</f>
        <v>0</v>
      </c>
      <c r="T86" s="65">
        <f>'TOTAL ESTACIONES'!T86</f>
        <v>3640</v>
      </c>
      <c r="U86" s="65">
        <f>'TOTAL ESTACIONES'!U86</f>
        <v>0</v>
      </c>
      <c r="V86" s="11">
        <f>'TOTAL ESTACIONES'!V86</f>
        <v>3640</v>
      </c>
      <c r="W86" s="73">
        <f>'TOTAL ESTACIONES'!W86</f>
        <v>1.1043280917680001E-5</v>
      </c>
      <c r="X86" s="89">
        <f>'TOTAL ESTACIONES'!X86</f>
        <v>0</v>
      </c>
      <c r="Y86" s="65">
        <f>'TOTAL ESTACIONES'!Y86</f>
        <v>0</v>
      </c>
      <c r="Z86" s="65">
        <f>'TOTAL ESTACIONES'!Z86</f>
        <v>0</v>
      </c>
      <c r="AA86" s="65">
        <f>'TOTAL ESTACIONES'!AA86</f>
        <v>0</v>
      </c>
      <c r="AB86" s="65">
        <f>'TOTAL ESTACIONES'!AB86</f>
        <v>0</v>
      </c>
      <c r="AC86" s="65">
        <f>'TOTAL ESTACIONES'!AC86</f>
        <v>0</v>
      </c>
      <c r="AD86" s="65">
        <f>'TOTAL ESTACIONES'!AD86</f>
        <v>0</v>
      </c>
      <c r="AE86" s="65">
        <f>'TOTAL ESTACIONES'!AE86</f>
        <v>0</v>
      </c>
      <c r="AF86" s="65">
        <f>'TOTAL ESTACIONES'!AF86</f>
        <v>0</v>
      </c>
      <c r="AG86" s="65">
        <f>'TOTAL ESTACIONES'!AG86</f>
        <v>0</v>
      </c>
      <c r="AH86" s="65">
        <f>'TOTAL ESTACIONES'!AH86</f>
        <v>0</v>
      </c>
      <c r="AI86" s="65">
        <f>'TOTAL ESTACIONES'!AI86</f>
        <v>0</v>
      </c>
      <c r="AJ86" s="65">
        <f>'TOTAL ESTACIONES'!AJ86</f>
        <v>0</v>
      </c>
      <c r="AK86" s="123">
        <f>'TOTAL ESTACIONES'!AK86</f>
        <v>0</v>
      </c>
      <c r="AL86" s="73">
        <f>'TOTAL ESTACIONES'!AL86</f>
        <v>0</v>
      </c>
      <c r="AM86" s="14">
        <f>'TOTAL ESTACIONES'!AM86</f>
        <v>-1</v>
      </c>
      <c r="AN86" s="89"/>
      <c r="AO86" s="253">
        <v>0</v>
      </c>
      <c r="AP86" s="196">
        <v>0</v>
      </c>
      <c r="AQ86" s="180">
        <v>-1</v>
      </c>
      <c r="AR86" s="9">
        <f t="shared" si="0"/>
        <v>-3640</v>
      </c>
    </row>
    <row r="87" spans="1:45" ht="15" hidden="1" customHeight="1" outlineLevel="1">
      <c r="A87" s="12" t="s">
        <v>196</v>
      </c>
      <c r="B87" s="8" t="s">
        <v>89</v>
      </c>
      <c r="I87" s="261" t="s">
        <v>193</v>
      </c>
      <c r="J87" s="65">
        <f>'TOTAL ESTACIONES'!J87</f>
        <v>0</v>
      </c>
      <c r="K87" s="65">
        <f>'TOTAL ESTACIONES'!K87</f>
        <v>0</v>
      </c>
      <c r="L87" s="65">
        <f>'TOTAL ESTACIONES'!L87</f>
        <v>0</v>
      </c>
      <c r="M87" s="65">
        <f>'TOTAL ESTACIONES'!M87</f>
        <v>0</v>
      </c>
      <c r="N87" s="65">
        <f>'TOTAL ESTACIONES'!N87</f>
        <v>0</v>
      </c>
      <c r="O87" s="65">
        <f>'TOTAL ESTACIONES'!O87</f>
        <v>0</v>
      </c>
      <c r="P87" s="65">
        <f>'TOTAL ESTACIONES'!P87</f>
        <v>0</v>
      </c>
      <c r="Q87" s="65">
        <f>'TOTAL ESTACIONES'!Q87</f>
        <v>0</v>
      </c>
      <c r="R87" s="65">
        <f>'TOTAL ESTACIONES'!R87</f>
        <v>0</v>
      </c>
      <c r="S87" s="65">
        <f>'TOTAL ESTACIONES'!S87</f>
        <v>0</v>
      </c>
      <c r="T87" s="65">
        <f>'TOTAL ESTACIONES'!T87</f>
        <v>0</v>
      </c>
      <c r="U87" s="65">
        <f>'TOTAL ESTACIONES'!U87</f>
        <v>0</v>
      </c>
      <c r="V87" s="11">
        <f>'TOTAL ESTACIONES'!V87</f>
        <v>0</v>
      </c>
      <c r="W87" s="73">
        <f>'TOTAL ESTACIONES'!W87</f>
        <v>0</v>
      </c>
      <c r="X87" s="89">
        <f>'TOTAL ESTACIONES'!X87</f>
        <v>0</v>
      </c>
      <c r="Y87" s="65">
        <f>'TOTAL ESTACIONES'!Y87</f>
        <v>0</v>
      </c>
      <c r="Z87" s="65">
        <f>'TOTAL ESTACIONES'!Z87</f>
        <v>0</v>
      </c>
      <c r="AA87" s="65">
        <f>'TOTAL ESTACIONES'!AA87</f>
        <v>0</v>
      </c>
      <c r="AB87" s="65">
        <f>'TOTAL ESTACIONES'!AB87</f>
        <v>0</v>
      </c>
      <c r="AC87" s="65">
        <f>'TOTAL ESTACIONES'!AC87</f>
        <v>0</v>
      </c>
      <c r="AD87" s="65">
        <f>'TOTAL ESTACIONES'!AD87</f>
        <v>0</v>
      </c>
      <c r="AE87" s="65">
        <f>'TOTAL ESTACIONES'!AE87</f>
        <v>0</v>
      </c>
      <c r="AF87" s="65">
        <f>'TOTAL ESTACIONES'!AF87</f>
        <v>0</v>
      </c>
      <c r="AG87" s="65">
        <f>'TOTAL ESTACIONES'!AG87</f>
        <v>0</v>
      </c>
      <c r="AH87" s="65">
        <f>'TOTAL ESTACIONES'!AH87</f>
        <v>0</v>
      </c>
      <c r="AI87" s="65">
        <f>'TOTAL ESTACIONES'!AI87</f>
        <v>0</v>
      </c>
      <c r="AJ87" s="65">
        <f>'TOTAL ESTACIONES'!AJ87</f>
        <v>0</v>
      </c>
      <c r="AK87" s="123">
        <f>'TOTAL ESTACIONES'!AK87</f>
        <v>0</v>
      </c>
      <c r="AL87" s="73">
        <f>'TOTAL ESTACIONES'!AL87</f>
        <v>0</v>
      </c>
      <c r="AM87" s="14">
        <f>'TOTAL ESTACIONES'!AM87</f>
        <v>0</v>
      </c>
      <c r="AN87" s="89"/>
      <c r="AO87" s="253">
        <v>4364566.7560000001</v>
      </c>
      <c r="AP87" s="196">
        <v>9.9023518387895797E-4</v>
      </c>
      <c r="AQ87" s="180">
        <v>0.33067474422057086</v>
      </c>
      <c r="AR87" s="9">
        <f t="shared" si="0"/>
        <v>0</v>
      </c>
    </row>
    <row r="88" spans="1:45" ht="15" hidden="1" customHeight="1" outlineLevel="1">
      <c r="A88" s="12" t="s">
        <v>196</v>
      </c>
      <c r="B88" s="8" t="s">
        <v>89</v>
      </c>
      <c r="I88" s="261" t="s">
        <v>194</v>
      </c>
      <c r="J88" s="65">
        <f>'TOTAL ESTACIONES'!J88</f>
        <v>0</v>
      </c>
      <c r="K88" s="65">
        <f>'TOTAL ESTACIONES'!K88</f>
        <v>0</v>
      </c>
      <c r="L88" s="65">
        <f>'TOTAL ESTACIONES'!L88</f>
        <v>0</v>
      </c>
      <c r="M88" s="65">
        <f>'TOTAL ESTACIONES'!M88</f>
        <v>0</v>
      </c>
      <c r="N88" s="65">
        <f>'TOTAL ESTACIONES'!N88</f>
        <v>6365</v>
      </c>
      <c r="O88" s="65">
        <f>'TOTAL ESTACIONES'!O88</f>
        <v>0</v>
      </c>
      <c r="P88" s="65">
        <f>'TOTAL ESTACIONES'!P88</f>
        <v>0</v>
      </c>
      <c r="Q88" s="65">
        <f>'TOTAL ESTACIONES'!Q88</f>
        <v>6926</v>
      </c>
      <c r="R88" s="65">
        <f>'TOTAL ESTACIONES'!R88</f>
        <v>0</v>
      </c>
      <c r="S88" s="65">
        <f>'TOTAL ESTACIONES'!S88</f>
        <v>0</v>
      </c>
      <c r="T88" s="65">
        <f>'TOTAL ESTACIONES'!T88</f>
        <v>1096.1600000000001</v>
      </c>
      <c r="U88" s="65">
        <f>'TOTAL ESTACIONES'!U88</f>
        <v>70720</v>
      </c>
      <c r="V88" s="11">
        <f>'TOTAL ESTACIONES'!V88</f>
        <v>85107.16</v>
      </c>
      <c r="W88" s="73">
        <f>'TOTAL ESTACIONES'!W88</f>
        <v>2.58203921974159E-4</v>
      </c>
      <c r="X88" s="89">
        <f>'TOTAL ESTACIONES'!X88</f>
        <v>0</v>
      </c>
      <c r="Y88" s="65">
        <f>'TOTAL ESTACIONES'!Y88</f>
        <v>0</v>
      </c>
      <c r="Z88" s="65">
        <f>'TOTAL ESTACIONES'!Z88</f>
        <v>0</v>
      </c>
      <c r="AA88" s="65">
        <f>'TOTAL ESTACIONES'!AA88</f>
        <v>0</v>
      </c>
      <c r="AB88" s="65">
        <f>'TOTAL ESTACIONES'!AB88</f>
        <v>0</v>
      </c>
      <c r="AC88" s="65">
        <f>'TOTAL ESTACIONES'!AC88</f>
        <v>5636.1194999999989</v>
      </c>
      <c r="AD88" s="65">
        <f>'TOTAL ESTACIONES'!AD88</f>
        <v>6319.2855</v>
      </c>
      <c r="AE88" s="65">
        <f>'TOTAL ESTACIONES'!AE88</f>
        <v>0</v>
      </c>
      <c r="AF88" s="65">
        <f>'TOTAL ESTACIONES'!AF88</f>
        <v>5806.9110000000001</v>
      </c>
      <c r="AG88" s="65">
        <f>'TOTAL ESTACIONES'!AG88</f>
        <v>0</v>
      </c>
      <c r="AH88" s="65">
        <f>'TOTAL ESTACIONES'!AH88</f>
        <v>2732.6639999999998</v>
      </c>
      <c r="AI88" s="65">
        <f>'TOTAL ESTACIONES'!AI88</f>
        <v>1707.915</v>
      </c>
      <c r="AJ88" s="65">
        <f>'TOTAL ESTACIONES'!AJ88</f>
        <v>58069.109999999993</v>
      </c>
      <c r="AK88" s="123">
        <f>'TOTAL ESTACIONES'!AK88</f>
        <v>80272.00499999999</v>
      </c>
      <c r="AL88" s="73">
        <f>'TOTAL ESTACIONES'!AL88</f>
        <v>2.2372404914142516E-4</v>
      </c>
      <c r="AM88" s="14">
        <f>'TOTAL ESTACIONES'!AM88</f>
        <v>-5.681255255139539E-2</v>
      </c>
      <c r="AN88" s="89"/>
      <c r="AO88" s="253">
        <v>3224251.1464999993</v>
      </c>
      <c r="AP88" s="196">
        <v>7.3151978315768662E-4</v>
      </c>
      <c r="AQ88" s="180">
        <v>0.39344091571310202</v>
      </c>
      <c r="AR88" s="9">
        <f t="shared" si="0"/>
        <v>-4835.1550000000134</v>
      </c>
    </row>
    <row r="89" spans="1:45" ht="15" hidden="1" customHeight="1" outlineLevel="1">
      <c r="A89" s="12" t="s">
        <v>196</v>
      </c>
      <c r="B89" s="8" t="s">
        <v>89</v>
      </c>
      <c r="I89" s="261" t="s">
        <v>195</v>
      </c>
      <c r="J89" s="65">
        <f>'TOTAL ESTACIONES'!J89</f>
        <v>0</v>
      </c>
      <c r="K89" s="65">
        <f>'TOTAL ESTACIONES'!K89</f>
        <v>0</v>
      </c>
      <c r="L89" s="65">
        <f>'TOTAL ESTACIONES'!L89</f>
        <v>0</v>
      </c>
      <c r="M89" s="65">
        <f>'TOTAL ESTACIONES'!M89</f>
        <v>0</v>
      </c>
      <c r="N89" s="65">
        <f>'TOTAL ESTACIONES'!N89</f>
        <v>0</v>
      </c>
      <c r="O89" s="65">
        <f>'TOTAL ESTACIONES'!O89</f>
        <v>0</v>
      </c>
      <c r="P89" s="65">
        <f>'TOTAL ESTACIONES'!P89</f>
        <v>0</v>
      </c>
      <c r="Q89" s="65">
        <f>'TOTAL ESTACIONES'!Q89</f>
        <v>0</v>
      </c>
      <c r="R89" s="65">
        <f>'TOTAL ESTACIONES'!R89</f>
        <v>0</v>
      </c>
      <c r="S89" s="65">
        <f>'TOTAL ESTACIONES'!S89</f>
        <v>0</v>
      </c>
      <c r="T89" s="65">
        <f>'TOTAL ESTACIONES'!T89</f>
        <v>0</v>
      </c>
      <c r="U89" s="65">
        <f>'TOTAL ESTACIONES'!U89</f>
        <v>0</v>
      </c>
      <c r="V89" s="11">
        <f>'TOTAL ESTACIONES'!V89</f>
        <v>0</v>
      </c>
      <c r="W89" s="73">
        <f>'TOTAL ESTACIONES'!W89</f>
        <v>0</v>
      </c>
      <c r="X89" s="89">
        <f>'TOTAL ESTACIONES'!X89</f>
        <v>0</v>
      </c>
      <c r="Y89" s="65">
        <f>'TOTAL ESTACIONES'!Y89</f>
        <v>0</v>
      </c>
      <c r="Z89" s="65">
        <f>'TOTAL ESTACIONES'!Z89</f>
        <v>0</v>
      </c>
      <c r="AA89" s="65">
        <f>'TOTAL ESTACIONES'!AA89</f>
        <v>0</v>
      </c>
      <c r="AB89" s="65">
        <f>'TOTAL ESTACIONES'!AB89</f>
        <v>0</v>
      </c>
      <c r="AC89" s="65">
        <f>'TOTAL ESTACIONES'!AC89</f>
        <v>0</v>
      </c>
      <c r="AD89" s="65">
        <f>'TOTAL ESTACIONES'!AD89</f>
        <v>0</v>
      </c>
      <c r="AE89" s="65">
        <f>'TOTAL ESTACIONES'!AE89</f>
        <v>0</v>
      </c>
      <c r="AF89" s="65">
        <f>'TOTAL ESTACIONES'!AF89</f>
        <v>0</v>
      </c>
      <c r="AG89" s="65">
        <f>'TOTAL ESTACIONES'!AG89</f>
        <v>0</v>
      </c>
      <c r="AH89" s="65">
        <f>'TOTAL ESTACIONES'!AH89</f>
        <v>0</v>
      </c>
      <c r="AI89" s="65">
        <f>'TOTAL ESTACIONES'!AI89</f>
        <v>0</v>
      </c>
      <c r="AJ89" s="65">
        <f>'TOTAL ESTACIONES'!AJ89</f>
        <v>0</v>
      </c>
      <c r="AK89" s="123">
        <f>'TOTAL ESTACIONES'!AK89</f>
        <v>0</v>
      </c>
      <c r="AL89" s="73">
        <f>'TOTAL ESTACIONES'!AL89</f>
        <v>0</v>
      </c>
      <c r="AM89" s="14">
        <f>'TOTAL ESTACIONES'!AM89</f>
        <v>0</v>
      </c>
      <c r="AN89" s="89"/>
      <c r="AO89" s="253">
        <v>0</v>
      </c>
      <c r="AP89" s="196">
        <v>0</v>
      </c>
      <c r="AQ89" s="180">
        <v>-1</v>
      </c>
      <c r="AR89" s="9">
        <f t="shared" si="0"/>
        <v>0</v>
      </c>
    </row>
    <row r="90" spans="1:45" ht="15" customHeight="1" collapsed="1">
      <c r="A90" s="12" t="s">
        <v>196</v>
      </c>
      <c r="B90" s="8" t="s">
        <v>89</v>
      </c>
      <c r="I90" s="167" t="s">
        <v>197</v>
      </c>
      <c r="J90" s="15">
        <f>'TOTAL ESTACIONES'!J90</f>
        <v>455748</v>
      </c>
      <c r="K90" s="15">
        <f>'TOTAL ESTACIONES'!K90</f>
        <v>395847</v>
      </c>
      <c r="L90" s="15">
        <f>'TOTAL ESTACIONES'!L90</f>
        <v>458006</v>
      </c>
      <c r="M90" s="15">
        <f>'TOTAL ESTACIONES'!M90</f>
        <v>395986</v>
      </c>
      <c r="N90" s="15">
        <f>'TOTAL ESTACIONES'!N90</f>
        <v>442702</v>
      </c>
      <c r="O90" s="15">
        <f>'TOTAL ESTACIONES'!O90</f>
        <v>446225</v>
      </c>
      <c r="P90" s="15">
        <f>'TOTAL ESTACIONES'!P90</f>
        <v>415847</v>
      </c>
      <c r="Q90" s="15">
        <f>'TOTAL ESTACIONES'!Q90</f>
        <v>423349</v>
      </c>
      <c r="R90" s="15">
        <f>'TOTAL ESTACIONES'!R90</f>
        <v>470832</v>
      </c>
      <c r="S90" s="15">
        <f>'TOTAL ESTACIONES'!S90</f>
        <v>452067</v>
      </c>
      <c r="T90" s="15">
        <f>'TOTAL ESTACIONES'!T90</f>
        <v>445185.66666666663</v>
      </c>
      <c r="U90" s="15">
        <f>'TOTAL ESTACIONES'!U90</f>
        <v>454074.30555555556</v>
      </c>
      <c r="V90" s="15">
        <f>'TOTAL ESTACIONES'!V90</f>
        <v>5255868.972222222</v>
      </c>
      <c r="W90" s="72">
        <f>'TOTAL ESTACIONES'!W90</f>
        <v>1.5945614705156062E-2</v>
      </c>
      <c r="X90" s="89">
        <f>'TOTAL ESTACIONES'!X90</f>
        <v>0</v>
      </c>
      <c r="Y90" s="15">
        <f>'TOTAL ESTACIONES'!Y90</f>
        <v>510267.02805836796</v>
      </c>
      <c r="Z90" s="15">
        <f>'TOTAL ESTACIONES'!Z90</f>
        <v>466687.91116998391</v>
      </c>
      <c r="AA90" s="15">
        <f>'TOTAL ESTACIONES'!AA90</f>
        <v>510267.02805836796</v>
      </c>
      <c r="AB90" s="15">
        <f>'TOTAL ESTACIONES'!AB90</f>
        <v>482170.84782383998</v>
      </c>
      <c r="AC90" s="15">
        <f>'TOTAL ESTACIONES'!AC90</f>
        <v>510267.02805836796</v>
      </c>
      <c r="AD90" s="15">
        <f>'TOTAL ESTACIONES'!AD90</f>
        <v>482170.84782383998</v>
      </c>
      <c r="AE90" s="15">
        <f>'TOTAL ESTACIONES'!AE90</f>
        <v>496697.22011996794</v>
      </c>
      <c r="AF90" s="15">
        <f>'TOTAL ESTACIONES'!AF90</f>
        <v>496697.22011996794</v>
      </c>
      <c r="AG90" s="15">
        <f>'TOTAL ESTACIONES'!AG90</f>
        <v>495740.65576223994</v>
      </c>
      <c r="AH90" s="15">
        <f>'TOTAL ESTACIONES'!AH90</f>
        <v>496697.22011996794</v>
      </c>
      <c r="AI90" s="15">
        <f>'TOTAL ESTACIONES'!AI90</f>
        <v>495740.65576223994</v>
      </c>
      <c r="AJ90" s="15">
        <f>'TOTAL ESTACIONES'!AJ90</f>
        <v>510267.02805836796</v>
      </c>
      <c r="AK90" s="15">
        <f>'TOTAL ESTACIONES'!AK90</f>
        <v>5953670.6909355195</v>
      </c>
      <c r="AL90" s="72">
        <f>'TOTAL ESTACIONES'!AL90</f>
        <v>1.6593323092287542E-2</v>
      </c>
      <c r="AM90" s="10">
        <f>+AK90/V90-1</f>
        <v>0.13276619383041077</v>
      </c>
      <c r="AN90" s="89"/>
      <c r="AO90" s="253">
        <v>571078.53139726049</v>
      </c>
      <c r="AP90" s="196">
        <v>1.2956659530297983E-4</v>
      </c>
      <c r="AQ90" s="180">
        <v>0.34972761790470197</v>
      </c>
      <c r="AR90" s="296">
        <f t="shared" si="0"/>
        <v>697801.71871329751</v>
      </c>
      <c r="AS90" s="1" t="s">
        <v>408</v>
      </c>
    </row>
    <row r="91" spans="1:45" ht="15" hidden="1" customHeight="1" outlineLevel="1">
      <c r="A91" s="12" t="s">
        <v>196</v>
      </c>
      <c r="B91" s="8" t="s">
        <v>89</v>
      </c>
      <c r="I91" s="223" t="s">
        <v>198</v>
      </c>
      <c r="J91" s="65">
        <f>'TOTAL ESTACIONES'!J91</f>
        <v>13172</v>
      </c>
      <c r="K91" s="65">
        <f>'TOTAL ESTACIONES'!K91</f>
        <v>10989</v>
      </c>
      <c r="L91" s="65">
        <f>'TOTAL ESTACIONES'!L91</f>
        <v>12027</v>
      </c>
      <c r="M91" s="65">
        <f>'TOTAL ESTACIONES'!M91</f>
        <v>11867</v>
      </c>
      <c r="N91" s="65">
        <f>'TOTAL ESTACIONES'!N91</f>
        <v>12419</v>
      </c>
      <c r="O91" s="65">
        <f>'TOTAL ESTACIONES'!O91</f>
        <v>11699</v>
      </c>
      <c r="P91" s="65">
        <f>'TOTAL ESTACIONES'!P91</f>
        <v>11918</v>
      </c>
      <c r="Q91" s="65">
        <f>'TOTAL ESTACIONES'!Q91</f>
        <v>12155</v>
      </c>
      <c r="R91" s="65">
        <f>'TOTAL ESTACIONES'!R91</f>
        <v>12558</v>
      </c>
      <c r="S91" s="65">
        <f>'TOTAL ESTACIONES'!S91</f>
        <v>13050</v>
      </c>
      <c r="T91" s="65">
        <f>'TOTAL ESTACIONES'!T91</f>
        <v>12420.25</v>
      </c>
      <c r="U91" s="65">
        <f>'TOTAL ESTACIONES'!U91</f>
        <v>12545.8125</v>
      </c>
      <c r="V91" s="11">
        <f>'TOTAL ESTACIONES'!V91</f>
        <v>146820.0625</v>
      </c>
      <c r="W91" s="73">
        <f>'TOTAL ESTACIONES'!W91</f>
        <v>4.4543274575242726E-4</v>
      </c>
      <c r="X91" s="89">
        <f>'TOTAL ESTACIONES'!X91</f>
        <v>0</v>
      </c>
      <c r="Y91" s="65">
        <f>'TOTAL ESTACIONES'!Y91</f>
        <v>14406.302948301367</v>
      </c>
      <c r="Z91" s="65">
        <f>'TOTAL ESTACIONES'!Z91</f>
        <v>13012.144598465751</v>
      </c>
      <c r="AA91" s="65">
        <f>'TOTAL ESTACIONES'!AA91</f>
        <v>14406.302948301367</v>
      </c>
      <c r="AB91" s="65">
        <f>'TOTAL ESTACIONES'!AB91</f>
        <v>13941.583498356162</v>
      </c>
      <c r="AC91" s="65">
        <f>'TOTAL ESTACIONES'!AC91</f>
        <v>14406.302948301367</v>
      </c>
      <c r="AD91" s="65">
        <f>'TOTAL ESTACIONES'!AD91</f>
        <v>13941.583498356162</v>
      </c>
      <c r="AE91" s="65">
        <f>'TOTAL ESTACIONES'!AE91</f>
        <v>14406.302948301367</v>
      </c>
      <c r="AF91" s="65">
        <f>'TOTAL ESTACIONES'!AF91</f>
        <v>14406.302948301367</v>
      </c>
      <c r="AG91" s="65">
        <f>'TOTAL ESTACIONES'!AG91</f>
        <v>13941.583498356162</v>
      </c>
      <c r="AH91" s="65">
        <f>'TOTAL ESTACIONES'!AH91</f>
        <v>14406.302948301367</v>
      </c>
      <c r="AI91" s="65">
        <f>'TOTAL ESTACIONES'!AI91</f>
        <v>13941.583498356162</v>
      </c>
      <c r="AJ91" s="65">
        <f>'TOTAL ESTACIONES'!AJ91</f>
        <v>14406.302948301367</v>
      </c>
      <c r="AK91" s="65">
        <f>'TOTAL ESTACIONES'!AK91</f>
        <v>169622.59922999999</v>
      </c>
      <c r="AL91" s="73">
        <f>'TOTAL ESTACIONES'!AL91</f>
        <v>4.7275080179732382E-4</v>
      </c>
      <c r="AM91" s="14">
        <f>'TOTAL ESTACIONES'!AM91</f>
        <v>0.15530940623322498</v>
      </c>
      <c r="AN91" s="89"/>
      <c r="AO91" s="253">
        <v>0</v>
      </c>
      <c r="AP91" s="196">
        <v>0</v>
      </c>
      <c r="AQ91" s="180">
        <v>-1</v>
      </c>
      <c r="AR91" s="296">
        <f t="shared" si="0"/>
        <v>22802.536729999993</v>
      </c>
    </row>
    <row r="92" spans="1:45" ht="15" hidden="1" customHeight="1" outlineLevel="1">
      <c r="A92" s="12" t="s">
        <v>196</v>
      </c>
      <c r="B92" s="8" t="s">
        <v>89</v>
      </c>
      <c r="I92" s="223" t="s">
        <v>199</v>
      </c>
      <c r="J92" s="65">
        <f>'TOTAL ESTACIONES'!J92</f>
        <v>49863</v>
      </c>
      <c r="K92" s="65">
        <f>'TOTAL ESTACIONES'!K92</f>
        <v>36134</v>
      </c>
      <c r="L92" s="65">
        <f>'TOTAL ESTACIONES'!L92</f>
        <v>48036</v>
      </c>
      <c r="M92" s="65">
        <f>'TOTAL ESTACIONES'!M92</f>
        <v>27064</v>
      </c>
      <c r="N92" s="65">
        <f>'TOTAL ESTACIONES'!N92</f>
        <v>44098</v>
      </c>
      <c r="O92" s="65">
        <f>'TOTAL ESTACIONES'!O92</f>
        <v>59674</v>
      </c>
      <c r="P92" s="65">
        <f>'TOTAL ESTACIONES'!P92</f>
        <v>41327</v>
      </c>
      <c r="Q92" s="65">
        <f>'TOTAL ESTACIONES'!Q92</f>
        <v>0</v>
      </c>
      <c r="R92" s="65">
        <f>'TOTAL ESTACIONES'!R92</f>
        <v>73896</v>
      </c>
      <c r="S92" s="65">
        <f>'TOTAL ESTACIONES'!S92</f>
        <v>58961</v>
      </c>
      <c r="T92" s="65">
        <f>'TOTAL ESTACIONES'!T92</f>
        <v>43546</v>
      </c>
      <c r="U92" s="65">
        <f>'TOTAL ESTACIONES'!U92</f>
        <v>44100.75</v>
      </c>
      <c r="V92" s="11">
        <f>'TOTAL ESTACIONES'!V92</f>
        <v>526699.75</v>
      </c>
      <c r="W92" s="73">
        <f>'TOTAL ESTACIONES'!W92</f>
        <v>1.5979377193741284E-3</v>
      </c>
      <c r="X92" s="89">
        <f>'TOTAL ESTACIONES'!X92</f>
        <v>0</v>
      </c>
      <c r="Y92" s="65">
        <f>'TOTAL ESTACIONES'!Y92</f>
        <v>46379.678939999998</v>
      </c>
      <c r="Z92" s="65">
        <f>'TOTAL ESTACIONES'!Z92</f>
        <v>46379.678939999998</v>
      </c>
      <c r="AA92" s="65">
        <f>'TOTAL ESTACIONES'!AA92</f>
        <v>46379.678939999998</v>
      </c>
      <c r="AB92" s="65">
        <f>'TOTAL ESTACIONES'!AB92</f>
        <v>46379.678939999998</v>
      </c>
      <c r="AC92" s="65">
        <f>'TOTAL ESTACIONES'!AC92</f>
        <v>46379.678939999998</v>
      </c>
      <c r="AD92" s="65">
        <f>'TOTAL ESTACIONES'!AD92</f>
        <v>46379.678939999998</v>
      </c>
      <c r="AE92" s="65">
        <f>'TOTAL ESTACIONES'!AE92</f>
        <v>46379.678939999998</v>
      </c>
      <c r="AF92" s="65">
        <f>'TOTAL ESTACIONES'!AF92</f>
        <v>46379.678939999998</v>
      </c>
      <c r="AG92" s="65">
        <f>'TOTAL ESTACIONES'!AG92</f>
        <v>46379.678939999998</v>
      </c>
      <c r="AH92" s="65">
        <f>'TOTAL ESTACIONES'!AH92</f>
        <v>46379.678939999998</v>
      </c>
      <c r="AI92" s="65">
        <f>'TOTAL ESTACIONES'!AI92</f>
        <v>46379.678939999998</v>
      </c>
      <c r="AJ92" s="65">
        <f>'TOTAL ESTACIONES'!AJ92</f>
        <v>46379.678939999998</v>
      </c>
      <c r="AK92" s="65">
        <f>'TOTAL ESTACIONES'!AK92</f>
        <v>556556.14728000003</v>
      </c>
      <c r="AL92" s="73">
        <f>'TOTAL ESTACIONES'!AL92</f>
        <v>1.5511633831001605E-3</v>
      </c>
      <c r="AM92" s="14">
        <f>'TOTAL ESTACIONES'!AM92</f>
        <v>5.6685801122935864E-2</v>
      </c>
      <c r="AN92" s="89"/>
      <c r="AO92" s="253">
        <v>0</v>
      </c>
      <c r="AP92" s="196">
        <v>0</v>
      </c>
      <c r="AQ92" s="180">
        <v>0</v>
      </c>
      <c r="AR92" s="296">
        <f t="shared" si="0"/>
        <v>29856.397280000034</v>
      </c>
    </row>
    <row r="93" spans="1:45" ht="15" hidden="1" customHeight="1" outlineLevel="1">
      <c r="A93" s="12" t="s">
        <v>196</v>
      </c>
      <c r="B93" s="8" t="s">
        <v>89</v>
      </c>
      <c r="I93" s="223" t="s">
        <v>200</v>
      </c>
      <c r="J93" s="65">
        <f>'TOTAL ESTACIONES'!J93</f>
        <v>11896</v>
      </c>
      <c r="K93" s="65">
        <f>'TOTAL ESTACIONES'!K93</f>
        <v>12287</v>
      </c>
      <c r="L93" s="65">
        <f>'TOTAL ESTACIONES'!L93</f>
        <v>12044</v>
      </c>
      <c r="M93" s="65">
        <f>'TOTAL ESTACIONES'!M93</f>
        <v>0</v>
      </c>
      <c r="N93" s="65">
        <f>'TOTAL ESTACIONES'!N93</f>
        <v>12287</v>
      </c>
      <c r="O93" s="65">
        <f>'TOTAL ESTACIONES'!O93</f>
        <v>0</v>
      </c>
      <c r="P93" s="65">
        <f>'TOTAL ESTACIONES'!P93</f>
        <v>0</v>
      </c>
      <c r="Q93" s="65">
        <f>'TOTAL ESTACIONES'!Q93</f>
        <v>0</v>
      </c>
      <c r="R93" s="65">
        <f>'TOTAL ESTACIONES'!R93</f>
        <v>12865</v>
      </c>
      <c r="S93" s="65">
        <f>'TOTAL ESTACIONES'!S93</f>
        <v>0</v>
      </c>
      <c r="T93" s="65">
        <f>'TOTAL ESTACIONES'!T93</f>
        <v>3216.25</v>
      </c>
      <c r="U93" s="65">
        <f>'TOTAL ESTACIONES'!U93</f>
        <v>4020.3125</v>
      </c>
      <c r="V93" s="11">
        <f>'TOTAL ESTACIONES'!V93</f>
        <v>68615.5625</v>
      </c>
      <c r="W93" s="73">
        <f>'TOTAL ESTACIONES'!W93</f>
        <v>2.08170585717618E-4</v>
      </c>
      <c r="X93" s="89">
        <f>'TOTAL ESTACIONES'!X93</f>
        <v>0</v>
      </c>
      <c r="Y93" s="65">
        <f>'TOTAL ESTACIONES'!Y93</f>
        <v>13569.807938399998</v>
      </c>
      <c r="Z93" s="65">
        <f>'TOTAL ESTACIONES'!Z93</f>
        <v>13569.807938399998</v>
      </c>
      <c r="AA93" s="65">
        <f>'TOTAL ESTACIONES'!AA93</f>
        <v>13569.807938399998</v>
      </c>
      <c r="AB93" s="65">
        <f>'TOTAL ESTACIONES'!AB93</f>
        <v>0</v>
      </c>
      <c r="AC93" s="65">
        <f>'TOTAL ESTACIONES'!AC93</f>
        <v>13569.807938399998</v>
      </c>
      <c r="AD93" s="65">
        <f>'TOTAL ESTACIONES'!AD93</f>
        <v>0</v>
      </c>
      <c r="AE93" s="65">
        <f>'TOTAL ESTACIONES'!AE93</f>
        <v>0</v>
      </c>
      <c r="AF93" s="65">
        <f>'TOTAL ESTACIONES'!AF93</f>
        <v>0</v>
      </c>
      <c r="AG93" s="65">
        <f>'TOTAL ESTACIONES'!AG93</f>
        <v>13569.807938399998</v>
      </c>
      <c r="AH93" s="65">
        <f>'TOTAL ESTACIONES'!AH93</f>
        <v>0</v>
      </c>
      <c r="AI93" s="65">
        <f>'TOTAL ESTACIONES'!AI93</f>
        <v>13569.807938399998</v>
      </c>
      <c r="AJ93" s="65">
        <f>'TOTAL ESTACIONES'!AJ93</f>
        <v>13569.807938399998</v>
      </c>
      <c r="AK93" s="297">
        <f>'TOTAL ESTACIONES'!AK93</f>
        <v>94988.655568799993</v>
      </c>
      <c r="AL93" s="73">
        <f>'TOTAL ESTACIONES'!AL93</f>
        <v>2.6474044900650132E-4</v>
      </c>
      <c r="AM93" s="14">
        <f>'TOTAL ESTACIONES'!AM93</f>
        <v>0.38436022540513304</v>
      </c>
      <c r="AN93" s="89"/>
      <c r="AO93" s="253">
        <v>59555332.559999987</v>
      </c>
      <c r="AP93" s="196">
        <v>1.3511944938739317E-2</v>
      </c>
      <c r="AQ93" s="180">
        <v>0.50787991782567876</v>
      </c>
      <c r="AR93" s="296">
        <f>+AK93-V93</f>
        <v>26373.093068799993</v>
      </c>
    </row>
    <row r="94" spans="1:45" ht="15" hidden="1" customHeight="1" outlineLevel="1">
      <c r="A94" s="12" t="s">
        <v>196</v>
      </c>
      <c r="B94" s="8" t="s">
        <v>89</v>
      </c>
      <c r="I94" s="223" t="s">
        <v>201</v>
      </c>
      <c r="J94" s="65">
        <f>'TOTAL ESTACIONES'!J94</f>
        <v>17158</v>
      </c>
      <c r="K94" s="65">
        <f>'TOTAL ESTACIONES'!K94</f>
        <v>15186</v>
      </c>
      <c r="L94" s="65">
        <f>'TOTAL ESTACIONES'!L94</f>
        <v>17183</v>
      </c>
      <c r="M94" s="65">
        <f>'TOTAL ESTACIONES'!M94</f>
        <v>16371</v>
      </c>
      <c r="N94" s="65">
        <f>'TOTAL ESTACIONES'!N94</f>
        <v>16875</v>
      </c>
      <c r="O94" s="65">
        <f>'TOTAL ESTACIONES'!O94</f>
        <v>16430</v>
      </c>
      <c r="P94" s="65">
        <f>'TOTAL ESTACIONES'!P94</f>
        <v>16396</v>
      </c>
      <c r="Q94" s="65">
        <f>'TOTAL ESTACIONES'!Q94</f>
        <v>15630</v>
      </c>
      <c r="R94" s="65">
        <f>'TOTAL ESTACIONES'!R94</f>
        <v>16874</v>
      </c>
      <c r="S94" s="65">
        <f>'TOTAL ESTACIONES'!S94</f>
        <v>17059</v>
      </c>
      <c r="T94" s="65">
        <f>'TOTAL ESTACIONES'!T94</f>
        <v>16489.75</v>
      </c>
      <c r="U94" s="65">
        <f>'TOTAL ESTACIONES'!U94</f>
        <v>16513.1875</v>
      </c>
      <c r="V94" s="11">
        <f>'TOTAL ESTACIONES'!V94</f>
        <v>198164.9375</v>
      </c>
      <c r="W94" s="73">
        <f>'TOTAL ESTACIONES'!W94</f>
        <v>6.0120633869423083E-4</v>
      </c>
      <c r="X94" s="89">
        <f>'TOTAL ESTACIONES'!X94</f>
        <v>0</v>
      </c>
      <c r="Y94" s="65">
        <f>'TOTAL ESTACIONES'!Y94</f>
        <v>18929.882074067998</v>
      </c>
      <c r="Z94" s="65">
        <f>'TOTAL ESTACIONES'!Z94</f>
        <v>17097.958002383999</v>
      </c>
      <c r="AA94" s="65">
        <f>'TOTAL ESTACIONES'!AA94</f>
        <v>18929.882074067998</v>
      </c>
      <c r="AB94" s="65">
        <f>'TOTAL ESTACIONES'!AB94</f>
        <v>18319.240716840002</v>
      </c>
      <c r="AC94" s="65">
        <f>'TOTAL ESTACIONES'!AC94</f>
        <v>18929.882074067998</v>
      </c>
      <c r="AD94" s="65">
        <f>'TOTAL ESTACIONES'!AD94</f>
        <v>18319.240716840002</v>
      </c>
      <c r="AE94" s="65">
        <f>'TOTAL ESTACIONES'!AE94</f>
        <v>18929.882074067998</v>
      </c>
      <c r="AF94" s="65">
        <f>'TOTAL ESTACIONES'!AF94</f>
        <v>18929.882074067998</v>
      </c>
      <c r="AG94" s="65">
        <f>'TOTAL ESTACIONES'!AG94</f>
        <v>18319.240716840002</v>
      </c>
      <c r="AH94" s="65">
        <f>'TOTAL ESTACIONES'!AH94</f>
        <v>18929.882074067998</v>
      </c>
      <c r="AI94" s="65">
        <f>'TOTAL ESTACIONES'!AI94</f>
        <v>18319.240716840002</v>
      </c>
      <c r="AJ94" s="65">
        <f>'TOTAL ESTACIONES'!AJ94</f>
        <v>18929.882074067998</v>
      </c>
      <c r="AK94" s="65">
        <f>'TOTAL ESTACIONES'!AK94</f>
        <v>222884.09538822001</v>
      </c>
      <c r="AL94" s="73">
        <f>'TOTAL ESTACIONES'!AL94</f>
        <v>6.2119455356168362E-4</v>
      </c>
      <c r="AM94" s="14">
        <f>'TOTAL ESTACIONES'!AM94</f>
        <v>0.12474032086639952</v>
      </c>
      <c r="AN94" s="89"/>
      <c r="AO94" s="253">
        <v>0</v>
      </c>
      <c r="AP94" s="196">
        <v>0</v>
      </c>
      <c r="AQ94" s="180">
        <v>-1</v>
      </c>
      <c r="AR94" s="296">
        <f t="shared" ref="AR94:AR105" si="1">+AK94-V94</f>
        <v>24719.157888220012</v>
      </c>
    </row>
    <row r="95" spans="1:45" ht="15" hidden="1" customHeight="1" outlineLevel="1">
      <c r="A95" s="12" t="s">
        <v>196</v>
      </c>
      <c r="B95" s="8" t="s">
        <v>89</v>
      </c>
      <c r="I95" s="223" t="s">
        <v>202</v>
      </c>
      <c r="J95" s="65">
        <f>'TOTAL ESTACIONES'!J95</f>
        <v>0</v>
      </c>
      <c r="K95" s="65">
        <f>'TOTAL ESTACIONES'!K95</f>
        <v>0</v>
      </c>
      <c r="L95" s="65">
        <f>'TOTAL ESTACIONES'!L95</f>
        <v>0</v>
      </c>
      <c r="M95" s="65">
        <f>'TOTAL ESTACIONES'!M95</f>
        <v>0</v>
      </c>
      <c r="N95" s="65">
        <f>'TOTAL ESTACIONES'!N95</f>
        <v>0</v>
      </c>
      <c r="O95" s="65">
        <f>'TOTAL ESTACIONES'!O95</f>
        <v>0</v>
      </c>
      <c r="P95" s="65">
        <f>'TOTAL ESTACIONES'!P95</f>
        <v>0</v>
      </c>
      <c r="Q95" s="65">
        <f>'TOTAL ESTACIONES'!Q95</f>
        <v>55943</v>
      </c>
      <c r="R95" s="65">
        <f>'TOTAL ESTACIONES'!R95</f>
        <v>0</v>
      </c>
      <c r="S95" s="65">
        <f>'TOTAL ESTACIONES'!S95</f>
        <v>0</v>
      </c>
      <c r="T95" s="65">
        <f>'TOTAL ESTACIONES'!T95</f>
        <v>18647.666666666664</v>
      </c>
      <c r="U95" s="65">
        <f>'TOTAL ESTACIONES'!U95</f>
        <v>24863.555555555555</v>
      </c>
      <c r="V95" s="11">
        <f>'TOTAL ESTACIONES'!V95</f>
        <v>99454.222222222219</v>
      </c>
      <c r="W95" s="73">
        <f>'TOTAL ESTACIONES'!W95</f>
        <v>3.0173102045312445E-4</v>
      </c>
      <c r="X95" s="89">
        <f>'TOTAL ESTACIONES'!X95</f>
        <v>0</v>
      </c>
      <c r="Y95" s="65">
        <f>'TOTAL ESTACIONES'!Y95</f>
        <v>0</v>
      </c>
      <c r="Z95" s="65">
        <f>'TOTAL ESTACIONES'!Z95</f>
        <v>0</v>
      </c>
      <c r="AA95" s="65">
        <f>'TOTAL ESTACIONES'!AA95</f>
        <v>0</v>
      </c>
      <c r="AB95" s="65">
        <f>'TOTAL ESTACIONES'!AB95</f>
        <v>0</v>
      </c>
      <c r="AC95" s="65">
        <f>'TOTAL ESTACIONES'!AC95</f>
        <v>0</v>
      </c>
      <c r="AD95" s="65">
        <f>'TOTAL ESTACIONES'!AD95</f>
        <v>0</v>
      </c>
      <c r="AE95" s="65">
        <f>'TOTAL ESTACIONES'!AE95</f>
        <v>0</v>
      </c>
      <c r="AF95" s="65">
        <f>'TOTAL ESTACIONES'!AF95</f>
        <v>0</v>
      </c>
      <c r="AG95" s="65">
        <f>'TOTAL ESTACIONES'!AG95</f>
        <v>0</v>
      </c>
      <c r="AH95" s="65">
        <f>'TOTAL ESTACIONES'!AH95</f>
        <v>0</v>
      </c>
      <c r="AI95" s="65">
        <f>'TOTAL ESTACIONES'!AI95</f>
        <v>0</v>
      </c>
      <c r="AJ95" s="65">
        <f>'TOTAL ESTACIONES'!AJ95</f>
        <v>0</v>
      </c>
      <c r="AK95" s="65">
        <f>'TOTAL ESTACIONES'!AK95</f>
        <v>0</v>
      </c>
      <c r="AL95" s="73">
        <f>'TOTAL ESTACIONES'!AL95</f>
        <v>0</v>
      </c>
      <c r="AM95" s="14">
        <f>'TOTAL ESTACIONES'!AM95</f>
        <v>-1</v>
      </c>
      <c r="AN95" s="89"/>
      <c r="AO95" s="253">
        <v>0</v>
      </c>
      <c r="AP95" s="196">
        <v>0</v>
      </c>
      <c r="AQ95" s="180">
        <v>-1</v>
      </c>
      <c r="AR95" s="296">
        <f t="shared" si="1"/>
        <v>-99454.222222222219</v>
      </c>
    </row>
    <row r="96" spans="1:45" ht="15" hidden="1" outlineLevel="1">
      <c r="A96" s="12" t="s">
        <v>213</v>
      </c>
      <c r="B96" s="8" t="s">
        <v>89</v>
      </c>
      <c r="I96" s="223" t="s">
        <v>203</v>
      </c>
      <c r="J96" s="65">
        <f>'TOTAL ESTACIONES'!J96</f>
        <v>28662</v>
      </c>
      <c r="K96" s="65">
        <f>'TOTAL ESTACIONES'!K96</f>
        <v>26477</v>
      </c>
      <c r="L96" s="65">
        <f>'TOTAL ESTACIONES'!L96</f>
        <v>30215</v>
      </c>
      <c r="M96" s="65">
        <f>'TOTAL ESTACIONES'!M96</f>
        <v>26182</v>
      </c>
      <c r="N96" s="65">
        <f>'TOTAL ESTACIONES'!N96</f>
        <v>29569</v>
      </c>
      <c r="O96" s="65">
        <f>'TOTAL ESTACIONES'!O96</f>
        <v>29292</v>
      </c>
      <c r="P96" s="65">
        <f>'TOTAL ESTACIONES'!P96</f>
        <v>26945</v>
      </c>
      <c r="Q96" s="65">
        <f>'TOTAL ESTACIONES'!Q96</f>
        <v>27036</v>
      </c>
      <c r="R96" s="65">
        <f>'TOTAL ESTACIONES'!R96</f>
        <v>29731</v>
      </c>
      <c r="S96" s="65">
        <f>'TOTAL ESTACIONES'!S96</f>
        <v>29729</v>
      </c>
      <c r="T96" s="65">
        <f>'TOTAL ESTACIONES'!T96</f>
        <v>28360.25</v>
      </c>
      <c r="U96" s="65">
        <f>'TOTAL ESTACIONES'!U96</f>
        <v>28714.0625</v>
      </c>
      <c r="V96" s="11">
        <f>'TOTAL ESTACIONES'!V96</f>
        <v>340912.3125</v>
      </c>
      <c r="W96" s="73">
        <f>'TOTAL ESTACIONES'!W96</f>
        <v>1.0342830866025856E-3</v>
      </c>
      <c r="X96" s="89">
        <f>'TOTAL ESTACIONES'!X96</f>
        <v>0</v>
      </c>
      <c r="Y96" s="65">
        <f>'TOTAL ESTACIONES'!Y96</f>
        <v>29417.962119999997</v>
      </c>
      <c r="Z96" s="65">
        <f>'TOTAL ESTACIONES'!Z96</f>
        <v>26571.062559999991</v>
      </c>
      <c r="AA96" s="65">
        <f>'TOTAL ESTACIONES'!AA96</f>
        <v>29417.962119999997</v>
      </c>
      <c r="AB96" s="65">
        <f>'TOTAL ESTACIONES'!AB96</f>
        <v>28468.995599999995</v>
      </c>
      <c r="AC96" s="65">
        <f>'TOTAL ESTACIONES'!AC96</f>
        <v>29417.962119999997</v>
      </c>
      <c r="AD96" s="65">
        <f>'TOTAL ESTACIONES'!AD96</f>
        <v>28468.995599999995</v>
      </c>
      <c r="AE96" s="65">
        <f>'TOTAL ESTACIONES'!AE96</f>
        <v>29417.962119999997</v>
      </c>
      <c r="AF96" s="65">
        <f>'TOTAL ESTACIONES'!AF96</f>
        <v>29417.962119999997</v>
      </c>
      <c r="AG96" s="65">
        <f>'TOTAL ESTACIONES'!AG96</f>
        <v>28468.995599999995</v>
      </c>
      <c r="AH96" s="65">
        <f>'TOTAL ESTACIONES'!AH96</f>
        <v>29417.962119999997</v>
      </c>
      <c r="AI96" s="65">
        <f>'TOTAL ESTACIONES'!AI96</f>
        <v>28468.995599999995</v>
      </c>
      <c r="AJ96" s="65">
        <f>'TOTAL ESTACIONES'!AJ96</f>
        <v>29417.962119999997</v>
      </c>
      <c r="AK96" s="65">
        <f>'TOTAL ESTACIONES'!AK96</f>
        <v>346372.77979999996</v>
      </c>
      <c r="AL96" s="73">
        <f>'TOTAL ESTACIONES'!AL96</f>
        <v>9.653667029897563E-4</v>
      </c>
      <c r="AM96" s="14">
        <f>'TOTAL ESTACIONES'!AM96</f>
        <v>1.6017219383943404E-2</v>
      </c>
      <c r="AN96" s="89"/>
      <c r="AO96" s="253">
        <v>15763374.583692413</v>
      </c>
      <c r="AP96" s="196">
        <v>3.5764026539351545E-3</v>
      </c>
      <c r="AQ96" s="180">
        <v>0.17030664789238292</v>
      </c>
      <c r="AR96" s="296">
        <f t="shared" si="1"/>
        <v>5460.4672999999602</v>
      </c>
    </row>
    <row r="97" spans="1:46" ht="15" hidden="1" customHeight="1" outlineLevel="1">
      <c r="A97" s="12" t="s">
        <v>213</v>
      </c>
      <c r="B97" s="8" t="s">
        <v>89</v>
      </c>
      <c r="I97" s="223" t="s">
        <v>204</v>
      </c>
      <c r="J97" s="65">
        <f>'TOTAL ESTACIONES'!J97</f>
        <v>23699</v>
      </c>
      <c r="K97" s="65">
        <f>'TOTAL ESTACIONES'!K97</f>
        <v>22711</v>
      </c>
      <c r="L97" s="65">
        <f>'TOTAL ESTACIONES'!L97</f>
        <v>25639</v>
      </c>
      <c r="M97" s="65">
        <f>'TOTAL ESTACIONES'!M97</f>
        <v>21887</v>
      </c>
      <c r="N97" s="65">
        <f>'TOTAL ESTACIONES'!N97</f>
        <v>25914</v>
      </c>
      <c r="O97" s="65">
        <f>'TOTAL ESTACIONES'!O97</f>
        <v>25554</v>
      </c>
      <c r="P97" s="65">
        <f>'TOTAL ESTACIONES'!P97</f>
        <v>24027</v>
      </c>
      <c r="Q97" s="65">
        <f>'TOTAL ESTACIONES'!Q97</f>
        <v>23205</v>
      </c>
      <c r="R97" s="65">
        <f>'TOTAL ESTACIONES'!R97</f>
        <v>26819</v>
      </c>
      <c r="S97" s="65">
        <f>'TOTAL ESTACIONES'!S97</f>
        <v>27430</v>
      </c>
      <c r="T97" s="65">
        <f>'TOTAL ESTACIONES'!T97</f>
        <v>25370.25</v>
      </c>
      <c r="U97" s="65">
        <f>'TOTAL ESTACIONES'!U97</f>
        <v>25706.0625</v>
      </c>
      <c r="V97" s="11">
        <f>'TOTAL ESTACIONES'!V97</f>
        <v>297961.3125</v>
      </c>
      <c r="W97" s="73">
        <f>'TOTAL ESTACIONES'!W97</f>
        <v>9.0397540564234556E-4</v>
      </c>
      <c r="X97" s="89">
        <f>'TOTAL ESTACIONES'!X97</f>
        <v>0</v>
      </c>
      <c r="Y97" s="65">
        <f>'TOTAL ESTACIONES'!Y97</f>
        <v>26061.30816</v>
      </c>
      <c r="Z97" s="65">
        <f>'TOTAL ESTACIONES'!Z97</f>
        <v>23539.246079999997</v>
      </c>
      <c r="AA97" s="65">
        <f>'TOTAL ESTACIONES'!AA97</f>
        <v>26061.30816</v>
      </c>
      <c r="AB97" s="65">
        <f>'TOTAL ESTACIONES'!AB97</f>
        <v>25220.620800000004</v>
      </c>
      <c r="AC97" s="65">
        <f>'TOTAL ESTACIONES'!AC97</f>
        <v>26061.30816</v>
      </c>
      <c r="AD97" s="65">
        <f>'TOTAL ESTACIONES'!AD97</f>
        <v>25220.620800000004</v>
      </c>
      <c r="AE97" s="65">
        <f>'TOTAL ESTACIONES'!AE97</f>
        <v>26061.30816</v>
      </c>
      <c r="AF97" s="65">
        <f>'TOTAL ESTACIONES'!AF97</f>
        <v>26061.30816</v>
      </c>
      <c r="AG97" s="65">
        <f>'TOTAL ESTACIONES'!AG97</f>
        <v>25220.620800000004</v>
      </c>
      <c r="AH97" s="65">
        <f>'TOTAL ESTACIONES'!AH97</f>
        <v>26061.30816</v>
      </c>
      <c r="AI97" s="65">
        <f>'TOTAL ESTACIONES'!AI97</f>
        <v>25220.620800000004</v>
      </c>
      <c r="AJ97" s="65">
        <f>'TOTAL ESTACIONES'!AJ97</f>
        <v>26061.30816</v>
      </c>
      <c r="AK97" s="65">
        <f>'TOTAL ESTACIONES'!AK97</f>
        <v>306850.88640000008</v>
      </c>
      <c r="AL97" s="73">
        <f>'TOTAL ESTACIONES'!AL97</f>
        <v>8.5521624616257546E-4</v>
      </c>
      <c r="AM97" s="14">
        <f>'TOTAL ESTACIONES'!AM97</f>
        <v>2.98346581487825E-2</v>
      </c>
      <c r="AN97" s="89"/>
      <c r="AO97" s="253">
        <v>3588441.5412978469</v>
      </c>
      <c r="AP97" s="73">
        <v>8.1414749003462473E-4</v>
      </c>
      <c r="AQ97" s="180">
        <v>0.51951629344672323</v>
      </c>
      <c r="AR97" s="296">
        <f t="shared" si="1"/>
        <v>8889.5739000000758</v>
      </c>
    </row>
    <row r="98" spans="1:46" ht="15" hidden="1" customHeight="1" outlineLevel="1">
      <c r="A98" s="12" t="s">
        <v>213</v>
      </c>
      <c r="B98" s="8" t="s">
        <v>89</v>
      </c>
      <c r="I98" s="226" t="s">
        <v>205</v>
      </c>
      <c r="J98" s="65">
        <f>'TOTAL ESTACIONES'!J98</f>
        <v>0</v>
      </c>
      <c r="K98" s="65">
        <f>'TOTAL ESTACIONES'!K98</f>
        <v>0</v>
      </c>
      <c r="L98" s="65">
        <f>'TOTAL ESTACIONES'!L98</f>
        <v>0</v>
      </c>
      <c r="M98" s="65">
        <f>'TOTAL ESTACIONES'!M98</f>
        <v>0</v>
      </c>
      <c r="N98" s="65">
        <f>'TOTAL ESTACIONES'!N98</f>
        <v>0</v>
      </c>
      <c r="O98" s="65">
        <f>'TOTAL ESTACIONES'!O98</f>
        <v>0</v>
      </c>
      <c r="P98" s="65">
        <f>'TOTAL ESTACIONES'!P98</f>
        <v>0</v>
      </c>
      <c r="Q98" s="65">
        <f>'TOTAL ESTACIONES'!Q98</f>
        <v>0</v>
      </c>
      <c r="R98" s="65">
        <f>'TOTAL ESTACIONES'!R98</f>
        <v>0</v>
      </c>
      <c r="S98" s="65">
        <f>'TOTAL ESTACIONES'!S98</f>
        <v>0</v>
      </c>
      <c r="T98" s="65">
        <f>'TOTAL ESTACIONES'!T98</f>
        <v>0</v>
      </c>
      <c r="U98" s="65">
        <f>'TOTAL ESTACIONES'!U98</f>
        <v>0</v>
      </c>
      <c r="V98" s="11">
        <f>'TOTAL ESTACIONES'!V98</f>
        <v>0</v>
      </c>
      <c r="W98" s="73">
        <f>'TOTAL ESTACIONES'!W98</f>
        <v>0</v>
      </c>
      <c r="X98" s="89">
        <f>'TOTAL ESTACIONES'!X98</f>
        <v>0</v>
      </c>
      <c r="Y98" s="65">
        <f>'TOTAL ESTACIONES'!Y98</f>
        <v>0</v>
      </c>
      <c r="Z98" s="65">
        <f>'TOTAL ESTACIONES'!Z98</f>
        <v>0</v>
      </c>
      <c r="AA98" s="65">
        <f>'TOTAL ESTACIONES'!AA98</f>
        <v>0</v>
      </c>
      <c r="AB98" s="65">
        <f>'TOTAL ESTACIONES'!AB98</f>
        <v>0</v>
      </c>
      <c r="AC98" s="65">
        <f>'TOTAL ESTACIONES'!AC98</f>
        <v>0</v>
      </c>
      <c r="AD98" s="65">
        <f>'TOTAL ESTACIONES'!AD98</f>
        <v>0</v>
      </c>
      <c r="AE98" s="65">
        <f>'TOTAL ESTACIONES'!AE98</f>
        <v>0</v>
      </c>
      <c r="AF98" s="65">
        <f>'TOTAL ESTACIONES'!AF98</f>
        <v>0</v>
      </c>
      <c r="AG98" s="65">
        <f>'TOTAL ESTACIONES'!AG98</f>
        <v>0</v>
      </c>
      <c r="AH98" s="65">
        <f>'TOTAL ESTACIONES'!AH98</f>
        <v>0</v>
      </c>
      <c r="AI98" s="65">
        <f>'TOTAL ESTACIONES'!AI98</f>
        <v>0</v>
      </c>
      <c r="AJ98" s="65">
        <f>'TOTAL ESTACIONES'!AJ98</f>
        <v>0</v>
      </c>
      <c r="AK98" s="65">
        <f>'TOTAL ESTACIONES'!AK98</f>
        <v>0</v>
      </c>
      <c r="AL98" s="73">
        <f>'TOTAL ESTACIONES'!AL98</f>
        <v>0</v>
      </c>
      <c r="AM98" s="14">
        <f>'TOTAL ESTACIONES'!AM98</f>
        <v>0</v>
      </c>
      <c r="AN98" s="89"/>
      <c r="AO98" s="253">
        <v>4178733.4633328668</v>
      </c>
      <c r="AP98" s="73">
        <v>9.4807322943477415E-4</v>
      </c>
      <c r="AQ98" s="180">
        <v>0.81448847435825922</v>
      </c>
      <c r="AR98" s="296">
        <f t="shared" si="1"/>
        <v>0</v>
      </c>
    </row>
    <row r="99" spans="1:46" ht="15" hidden="1" customHeight="1" outlineLevel="1">
      <c r="A99" s="12" t="s">
        <v>213</v>
      </c>
      <c r="B99" s="8" t="s">
        <v>89</v>
      </c>
      <c r="I99" s="223" t="s">
        <v>206</v>
      </c>
      <c r="J99" s="65">
        <f>'TOTAL ESTACIONES'!J99</f>
        <v>7488</v>
      </c>
      <c r="K99" s="65">
        <f>'TOTAL ESTACIONES'!K99</f>
        <v>6640</v>
      </c>
      <c r="L99" s="65">
        <f>'TOTAL ESTACIONES'!L99</f>
        <v>6918</v>
      </c>
      <c r="M99" s="65">
        <f>'TOTAL ESTACIONES'!M99</f>
        <v>6659</v>
      </c>
      <c r="N99" s="65">
        <f>'TOTAL ESTACIONES'!N99</f>
        <v>6578</v>
      </c>
      <c r="O99" s="65">
        <f>'TOTAL ESTACIONES'!O99</f>
        <v>6602</v>
      </c>
      <c r="P99" s="65">
        <f>'TOTAL ESTACIONES'!P99</f>
        <v>6671</v>
      </c>
      <c r="Q99" s="65">
        <f>'TOTAL ESTACIONES'!Q99</f>
        <v>6439</v>
      </c>
      <c r="R99" s="65">
        <f>'TOTAL ESTACIONES'!R99</f>
        <v>6846</v>
      </c>
      <c r="S99" s="65">
        <f>'TOTAL ESTACIONES'!S99</f>
        <v>6455</v>
      </c>
      <c r="T99" s="65">
        <f>'TOTAL ESTACIONES'!T99</f>
        <v>6602.75</v>
      </c>
      <c r="U99" s="65">
        <f>'TOTAL ESTACIONES'!U99</f>
        <v>6585.6875</v>
      </c>
      <c r="V99" s="11">
        <f>'TOTAL ESTACIONES'!V99</f>
        <v>80484.4375</v>
      </c>
      <c r="W99" s="73">
        <f>'TOTAL ESTACIONES'!W99</f>
        <v>2.4417919033350516E-4</v>
      </c>
      <c r="X99" s="89">
        <f>'TOTAL ESTACIONES'!X99</f>
        <v>0</v>
      </c>
      <c r="Y99" s="65">
        <f>'TOTAL ESTACIONES'!Y99</f>
        <v>7827.3484967999993</v>
      </c>
      <c r="Z99" s="65">
        <f>'TOTAL ESTACIONES'!Z99</f>
        <v>7069.8631583999986</v>
      </c>
      <c r="AA99" s="65">
        <f>'TOTAL ESTACIONES'!AA99</f>
        <v>7827.3484967999993</v>
      </c>
      <c r="AB99" s="65">
        <f>'TOTAL ESTACIONES'!AB99</f>
        <v>7574.8533839999982</v>
      </c>
      <c r="AC99" s="65">
        <f>'TOTAL ESTACIONES'!AC99</f>
        <v>7827.3484967999993</v>
      </c>
      <c r="AD99" s="65">
        <f>'TOTAL ESTACIONES'!AD99</f>
        <v>7574.8533839999982</v>
      </c>
      <c r="AE99" s="65">
        <f>'TOTAL ESTACIONES'!AE99</f>
        <v>7827.3484967999993</v>
      </c>
      <c r="AF99" s="65">
        <f>'TOTAL ESTACIONES'!AF99</f>
        <v>7827.3484967999993</v>
      </c>
      <c r="AG99" s="65">
        <f>'TOTAL ESTACIONES'!AG99</f>
        <v>7574.8533839999982</v>
      </c>
      <c r="AH99" s="65">
        <f>'TOTAL ESTACIONES'!AH99</f>
        <v>7827.3484967999993</v>
      </c>
      <c r="AI99" s="65">
        <f>'TOTAL ESTACIONES'!AI99</f>
        <v>7574.8533839999982</v>
      </c>
      <c r="AJ99" s="65">
        <f>'TOTAL ESTACIONES'!AJ99</f>
        <v>7827.3484967999993</v>
      </c>
      <c r="AK99" s="65">
        <f>'TOTAL ESTACIONES'!AK99</f>
        <v>92160.716171999986</v>
      </c>
      <c r="AL99" s="73">
        <f>'TOTAL ESTACIONES'!AL99</f>
        <v>2.5685877154524127E-4</v>
      </c>
      <c r="AM99" s="14">
        <f>'TOTAL ESTACIONES'!AM99</f>
        <v>0.14507498635372817</v>
      </c>
      <c r="AN99" s="89"/>
      <c r="AO99" s="253">
        <v>7940461.2533137016</v>
      </c>
      <c r="AP99" s="73">
        <v>1.8015359940249782E-3</v>
      </c>
      <c r="AQ99" s="180">
        <v>0.20347278525287282</v>
      </c>
      <c r="AR99" s="296">
        <f t="shared" si="1"/>
        <v>11676.278671999986</v>
      </c>
    </row>
    <row r="100" spans="1:46" ht="15" hidden="1" customHeight="1" outlineLevel="1">
      <c r="A100" s="12" t="s">
        <v>213</v>
      </c>
      <c r="B100" s="8" t="s">
        <v>89</v>
      </c>
      <c r="I100" s="223" t="s">
        <v>207</v>
      </c>
      <c r="J100" s="65">
        <f>'TOTAL ESTACIONES'!J100</f>
        <v>2923</v>
      </c>
      <c r="K100" s="65">
        <f>'TOTAL ESTACIONES'!K100</f>
        <v>2385</v>
      </c>
      <c r="L100" s="65">
        <f>'TOTAL ESTACIONES'!L100</f>
        <v>2660</v>
      </c>
      <c r="M100" s="65">
        <f>'TOTAL ESTACIONES'!M100</f>
        <v>2620</v>
      </c>
      <c r="N100" s="65">
        <f>'TOTAL ESTACIONES'!N100</f>
        <v>2743</v>
      </c>
      <c r="O100" s="65">
        <f>'TOTAL ESTACIONES'!O100</f>
        <v>2625</v>
      </c>
      <c r="P100" s="65">
        <f>'TOTAL ESTACIONES'!P100</f>
        <v>2682</v>
      </c>
      <c r="Q100" s="65">
        <f>'TOTAL ESTACIONES'!Q100</f>
        <v>2809</v>
      </c>
      <c r="R100" s="65">
        <f>'TOTAL ESTACIONES'!R100</f>
        <v>2879</v>
      </c>
      <c r="S100" s="65">
        <f>'TOTAL ESTACIONES'!S100</f>
        <v>3013</v>
      </c>
      <c r="T100" s="65">
        <f>'TOTAL ESTACIONES'!T100</f>
        <v>2845.75</v>
      </c>
      <c r="U100" s="65">
        <f>'TOTAL ESTACIONES'!U100</f>
        <v>2886.6875</v>
      </c>
      <c r="V100" s="11">
        <f>'TOTAL ESTACIONES'!V100</f>
        <v>33071.4375</v>
      </c>
      <c r="W100" s="73">
        <f>'TOTAL ESTACIONES'!W100</f>
        <v>1.0033438864395517E-4</v>
      </c>
      <c r="X100" s="89">
        <f>'TOTAL ESTACIONES'!X100</f>
        <v>0</v>
      </c>
      <c r="Y100" s="65">
        <f>'TOTAL ESTACIONES'!Y100</f>
        <v>3121.3656387986302</v>
      </c>
      <c r="Z100" s="65">
        <f>'TOTAL ESTACIONES'!Z100</f>
        <v>2819.2979963342468</v>
      </c>
      <c r="AA100" s="65">
        <f>'TOTAL ESTACIONES'!AA100</f>
        <v>3121.3656387986302</v>
      </c>
      <c r="AB100" s="65">
        <f>'TOTAL ESTACIONES'!AB100</f>
        <v>3020.6764246438356</v>
      </c>
      <c r="AC100" s="65">
        <f>'TOTAL ESTACIONES'!AC100</f>
        <v>3121.3656387986302</v>
      </c>
      <c r="AD100" s="65">
        <f>'TOTAL ESTACIONES'!AD100</f>
        <v>3020.6764246438356</v>
      </c>
      <c r="AE100" s="65">
        <f>'TOTAL ESTACIONES'!AE100</f>
        <v>3121.3656387986302</v>
      </c>
      <c r="AF100" s="65">
        <f>'TOTAL ESTACIONES'!AF100</f>
        <v>3121.3656387986302</v>
      </c>
      <c r="AG100" s="65">
        <f>'TOTAL ESTACIONES'!AG100</f>
        <v>3020.6764246438356</v>
      </c>
      <c r="AH100" s="65">
        <f>'TOTAL ESTACIONES'!AH100</f>
        <v>3121.3656387986302</v>
      </c>
      <c r="AI100" s="65">
        <f>'TOTAL ESTACIONES'!AI100</f>
        <v>3020.6764246438356</v>
      </c>
      <c r="AJ100" s="65">
        <f>'TOTAL ESTACIONES'!AJ100</f>
        <v>3121.3656387986302</v>
      </c>
      <c r="AK100" s="65">
        <f>'TOTAL ESTACIONES'!AK100</f>
        <v>36751.563166499996</v>
      </c>
      <c r="AL100" s="73">
        <f>'TOTAL ESTACIONES'!AL100</f>
        <v>1.0242934038942016E-4</v>
      </c>
      <c r="AM100" s="14">
        <f>'TOTAL ESTACIONES'!AM100</f>
        <v>0.11127806786445249</v>
      </c>
      <c r="AN100" s="89"/>
      <c r="AO100" s="253">
        <v>55738.325748000025</v>
      </c>
      <c r="AP100" s="73">
        <v>1.2645940440778095E-5</v>
      </c>
      <c r="AQ100" s="180">
        <v>-0.97474398818965813</v>
      </c>
      <c r="AR100" s="296">
        <f t="shared" si="1"/>
        <v>3680.1256664999964</v>
      </c>
    </row>
    <row r="101" spans="1:46" ht="15" hidden="1" outlineLevel="1">
      <c r="A101" s="12" t="s">
        <v>219</v>
      </c>
      <c r="B101" s="8" t="s">
        <v>89</v>
      </c>
      <c r="C101" s="8" t="s">
        <v>81</v>
      </c>
      <c r="I101" s="223" t="s">
        <v>208</v>
      </c>
      <c r="J101" s="65">
        <f>'TOTAL ESTACIONES'!J101</f>
        <v>0</v>
      </c>
      <c r="K101" s="65">
        <f>'TOTAL ESTACIONES'!K101</f>
        <v>0</v>
      </c>
      <c r="L101" s="65">
        <f>'TOTAL ESTACIONES'!L101</f>
        <v>5586</v>
      </c>
      <c r="M101" s="65">
        <f>'TOTAL ESTACIONES'!M101</f>
        <v>0</v>
      </c>
      <c r="N101" s="65">
        <f>'TOTAL ESTACIONES'!N101</f>
        <v>0</v>
      </c>
      <c r="O101" s="65">
        <f>'TOTAL ESTACIONES'!O101</f>
        <v>9444</v>
      </c>
      <c r="P101" s="65">
        <f>'TOTAL ESTACIONES'!P101</f>
        <v>0</v>
      </c>
      <c r="Q101" s="65">
        <f>'TOTAL ESTACIONES'!Q101</f>
        <v>6080</v>
      </c>
      <c r="R101" s="65">
        <f>'TOTAL ESTACIONES'!R101</f>
        <v>0</v>
      </c>
      <c r="S101" s="65">
        <f>'TOTAL ESTACIONES'!S101</f>
        <v>0</v>
      </c>
      <c r="T101" s="65">
        <f>'TOTAL ESTACIONES'!T101</f>
        <v>1520</v>
      </c>
      <c r="U101" s="65">
        <f>'TOTAL ESTACIONES'!U101</f>
        <v>1900</v>
      </c>
      <c r="V101" s="11">
        <f>'TOTAL ESTACIONES'!V101</f>
        <v>24530</v>
      </c>
      <c r="W101" s="73">
        <f>'TOTAL ESTACIONES'!W101</f>
        <v>7.4420791458980896E-5</v>
      </c>
      <c r="X101" s="89">
        <f>'TOTAL ESTACIONES'!X101</f>
        <v>0</v>
      </c>
      <c r="Y101" s="65">
        <f>'TOTAL ESTACIONES'!Y101</f>
        <v>0</v>
      </c>
      <c r="Z101" s="65">
        <f>'TOTAL ESTACIONES'!Z101</f>
        <v>0</v>
      </c>
      <c r="AA101" s="65">
        <f>'TOTAL ESTACIONES'!AA101</f>
        <v>0</v>
      </c>
      <c r="AB101" s="65">
        <f>'TOTAL ESTACIONES'!AB101</f>
        <v>0</v>
      </c>
      <c r="AC101" s="65">
        <f>'TOTAL ESTACIONES'!AC101</f>
        <v>0</v>
      </c>
      <c r="AD101" s="65">
        <f>'TOTAL ESTACIONES'!AD101</f>
        <v>0</v>
      </c>
      <c r="AE101" s="65">
        <f>'TOTAL ESTACIONES'!AE101</f>
        <v>0</v>
      </c>
      <c r="AF101" s="65">
        <f>'TOTAL ESTACIONES'!AF101</f>
        <v>0</v>
      </c>
      <c r="AG101" s="65">
        <f>'TOTAL ESTACIONES'!AG101</f>
        <v>0</v>
      </c>
      <c r="AH101" s="65">
        <f>'TOTAL ESTACIONES'!AH101</f>
        <v>0</v>
      </c>
      <c r="AI101" s="65">
        <f>'TOTAL ESTACIONES'!AI101</f>
        <v>0</v>
      </c>
      <c r="AJ101" s="65">
        <f>'TOTAL ESTACIONES'!AJ101</f>
        <v>0</v>
      </c>
      <c r="AK101" s="65">
        <f>'TOTAL ESTACIONES'!AK101</f>
        <v>0</v>
      </c>
      <c r="AL101" s="73">
        <f>'TOTAL ESTACIONES'!AL101</f>
        <v>0</v>
      </c>
      <c r="AM101" s="14">
        <f>'TOTAL ESTACIONES'!AM101</f>
        <v>-1</v>
      </c>
      <c r="AN101" s="89"/>
      <c r="AO101" s="253">
        <v>17625022.109925203</v>
      </c>
      <c r="AP101" s="72">
        <v>3.9987742164556963E-3</v>
      </c>
      <c r="AQ101" s="180">
        <v>0.23759561984138577</v>
      </c>
      <c r="AR101" s="296">
        <f t="shared" si="1"/>
        <v>-24530</v>
      </c>
    </row>
    <row r="102" spans="1:46" ht="15" hidden="1" customHeight="1" outlineLevel="1">
      <c r="A102" s="12" t="s">
        <v>219</v>
      </c>
      <c r="B102" s="8" t="s">
        <v>89</v>
      </c>
      <c r="I102" s="223" t="s">
        <v>209</v>
      </c>
      <c r="J102" s="65">
        <f>'TOTAL ESTACIONES'!J102</f>
        <v>0</v>
      </c>
      <c r="K102" s="65">
        <f>'TOTAL ESTACIONES'!K102</f>
        <v>0</v>
      </c>
      <c r="L102" s="65">
        <f>'TOTAL ESTACIONES'!L102</f>
        <v>0</v>
      </c>
      <c r="M102" s="65">
        <f>'TOTAL ESTACIONES'!M102</f>
        <v>0</v>
      </c>
      <c r="N102" s="65">
        <f>'TOTAL ESTACIONES'!N102</f>
        <v>0</v>
      </c>
      <c r="O102" s="65">
        <f>'TOTAL ESTACIONES'!O102</f>
        <v>0</v>
      </c>
      <c r="P102" s="65">
        <f>'TOTAL ESTACIONES'!P102</f>
        <v>0</v>
      </c>
      <c r="Q102" s="65">
        <f>'TOTAL ESTACIONES'!Q102</f>
        <v>0</v>
      </c>
      <c r="R102" s="65">
        <f>'TOTAL ESTACIONES'!R102</f>
        <v>0</v>
      </c>
      <c r="S102" s="65">
        <f>'TOTAL ESTACIONES'!S102</f>
        <v>0</v>
      </c>
      <c r="T102" s="65">
        <f>'TOTAL ESTACIONES'!T102</f>
        <v>0</v>
      </c>
      <c r="U102" s="65">
        <f>'TOTAL ESTACIONES'!U102</f>
        <v>0</v>
      </c>
      <c r="V102" s="11">
        <f>'TOTAL ESTACIONES'!V102</f>
        <v>0</v>
      </c>
      <c r="W102" s="73">
        <f>'TOTAL ESTACIONES'!W102</f>
        <v>0</v>
      </c>
      <c r="X102" s="89">
        <f>'TOTAL ESTACIONES'!X102</f>
        <v>0</v>
      </c>
      <c r="Y102" s="65">
        <f>'TOTAL ESTACIONES'!Y102</f>
        <v>0</v>
      </c>
      <c r="Z102" s="65">
        <f>'TOTAL ESTACIONES'!Z102</f>
        <v>0</v>
      </c>
      <c r="AA102" s="65">
        <f>'TOTAL ESTACIONES'!AA102</f>
        <v>0</v>
      </c>
      <c r="AB102" s="65">
        <f>'TOTAL ESTACIONES'!AB102</f>
        <v>0</v>
      </c>
      <c r="AC102" s="65">
        <f>'TOTAL ESTACIONES'!AC102</f>
        <v>0</v>
      </c>
      <c r="AD102" s="65">
        <f>'TOTAL ESTACIONES'!AD102</f>
        <v>0</v>
      </c>
      <c r="AE102" s="65">
        <f>'TOTAL ESTACIONES'!AE102</f>
        <v>0</v>
      </c>
      <c r="AF102" s="65">
        <f>'TOTAL ESTACIONES'!AF102</f>
        <v>0</v>
      </c>
      <c r="AG102" s="65">
        <f>'TOTAL ESTACIONES'!AG102</f>
        <v>0</v>
      </c>
      <c r="AH102" s="65">
        <f>'TOTAL ESTACIONES'!AH102</f>
        <v>0</v>
      </c>
      <c r="AI102" s="65">
        <f>'TOTAL ESTACIONES'!AI102</f>
        <v>0</v>
      </c>
      <c r="AJ102" s="65">
        <f>'TOTAL ESTACIONES'!AJ102</f>
        <v>0</v>
      </c>
      <c r="AK102" s="65">
        <f>'TOTAL ESTACIONES'!AK102</f>
        <v>0</v>
      </c>
      <c r="AL102" s="73">
        <f>'TOTAL ESTACIONES'!AL102</f>
        <v>0</v>
      </c>
      <c r="AM102" s="14">
        <f>'TOTAL ESTACIONES'!AM102</f>
        <v>0</v>
      </c>
      <c r="AN102" s="89"/>
      <c r="AO102" s="253">
        <v>637846.60381705395</v>
      </c>
      <c r="AP102" s="73">
        <v>1.4471497042611604E-4</v>
      </c>
      <c r="AQ102" s="175">
        <v>0.26748238072284236</v>
      </c>
      <c r="AR102" s="296">
        <f t="shared" si="1"/>
        <v>0</v>
      </c>
    </row>
    <row r="103" spans="1:46" ht="15" hidden="1" customHeight="1" outlineLevel="1">
      <c r="A103" s="12"/>
      <c r="I103" s="223" t="s">
        <v>210</v>
      </c>
      <c r="J103" s="65">
        <f>'TOTAL ESTACIONES'!J103</f>
        <v>288978</v>
      </c>
      <c r="K103" s="65">
        <f>'TOTAL ESTACIONES'!K103</f>
        <v>253090</v>
      </c>
      <c r="L103" s="65">
        <f>'TOTAL ESTACIONES'!L103</f>
        <v>297698</v>
      </c>
      <c r="M103" s="65">
        <f>'TOTAL ESTACIONES'!M103</f>
        <v>272857</v>
      </c>
      <c r="N103" s="65">
        <f>'TOTAL ESTACIONES'!N103</f>
        <v>281249</v>
      </c>
      <c r="O103" s="65">
        <f>'TOTAL ESTACIONES'!O103</f>
        <v>274404</v>
      </c>
      <c r="P103" s="65">
        <f>'TOTAL ESTACIONES'!P103</f>
        <v>273278</v>
      </c>
      <c r="Q103" s="65">
        <f>'TOTAL ESTACIONES'!Q103</f>
        <v>260504</v>
      </c>
      <c r="R103" s="65">
        <f>'TOTAL ESTACIONES'!R103</f>
        <v>281238</v>
      </c>
      <c r="S103" s="65">
        <f>'TOTAL ESTACIONES'!S103</f>
        <v>284317</v>
      </c>
      <c r="T103" s="65">
        <f>'TOTAL ESTACIONES'!T103</f>
        <v>274834.25</v>
      </c>
      <c r="U103" s="65">
        <f>'TOTAL ESTACIONES'!U103</f>
        <v>275223.3125</v>
      </c>
      <c r="V103" s="11">
        <f>'TOTAL ESTACIONES'!V103</f>
        <v>3317670.5625</v>
      </c>
      <c r="W103" s="73">
        <f>'TOTAL ESTACIONES'!W103</f>
        <v>1.0065375828023332E-2</v>
      </c>
      <c r="X103" s="89">
        <f>'TOTAL ESTACIONES'!X103</f>
        <v>0</v>
      </c>
      <c r="Y103" s="65">
        <f>'TOTAL ESTACIONES'!Y103</f>
        <v>350553.37174199999</v>
      </c>
      <c r="Z103" s="65">
        <f>'TOTAL ESTACIONES'!Z103</f>
        <v>316628.85189599998</v>
      </c>
      <c r="AA103" s="65">
        <f>'TOTAL ESTACIONES'!AA103</f>
        <v>350553.37174199999</v>
      </c>
      <c r="AB103" s="65">
        <f>'TOTAL ESTACIONES'!AB103</f>
        <v>339245.19845999999</v>
      </c>
      <c r="AC103" s="65">
        <f>'TOTAL ESTACIONES'!AC103</f>
        <v>350553.37174199999</v>
      </c>
      <c r="AD103" s="65">
        <f>'TOTAL ESTACIONES'!AD103</f>
        <v>339245.19845999999</v>
      </c>
      <c r="AE103" s="65">
        <f>'TOTAL ESTACIONES'!AE103</f>
        <v>350553.37174199999</v>
      </c>
      <c r="AF103" s="65">
        <f>'TOTAL ESTACIONES'!AF103</f>
        <v>350553.37174199999</v>
      </c>
      <c r="AG103" s="65">
        <f>'TOTAL ESTACIONES'!AG103</f>
        <v>339245.19845999999</v>
      </c>
      <c r="AH103" s="65">
        <f>'TOTAL ESTACIONES'!AH103</f>
        <v>350553.37174199999</v>
      </c>
      <c r="AI103" s="65">
        <f>'TOTAL ESTACIONES'!AI103</f>
        <v>339245.19845999999</v>
      </c>
      <c r="AJ103" s="65">
        <f>'TOTAL ESTACIONES'!AJ103</f>
        <v>350553.37174199999</v>
      </c>
      <c r="AK103" s="65">
        <f>'TOTAL ESTACIONES'!AK103</f>
        <v>4127483.2479299996</v>
      </c>
      <c r="AL103" s="73">
        <f>'TOTAL ESTACIONES'!AL103</f>
        <v>1.1503602843734879E-2</v>
      </c>
      <c r="AM103" s="14">
        <f>'TOTAL ESTACIONES'!AM103</f>
        <v>0.244090746858173</v>
      </c>
      <c r="AN103" s="89"/>
      <c r="AO103" s="253">
        <v>0</v>
      </c>
      <c r="AP103" s="73">
        <v>0</v>
      </c>
      <c r="AQ103" s="175">
        <v>0</v>
      </c>
      <c r="AR103" s="296">
        <f>+V103+V104+V105</f>
        <v>3439154.9375</v>
      </c>
      <c r="AS103" s="1">
        <f>+AK103/AR103-1</f>
        <v>0.20014460614279894</v>
      </c>
    </row>
    <row r="104" spans="1:46" ht="15" hidden="1" customHeight="1" outlineLevel="1">
      <c r="A104" s="12"/>
      <c r="I104" s="223" t="s">
        <v>211</v>
      </c>
      <c r="J104" s="65">
        <f>'TOTAL ESTACIONES'!J104</f>
        <v>216</v>
      </c>
      <c r="K104" s="65">
        <f>'TOTAL ESTACIONES'!K104</f>
        <v>410</v>
      </c>
      <c r="L104" s="65">
        <f>'TOTAL ESTACIONES'!L104</f>
        <v>0</v>
      </c>
      <c r="M104" s="65">
        <f>'TOTAL ESTACIONES'!M104</f>
        <v>0</v>
      </c>
      <c r="N104" s="65">
        <f>'TOTAL ESTACIONES'!N104</f>
        <v>0</v>
      </c>
      <c r="O104" s="65">
        <f>'TOTAL ESTACIONES'!O104</f>
        <v>0</v>
      </c>
      <c r="P104" s="65">
        <f>'TOTAL ESTACIONES'!P104</f>
        <v>1878</v>
      </c>
      <c r="Q104" s="65">
        <f>'TOTAL ESTACIONES'!Q104</f>
        <v>2312</v>
      </c>
      <c r="R104" s="65">
        <f>'TOTAL ESTACIONES'!R104</f>
        <v>1156</v>
      </c>
      <c r="S104" s="65">
        <f>'TOTAL ESTACIONES'!S104</f>
        <v>0</v>
      </c>
      <c r="T104" s="65">
        <f>'TOTAL ESTACIONES'!T104</f>
        <v>1336.5</v>
      </c>
      <c r="U104" s="65">
        <f>'TOTAL ESTACIONES'!U104</f>
        <v>1201.125</v>
      </c>
      <c r="V104" s="11">
        <f>'TOTAL ESTACIONES'!V104</f>
        <v>8509.625</v>
      </c>
      <c r="W104" s="73">
        <f>'TOTAL ESTACIONES'!W104</f>
        <v>2.5817082247008978E-5</v>
      </c>
      <c r="X104" s="89">
        <f>'TOTAL ESTACIONES'!X104</f>
        <v>0</v>
      </c>
      <c r="Y104" s="65">
        <f>'TOTAL ESTACIONES'!Y104</f>
        <v>0</v>
      </c>
      <c r="Z104" s="65">
        <f>'TOTAL ESTACIONES'!Z104</f>
        <v>0</v>
      </c>
      <c r="AA104" s="65">
        <f>'TOTAL ESTACIONES'!AA104</f>
        <v>0</v>
      </c>
      <c r="AB104" s="65">
        <f>'TOTAL ESTACIONES'!AB104</f>
        <v>0</v>
      </c>
      <c r="AC104" s="65">
        <f>'TOTAL ESTACIONES'!AC104</f>
        <v>0</v>
      </c>
      <c r="AD104" s="65">
        <f>'TOTAL ESTACIONES'!AD104</f>
        <v>0</v>
      </c>
      <c r="AE104" s="65">
        <f>'TOTAL ESTACIONES'!AE104</f>
        <v>0</v>
      </c>
      <c r="AF104" s="65">
        <f>'TOTAL ESTACIONES'!AF104</f>
        <v>0</v>
      </c>
      <c r="AG104" s="65">
        <f>'TOTAL ESTACIONES'!AG104</f>
        <v>0</v>
      </c>
      <c r="AH104" s="65">
        <f>'TOTAL ESTACIONES'!AH104</f>
        <v>0</v>
      </c>
      <c r="AI104" s="65">
        <f>'TOTAL ESTACIONES'!AI104</f>
        <v>0</v>
      </c>
      <c r="AJ104" s="65">
        <f>'TOTAL ESTACIONES'!AJ104</f>
        <v>0</v>
      </c>
      <c r="AK104" s="65">
        <f>'TOTAL ESTACIONES'!AK104</f>
        <v>0</v>
      </c>
      <c r="AL104" s="73">
        <f>'TOTAL ESTACIONES'!AL104</f>
        <v>0</v>
      </c>
      <c r="AM104" s="14">
        <f>'TOTAL ESTACIONES'!AM104</f>
        <v>-1</v>
      </c>
      <c r="AN104" s="89"/>
      <c r="AO104" s="253">
        <v>454161.92000000004</v>
      </c>
      <c r="AP104" s="73">
        <v>1.0304049347939922E-4</v>
      </c>
      <c r="AQ104" s="175">
        <v>1.6023190199516395</v>
      </c>
      <c r="AR104" s="296"/>
    </row>
    <row r="105" spans="1:46" ht="15" hidden="1" customHeight="1" outlineLevel="1">
      <c r="A105" s="12"/>
      <c r="I105" s="223" t="s">
        <v>212</v>
      </c>
      <c r="J105" s="65">
        <f>'TOTAL ESTACIONES'!J105</f>
        <v>11693</v>
      </c>
      <c r="K105" s="65">
        <f>'TOTAL ESTACIONES'!K105</f>
        <v>9538</v>
      </c>
      <c r="L105" s="65">
        <f>'TOTAL ESTACIONES'!L105</f>
        <v>0</v>
      </c>
      <c r="M105" s="65">
        <f>'TOTAL ESTACIONES'!M105</f>
        <v>10479</v>
      </c>
      <c r="N105" s="65">
        <f>'TOTAL ESTACIONES'!N105</f>
        <v>10970</v>
      </c>
      <c r="O105" s="65">
        <f>'TOTAL ESTACIONES'!O105</f>
        <v>10501</v>
      </c>
      <c r="P105" s="65">
        <f>'TOTAL ESTACIONES'!P105</f>
        <v>10725</v>
      </c>
      <c r="Q105" s="65">
        <f>'TOTAL ESTACIONES'!Q105</f>
        <v>11236</v>
      </c>
      <c r="R105" s="65">
        <f>'TOTAL ESTACIONES'!R105</f>
        <v>5970</v>
      </c>
      <c r="S105" s="65">
        <f>'TOTAL ESTACIONES'!S105</f>
        <v>12053</v>
      </c>
      <c r="T105" s="65">
        <f>'TOTAL ESTACIONES'!T105</f>
        <v>9996</v>
      </c>
      <c r="U105" s="65">
        <f>'TOTAL ESTACIONES'!U105</f>
        <v>9813.75</v>
      </c>
      <c r="V105" s="11">
        <f>'TOTAL ESTACIONES'!V105</f>
        <v>112974.75</v>
      </c>
      <c r="W105" s="73">
        <f>'TOTAL ESTACIONES'!W105</f>
        <v>3.4275052221282106E-4</v>
      </c>
      <c r="X105" s="89">
        <f>'TOTAL ESTACIONES'!X105</f>
        <v>0</v>
      </c>
      <c r="Y105" s="65">
        <f>'TOTAL ESTACIONES'!Y105</f>
        <v>0</v>
      </c>
      <c r="Z105" s="65">
        <f>'TOTAL ESTACIONES'!Z105</f>
        <v>0</v>
      </c>
      <c r="AA105" s="65">
        <f>'TOTAL ESTACIONES'!AA105</f>
        <v>0</v>
      </c>
      <c r="AB105" s="65">
        <f>'TOTAL ESTACIONES'!AB105</f>
        <v>0</v>
      </c>
      <c r="AC105" s="65">
        <f>'TOTAL ESTACIONES'!AC105</f>
        <v>0</v>
      </c>
      <c r="AD105" s="65">
        <f>'TOTAL ESTACIONES'!AD105</f>
        <v>0</v>
      </c>
      <c r="AE105" s="65">
        <f>'TOTAL ESTACIONES'!AE105</f>
        <v>0</v>
      </c>
      <c r="AF105" s="65">
        <f>'TOTAL ESTACIONES'!AF105</f>
        <v>0</v>
      </c>
      <c r="AG105" s="65">
        <f>'TOTAL ESTACIONES'!AG105</f>
        <v>0</v>
      </c>
      <c r="AH105" s="65">
        <f>'TOTAL ESTACIONES'!AH105</f>
        <v>0</v>
      </c>
      <c r="AI105" s="65">
        <f>'TOTAL ESTACIONES'!AI105</f>
        <v>0</v>
      </c>
      <c r="AJ105" s="65">
        <f>'TOTAL ESTACIONES'!AJ105</f>
        <v>0</v>
      </c>
      <c r="AK105" s="65">
        <f>'TOTAL ESTACIONES'!AK105</f>
        <v>0</v>
      </c>
      <c r="AL105" s="73">
        <f>'TOTAL ESTACIONES'!AL105</f>
        <v>0</v>
      </c>
      <c r="AM105" s="14">
        <f>'TOTAL ESTACIONES'!AM105</f>
        <v>-1</v>
      </c>
      <c r="AN105" s="89"/>
      <c r="AO105" s="253">
        <v>219200</v>
      </c>
      <c r="AP105" s="73">
        <v>4.9732210421085738E-5</v>
      </c>
      <c r="AQ105" s="175">
        <v>-0.52535328050607744</v>
      </c>
      <c r="AR105" s="296"/>
    </row>
    <row r="106" spans="1:46" ht="15" customHeight="1" collapsed="1">
      <c r="A106" s="12"/>
      <c r="I106" s="167" t="s">
        <v>214</v>
      </c>
      <c r="J106" s="15">
        <f>'TOTAL ESTACIONES'!J106</f>
        <v>100893</v>
      </c>
      <c r="K106" s="15">
        <f>'TOTAL ESTACIONES'!K106</f>
        <v>87728</v>
      </c>
      <c r="L106" s="15">
        <f>'TOTAL ESTACIONES'!L106</f>
        <v>99171</v>
      </c>
      <c r="M106" s="15">
        <f>'TOTAL ESTACIONES'!M106</f>
        <v>93480</v>
      </c>
      <c r="N106" s="15">
        <f>'TOTAL ESTACIONES'!N106</f>
        <v>95318</v>
      </c>
      <c r="O106" s="15">
        <f>'TOTAL ESTACIONES'!O106</f>
        <v>94570</v>
      </c>
      <c r="P106" s="15">
        <f>'TOTAL ESTACIONES'!P106</f>
        <v>93171</v>
      </c>
      <c r="Q106" s="15">
        <f>'TOTAL ESTACIONES'!Q106</f>
        <v>92324</v>
      </c>
      <c r="R106" s="15">
        <f>'TOTAL ESTACIONES'!R106</f>
        <v>97352</v>
      </c>
      <c r="S106" s="15">
        <f>'TOTAL ESTACIONES'!S106</f>
        <v>97095</v>
      </c>
      <c r="T106" s="15">
        <f>'TOTAL ESTACIONES'!T106</f>
        <v>94985.5</v>
      </c>
      <c r="U106" s="15">
        <f>'TOTAL ESTACIONES'!U106</f>
        <v>95439.125</v>
      </c>
      <c r="V106" s="15">
        <f>'TOTAL ESTACIONES'!V106</f>
        <v>1141526.625</v>
      </c>
      <c r="W106" s="72">
        <f>'TOTAL ESTACIONES'!W106</f>
        <v>3.4632415370566359E-3</v>
      </c>
      <c r="X106" s="89">
        <f>'TOTAL ESTACIONES'!X106</f>
        <v>0</v>
      </c>
      <c r="Y106" s="15">
        <f>'TOTAL ESTACIONES'!Y106</f>
        <v>112273.28968877907</v>
      </c>
      <c r="Z106" s="15">
        <f>'TOTAL ESTACIONES'!Z106</f>
        <v>112340.07474056445</v>
      </c>
      <c r="AA106" s="15">
        <f>'TOTAL ESTACIONES'!AA106</f>
        <v>122871.71633442657</v>
      </c>
      <c r="AB106" s="15">
        <f>'TOTAL ESTACIONES'!AB106</f>
        <v>116221.37016772844</v>
      </c>
      <c r="AC106" s="15">
        <f>'TOTAL ESTACIONES'!AC106</f>
        <v>122871.71633442657</v>
      </c>
      <c r="AD106" s="15">
        <f>'TOTAL ESTACIONES'!AD106</f>
        <v>116221.37016772844</v>
      </c>
      <c r="AE106" s="15">
        <f>'TOTAL ESTACIONES'!AE106</f>
        <v>119732.49167848373</v>
      </c>
      <c r="AF106" s="15">
        <f>'TOTAL ESTACIONES'!AF106</f>
        <v>119732.49167848373</v>
      </c>
      <c r="AG106" s="15">
        <f>'TOTAL ESTACIONES'!AG106</f>
        <v>119361.16913647256</v>
      </c>
      <c r="AH106" s="15">
        <f>'TOTAL ESTACIONES'!AH106</f>
        <v>119732.49167848373</v>
      </c>
      <c r="AI106" s="15">
        <f>'TOTAL ESTACIONES'!AI106</f>
        <v>118167.80300285906</v>
      </c>
      <c r="AJ106" s="15">
        <f>'TOTAL ESTACIONES'!AJ106</f>
        <v>122871.71633442657</v>
      </c>
      <c r="AK106" s="15">
        <f>'TOTAL ESTACIONES'!AK106</f>
        <v>1422397.700942863</v>
      </c>
      <c r="AL106" s="72">
        <f>'TOTAL ESTACIONES'!AL106</f>
        <v>3.9643282006521612E-3</v>
      </c>
      <c r="AM106" s="10">
        <f>+AK106/V106-1</f>
        <v>0.24604864204797949</v>
      </c>
      <c r="AN106" s="89"/>
      <c r="AO106" s="253">
        <v>969924.8000000004</v>
      </c>
      <c r="AP106" s="73">
        <v>2.2005704491893029E-4</v>
      </c>
      <c r="AQ106" s="175">
        <v>1.428785047059733</v>
      </c>
      <c r="AR106" s="296">
        <f t="shared" ref="AR106:AR110" si="2">+AK106-V106</f>
        <v>280871.07594286301</v>
      </c>
      <c r="AS106" s="1" t="s">
        <v>408</v>
      </c>
    </row>
    <row r="107" spans="1:46" ht="15" hidden="1" customHeight="1" outlineLevel="1">
      <c r="A107" s="12"/>
      <c r="I107" s="136" t="s">
        <v>215</v>
      </c>
      <c r="J107" s="65">
        <f>'TOTAL ESTACIONES'!J107</f>
        <v>19256</v>
      </c>
      <c r="K107" s="65">
        <f>'TOTAL ESTACIONES'!K107</f>
        <v>16288</v>
      </c>
      <c r="L107" s="65">
        <f>'TOTAL ESTACIONES'!L107</f>
        <v>18458</v>
      </c>
      <c r="M107" s="65">
        <f>'TOTAL ESTACIONES'!M107</f>
        <v>17979</v>
      </c>
      <c r="N107" s="65">
        <f>'TOTAL ESTACIONES'!N107</f>
        <v>18061</v>
      </c>
      <c r="O107" s="65">
        <f>'TOTAL ESTACIONES'!O107</f>
        <v>17086</v>
      </c>
      <c r="P107" s="65">
        <f>'TOTAL ESTACIONES'!P107</f>
        <v>17986</v>
      </c>
      <c r="Q107" s="65">
        <f>'TOTAL ESTACIONES'!Q107</f>
        <v>17853</v>
      </c>
      <c r="R107" s="65">
        <f>'TOTAL ESTACIONES'!R107</f>
        <v>18354</v>
      </c>
      <c r="S107" s="65">
        <f>'TOTAL ESTACIONES'!S107</f>
        <v>18829</v>
      </c>
      <c r="T107" s="65">
        <f>'TOTAL ESTACIONES'!T107</f>
        <v>18255.5</v>
      </c>
      <c r="U107" s="65">
        <f>'TOTAL ESTACIONES'!U107</f>
        <v>18322.875</v>
      </c>
      <c r="V107" s="11">
        <f>'TOTAL ESTACIONES'!V107</f>
        <v>216728.375</v>
      </c>
      <c r="W107" s="73">
        <f>'TOTAL ESTACIONES'!W107</f>
        <v>6.5752536482343281E-4</v>
      </c>
      <c r="X107" s="89">
        <f>'TOTAL ESTACIONES'!X107</f>
        <v>0</v>
      </c>
      <c r="Y107" s="65">
        <f>'TOTAL ESTACIONES'!Y107</f>
        <v>11190.594123567498</v>
      </c>
      <c r="Z107" s="65">
        <f>'TOTAL ESTACIONES'!Z107</f>
        <v>19970.484018379997</v>
      </c>
      <c r="AA107" s="65">
        <f>'TOTAL ESTACIONES'!AA107</f>
        <v>21789.020769215</v>
      </c>
      <c r="AB107" s="65">
        <f>'TOTAL ESTACIONES'!AB107</f>
        <v>20508.099535349997</v>
      </c>
      <c r="AC107" s="65">
        <f>'TOTAL ESTACIONES'!AC107</f>
        <v>21789.020769215</v>
      </c>
      <c r="AD107" s="65">
        <f>'TOTAL ESTACIONES'!AD107</f>
        <v>20508.099535349997</v>
      </c>
      <c r="AE107" s="65">
        <f>'TOTAL ESTACIONES'!AE107</f>
        <v>21114.403388295003</v>
      </c>
      <c r="AF107" s="65">
        <f>'TOTAL ESTACIONES'!AF107</f>
        <v>21114.403388295003</v>
      </c>
      <c r="AG107" s="65">
        <f>'TOTAL ESTACIONES'!AG107</f>
        <v>21182.841852270001</v>
      </c>
      <c r="AH107" s="65">
        <f>'TOTAL ESTACIONES'!AH107</f>
        <v>21114.403388295003</v>
      </c>
      <c r="AI107" s="65">
        <f>'TOTAL ESTACIONES'!AI107</f>
        <v>21182.841852270001</v>
      </c>
      <c r="AJ107" s="65">
        <f>'TOTAL ESTACIONES'!AJ107</f>
        <v>21789.020769215</v>
      </c>
      <c r="AK107" s="65">
        <f>'TOTAL ESTACIONES'!AK107</f>
        <v>243253.23338971753</v>
      </c>
      <c r="AL107" s="73">
        <f>'TOTAL ESTACIONES'!AL107</f>
        <v>6.7796485637417099E-4</v>
      </c>
      <c r="AM107" s="14">
        <f>'TOTAL ESTACIONES'!AM107</f>
        <v>0.12238756641679949</v>
      </c>
      <c r="AN107" s="89"/>
      <c r="AO107" s="253">
        <v>6357928.7861081455</v>
      </c>
      <c r="AP107" s="73">
        <v>1.442490201792922E-3</v>
      </c>
      <c r="AQ107" s="175">
        <v>6.5101549491867416E-2</v>
      </c>
      <c r="AR107" s="9">
        <f t="shared" si="2"/>
        <v>26524.858389717527</v>
      </c>
    </row>
    <row r="108" spans="1:46" ht="15" hidden="1" customHeight="1" outlineLevel="1">
      <c r="A108" s="12"/>
      <c r="I108" s="136" t="s">
        <v>216</v>
      </c>
      <c r="J108" s="65">
        <f>'TOTAL ESTACIONES'!J108</f>
        <v>29019</v>
      </c>
      <c r="K108" s="65">
        <f>'TOTAL ESTACIONES'!K108</f>
        <v>25121</v>
      </c>
      <c r="L108" s="65">
        <f>'TOTAL ESTACIONES'!L108</f>
        <v>28527</v>
      </c>
      <c r="M108" s="65">
        <f>'TOTAL ESTACIONES'!M108</f>
        <v>27517</v>
      </c>
      <c r="N108" s="65">
        <f>'TOTAL ESTACIONES'!N108</f>
        <v>27153</v>
      </c>
      <c r="O108" s="65">
        <f>'TOTAL ESTACIONES'!O108</f>
        <v>26180</v>
      </c>
      <c r="P108" s="65">
        <f>'TOTAL ESTACIONES'!P108</f>
        <v>27212</v>
      </c>
      <c r="Q108" s="65">
        <f>'TOTAL ESTACIONES'!Q108</f>
        <v>26199</v>
      </c>
      <c r="R108" s="65">
        <f>'TOTAL ESTACIONES'!R108</f>
        <v>27450</v>
      </c>
      <c r="S108" s="65">
        <f>'TOTAL ESTACIONES'!S108</f>
        <v>27910</v>
      </c>
      <c r="T108" s="65">
        <f>'TOTAL ESTACIONES'!T108</f>
        <v>27192.75</v>
      </c>
      <c r="U108" s="65">
        <f>'TOTAL ESTACIONES'!U108</f>
        <v>27187.9375</v>
      </c>
      <c r="V108" s="11">
        <f>'TOTAL ESTACIONES'!V108</f>
        <v>326668.6875</v>
      </c>
      <c r="W108" s="73">
        <f>'TOTAL ESTACIONES'!W108</f>
        <v>9.9106980304184658E-4</v>
      </c>
      <c r="X108" s="89">
        <f>'TOTAL ESTACIONES'!X108</f>
        <v>0</v>
      </c>
      <c r="Y108" s="65">
        <f>'TOTAL ESTACIONES'!Y108</f>
        <v>37748.834553817316</v>
      </c>
      <c r="Z108" s="65">
        <f>'TOTAL ESTACIONES'!Z108</f>
        <v>34606.512358905275</v>
      </c>
      <c r="AA108" s="65">
        <f>'TOTAL ESTACIONES'!AA108</f>
        <v>37748.834553817316</v>
      </c>
      <c r="AB108" s="65">
        <f>'TOTAL ESTACIONES'!AB108</f>
        <v>35534.98401906986</v>
      </c>
      <c r="AC108" s="65">
        <f>'TOTAL ESTACIONES'!AC108</f>
        <v>37748.834553817316</v>
      </c>
      <c r="AD108" s="65">
        <f>'TOTAL ESTACIONES'!AD108</f>
        <v>35534.98401906986</v>
      </c>
      <c r="AE108" s="65">
        <f>'TOTAL ESTACIONES'!AE108</f>
        <v>36582.633668686423</v>
      </c>
      <c r="AF108" s="65">
        <f>'TOTAL ESTACIONES'!AF108</f>
        <v>36582.633668686423</v>
      </c>
      <c r="AG108" s="65">
        <f>'TOTAL ESTACIONES'!AG108</f>
        <v>36701.393822179976</v>
      </c>
      <c r="AH108" s="65">
        <f>'TOTAL ESTACIONES'!AH108</f>
        <v>36582.633668686423</v>
      </c>
      <c r="AI108" s="65">
        <f>'TOTAL ESTACIONES'!AI108</f>
        <v>36701.393822179976</v>
      </c>
      <c r="AJ108" s="65">
        <f>'TOTAL ESTACIONES'!AJ108</f>
        <v>37748.834553817316</v>
      </c>
      <c r="AK108" s="65">
        <f>'TOTAL ESTACIONES'!AK108</f>
        <v>439822.50726273353</v>
      </c>
      <c r="AL108" s="73">
        <f>'TOTAL ESTACIONES'!AL108</f>
        <v>1.2258180448881603E-3</v>
      </c>
      <c r="AM108" s="14">
        <f>'TOTAL ESTACIONES'!AM108</f>
        <v>0.346387101343264</v>
      </c>
      <c r="AN108" s="89"/>
      <c r="AO108" s="253">
        <v>148572</v>
      </c>
      <c r="AP108" s="73">
        <v>3.3708092913693202E-5</v>
      </c>
      <c r="AQ108" s="175">
        <v>0.63588436984560759</v>
      </c>
      <c r="AR108" s="9">
        <f t="shared" si="2"/>
        <v>113153.81976273353</v>
      </c>
    </row>
    <row r="109" spans="1:46" ht="15" hidden="1" customHeight="1" outlineLevel="1">
      <c r="A109" s="12"/>
      <c r="I109" s="136" t="s">
        <v>217</v>
      </c>
      <c r="J109" s="65">
        <f>'TOTAL ESTACIONES'!J109</f>
        <v>39544</v>
      </c>
      <c r="K109" s="65">
        <f>'TOTAL ESTACIONES'!K109</f>
        <v>35145</v>
      </c>
      <c r="L109" s="65">
        <f>'TOTAL ESTACIONES'!L109</f>
        <v>38973</v>
      </c>
      <c r="M109" s="65">
        <f>'TOTAL ESTACIONES'!M109</f>
        <v>37562</v>
      </c>
      <c r="N109" s="65">
        <f>'TOTAL ESTACIONES'!N109</f>
        <v>37977</v>
      </c>
      <c r="O109" s="65">
        <f>'TOTAL ESTACIONES'!O109</f>
        <v>36975</v>
      </c>
      <c r="P109" s="65">
        <f>'TOTAL ESTACIONES'!P109</f>
        <v>37321</v>
      </c>
      <c r="Q109" s="65">
        <f>'TOTAL ESTACIONES'!Q109</f>
        <v>35851</v>
      </c>
      <c r="R109" s="65">
        <f>'TOTAL ESTACIONES'!R109</f>
        <v>37632</v>
      </c>
      <c r="S109" s="65">
        <f>'TOTAL ESTACIONES'!S109</f>
        <v>38396</v>
      </c>
      <c r="T109" s="65">
        <f>'TOTAL ESTACIONES'!T109</f>
        <v>37300</v>
      </c>
      <c r="U109" s="65">
        <f>'TOTAL ESTACIONES'!U109</f>
        <v>37294.75</v>
      </c>
      <c r="V109" s="11">
        <f>'TOTAL ESTACIONES'!V109</f>
        <v>449970.75</v>
      </c>
      <c r="W109" s="73">
        <f>'TOTAL ESTACIONES'!W109</f>
        <v>1.3651520321398788E-3</v>
      </c>
      <c r="X109" s="89">
        <f>'TOTAL ESTACIONES'!X109</f>
        <v>0</v>
      </c>
      <c r="Y109" s="65">
        <f>'TOTAL ESTACIONES'!Y109</f>
        <v>49824.219655626002</v>
      </c>
      <c r="Z109" s="65">
        <f>'TOTAL ESTACIONES'!Z109</f>
        <v>45401.278665570171</v>
      </c>
      <c r="AA109" s="65">
        <f>'TOTAL ESTACIONES'!AA109</f>
        <v>49824.219655626002</v>
      </c>
      <c r="AB109" s="65">
        <f>'TOTAL ESTACIONES'!AB109</f>
        <v>47422.367417866088</v>
      </c>
      <c r="AC109" s="65">
        <f>'TOTAL ESTACIONES'!AC109</f>
        <v>49824.219655626002</v>
      </c>
      <c r="AD109" s="65">
        <f>'TOTAL ESTACIONES'!AD109</f>
        <v>47422.367417866088</v>
      </c>
      <c r="AE109" s="65">
        <f>'TOTAL ESTACIONES'!AE109</f>
        <v>48896.852825240043</v>
      </c>
      <c r="AF109" s="65">
        <f>'TOTAL ESTACIONES'!AF109</f>
        <v>48896.852825240043</v>
      </c>
      <c r="AG109" s="65">
        <f>'TOTAL ESTACIONES'!AG109</f>
        <v>48349.905992274071</v>
      </c>
      <c r="AH109" s="65">
        <f>'TOTAL ESTACIONES'!AH109</f>
        <v>48896.852825240043</v>
      </c>
      <c r="AI109" s="65">
        <f>'TOTAL ESTACIONES'!AI109</f>
        <v>48349.905992274071</v>
      </c>
      <c r="AJ109" s="65">
        <f>'TOTAL ESTACIONES'!AJ109</f>
        <v>49824.219655626002</v>
      </c>
      <c r="AK109" s="65">
        <f>'TOTAL ESTACIONES'!AK109</f>
        <v>582933.26258407463</v>
      </c>
      <c r="AL109" s="73">
        <f>'TOTAL ESTACIONES'!AL109</f>
        <v>1.6246783655712951E-3</v>
      </c>
      <c r="AM109" s="14">
        <f>'TOTAL ESTACIONES'!AM109</f>
        <v>0.29549145713154612</v>
      </c>
      <c r="AN109" s="89"/>
      <c r="AO109" s="253">
        <v>104000</v>
      </c>
      <c r="AP109" s="73">
        <v>2.3595574287376446E-5</v>
      </c>
      <c r="AQ109" s="175">
        <v>0.32690278816724239</v>
      </c>
      <c r="AR109" s="9">
        <f t="shared" si="2"/>
        <v>132962.51258407463</v>
      </c>
    </row>
    <row r="110" spans="1:46" ht="15" hidden="1" customHeight="1" outlineLevel="1">
      <c r="A110" s="12"/>
      <c r="I110" s="136" t="s">
        <v>412</v>
      </c>
      <c r="J110" s="65">
        <f>'TOTAL ESTACIONES'!J110</f>
        <v>13074</v>
      </c>
      <c r="K110" s="65">
        <f>'TOTAL ESTACIONES'!K110</f>
        <v>11174</v>
      </c>
      <c r="L110" s="65">
        <f>'TOTAL ESTACIONES'!L110</f>
        <v>13213</v>
      </c>
      <c r="M110" s="65">
        <f>'TOTAL ESTACIONES'!M110</f>
        <v>10422</v>
      </c>
      <c r="N110" s="65">
        <f>'TOTAL ESTACIONES'!N110</f>
        <v>12127</v>
      </c>
      <c r="O110" s="65">
        <f>'TOTAL ESTACIONES'!O110</f>
        <v>14329</v>
      </c>
      <c r="P110" s="65">
        <f>'TOTAL ESTACIONES'!P110</f>
        <v>10652</v>
      </c>
      <c r="Q110" s="65">
        <f>'TOTAL ESTACIONES'!Q110</f>
        <v>12421</v>
      </c>
      <c r="R110" s="65">
        <f>'TOTAL ESTACIONES'!R110</f>
        <v>13916</v>
      </c>
      <c r="S110" s="65">
        <f>'TOTAL ESTACIONES'!S110</f>
        <v>11960</v>
      </c>
      <c r="T110" s="65">
        <f>'TOTAL ESTACIONES'!T110</f>
        <v>12237.25</v>
      </c>
      <c r="U110" s="65">
        <f>'TOTAL ESTACIONES'!U110</f>
        <v>12633.5625</v>
      </c>
      <c r="V110" s="11">
        <f>'TOTAL ESTACIONES'!V110</f>
        <v>148158.8125</v>
      </c>
      <c r="W110" s="73">
        <f>'TOTAL ESTACIONES'!W110</f>
        <v>4.4949433705147781E-4</v>
      </c>
      <c r="X110" s="89">
        <f>'TOTAL ESTACIONES'!X110</f>
        <v>0</v>
      </c>
      <c r="Y110" s="65">
        <f>'TOTAL ESTACIONES'!Y110</f>
        <v>13509.64135576825</v>
      </c>
      <c r="Z110" s="65">
        <f>'TOTAL ESTACIONES'!Z110</f>
        <v>12361.799697709001</v>
      </c>
      <c r="AA110" s="65">
        <f>'TOTAL ESTACIONES'!AA110</f>
        <v>13509.64135576825</v>
      </c>
      <c r="AB110" s="65">
        <f>'TOTAL ESTACIONES'!AB110</f>
        <v>12755.919195442499</v>
      </c>
      <c r="AC110" s="65">
        <f>'TOTAL ESTACIONES'!AC110</f>
        <v>13509.64135576825</v>
      </c>
      <c r="AD110" s="65">
        <f>'TOTAL ESTACIONES'!AD110</f>
        <v>12755.919195442499</v>
      </c>
      <c r="AE110" s="65">
        <f>'TOTAL ESTACIONES'!AE110</f>
        <v>13138.60179626225</v>
      </c>
      <c r="AF110" s="65">
        <f>'TOTAL ESTACIONES'!AF110</f>
        <v>13138.60179626225</v>
      </c>
      <c r="AG110" s="65">
        <f>'TOTAL ESTACIONES'!AG110</f>
        <v>13127.0274697485</v>
      </c>
      <c r="AH110" s="65">
        <f>'TOTAL ESTACIONES'!AH110</f>
        <v>13138.60179626225</v>
      </c>
      <c r="AI110" s="65">
        <f>'TOTAL ESTACIONES'!AI110</f>
        <v>11933.661336134999</v>
      </c>
      <c r="AJ110" s="65">
        <f>'TOTAL ESTACIONES'!AJ110</f>
        <v>13509.64135576825</v>
      </c>
      <c r="AK110" s="65">
        <f>'TOTAL ESTACIONES'!AK110</f>
        <v>156388.69770633726</v>
      </c>
      <c r="AL110" s="73">
        <f>'TOTAL ESTACIONES'!AL110</f>
        <v>4.3586693381853468E-4</v>
      </c>
      <c r="AM110" s="14">
        <f>'TOTAL ESTACIONES'!AM110</f>
        <v>5.5547726574396439E-2</v>
      </c>
      <c r="AN110" s="89"/>
      <c r="AO110" s="253">
        <v>392000</v>
      </c>
      <c r="AP110" s="73">
        <v>8.8937164621649678E-5</v>
      </c>
      <c r="AQ110" s="175">
        <v>0.69513513513513514</v>
      </c>
      <c r="AR110" s="9">
        <f t="shared" si="2"/>
        <v>8229.8852063372615</v>
      </c>
      <c r="AT110" s="299"/>
    </row>
    <row r="111" spans="1:46" ht="15" customHeight="1" collapsed="1">
      <c r="A111" s="12"/>
      <c r="I111" s="167" t="s">
        <v>220</v>
      </c>
      <c r="J111" s="15">
        <f>'TOTAL ESTACIONES'!J111</f>
        <v>103899</v>
      </c>
      <c r="K111" s="15">
        <f>'TOTAL ESTACIONES'!K111</f>
        <v>66303</v>
      </c>
      <c r="L111" s="15">
        <f>'TOTAL ESTACIONES'!L111</f>
        <v>103037</v>
      </c>
      <c r="M111" s="15">
        <f>'TOTAL ESTACIONES'!M111</f>
        <v>53550</v>
      </c>
      <c r="N111" s="15">
        <f>'TOTAL ESTACIONES'!N111</f>
        <v>45193</v>
      </c>
      <c r="O111" s="15">
        <f>'TOTAL ESTACIONES'!O111</f>
        <v>42697</v>
      </c>
      <c r="P111" s="15">
        <f>'TOTAL ESTACIONES'!P111</f>
        <v>81420</v>
      </c>
      <c r="Q111" s="15">
        <f>'TOTAL ESTACIONES'!Q111</f>
        <v>71596</v>
      </c>
      <c r="R111" s="15">
        <f>'TOTAL ESTACIONES'!R111</f>
        <v>134447</v>
      </c>
      <c r="S111" s="15">
        <f>'TOTAL ESTACIONES'!S111</f>
        <v>131306</v>
      </c>
      <c r="T111" s="15">
        <f>'TOTAL ESTACIONES'!T111</f>
        <v>71090.240000000005</v>
      </c>
      <c r="U111" s="15">
        <f>'TOTAL ESTACIONES'!U111</f>
        <v>103509.12</v>
      </c>
      <c r="V111" s="15">
        <f>'TOTAL ESTACIONES'!V111</f>
        <v>1008047.36</v>
      </c>
      <c r="W111" s="72">
        <f>'TOTAL ESTACIONES'!W111</f>
        <v>3.0582830150565118E-3</v>
      </c>
      <c r="X111" s="89">
        <f>'TOTAL ESTACIONES'!X111</f>
        <v>0</v>
      </c>
      <c r="Y111" s="15">
        <f>'TOTAL ESTACIONES'!Y111</f>
        <v>142325.27875</v>
      </c>
      <c r="Z111" s="15">
        <f>'TOTAL ESTACIONES'!Z111</f>
        <v>86169.864749999993</v>
      </c>
      <c r="AA111" s="15">
        <f>'TOTAL ESTACIONES'!AA111</f>
        <v>116484.62794999999</v>
      </c>
      <c r="AB111" s="15">
        <f>'TOTAL ESTACIONES'!AB111</f>
        <v>46757.443749999999</v>
      </c>
      <c r="AC111" s="15">
        <f>'TOTAL ESTACIONES'!AC111</f>
        <v>101501.45475</v>
      </c>
      <c r="AD111" s="15">
        <f>'TOTAL ESTACIONES'!AD111</f>
        <v>48827.643750000003</v>
      </c>
      <c r="AE111" s="15">
        <f>'TOTAL ESTACIONES'!AE111</f>
        <v>66457.077950000006</v>
      </c>
      <c r="AF111" s="15">
        <f>'TOTAL ESTACIONES'!AF111</f>
        <v>233102.30974999999</v>
      </c>
      <c r="AG111" s="15">
        <f>'TOTAL ESTACIONES'!AG111</f>
        <v>129968.74374999999</v>
      </c>
      <c r="AH111" s="15">
        <f>'TOTAL ESTACIONES'!AH111</f>
        <v>47585.52375</v>
      </c>
      <c r="AI111" s="15">
        <f>'TOTAL ESTACIONES'!AI111</f>
        <v>97209.369749999998</v>
      </c>
      <c r="AJ111" s="15">
        <f>'TOTAL ESTACIONES'!AJ111</f>
        <v>57408.902950000003</v>
      </c>
      <c r="AK111" s="15">
        <f>'TOTAL ESTACIONES'!AK111</f>
        <v>1173798.2415999998</v>
      </c>
      <c r="AL111" s="72">
        <f>'TOTAL ESTACIONES'!AL111</f>
        <v>3.2714630148560114E-3</v>
      </c>
      <c r="AM111" s="10">
        <f>+AK111/V111-1</f>
        <v>0.16442767292203397</v>
      </c>
      <c r="AN111" s="89"/>
      <c r="AO111" s="253">
        <v>350000</v>
      </c>
      <c r="AP111" s="73">
        <v>7.9408182697901495E-5</v>
      </c>
      <c r="AQ111" s="175">
        <v>2.5566936975387677</v>
      </c>
      <c r="AR111" s="9">
        <f t="shared" ref="AR111:AR147" si="3">+AK111-V111</f>
        <v>165750.88159999985</v>
      </c>
    </row>
    <row r="112" spans="1:46" ht="15" hidden="1" customHeight="1" outlineLevel="1">
      <c r="A112" s="12"/>
      <c r="I112" s="224" t="s">
        <v>221</v>
      </c>
      <c r="J112" s="65">
        <f>'TOTAL ESTACIONES'!J112</f>
        <v>0</v>
      </c>
      <c r="K112" s="65">
        <f>'TOTAL ESTACIONES'!K112</f>
        <v>0</v>
      </c>
      <c r="L112" s="65">
        <f>'TOTAL ESTACIONES'!L112</f>
        <v>9000</v>
      </c>
      <c r="M112" s="65">
        <f>'TOTAL ESTACIONES'!M112</f>
        <v>0</v>
      </c>
      <c r="N112" s="65">
        <f>'TOTAL ESTACIONES'!N112</f>
        <v>0</v>
      </c>
      <c r="O112" s="65">
        <f>'TOTAL ESTACIONES'!O112</f>
        <v>0</v>
      </c>
      <c r="P112" s="65">
        <f>'TOTAL ESTACIONES'!P112</f>
        <v>0</v>
      </c>
      <c r="Q112" s="65">
        <f>'TOTAL ESTACIONES'!Q112</f>
        <v>15500</v>
      </c>
      <c r="R112" s="65">
        <f>'TOTAL ESTACIONES'!R112</f>
        <v>0</v>
      </c>
      <c r="S112" s="65">
        <f>'TOTAL ESTACIONES'!S112</f>
        <v>0</v>
      </c>
      <c r="T112" s="65">
        <f>'TOTAL ESTACIONES'!T112</f>
        <v>7213.4400000000005</v>
      </c>
      <c r="U112" s="65">
        <f>'TOTAL ESTACIONES'!U112</f>
        <v>11373.44</v>
      </c>
      <c r="V112" s="11">
        <f>'TOTAL ESTACIONES'!V112</f>
        <v>43086.880000000005</v>
      </c>
      <c r="W112" s="73">
        <f>'TOTAL ESTACIONES'!W112</f>
        <v>1.3071992299625498E-4</v>
      </c>
      <c r="X112" s="89">
        <f>'TOTAL ESTACIONES'!X112</f>
        <v>0</v>
      </c>
      <c r="Y112" s="65">
        <f>'TOTAL ESTACIONES'!Y112</f>
        <v>8000</v>
      </c>
      <c r="Z112" s="65">
        <f>'TOTAL ESTACIONES'!Z112</f>
        <v>5000</v>
      </c>
      <c r="AA112" s="65">
        <f>'TOTAL ESTACIONES'!AA112</f>
        <v>8000</v>
      </c>
      <c r="AB112" s="65">
        <f>'TOTAL ESTACIONES'!AB112</f>
        <v>5000</v>
      </c>
      <c r="AC112" s="65">
        <f>'TOTAL ESTACIONES'!AC112</f>
        <v>8000</v>
      </c>
      <c r="AD112" s="65">
        <f>'TOTAL ESTACIONES'!AD112</f>
        <v>5000</v>
      </c>
      <c r="AE112" s="65">
        <f>'TOTAL ESTACIONES'!AE112</f>
        <v>8000</v>
      </c>
      <c r="AF112" s="65">
        <f>'TOTAL ESTACIONES'!AF112</f>
        <v>5000</v>
      </c>
      <c r="AG112" s="65">
        <f>'TOTAL ESTACIONES'!AG112</f>
        <v>8000</v>
      </c>
      <c r="AH112" s="65">
        <f>'TOTAL ESTACIONES'!AH112</f>
        <v>5000</v>
      </c>
      <c r="AI112" s="65">
        <f>'TOTAL ESTACIONES'!AI112</f>
        <v>8000</v>
      </c>
      <c r="AJ112" s="65">
        <f>'TOTAL ESTACIONES'!AJ112</f>
        <v>8000</v>
      </c>
      <c r="AK112" s="123">
        <f>'TOTAL ESTACIONES'!AK112</f>
        <v>81000</v>
      </c>
      <c r="AL112" s="73">
        <f>'TOTAL ESTACIONES'!AL112</f>
        <v>2.2575302535990523E-4</v>
      </c>
      <c r="AM112" s="14">
        <f>'TOTAL ESTACIONES'!AM112</f>
        <v>0.87992261217335743</v>
      </c>
      <c r="AN112" s="89"/>
      <c r="AO112" s="253"/>
      <c r="AP112" s="73">
        <v>3.8932697574171135E-5</v>
      </c>
      <c r="AQ112" s="175">
        <v>38.897698209718669</v>
      </c>
      <c r="AR112" s="295">
        <f t="shared" si="3"/>
        <v>37913.119999999995</v>
      </c>
      <c r="AS112" s="1" t="s">
        <v>413</v>
      </c>
      <c r="AT112" s="291">
        <f>+V112*1.0375</f>
        <v>44702.638000000006</v>
      </c>
    </row>
    <row r="113" spans="1:48" ht="15" hidden="1" customHeight="1" outlineLevel="1">
      <c r="A113" s="12"/>
      <c r="I113" s="223" t="s">
        <v>222</v>
      </c>
      <c r="J113" s="65">
        <f>'TOTAL ESTACIONES'!J113</f>
        <v>0</v>
      </c>
      <c r="K113" s="65">
        <f>'TOTAL ESTACIONES'!K113</f>
        <v>0</v>
      </c>
      <c r="L113" s="65">
        <f>'TOTAL ESTACIONES'!L113</f>
        <v>0</v>
      </c>
      <c r="M113" s="65">
        <f>'TOTAL ESTACIONES'!M113</f>
        <v>0</v>
      </c>
      <c r="N113" s="65">
        <f>'TOTAL ESTACIONES'!N113</f>
        <v>0</v>
      </c>
      <c r="O113" s="65">
        <f>'TOTAL ESTACIONES'!O113</f>
        <v>0</v>
      </c>
      <c r="P113" s="65">
        <f>'TOTAL ESTACIONES'!P113</f>
        <v>0</v>
      </c>
      <c r="Q113" s="65">
        <f>'TOTAL ESTACIONES'!Q113</f>
        <v>0</v>
      </c>
      <c r="R113" s="65">
        <f>'TOTAL ESTACIONES'!R113</f>
        <v>0</v>
      </c>
      <c r="S113" s="65">
        <f>'TOTAL ESTACIONES'!S113</f>
        <v>0</v>
      </c>
      <c r="T113" s="65">
        <f>'TOTAL ESTACIONES'!T113</f>
        <v>0</v>
      </c>
      <c r="U113" s="65">
        <f>'TOTAL ESTACIONES'!U113</f>
        <v>0</v>
      </c>
      <c r="V113" s="11">
        <f>'TOTAL ESTACIONES'!V113</f>
        <v>0</v>
      </c>
      <c r="W113" s="73">
        <f>'TOTAL ESTACIONES'!W113</f>
        <v>0</v>
      </c>
      <c r="X113" s="89">
        <f>'TOTAL ESTACIONES'!X113</f>
        <v>0</v>
      </c>
      <c r="Y113" s="65">
        <f>'TOTAL ESTACIONES'!Y113</f>
        <v>0</v>
      </c>
      <c r="Z113" s="65">
        <f>'TOTAL ESTACIONES'!Z113</f>
        <v>0</v>
      </c>
      <c r="AA113" s="65">
        <f>'TOTAL ESTACIONES'!AA113</f>
        <v>0</v>
      </c>
      <c r="AB113" s="65">
        <f>'TOTAL ESTACIONES'!AB113</f>
        <v>0</v>
      </c>
      <c r="AC113" s="65">
        <f>'TOTAL ESTACIONES'!AC113</f>
        <v>0</v>
      </c>
      <c r="AD113" s="65">
        <f>'TOTAL ESTACIONES'!AD113</f>
        <v>0</v>
      </c>
      <c r="AE113" s="65">
        <f>'TOTAL ESTACIONES'!AE113</f>
        <v>0</v>
      </c>
      <c r="AF113" s="65">
        <f>'TOTAL ESTACIONES'!AF113</f>
        <v>0</v>
      </c>
      <c r="AG113" s="65">
        <f>'TOTAL ESTACIONES'!AG113</f>
        <v>0</v>
      </c>
      <c r="AH113" s="65">
        <f>'TOTAL ESTACIONES'!AH113</f>
        <v>0</v>
      </c>
      <c r="AI113" s="65">
        <f>'TOTAL ESTACIONES'!AI113</f>
        <v>0</v>
      </c>
      <c r="AJ113" s="65">
        <f>'TOTAL ESTACIONES'!AJ113</f>
        <v>0</v>
      </c>
      <c r="AK113" s="123">
        <f>'TOTAL ESTACIONES'!AK113</f>
        <v>0</v>
      </c>
      <c r="AL113" s="73">
        <f>'TOTAL ESTACIONES'!AL113</f>
        <v>0</v>
      </c>
      <c r="AM113" s="14">
        <f>'TOTAL ESTACIONES'!AM113</f>
        <v>0</v>
      </c>
      <c r="AN113" s="89"/>
      <c r="AO113" s="253">
        <v>294000</v>
      </c>
      <c r="AP113" s="73">
        <v>6.6702873466237259E-5</v>
      </c>
      <c r="AQ113" s="175">
        <v>8.848703560107829E-2</v>
      </c>
      <c r="AR113" s="9">
        <f t="shared" si="3"/>
        <v>0</v>
      </c>
    </row>
    <row r="114" spans="1:48" ht="15" hidden="1" customHeight="1" outlineLevel="1">
      <c r="A114" s="12"/>
      <c r="I114" s="223" t="s">
        <v>223</v>
      </c>
      <c r="J114" s="65">
        <f>'TOTAL ESTACIONES'!J114</f>
        <v>0</v>
      </c>
      <c r="K114" s="65">
        <f>'TOTAL ESTACIONES'!K114</f>
        <v>4303</v>
      </c>
      <c r="L114" s="65">
        <f>'TOTAL ESTACIONES'!L114</f>
        <v>0</v>
      </c>
      <c r="M114" s="65">
        <f>'TOTAL ESTACIONES'!M114</f>
        <v>0</v>
      </c>
      <c r="N114" s="65">
        <f>'TOTAL ESTACIONES'!N114</f>
        <v>0</v>
      </c>
      <c r="O114" s="65">
        <f>'TOTAL ESTACIONES'!O114</f>
        <v>0</v>
      </c>
      <c r="P114" s="65">
        <f>'TOTAL ESTACIONES'!P114</f>
        <v>0</v>
      </c>
      <c r="Q114" s="65">
        <f>'TOTAL ESTACIONES'!Q114</f>
        <v>0</v>
      </c>
      <c r="R114" s="65">
        <f>'TOTAL ESTACIONES'!R114</f>
        <v>0</v>
      </c>
      <c r="S114" s="65">
        <f>'TOTAL ESTACIONES'!S114</f>
        <v>31600</v>
      </c>
      <c r="T114" s="65">
        <f>'TOTAL ESTACIONES'!T114</f>
        <v>0</v>
      </c>
      <c r="U114" s="65">
        <f>'TOTAL ESTACIONES'!U114</f>
        <v>0</v>
      </c>
      <c r="V114" s="11">
        <f>'TOTAL ESTACIONES'!V114</f>
        <v>35903</v>
      </c>
      <c r="W114" s="73">
        <f>'TOTAL ESTACIONES'!W114</f>
        <v>1.0892497658996294E-4</v>
      </c>
      <c r="X114" s="89">
        <f>'TOTAL ESTACIONES'!X114</f>
        <v>0</v>
      </c>
      <c r="Y114" s="65">
        <f>'TOTAL ESTACIONES'!Y114</f>
        <v>0</v>
      </c>
      <c r="Z114" s="65">
        <f>'TOTAL ESTACIONES'!Z114</f>
        <v>0</v>
      </c>
      <c r="AA114" s="65">
        <f>'TOTAL ESTACIONES'!AA114</f>
        <v>0</v>
      </c>
      <c r="AB114" s="65">
        <f>'TOTAL ESTACIONES'!AB114</f>
        <v>0</v>
      </c>
      <c r="AC114" s="65">
        <f>'TOTAL ESTACIONES'!AC114</f>
        <v>0</v>
      </c>
      <c r="AD114" s="65">
        <f>'TOTAL ESTACIONES'!AD114</f>
        <v>0</v>
      </c>
      <c r="AE114" s="65">
        <f>'TOTAL ESTACIONES'!AE114</f>
        <v>0</v>
      </c>
      <c r="AF114" s="65">
        <f>'TOTAL ESTACIONES'!AF114</f>
        <v>0</v>
      </c>
      <c r="AG114" s="65">
        <f>'TOTAL ESTACIONES'!AG114</f>
        <v>65211.299999999996</v>
      </c>
      <c r="AH114" s="65">
        <f>'TOTAL ESTACIONES'!AH114</f>
        <v>0</v>
      </c>
      <c r="AI114" s="65">
        <f>'TOTAL ESTACIONES'!AI114</f>
        <v>0</v>
      </c>
      <c r="AJ114" s="65">
        <f>'TOTAL ESTACIONES'!AJ114</f>
        <v>0</v>
      </c>
      <c r="AK114" s="123">
        <f>'TOTAL ESTACIONES'!AK114</f>
        <v>65211.299999999996</v>
      </c>
      <c r="AL114" s="73">
        <f>'TOTAL ESTACIONES'!AL114</f>
        <v>1.8174874398336281E-4</v>
      </c>
      <c r="AM114" s="14">
        <f>'TOTAL ESTACIONES'!AM114</f>
        <v>0.81631897055956304</v>
      </c>
      <c r="AN114" s="89"/>
      <c r="AO114" s="253">
        <v>1661514</v>
      </c>
      <c r="AP114" s="73">
        <v>3.76965163620346E-4</v>
      </c>
      <c r="AQ114" s="175">
        <v>0.34097747273678158</v>
      </c>
      <c r="AR114" s="9">
        <f t="shared" si="3"/>
        <v>29308.299999999996</v>
      </c>
      <c r="AS114" s="1" t="s">
        <v>414</v>
      </c>
    </row>
    <row r="115" spans="1:48" ht="15" hidden="1" customHeight="1" outlineLevel="1">
      <c r="A115" s="12"/>
      <c r="I115" s="223" t="s">
        <v>224</v>
      </c>
      <c r="J115" s="65">
        <f>'TOTAL ESTACIONES'!J115</f>
        <v>0</v>
      </c>
      <c r="K115" s="65">
        <f>'TOTAL ESTACIONES'!K115</f>
        <v>19000</v>
      </c>
      <c r="L115" s="65">
        <f>'TOTAL ESTACIONES'!L115</f>
        <v>0</v>
      </c>
      <c r="M115" s="65">
        <f>'TOTAL ESTACIONES'!M115</f>
        <v>0</v>
      </c>
      <c r="N115" s="65">
        <f>'TOTAL ESTACIONES'!N115</f>
        <v>0</v>
      </c>
      <c r="O115" s="65">
        <f>'TOTAL ESTACIONES'!O115</f>
        <v>0</v>
      </c>
      <c r="P115" s="65">
        <f>'TOTAL ESTACIONES'!P115</f>
        <v>0</v>
      </c>
      <c r="Q115" s="65">
        <f>'TOTAL ESTACIONES'!Q115</f>
        <v>0</v>
      </c>
      <c r="R115" s="65">
        <f>'TOTAL ESTACIONES'!R115</f>
        <v>0</v>
      </c>
      <c r="S115" s="65">
        <f>'TOTAL ESTACIONES'!S115</f>
        <v>0</v>
      </c>
      <c r="T115" s="65">
        <f>'TOTAL ESTACIONES'!T115</f>
        <v>0</v>
      </c>
      <c r="U115" s="65">
        <f>'TOTAL ESTACIONES'!U115</f>
        <v>0</v>
      </c>
      <c r="V115" s="11">
        <f>'TOTAL ESTACIONES'!V115</f>
        <v>19000</v>
      </c>
      <c r="W115" s="73">
        <f>'TOTAL ESTACIONES'!W115</f>
        <v>5.7643499295582428E-5</v>
      </c>
      <c r="X115" s="89">
        <f>'TOTAL ESTACIONES'!X115</f>
        <v>0</v>
      </c>
      <c r="Y115" s="65">
        <f>'TOTAL ESTACIONES'!Y115</f>
        <v>0</v>
      </c>
      <c r="Z115" s="65">
        <f>'TOTAL ESTACIONES'!Z115</f>
        <v>0</v>
      </c>
      <c r="AA115" s="65">
        <f>'TOTAL ESTACIONES'!AA115</f>
        <v>15526.499999999998</v>
      </c>
      <c r="AB115" s="65">
        <f>'TOTAL ESTACIONES'!AB115</f>
        <v>0</v>
      </c>
      <c r="AC115" s="65">
        <f>'TOTAL ESTACIONES'!AC115</f>
        <v>0</v>
      </c>
      <c r="AD115" s="65">
        <f>'TOTAL ESTACIONES'!AD115</f>
        <v>0</v>
      </c>
      <c r="AE115" s="65">
        <f>'TOTAL ESTACIONES'!AE115</f>
        <v>0</v>
      </c>
      <c r="AF115" s="65">
        <f>'TOTAL ESTACIONES'!AF115</f>
        <v>0</v>
      </c>
      <c r="AG115" s="65">
        <f>'TOTAL ESTACIONES'!AG115</f>
        <v>0</v>
      </c>
      <c r="AH115" s="65">
        <f>'TOTAL ESTACIONES'!AH115</f>
        <v>0</v>
      </c>
      <c r="AI115" s="65">
        <f>'TOTAL ESTACIONES'!AI115</f>
        <v>0</v>
      </c>
      <c r="AJ115" s="65">
        <f>'TOTAL ESTACIONES'!AJ115</f>
        <v>0</v>
      </c>
      <c r="AK115" s="123">
        <f>'TOTAL ESTACIONES'!AK115</f>
        <v>15526.499999999998</v>
      </c>
      <c r="AL115" s="73">
        <f>'TOTAL ESTACIONES'!AL115</f>
        <v>4.3273510472229236E-5</v>
      </c>
      <c r="AM115" s="14">
        <f>'TOTAL ESTACIONES'!AM115</f>
        <v>-0.18281578947368426</v>
      </c>
      <c r="AN115" s="89"/>
      <c r="AO115" s="253">
        <v>0</v>
      </c>
      <c r="AP115" s="73">
        <v>0</v>
      </c>
      <c r="AQ115" s="175">
        <v>0</v>
      </c>
      <c r="AR115" s="9">
        <f t="shared" si="3"/>
        <v>-3473.5000000000018</v>
      </c>
      <c r="AS115" s="1" t="s">
        <v>415</v>
      </c>
    </row>
    <row r="116" spans="1:48" ht="15" hidden="1" customHeight="1" outlineLevel="1">
      <c r="A116" s="12"/>
      <c r="I116" s="223" t="s">
        <v>225</v>
      </c>
      <c r="J116" s="65">
        <f>'TOTAL ESTACIONES'!J116</f>
        <v>75376</v>
      </c>
      <c r="K116" s="65">
        <f>'TOTAL ESTACIONES'!K116</f>
        <v>0</v>
      </c>
      <c r="L116" s="65">
        <f>'TOTAL ESTACIONES'!L116</f>
        <v>0</v>
      </c>
      <c r="M116" s="65">
        <f>'TOTAL ESTACIONES'!M116</f>
        <v>0</v>
      </c>
      <c r="N116" s="65">
        <f>'TOTAL ESTACIONES'!N116</f>
        <v>0</v>
      </c>
      <c r="O116" s="65">
        <f>'TOTAL ESTACIONES'!O116</f>
        <v>0</v>
      </c>
      <c r="P116" s="65">
        <f>'TOTAL ESTACIONES'!P116</f>
        <v>0</v>
      </c>
      <c r="Q116" s="65">
        <f>'TOTAL ESTACIONES'!Q116</f>
        <v>0</v>
      </c>
      <c r="R116" s="65">
        <f>'TOTAL ESTACIONES'!R116</f>
        <v>0</v>
      </c>
      <c r="S116" s="65">
        <f>'TOTAL ESTACIONES'!S116</f>
        <v>0</v>
      </c>
      <c r="T116" s="65">
        <f>'TOTAL ESTACIONES'!T116</f>
        <v>0</v>
      </c>
      <c r="U116" s="65">
        <f>'TOTAL ESTACIONES'!U116</f>
        <v>0</v>
      </c>
      <c r="V116" s="11">
        <f>'TOTAL ESTACIONES'!V116</f>
        <v>75376</v>
      </c>
      <c r="W116" s="73">
        <f>'TOTAL ESTACIONES'!W116</f>
        <v>2.2868086331072742E-4</v>
      </c>
      <c r="X116" s="89">
        <f>'TOTAL ESTACIONES'!X116</f>
        <v>0</v>
      </c>
      <c r="Y116" s="65">
        <f>'TOTAL ESTACIONES'!Y116</f>
        <v>75031.839999999997</v>
      </c>
      <c r="Z116" s="65">
        <f>'TOTAL ESTACIONES'!Z116</f>
        <v>0</v>
      </c>
      <c r="AA116" s="65">
        <f>'TOTAL ESTACIONES'!AA116</f>
        <v>0</v>
      </c>
      <c r="AB116" s="65">
        <f>'TOTAL ESTACIONES'!AB116</f>
        <v>0</v>
      </c>
      <c r="AC116" s="65">
        <f>'TOTAL ESTACIONES'!AC116</f>
        <v>0</v>
      </c>
      <c r="AD116" s="65">
        <f>'TOTAL ESTACIONES'!AD116</f>
        <v>0</v>
      </c>
      <c r="AE116" s="65">
        <f>'TOTAL ESTACIONES'!AE116</f>
        <v>0</v>
      </c>
      <c r="AF116" s="65">
        <f>'TOTAL ESTACIONES'!AF116</f>
        <v>0</v>
      </c>
      <c r="AG116" s="65">
        <f>'TOTAL ESTACIONES'!AG116</f>
        <v>0</v>
      </c>
      <c r="AH116" s="65">
        <f>'TOTAL ESTACIONES'!AH116</f>
        <v>0</v>
      </c>
      <c r="AI116" s="65">
        <f>'TOTAL ESTACIONES'!AI116</f>
        <v>0</v>
      </c>
      <c r="AJ116" s="65">
        <f>'TOTAL ESTACIONES'!AJ116</f>
        <v>0</v>
      </c>
      <c r="AK116" s="123">
        <f>'TOTAL ESTACIONES'!AK116</f>
        <v>75031.839999999997</v>
      </c>
      <c r="AL116" s="73">
        <f>'TOTAL ESTACIONES'!AL116</f>
        <v>2.0911931948543644E-4</v>
      </c>
      <c r="AM116" s="14">
        <f>'TOTAL ESTACIONES'!AM116</f>
        <v>-4.565909573339022E-3</v>
      </c>
      <c r="AN116" s="89"/>
      <c r="AO116" s="253">
        <v>140000</v>
      </c>
      <c r="AP116" s="73">
        <v>3.1763273079160596E-5</v>
      </c>
      <c r="AQ116" s="175">
        <v>0.75</v>
      </c>
      <c r="AR116" s="9">
        <f t="shared" si="3"/>
        <v>-344.16000000000349</v>
      </c>
      <c r="AS116" s="1" t="s">
        <v>416</v>
      </c>
    </row>
    <row r="117" spans="1:48" ht="15" hidden="1" customHeight="1" outlineLevel="1">
      <c r="A117" s="12" t="s">
        <v>219</v>
      </c>
      <c r="B117" s="8" t="s">
        <v>89</v>
      </c>
      <c r="I117" s="223" t="s">
        <v>226</v>
      </c>
      <c r="J117" s="65">
        <f>'TOTAL ESTACIONES'!J117</f>
        <v>523</v>
      </c>
      <c r="K117" s="65">
        <f>'TOTAL ESTACIONES'!K117</f>
        <v>0</v>
      </c>
      <c r="L117" s="65">
        <f>'TOTAL ESTACIONES'!L117</f>
        <v>18718</v>
      </c>
      <c r="M117" s="65">
        <f>'TOTAL ESTACIONES'!M117</f>
        <v>4550</v>
      </c>
      <c r="N117" s="65">
        <f>'TOTAL ESTACIONES'!N117</f>
        <v>2543</v>
      </c>
      <c r="O117" s="65">
        <f>'TOTAL ESTACIONES'!O117</f>
        <v>3097</v>
      </c>
      <c r="P117" s="65">
        <f>'TOTAL ESTACIONES'!P117</f>
        <v>11557</v>
      </c>
      <c r="Q117" s="65">
        <f>'TOTAL ESTACIONES'!Q117</f>
        <v>19999</v>
      </c>
      <c r="R117" s="65">
        <f>'TOTAL ESTACIONES'!R117</f>
        <v>54267</v>
      </c>
      <c r="S117" s="65">
        <f>'TOTAL ESTACIONES'!S117</f>
        <v>4856</v>
      </c>
      <c r="T117" s="65">
        <f>'TOTAL ESTACIONES'!T117</f>
        <v>13520</v>
      </c>
      <c r="U117" s="65">
        <f>'TOTAL ESTACIONES'!U117</f>
        <v>13520</v>
      </c>
      <c r="V117" s="11">
        <f>'TOTAL ESTACIONES'!V117</f>
        <v>147150</v>
      </c>
      <c r="W117" s="73">
        <f>'TOTAL ESTACIONES'!W117</f>
        <v>4.46433732702366E-4</v>
      </c>
      <c r="X117" s="89">
        <f>'TOTAL ESTACIONES'!X117</f>
        <v>0</v>
      </c>
      <c r="Y117" s="65">
        <f>'TOTAL ESTACIONES'!Y117</f>
        <v>12722.34375</v>
      </c>
      <c r="Z117" s="65">
        <f>'TOTAL ESTACIONES'!Z117</f>
        <v>12722.34375</v>
      </c>
      <c r="AA117" s="65">
        <f>'TOTAL ESTACIONES'!AA117</f>
        <v>12722.34375</v>
      </c>
      <c r="AB117" s="65">
        <f>'TOTAL ESTACIONES'!AB117</f>
        <v>12722.34375</v>
      </c>
      <c r="AC117" s="65">
        <f>'TOTAL ESTACIONES'!AC117</f>
        <v>12722.34375</v>
      </c>
      <c r="AD117" s="65">
        <f>'TOTAL ESTACIONES'!AD117</f>
        <v>12722.34375</v>
      </c>
      <c r="AE117" s="65">
        <f>'TOTAL ESTACIONES'!AE117</f>
        <v>12722.34375</v>
      </c>
      <c r="AF117" s="65">
        <f>'TOTAL ESTACIONES'!AF117</f>
        <v>12722.34375</v>
      </c>
      <c r="AG117" s="65">
        <f>'TOTAL ESTACIONES'!AG117</f>
        <v>12722.34375</v>
      </c>
      <c r="AH117" s="65">
        <f>'TOTAL ESTACIONES'!AH117</f>
        <v>12722.34375</v>
      </c>
      <c r="AI117" s="65">
        <f>'TOTAL ESTACIONES'!AI117</f>
        <v>12722.34375</v>
      </c>
      <c r="AJ117" s="65">
        <f>'TOTAL ESTACIONES'!AJ117</f>
        <v>12722.34375</v>
      </c>
      <c r="AK117" s="123">
        <f>'TOTAL ESTACIONES'!AK117</f>
        <v>152668.125</v>
      </c>
      <c r="AL117" s="73">
        <f>'TOTAL ESTACIONES'!AL117</f>
        <v>4.2549742092313803E-4</v>
      </c>
      <c r="AM117" s="14">
        <f>'TOTAL ESTACIONES'!AM117</f>
        <v>3.7500000000000089E-2</v>
      </c>
      <c r="AN117" s="89"/>
      <c r="AO117" s="253">
        <v>132120</v>
      </c>
      <c r="AP117" s="73">
        <v>2.9975454565847847E-5</v>
      </c>
      <c r="AQ117" s="175">
        <v>0</v>
      </c>
      <c r="AR117" s="9">
        <f t="shared" si="3"/>
        <v>5518.125</v>
      </c>
      <c r="AS117" s="1" t="s">
        <v>408</v>
      </c>
      <c r="AV117" s="291">
        <f>+V117*1.0375</f>
        <v>152668.125</v>
      </c>
    </row>
    <row r="118" spans="1:48" ht="15" hidden="1" customHeight="1" outlineLevel="1">
      <c r="A118" s="12"/>
      <c r="I118" s="223" t="s">
        <v>227</v>
      </c>
      <c r="J118" s="65">
        <f>'TOTAL ESTACIONES'!J118</f>
        <v>0</v>
      </c>
      <c r="K118" s="65">
        <f>'TOTAL ESTACIONES'!K118</f>
        <v>0</v>
      </c>
      <c r="L118" s="65">
        <f>'TOTAL ESTACIONES'!L118</f>
        <v>450</v>
      </c>
      <c r="M118" s="65">
        <f>'TOTAL ESTACIONES'!M118</f>
        <v>0</v>
      </c>
      <c r="N118" s="65">
        <f>'TOTAL ESTACIONES'!N118</f>
        <v>900</v>
      </c>
      <c r="O118" s="65">
        <f>'TOTAL ESTACIONES'!O118</f>
        <v>1400</v>
      </c>
      <c r="P118" s="65">
        <f>'TOTAL ESTACIONES'!P118</f>
        <v>295</v>
      </c>
      <c r="Q118" s="65">
        <f>'TOTAL ESTACIONES'!Q118</f>
        <v>1800</v>
      </c>
      <c r="R118" s="65">
        <f>'TOTAL ESTACIONES'!R118</f>
        <v>0</v>
      </c>
      <c r="S118" s="65">
        <f>'TOTAL ESTACIONES'!S118</f>
        <v>11550</v>
      </c>
      <c r="T118" s="65">
        <f>'TOTAL ESTACIONES'!T118</f>
        <v>0</v>
      </c>
      <c r="U118" s="65">
        <f>'TOTAL ESTACIONES'!U118</f>
        <v>0</v>
      </c>
      <c r="V118" s="11">
        <f>'TOTAL ESTACIONES'!V118</f>
        <v>16395</v>
      </c>
      <c r="W118" s="73">
        <f>'TOTAL ESTACIONES'!W118</f>
        <v>4.9740272155319678E-5</v>
      </c>
      <c r="X118" s="89">
        <f>'TOTAL ESTACIONES'!X118</f>
        <v>0</v>
      </c>
      <c r="Y118" s="65">
        <f>'TOTAL ESTACIONES'!Y118</f>
        <v>465.79499999999996</v>
      </c>
      <c r="Z118" s="65">
        <f>'TOTAL ESTACIONES'!Z118</f>
        <v>465.79499999999996</v>
      </c>
      <c r="AA118" s="65">
        <f>'TOTAL ESTACIONES'!AA118</f>
        <v>0</v>
      </c>
      <c r="AB118" s="65">
        <f>'TOTAL ESTACIONES'!AB118</f>
        <v>0</v>
      </c>
      <c r="AC118" s="65">
        <f>'TOTAL ESTACIONES'!AC118</f>
        <v>7397.3850000000002</v>
      </c>
      <c r="AD118" s="65">
        <f>'TOTAL ESTACIONES'!AD118</f>
        <v>0</v>
      </c>
      <c r="AE118" s="65">
        <f>'TOTAL ESTACIONES'!AE118</f>
        <v>465.79499999999996</v>
      </c>
      <c r="AF118" s="65">
        <f>'TOTAL ESTACIONES'!AF118</f>
        <v>5589.5399999999991</v>
      </c>
      <c r="AG118" s="65">
        <f>'TOTAL ESTACIONES'!AG118</f>
        <v>0</v>
      </c>
      <c r="AH118" s="65">
        <f>'TOTAL ESTACIONES'!AH118</f>
        <v>1863.1799999999998</v>
      </c>
      <c r="AI118" s="65">
        <f>'TOTAL ESTACIONES'!AI118</f>
        <v>0</v>
      </c>
      <c r="AJ118" s="65">
        <f>'TOTAL ESTACIONES'!AJ118</f>
        <v>0</v>
      </c>
      <c r="AK118" s="123">
        <f>'TOTAL ESTACIONES'!AK118</f>
        <v>16247.49</v>
      </c>
      <c r="AL118" s="73">
        <f>'TOTAL ESTACIONES'!AL118</f>
        <v>4.5282963234627244E-5</v>
      </c>
      <c r="AM118" s="14">
        <f>'TOTAL ESTACIONES'!AM118</f>
        <v>-8.9972552607502365E-3</v>
      </c>
      <c r="AN118" s="89"/>
      <c r="AO118" s="253">
        <v>124400</v>
      </c>
      <c r="AP118" s="73">
        <v>2.8223936936054132E-5</v>
      </c>
      <c r="AQ118" s="175">
        <v>1.7310422801129519</v>
      </c>
      <c r="AR118" s="9">
        <f t="shared" si="3"/>
        <v>-147.51000000000022</v>
      </c>
      <c r="AS118" s="1" t="s">
        <v>408</v>
      </c>
      <c r="AV118" s="291">
        <f>+V118*1.0375</f>
        <v>17009.8125</v>
      </c>
    </row>
    <row r="119" spans="1:48" ht="15" hidden="1" customHeight="1" outlineLevel="1">
      <c r="A119" s="12"/>
      <c r="I119" s="223" t="s">
        <v>228</v>
      </c>
      <c r="J119" s="65">
        <f>'TOTAL ESTACIONES'!J119</f>
        <v>0</v>
      </c>
      <c r="K119" s="65">
        <f>'TOTAL ESTACIONES'!K119</f>
        <v>0</v>
      </c>
      <c r="L119" s="65">
        <f>'TOTAL ESTACIONES'!L119</f>
        <v>0</v>
      </c>
      <c r="M119" s="65">
        <f>'TOTAL ESTACIONES'!M119</f>
        <v>0</v>
      </c>
      <c r="N119" s="65">
        <f>'TOTAL ESTACIONES'!N119</f>
        <v>0</v>
      </c>
      <c r="O119" s="65">
        <f>'TOTAL ESTACIONES'!O119</f>
        <v>0</v>
      </c>
      <c r="P119" s="65">
        <f>'TOTAL ESTACIONES'!P119</f>
        <v>3499</v>
      </c>
      <c r="Q119" s="65">
        <f>'TOTAL ESTACIONES'!Q119</f>
        <v>0</v>
      </c>
      <c r="R119" s="65">
        <f>'TOTAL ESTACIONES'!R119</f>
        <v>0</v>
      </c>
      <c r="S119" s="65">
        <f>'TOTAL ESTACIONES'!S119</f>
        <v>0</v>
      </c>
      <c r="T119" s="65">
        <f>'TOTAL ESTACIONES'!T119</f>
        <v>0</v>
      </c>
      <c r="U119" s="65">
        <f>'TOTAL ESTACIONES'!U119</f>
        <v>0</v>
      </c>
      <c r="V119" s="11">
        <f>'TOTAL ESTACIONES'!V119</f>
        <v>3499</v>
      </c>
      <c r="W119" s="73">
        <f>'TOTAL ESTACIONES'!W119</f>
        <v>1.06155054755391E-5</v>
      </c>
      <c r="X119" s="89">
        <f>'TOTAL ESTACIONES'!X119</f>
        <v>0</v>
      </c>
      <c r="Y119" s="65">
        <f>'TOTAL ESTACIONES'!Y119</f>
        <v>0</v>
      </c>
      <c r="Z119" s="65">
        <f>'TOTAL ESTACIONES'!Z119</f>
        <v>0</v>
      </c>
      <c r="AA119" s="65">
        <f>'TOTAL ESTACIONES'!AA119</f>
        <v>7277.92</v>
      </c>
      <c r="AB119" s="65">
        <f>'TOTAL ESTACIONES'!AB119</f>
        <v>0</v>
      </c>
      <c r="AC119" s="65">
        <f>'TOTAL ESTACIONES'!AC119</f>
        <v>0</v>
      </c>
      <c r="AD119" s="65">
        <f>'TOTAL ESTACIONES'!AD119</f>
        <v>0</v>
      </c>
      <c r="AE119" s="65">
        <f>'TOTAL ESTACIONES'!AE119</f>
        <v>0</v>
      </c>
      <c r="AF119" s="65">
        <f>'TOTAL ESTACIONES'!AF119</f>
        <v>0</v>
      </c>
      <c r="AG119" s="65">
        <f>'TOTAL ESTACIONES'!AG119</f>
        <v>0</v>
      </c>
      <c r="AH119" s="65">
        <f>'TOTAL ESTACIONES'!AH119</f>
        <v>0</v>
      </c>
      <c r="AI119" s="65">
        <f>'TOTAL ESTACIONES'!AI119</f>
        <v>0</v>
      </c>
      <c r="AJ119" s="65">
        <f>'TOTAL ESTACIONES'!AJ119</f>
        <v>0</v>
      </c>
      <c r="AK119" s="123">
        <f>'TOTAL ESTACIONES'!AK119</f>
        <v>7277.92</v>
      </c>
      <c r="AL119" s="73">
        <f>'TOTAL ESTACIONES'!AL119</f>
        <v>2.0284104423794587E-5</v>
      </c>
      <c r="AM119" s="14">
        <f>'TOTAL ESTACIONES'!AM119</f>
        <v>1.08</v>
      </c>
      <c r="AN119" s="89"/>
      <c r="AO119" s="253">
        <v>0</v>
      </c>
      <c r="AP119" s="73">
        <v>0</v>
      </c>
      <c r="AQ119" s="175">
        <v>0</v>
      </c>
      <c r="AR119" s="9">
        <f t="shared" si="3"/>
        <v>3778.92</v>
      </c>
      <c r="AS119" s="1" t="s">
        <v>417</v>
      </c>
    </row>
    <row r="120" spans="1:48" ht="15" hidden="1" customHeight="1" outlineLevel="1">
      <c r="A120" s="12"/>
      <c r="I120" s="223" t="s">
        <v>229</v>
      </c>
      <c r="J120" s="65">
        <f>'TOTAL ESTACIONES'!J120</f>
        <v>0</v>
      </c>
      <c r="K120" s="65">
        <f>'TOTAL ESTACIONES'!K120</f>
        <v>15000</v>
      </c>
      <c r="L120" s="65">
        <f>'TOTAL ESTACIONES'!L120</f>
        <v>13600</v>
      </c>
      <c r="M120" s="65">
        <f>'TOTAL ESTACIONES'!M120</f>
        <v>12000</v>
      </c>
      <c r="N120" s="65">
        <f>'TOTAL ESTACIONES'!N120</f>
        <v>0</v>
      </c>
      <c r="O120" s="65">
        <f>'TOTAL ESTACIONES'!O120</f>
        <v>0</v>
      </c>
      <c r="P120" s="65">
        <f>'TOTAL ESTACIONES'!P120</f>
        <v>15000</v>
      </c>
      <c r="Q120" s="65">
        <f>'TOTAL ESTACIONES'!Q120</f>
        <v>3000</v>
      </c>
      <c r="R120" s="65">
        <f>'TOTAL ESTACIONES'!R120</f>
        <v>0</v>
      </c>
      <c r="S120" s="65">
        <f>'TOTAL ESTACIONES'!S120</f>
        <v>9000</v>
      </c>
      <c r="T120" s="65">
        <v>0</v>
      </c>
      <c r="U120" s="65">
        <v>0</v>
      </c>
      <c r="V120" s="11">
        <f>'TOTAL ESTACIONES'!V120</f>
        <v>89600</v>
      </c>
      <c r="W120" s="73">
        <f>'TOTAL ESTACIONES'!W120</f>
        <v>2.7183460720443082E-4</v>
      </c>
      <c r="X120" s="89">
        <f>'TOTAL ESTACIONES'!X120</f>
        <v>0</v>
      </c>
      <c r="Y120" s="65">
        <f>'TOTAL ESTACIONES'!Y120</f>
        <v>15000</v>
      </c>
      <c r="Z120" s="65">
        <f>'TOTAL ESTACIONES'!Z120</f>
        <v>0</v>
      </c>
      <c r="AA120" s="65">
        <f>'TOTAL ESTACIONES'!AA120</f>
        <v>27421.200000000001</v>
      </c>
      <c r="AB120" s="65">
        <f>'TOTAL ESTACIONES'!AB120</f>
        <v>0</v>
      </c>
      <c r="AC120" s="65">
        <f>'TOTAL ESTACIONES'!AC120</f>
        <v>15000</v>
      </c>
      <c r="AD120" s="65">
        <f>'TOTAL ESTACIONES'!AD120</f>
        <v>0</v>
      </c>
      <c r="AE120" s="65">
        <f>'TOTAL ESTACIONES'!AE120</f>
        <v>15000</v>
      </c>
      <c r="AF120" s="65">
        <f>'TOTAL ESTACIONES'!AF120</f>
        <v>12421.199999999999</v>
      </c>
      <c r="AG120" s="65">
        <f>'TOTAL ESTACIONES'!AG120</f>
        <v>15000</v>
      </c>
      <c r="AH120" s="65">
        <f>'TOTAL ESTACIONES'!AH120</f>
        <v>0</v>
      </c>
      <c r="AI120" s="65">
        <f>'TOTAL ESTACIONES'!AI120</f>
        <v>15000</v>
      </c>
      <c r="AJ120" s="65">
        <f>'TOTAL ESTACIONES'!AJ120</f>
        <v>0</v>
      </c>
      <c r="AK120" s="123">
        <f>'TOTAL ESTACIONES'!AK120</f>
        <v>114842.4</v>
      </c>
      <c r="AL120" s="73">
        <f>'TOTAL ESTACIONES'!AL120</f>
        <v>3.2007431159990592E-4</v>
      </c>
      <c r="AM120" s="14">
        <f>'TOTAL ESTACIONES'!AM120</f>
        <v>0.28172321428571423</v>
      </c>
      <c r="AN120" s="89"/>
      <c r="AO120" s="253">
        <v>611820</v>
      </c>
      <c r="AP120" s="73">
        <v>1.3881004096637169E-4</v>
      </c>
      <c r="AQ120" s="175">
        <v>0.79011509792434964</v>
      </c>
      <c r="AR120" s="295">
        <f t="shared" si="3"/>
        <v>25242.399999999994</v>
      </c>
      <c r="AS120" s="1" t="s">
        <v>418</v>
      </c>
    </row>
    <row r="121" spans="1:48" ht="15" hidden="1" customHeight="1" outlineLevel="1">
      <c r="A121" s="12"/>
      <c r="I121" s="223" t="s">
        <v>230</v>
      </c>
      <c r="J121" s="65">
        <f>'TOTAL ESTACIONES'!J121</f>
        <v>0</v>
      </c>
      <c r="K121" s="65">
        <f>'TOTAL ESTACIONES'!K121</f>
        <v>0</v>
      </c>
      <c r="L121" s="65">
        <f>'TOTAL ESTACIONES'!L121</f>
        <v>0</v>
      </c>
      <c r="M121" s="65">
        <f>'TOTAL ESTACIONES'!M121</f>
        <v>0</v>
      </c>
      <c r="N121" s="65">
        <f>'TOTAL ESTACIONES'!N121</f>
        <v>0</v>
      </c>
      <c r="O121" s="65">
        <f>'TOTAL ESTACIONES'!O121</f>
        <v>0</v>
      </c>
      <c r="P121" s="65">
        <f>'TOTAL ESTACIONES'!P121</f>
        <v>0</v>
      </c>
      <c r="Q121" s="65">
        <f>'TOTAL ESTACIONES'!Q121</f>
        <v>0</v>
      </c>
      <c r="R121" s="65">
        <f>'TOTAL ESTACIONES'!R121</f>
        <v>0</v>
      </c>
      <c r="S121" s="65">
        <f>'TOTAL ESTACIONES'!S121</f>
        <v>0</v>
      </c>
      <c r="T121" s="65">
        <f>'TOTAL ESTACIONES'!T121</f>
        <v>0</v>
      </c>
      <c r="U121" s="65">
        <f>'TOTAL ESTACIONES'!U121</f>
        <v>0</v>
      </c>
      <c r="V121" s="11">
        <f>'TOTAL ESTACIONES'!V121</f>
        <v>0</v>
      </c>
      <c r="W121" s="73">
        <f>'TOTAL ESTACIONES'!W121</f>
        <v>0</v>
      </c>
      <c r="X121" s="89">
        <f>'TOTAL ESTACIONES'!X121</f>
        <v>0</v>
      </c>
      <c r="Y121" s="65">
        <f>'TOTAL ESTACIONES'!Y121</f>
        <v>0</v>
      </c>
      <c r="Z121" s="65">
        <f>'TOTAL ESTACIONES'!Z121</f>
        <v>0</v>
      </c>
      <c r="AA121" s="65">
        <f>'TOTAL ESTACIONES'!AA121</f>
        <v>0</v>
      </c>
      <c r="AB121" s="65">
        <f>'TOTAL ESTACIONES'!AB121</f>
        <v>0</v>
      </c>
      <c r="AC121" s="65">
        <f>'TOTAL ESTACIONES'!AC121</f>
        <v>0</v>
      </c>
      <c r="AD121" s="65">
        <f>'TOTAL ESTACIONES'!AD121</f>
        <v>0</v>
      </c>
      <c r="AE121" s="65">
        <f>'TOTAL ESTACIONES'!AE121</f>
        <v>0</v>
      </c>
      <c r="AF121" s="65">
        <f>'TOTAL ESTACIONES'!AF121</f>
        <v>0</v>
      </c>
      <c r="AG121" s="65">
        <f>'TOTAL ESTACIONES'!AG121</f>
        <v>0</v>
      </c>
      <c r="AH121" s="65">
        <f>'TOTAL ESTACIONES'!AH121</f>
        <v>0</v>
      </c>
      <c r="AI121" s="65">
        <f>'TOTAL ESTACIONES'!AI121</f>
        <v>0</v>
      </c>
      <c r="AJ121" s="65">
        <f>'TOTAL ESTACIONES'!AJ121</f>
        <v>0</v>
      </c>
      <c r="AK121" s="123">
        <f>'TOTAL ESTACIONES'!AK121</f>
        <v>0</v>
      </c>
      <c r="AL121" s="73">
        <f>'TOTAL ESTACIONES'!AL121</f>
        <v>0</v>
      </c>
      <c r="AM121" s="14">
        <f>'TOTAL ESTACIONES'!AM121</f>
        <v>0</v>
      </c>
      <c r="AN121" s="89"/>
      <c r="AO121" s="253">
        <v>446334</v>
      </c>
      <c r="AP121" s="73">
        <v>1.012644909036719E-4</v>
      </c>
      <c r="AQ121" s="175">
        <v>1.0827164957290547</v>
      </c>
      <c r="AR121" s="9">
        <f t="shared" si="3"/>
        <v>0</v>
      </c>
    </row>
    <row r="122" spans="1:48" ht="15" hidden="1" customHeight="1" outlineLevel="1">
      <c r="A122" s="12"/>
      <c r="I122" s="223" t="s">
        <v>231</v>
      </c>
      <c r="J122" s="65">
        <f>'TOTAL ESTACIONES'!J122</f>
        <v>0</v>
      </c>
      <c r="K122" s="65">
        <f>'TOTAL ESTACIONES'!K122</f>
        <v>0</v>
      </c>
      <c r="L122" s="65">
        <f>'TOTAL ESTACIONES'!L122</f>
        <v>0</v>
      </c>
      <c r="M122" s="65">
        <f>'TOTAL ESTACIONES'!M122</f>
        <v>0</v>
      </c>
      <c r="N122" s="65">
        <f>'TOTAL ESTACIONES'!N122</f>
        <v>0</v>
      </c>
      <c r="O122" s="65">
        <f>'TOTAL ESTACIONES'!O122</f>
        <v>0</v>
      </c>
      <c r="P122" s="65">
        <f>'TOTAL ESTACIONES'!P122</f>
        <v>0</v>
      </c>
      <c r="Q122" s="65">
        <f>'TOTAL ESTACIONES'!Q122</f>
        <v>0</v>
      </c>
      <c r="R122" s="65">
        <f>'TOTAL ESTACIONES'!R122</f>
        <v>0</v>
      </c>
      <c r="S122" s="65">
        <f>'TOTAL ESTACIONES'!S122</f>
        <v>0</v>
      </c>
      <c r="T122" s="65">
        <f>'TOTAL ESTACIONES'!T122</f>
        <v>0</v>
      </c>
      <c r="U122" s="65">
        <f>'TOTAL ESTACIONES'!U122</f>
        <v>0</v>
      </c>
      <c r="V122" s="11">
        <f>'TOTAL ESTACIONES'!V122</f>
        <v>0</v>
      </c>
      <c r="W122" s="73">
        <f>'TOTAL ESTACIONES'!W122</f>
        <v>0</v>
      </c>
      <c r="X122" s="89">
        <f>'TOTAL ESTACIONES'!X122</f>
        <v>0</v>
      </c>
      <c r="Y122" s="65">
        <f>'TOTAL ESTACIONES'!Y122</f>
        <v>0</v>
      </c>
      <c r="Z122" s="65">
        <f>'TOTAL ESTACIONES'!Z122</f>
        <v>0</v>
      </c>
      <c r="AA122" s="65">
        <f>'TOTAL ESTACIONES'!AA122</f>
        <v>0</v>
      </c>
      <c r="AB122" s="65">
        <f>'TOTAL ESTACIONES'!AB122</f>
        <v>0</v>
      </c>
      <c r="AC122" s="65">
        <f>'TOTAL ESTACIONES'!AC122</f>
        <v>0</v>
      </c>
      <c r="AD122" s="65">
        <f>'TOTAL ESTACIONES'!AD122</f>
        <v>0</v>
      </c>
      <c r="AE122" s="65">
        <f>'TOTAL ESTACIONES'!AE122</f>
        <v>0</v>
      </c>
      <c r="AF122" s="65">
        <f>'TOTAL ESTACIONES'!AF122</f>
        <v>0</v>
      </c>
      <c r="AG122" s="65">
        <f>'TOTAL ESTACIONES'!AG122</f>
        <v>0</v>
      </c>
      <c r="AH122" s="65">
        <f>'TOTAL ESTACIONES'!AH122</f>
        <v>0</v>
      </c>
      <c r="AI122" s="65">
        <f>'TOTAL ESTACIONES'!AI122</f>
        <v>0</v>
      </c>
      <c r="AJ122" s="65">
        <f>'TOTAL ESTACIONES'!AJ122</f>
        <v>0</v>
      </c>
      <c r="AK122" s="123">
        <f>'TOTAL ESTACIONES'!AK122</f>
        <v>0</v>
      </c>
      <c r="AL122" s="73">
        <f>'TOTAL ESTACIONES'!AL122</f>
        <v>0</v>
      </c>
      <c r="AM122" s="14">
        <f>'TOTAL ESTACIONES'!AM122</f>
        <v>0</v>
      </c>
      <c r="AN122" s="89"/>
      <c r="AO122" s="253">
        <v>0</v>
      </c>
      <c r="AP122" s="73">
        <v>0</v>
      </c>
      <c r="AQ122" s="175">
        <v>0</v>
      </c>
      <c r="AR122" s="9">
        <f t="shared" si="3"/>
        <v>0</v>
      </c>
    </row>
    <row r="123" spans="1:48" ht="15" hidden="1" customHeight="1" outlineLevel="1">
      <c r="A123" s="12"/>
      <c r="I123" s="223" t="s">
        <v>232</v>
      </c>
      <c r="J123" s="65">
        <f>'TOTAL ESTACIONES'!J123</f>
        <v>0</v>
      </c>
      <c r="K123" s="65">
        <f>'TOTAL ESTACIONES'!K123</f>
        <v>0</v>
      </c>
      <c r="L123" s="65">
        <f>'TOTAL ESTACIONES'!L123</f>
        <v>9469</v>
      </c>
      <c r="M123" s="65">
        <f>'TOTAL ESTACIONES'!M123</f>
        <v>0</v>
      </c>
      <c r="N123" s="65">
        <f>'TOTAL ESTACIONES'!N123</f>
        <v>0</v>
      </c>
      <c r="O123" s="65">
        <f>'TOTAL ESTACIONES'!O123</f>
        <v>0</v>
      </c>
      <c r="P123" s="65">
        <f>'TOTAL ESTACIONES'!P123</f>
        <v>9469</v>
      </c>
      <c r="Q123" s="65">
        <f>'TOTAL ESTACIONES'!Q123</f>
        <v>0</v>
      </c>
      <c r="R123" s="65">
        <f>'TOTAL ESTACIONES'!R123</f>
        <v>0</v>
      </c>
      <c r="S123" s="65">
        <f>'TOTAL ESTACIONES'!S123</f>
        <v>22500</v>
      </c>
      <c r="T123" s="65">
        <f>'TOTAL ESTACIONES'!T123</f>
        <v>6156.8</v>
      </c>
      <c r="U123" s="65">
        <f>'TOTAL ESTACIONES'!U123</f>
        <v>2279.6800000000003</v>
      </c>
      <c r="V123" s="11">
        <f>'TOTAL ESTACIONES'!V123</f>
        <v>49874.48</v>
      </c>
      <c r="W123" s="73">
        <f>'TOTAL ESTACIONES'!W123</f>
        <v>1.5131260803934421E-4</v>
      </c>
      <c r="X123" s="89">
        <f>'TOTAL ESTACIONES'!X123</f>
        <v>0</v>
      </c>
      <c r="Y123" s="65">
        <f>'TOTAL ESTACIONES'!Y123</f>
        <v>0</v>
      </c>
      <c r="Z123" s="65">
        <f>'TOTAL ESTACIONES'!Z123</f>
        <v>12800</v>
      </c>
      <c r="AA123" s="65">
        <f>'TOTAL ESTACIONES'!AA123</f>
        <v>2268.9391999999998</v>
      </c>
      <c r="AB123" s="65">
        <f>'TOTAL ESTACIONES'!AB123</f>
        <v>0</v>
      </c>
      <c r="AC123" s="65">
        <f>'TOTAL ESTACIONES'!AC123</f>
        <v>3200</v>
      </c>
      <c r="AD123" s="65">
        <f>'TOTAL ESTACIONES'!AD123</f>
        <v>0</v>
      </c>
      <c r="AE123" s="65">
        <f>'TOTAL ESTACIONES'!AE123</f>
        <v>2268.9391999999998</v>
      </c>
      <c r="AF123" s="65">
        <f>'TOTAL ESTACIONES'!AF123</f>
        <v>12800</v>
      </c>
      <c r="AG123" s="65">
        <f>'TOTAL ESTACIONES'!AG123</f>
        <v>0</v>
      </c>
      <c r="AH123" s="65">
        <f>'TOTAL ESTACIONES'!AH123</f>
        <v>0</v>
      </c>
      <c r="AI123" s="65">
        <f>'TOTAL ESTACIONES'!AI123</f>
        <v>3200</v>
      </c>
      <c r="AJ123" s="65">
        <f>'TOTAL ESTACIONES'!AJ123</f>
        <v>2268.9391999999998</v>
      </c>
      <c r="AK123" s="123">
        <f>'TOTAL ESTACIONES'!AK123</f>
        <v>38806.817600000002</v>
      </c>
      <c r="AL123" s="73">
        <f>'TOTAL ESTACIONES'!AL123</f>
        <v>1.0815748738012367E-4</v>
      </c>
      <c r="AM123" s="14">
        <f>'TOTAL ESTACIONES'!AM123</f>
        <v>-0.22191033169669139</v>
      </c>
      <c r="AN123" s="89"/>
      <c r="AO123" s="253">
        <v>41600</v>
      </c>
      <c r="AP123" s="73">
        <v>9.4382297149505782E-6</v>
      </c>
      <c r="AQ123" s="175">
        <v>-0.55219344209901577</v>
      </c>
      <c r="AR123" s="9">
        <f t="shared" si="3"/>
        <v>-11067.662400000001</v>
      </c>
      <c r="AS123" s="1" t="s">
        <v>419</v>
      </c>
    </row>
    <row r="124" spans="1:48" ht="15" hidden="1" customHeight="1" outlineLevel="1">
      <c r="A124" s="12"/>
      <c r="I124" s="223" t="s">
        <v>233</v>
      </c>
      <c r="J124" s="65">
        <f>'TOTAL ESTACIONES'!J124</f>
        <v>0</v>
      </c>
      <c r="K124" s="65">
        <f>'TOTAL ESTACIONES'!K124</f>
        <v>0</v>
      </c>
      <c r="L124" s="65">
        <f>'TOTAL ESTACIONES'!L124</f>
        <v>0</v>
      </c>
      <c r="M124" s="65">
        <f>'TOTAL ESTACIONES'!M124</f>
        <v>0</v>
      </c>
      <c r="N124" s="65">
        <f>'TOTAL ESTACIONES'!N124</f>
        <v>0</v>
      </c>
      <c r="O124" s="65">
        <f>'TOTAL ESTACIONES'!O124</f>
        <v>0</v>
      </c>
      <c r="P124" s="65">
        <f>'TOTAL ESTACIONES'!P124</f>
        <v>0</v>
      </c>
      <c r="Q124" s="65">
        <f>'TOTAL ESTACIONES'!Q124</f>
        <v>3297</v>
      </c>
      <c r="R124" s="65">
        <f>'TOTAL ESTACIONES'!R124</f>
        <v>52180</v>
      </c>
      <c r="S124" s="65">
        <f>'TOTAL ESTACIONES'!S124</f>
        <v>0</v>
      </c>
      <c r="T124" s="65">
        <f>'TOTAL ESTACIONES'!T124</f>
        <v>0</v>
      </c>
      <c r="U124" s="65">
        <f>'TOTAL ESTACIONES'!U124</f>
        <v>0</v>
      </c>
      <c r="V124" s="11">
        <f>'TOTAL ESTACIONES'!V124</f>
        <v>55477</v>
      </c>
      <c r="W124" s="73">
        <f>'TOTAL ESTACIONES'!W124</f>
        <v>1.6830991633794875E-4</v>
      </c>
      <c r="X124" s="89">
        <f>'TOTAL ESTACIONES'!X124</f>
        <v>0</v>
      </c>
      <c r="Y124" s="65">
        <f>'TOTAL ESTACIONES'!Y124</f>
        <v>0</v>
      </c>
      <c r="Z124" s="65">
        <f>'TOTAL ESTACIONES'!Z124</f>
        <v>0</v>
      </c>
      <c r="AA124" s="65">
        <f>'TOTAL ESTACIONES'!AA124</f>
        <v>0</v>
      </c>
      <c r="AB124" s="65">
        <f>'TOTAL ESTACIONES'!AB124</f>
        <v>0</v>
      </c>
      <c r="AC124" s="65">
        <f>'TOTAL ESTACIONES'!AC124</f>
        <v>0</v>
      </c>
      <c r="AD124" s="65">
        <f>'TOTAL ESTACIONES'!AD124</f>
        <v>0</v>
      </c>
      <c r="AE124" s="65">
        <f>'TOTAL ESTACIONES'!AE124</f>
        <v>0</v>
      </c>
      <c r="AF124" s="65">
        <f>'TOTAL ESTACIONES'!AF124</f>
        <v>129387.5</v>
      </c>
      <c r="AG124" s="65">
        <f>'TOTAL ESTACIONES'!AG124</f>
        <v>0</v>
      </c>
      <c r="AH124" s="65">
        <f>'TOTAL ESTACIONES'!AH124</f>
        <v>0</v>
      </c>
      <c r="AI124" s="65">
        <f>'TOTAL ESTACIONES'!AI124</f>
        <v>0</v>
      </c>
      <c r="AJ124" s="65">
        <f>'TOTAL ESTACIONES'!AJ124</f>
        <v>0</v>
      </c>
      <c r="AK124" s="123">
        <f>'TOTAL ESTACIONES'!AK124</f>
        <v>129387.5</v>
      </c>
      <c r="AL124" s="73">
        <f>'TOTAL ESTACIONES'!AL124</f>
        <v>3.6061258726857704E-4</v>
      </c>
      <c r="AM124" s="14">
        <f>'TOTAL ESTACIONES'!AM124</f>
        <v>1.3322728337869747</v>
      </c>
      <c r="AN124" s="89"/>
      <c r="AO124" s="253">
        <v>4368000</v>
      </c>
      <c r="AP124" s="73">
        <v>9.9101412006981078E-4</v>
      </c>
      <c r="AQ124" s="175">
        <v>0.18181818181818188</v>
      </c>
      <c r="AR124" s="295">
        <f t="shared" si="3"/>
        <v>73910.5</v>
      </c>
      <c r="AS124" s="1" t="s">
        <v>420</v>
      </c>
    </row>
    <row r="125" spans="1:48" ht="15" hidden="1" customHeight="1" outlineLevel="1">
      <c r="A125" s="12"/>
      <c r="I125" s="223" t="s">
        <v>234</v>
      </c>
      <c r="J125" s="65">
        <f>'TOTAL ESTACIONES'!J125</f>
        <v>0</v>
      </c>
      <c r="K125" s="65">
        <f>'TOTAL ESTACIONES'!K125</f>
        <v>0</v>
      </c>
      <c r="L125" s="65">
        <f>'TOTAL ESTACIONES'!L125</f>
        <v>0</v>
      </c>
      <c r="M125" s="65">
        <f>'TOTAL ESTACIONES'!M125</f>
        <v>9000</v>
      </c>
      <c r="N125" s="65">
        <f>'TOTAL ESTACIONES'!N125</f>
        <v>13750</v>
      </c>
      <c r="O125" s="65">
        <f>'TOTAL ESTACIONES'!O125</f>
        <v>0</v>
      </c>
      <c r="P125" s="65">
        <f>'TOTAL ESTACIONES'!P125</f>
        <v>0</v>
      </c>
      <c r="Q125" s="65">
        <f>'TOTAL ESTACIONES'!Q125</f>
        <v>0</v>
      </c>
      <c r="R125" s="65">
        <f>'TOTAL ESTACIONES'!R125</f>
        <v>0</v>
      </c>
      <c r="S125" s="65">
        <f>'TOTAL ESTACIONES'!S125</f>
        <v>0</v>
      </c>
      <c r="T125" s="65">
        <f>'TOTAL ESTACIONES'!T125</f>
        <v>0</v>
      </c>
      <c r="U125" s="65">
        <f>'TOTAL ESTACIONES'!U125</f>
        <v>0</v>
      </c>
      <c r="V125" s="11">
        <f>'TOTAL ESTACIONES'!V125</f>
        <v>22750</v>
      </c>
      <c r="W125" s="73">
        <f>'TOTAL ESTACIONES'!W125</f>
        <v>6.9020505735500014E-5</v>
      </c>
      <c r="X125" s="89">
        <f>'TOTAL ESTACIONES'!X125</f>
        <v>0</v>
      </c>
      <c r="Y125" s="65">
        <f>'TOTAL ESTACIONES'!Y125</f>
        <v>0</v>
      </c>
      <c r="Z125" s="65">
        <f>'TOTAL ESTACIONES'!Z125</f>
        <v>0</v>
      </c>
      <c r="AA125" s="65">
        <f>'TOTAL ESTACIONES'!AA125</f>
        <v>15267.724999999999</v>
      </c>
      <c r="AB125" s="65">
        <f>'TOTAL ESTACIONES'!AB125</f>
        <v>0</v>
      </c>
      <c r="AC125" s="65">
        <f>'TOTAL ESTACIONES'!AC125</f>
        <v>0</v>
      </c>
      <c r="AD125" s="65">
        <f>'TOTAL ESTACIONES'!AD125</f>
        <v>0</v>
      </c>
      <c r="AE125" s="65">
        <f>'TOTAL ESTACIONES'!AE125</f>
        <v>0</v>
      </c>
      <c r="AF125" s="65">
        <f>'TOTAL ESTACIONES'!AF125</f>
        <v>0</v>
      </c>
      <c r="AG125" s="65">
        <f>'TOTAL ESTACIONES'!AG125</f>
        <v>0</v>
      </c>
      <c r="AH125" s="65">
        <f>'TOTAL ESTACIONES'!AH125</f>
        <v>0</v>
      </c>
      <c r="AI125" s="65">
        <f>'TOTAL ESTACIONES'!AI125</f>
        <v>0</v>
      </c>
      <c r="AJ125" s="65">
        <f>'TOTAL ESTACIONES'!AJ125</f>
        <v>0</v>
      </c>
      <c r="AK125" s="123">
        <f>'TOTAL ESTACIONES'!AK125</f>
        <v>15267.724999999999</v>
      </c>
      <c r="AL125" s="73">
        <f>'TOTAL ESTACIONES'!AL125</f>
        <v>4.2552285297692082E-5</v>
      </c>
      <c r="AM125" s="14">
        <f>'TOTAL ESTACIONES'!AM125</f>
        <v>-0.32889120879120881</v>
      </c>
      <c r="AN125" s="89"/>
      <c r="AO125" s="253">
        <v>171600</v>
      </c>
      <c r="AP125" s="73"/>
      <c r="AQ125" s="175"/>
      <c r="AR125" s="9">
        <f t="shared" si="3"/>
        <v>-7482.2750000000015</v>
      </c>
      <c r="AS125" s="1" t="s">
        <v>421</v>
      </c>
    </row>
    <row r="126" spans="1:48" ht="15" hidden="1" outlineLevel="1">
      <c r="A126" s="12" t="s">
        <v>256</v>
      </c>
      <c r="B126" s="8" t="s">
        <v>89</v>
      </c>
      <c r="I126" s="223" t="s">
        <v>235</v>
      </c>
      <c r="J126" s="65">
        <f>'TOTAL ESTACIONES'!J126</f>
        <v>0</v>
      </c>
      <c r="K126" s="65">
        <f>'TOTAL ESTACIONES'!K126</f>
        <v>0</v>
      </c>
      <c r="L126" s="65">
        <f>'TOTAL ESTACIONES'!L126</f>
        <v>0</v>
      </c>
      <c r="M126" s="65">
        <f>'TOTAL ESTACIONES'!M126</f>
        <v>0</v>
      </c>
      <c r="N126" s="65">
        <f>'TOTAL ESTACIONES'!N126</f>
        <v>0</v>
      </c>
      <c r="O126" s="65">
        <f>'TOTAL ESTACIONES'!O126</f>
        <v>0</v>
      </c>
      <c r="P126" s="65">
        <f>'TOTAL ESTACIONES'!P126</f>
        <v>0</v>
      </c>
      <c r="Q126" s="65">
        <f>'TOTAL ESTACIONES'!Q126</f>
        <v>0</v>
      </c>
      <c r="R126" s="65">
        <f>'TOTAL ESTACIONES'!R126</f>
        <v>0</v>
      </c>
      <c r="S126" s="65">
        <f>'TOTAL ESTACIONES'!S126</f>
        <v>0</v>
      </c>
      <c r="T126" s="65">
        <f>'TOTAL ESTACIONES'!T126</f>
        <v>0</v>
      </c>
      <c r="U126" s="65">
        <f>'TOTAL ESTACIONES'!U126</f>
        <v>0</v>
      </c>
      <c r="V126" s="11">
        <f>'TOTAL ESTACIONES'!V126</f>
        <v>0</v>
      </c>
      <c r="W126" s="73">
        <f>'TOTAL ESTACIONES'!W126</f>
        <v>0</v>
      </c>
      <c r="X126" s="89">
        <f>'TOTAL ESTACIONES'!X126</f>
        <v>0</v>
      </c>
      <c r="Y126" s="65">
        <f>'TOTAL ESTACIONES'!Y126</f>
        <v>0</v>
      </c>
      <c r="Z126" s="65">
        <f>'TOTAL ESTACIONES'!Z126</f>
        <v>0</v>
      </c>
      <c r="AA126" s="65">
        <f>'TOTAL ESTACIONES'!AA126</f>
        <v>0</v>
      </c>
      <c r="AB126" s="65">
        <f>'TOTAL ESTACIONES'!AB126</f>
        <v>0</v>
      </c>
      <c r="AC126" s="65">
        <f>'TOTAL ESTACIONES'!AC126</f>
        <v>0</v>
      </c>
      <c r="AD126" s="65">
        <f>'TOTAL ESTACIONES'!AD126</f>
        <v>0</v>
      </c>
      <c r="AE126" s="65">
        <f>'TOTAL ESTACIONES'!AE126</f>
        <v>0</v>
      </c>
      <c r="AF126" s="65">
        <f>'TOTAL ESTACIONES'!AF126</f>
        <v>0</v>
      </c>
      <c r="AG126" s="65">
        <f>'TOTAL ESTACIONES'!AG126</f>
        <v>0</v>
      </c>
      <c r="AH126" s="65">
        <f>'TOTAL ESTACIONES'!AH126</f>
        <v>0</v>
      </c>
      <c r="AI126" s="65">
        <f>'TOTAL ESTACIONES'!AI126</f>
        <v>0</v>
      </c>
      <c r="AJ126" s="65">
        <f>'TOTAL ESTACIONES'!AJ126</f>
        <v>0</v>
      </c>
      <c r="AK126" s="123">
        <f>'TOTAL ESTACIONES'!AK126</f>
        <v>0</v>
      </c>
      <c r="AL126" s="73">
        <f>'TOTAL ESTACIONES'!AL126</f>
        <v>0</v>
      </c>
      <c r="AM126" s="14">
        <f>'TOTAL ESTACIONES'!AM126</f>
        <v>0</v>
      </c>
      <c r="AN126" s="89"/>
      <c r="AO126" s="253">
        <v>51402018.044294111</v>
      </c>
      <c r="AP126" s="72">
        <v>1.1662116685434674E-2</v>
      </c>
      <c r="AQ126" s="174">
        <v>0.16970042696209497</v>
      </c>
      <c r="AR126" s="9">
        <f t="shared" si="3"/>
        <v>0</v>
      </c>
    </row>
    <row r="127" spans="1:48" ht="15" hidden="1" customHeight="1" outlineLevel="1">
      <c r="A127" s="12" t="s">
        <v>256</v>
      </c>
      <c r="B127" s="8" t="s">
        <v>89</v>
      </c>
      <c r="I127" s="223" t="s">
        <v>236</v>
      </c>
      <c r="J127" s="65">
        <f>'TOTAL ESTACIONES'!J127</f>
        <v>0</v>
      </c>
      <c r="K127" s="65">
        <f>'TOTAL ESTACIONES'!K127</f>
        <v>0</v>
      </c>
      <c r="L127" s="65">
        <f>'TOTAL ESTACIONES'!L127</f>
        <v>0</v>
      </c>
      <c r="M127" s="65">
        <f>'TOTAL ESTACIONES'!M127</f>
        <v>0</v>
      </c>
      <c r="N127" s="65">
        <f>'TOTAL ESTACIONES'!N127</f>
        <v>0</v>
      </c>
      <c r="O127" s="65">
        <f>'TOTAL ESTACIONES'!O127</f>
        <v>0</v>
      </c>
      <c r="P127" s="65">
        <f>'TOTAL ESTACIONES'!P127</f>
        <v>0</v>
      </c>
      <c r="Q127" s="65">
        <f>'TOTAL ESTACIONES'!Q127</f>
        <v>0</v>
      </c>
      <c r="R127" s="65">
        <f>'TOTAL ESTACIONES'!R127</f>
        <v>0</v>
      </c>
      <c r="S127" s="65">
        <f>'TOTAL ESTACIONES'!S127</f>
        <v>0</v>
      </c>
      <c r="T127" s="65">
        <f>'TOTAL ESTACIONES'!T127</f>
        <v>5200</v>
      </c>
      <c r="U127" s="65">
        <f>'TOTAL ESTACIONES'!U127</f>
        <v>3120</v>
      </c>
      <c r="V127" s="11">
        <f>'TOTAL ESTACIONES'!V127</f>
        <v>8320</v>
      </c>
      <c r="W127" s="73">
        <f>'TOTAL ESTACIONES'!W127</f>
        <v>2.5241784954697146E-5</v>
      </c>
      <c r="X127" s="89">
        <f>'TOTAL ESTACIONES'!X127</f>
        <v>0</v>
      </c>
      <c r="Y127" s="65">
        <f>'TOTAL ESTACIONES'!Y127</f>
        <v>3105.2999999999997</v>
      </c>
      <c r="Z127" s="65">
        <f>'TOTAL ESTACIONES'!Z127</f>
        <v>0</v>
      </c>
      <c r="AA127" s="65">
        <f>'TOTAL ESTACIONES'!AA127</f>
        <v>0</v>
      </c>
      <c r="AB127" s="65">
        <f>'TOTAL ESTACIONES'!AB127</f>
        <v>0</v>
      </c>
      <c r="AC127" s="65">
        <f>'TOTAL ESTACIONES'!AC127</f>
        <v>0</v>
      </c>
      <c r="AD127" s="65">
        <f>'TOTAL ESTACIONES'!AD127</f>
        <v>3105.2999999999997</v>
      </c>
      <c r="AE127" s="65">
        <f>'TOTAL ESTACIONES'!AE127</f>
        <v>0</v>
      </c>
      <c r="AF127" s="65">
        <f>'TOTAL ESTACIONES'!AF127</f>
        <v>0</v>
      </c>
      <c r="AG127" s="65">
        <f>'TOTAL ESTACIONES'!AG127</f>
        <v>0</v>
      </c>
      <c r="AH127" s="65">
        <f>'TOTAL ESTACIONES'!AH127</f>
        <v>0</v>
      </c>
      <c r="AI127" s="65">
        <f>'TOTAL ESTACIONES'!AI127</f>
        <v>3105.2999999999997</v>
      </c>
      <c r="AJ127" s="65">
        <f>'TOTAL ESTACIONES'!AJ127</f>
        <v>0</v>
      </c>
      <c r="AK127" s="123">
        <f>'TOTAL ESTACIONES'!AK127</f>
        <v>9315.9</v>
      </c>
      <c r="AL127" s="73">
        <f>'TOTAL ESTACIONES'!AL127</f>
        <v>2.5964106283337543E-5</v>
      </c>
      <c r="AM127" s="14">
        <f>'TOTAL ESTACIONES'!AM127</f>
        <v>0.11969951923076927</v>
      </c>
      <c r="AN127" s="89"/>
      <c r="AO127" s="235">
        <v>37006963.036800012</v>
      </c>
      <c r="AP127" s="73">
        <v>8.396159091202008E-3</v>
      </c>
      <c r="AQ127" s="175">
        <v>0.15845156326110899</v>
      </c>
      <c r="AR127" s="9">
        <f t="shared" si="3"/>
        <v>995.89999999999964</v>
      </c>
      <c r="AS127" s="1" t="s">
        <v>422</v>
      </c>
    </row>
    <row r="128" spans="1:48" ht="15" hidden="1" customHeight="1" outlineLevel="1">
      <c r="A128" s="12" t="s">
        <v>256</v>
      </c>
      <c r="B128" s="8" t="s">
        <v>89</v>
      </c>
      <c r="I128" s="223" t="s">
        <v>237</v>
      </c>
      <c r="J128" s="65">
        <f>'TOTAL ESTACIONES'!J128</f>
        <v>0</v>
      </c>
      <c r="K128" s="65">
        <f>'TOTAL ESTACIONES'!K128</f>
        <v>0</v>
      </c>
      <c r="L128" s="65">
        <f>'TOTAL ESTACIONES'!L128</f>
        <v>0</v>
      </c>
      <c r="M128" s="65">
        <f>'TOTAL ESTACIONES'!M128</f>
        <v>0</v>
      </c>
      <c r="N128" s="65">
        <f>'TOTAL ESTACIONES'!N128</f>
        <v>0</v>
      </c>
      <c r="O128" s="65">
        <f>'TOTAL ESTACIONES'!O128</f>
        <v>0</v>
      </c>
      <c r="P128" s="65">
        <f>'TOTAL ESTACIONES'!P128</f>
        <v>0</v>
      </c>
      <c r="Q128" s="65">
        <f>'TOTAL ESTACIONES'!Q128</f>
        <v>0</v>
      </c>
      <c r="R128" s="65">
        <f>'TOTAL ESTACIONES'!R128</f>
        <v>0</v>
      </c>
      <c r="S128" s="65">
        <f>'TOTAL ESTACIONES'!S128</f>
        <v>0</v>
      </c>
      <c r="T128" s="65">
        <f>'TOTAL ESTACIONES'!T128</f>
        <v>0</v>
      </c>
      <c r="U128" s="65">
        <f>'TOTAL ESTACIONES'!U128</f>
        <v>0</v>
      </c>
      <c r="V128" s="11">
        <f>'TOTAL ESTACIONES'!V128</f>
        <v>0</v>
      </c>
      <c r="W128" s="73">
        <f>'TOTAL ESTACIONES'!W128</f>
        <v>0</v>
      </c>
      <c r="X128" s="89">
        <f>'TOTAL ESTACIONES'!X128</f>
        <v>0</v>
      </c>
      <c r="Y128" s="65">
        <f>'TOTAL ESTACIONES'!Y128</f>
        <v>0</v>
      </c>
      <c r="Z128" s="65">
        <f>'TOTAL ESTACIONES'!Z128</f>
        <v>0</v>
      </c>
      <c r="AA128" s="65">
        <f>'TOTAL ESTACIONES'!AA128</f>
        <v>0</v>
      </c>
      <c r="AB128" s="65">
        <f>'TOTAL ESTACIONES'!AB128</f>
        <v>0</v>
      </c>
      <c r="AC128" s="65">
        <f>'TOTAL ESTACIONES'!AC128</f>
        <v>0</v>
      </c>
      <c r="AD128" s="65">
        <f>'TOTAL ESTACIONES'!AD128</f>
        <v>0</v>
      </c>
      <c r="AE128" s="65">
        <f>'TOTAL ESTACIONES'!AE128</f>
        <v>0</v>
      </c>
      <c r="AF128" s="65">
        <f>'TOTAL ESTACIONES'!AF128</f>
        <v>0</v>
      </c>
      <c r="AG128" s="65">
        <f>'TOTAL ESTACIONES'!AG128</f>
        <v>0</v>
      </c>
      <c r="AH128" s="65">
        <f>'TOTAL ESTACIONES'!AH128</f>
        <v>0</v>
      </c>
      <c r="AI128" s="65">
        <f>'TOTAL ESTACIONES'!AI128</f>
        <v>0</v>
      </c>
      <c r="AJ128" s="65">
        <f>'TOTAL ESTACIONES'!AJ128</f>
        <v>0</v>
      </c>
      <c r="AK128" s="123">
        <f>'TOTAL ESTACIONES'!AK128</f>
        <v>0</v>
      </c>
      <c r="AL128" s="73">
        <f>'TOTAL ESTACIONES'!AL128</f>
        <v>0</v>
      </c>
      <c r="AM128" s="14">
        <f>'TOTAL ESTACIONES'!AM128</f>
        <v>0</v>
      </c>
      <c r="AN128" s="89"/>
      <c r="AO128" s="235">
        <v>4695373.8</v>
      </c>
      <c r="AP128" s="73">
        <v>1.0652888587009714E-3</v>
      </c>
      <c r="AQ128" s="175">
        <v>0.4048777563247099</v>
      </c>
      <c r="AR128" s="9">
        <f t="shared" si="3"/>
        <v>0</v>
      </c>
    </row>
    <row r="129" spans="1:45" ht="15" hidden="1" customHeight="1" outlineLevel="1">
      <c r="A129" s="12" t="s">
        <v>256</v>
      </c>
      <c r="B129" s="8" t="s">
        <v>89</v>
      </c>
      <c r="I129" s="223" t="s">
        <v>238</v>
      </c>
      <c r="J129" s="65">
        <f>'TOTAL ESTACIONES'!J129</f>
        <v>0</v>
      </c>
      <c r="K129" s="65">
        <f>'TOTAL ESTACIONES'!K129</f>
        <v>0</v>
      </c>
      <c r="L129" s="65">
        <f>'TOTAL ESTACIONES'!L129</f>
        <v>10200</v>
      </c>
      <c r="M129" s="65">
        <f>'TOTAL ESTACIONES'!M129</f>
        <v>0</v>
      </c>
      <c r="N129" s="65">
        <f>'TOTAL ESTACIONES'!N129</f>
        <v>0</v>
      </c>
      <c r="O129" s="65">
        <f>'TOTAL ESTACIONES'!O129</f>
        <v>10200</v>
      </c>
      <c r="P129" s="65">
        <f>'TOTAL ESTACIONES'!P129</f>
        <v>0</v>
      </c>
      <c r="Q129" s="65">
        <f>'TOTAL ESTACIONES'!Q129</f>
        <v>0</v>
      </c>
      <c r="R129" s="65">
        <f>'TOTAL ESTACIONES'!R129</f>
        <v>0</v>
      </c>
      <c r="S129" s="65">
        <f>'TOTAL ESTACIONES'!S129</f>
        <v>10200</v>
      </c>
      <c r="T129" s="65">
        <f>'TOTAL ESTACIONES'!T129</f>
        <v>0</v>
      </c>
      <c r="U129" s="65">
        <f>'TOTAL ESTACIONES'!U129</f>
        <v>10816</v>
      </c>
      <c r="V129" s="11">
        <f>'TOTAL ESTACIONES'!V129</f>
        <v>41416</v>
      </c>
      <c r="W129" s="73">
        <f>'TOTAL ESTACIONES'!W129</f>
        <v>1.2565069299083379E-4</v>
      </c>
      <c r="X129" s="89">
        <f>'TOTAL ESTACIONES'!X129</f>
        <v>0</v>
      </c>
      <c r="Y129" s="65">
        <f>'TOTAL ESTACIONES'!Y129</f>
        <v>0</v>
      </c>
      <c r="Z129" s="65">
        <f>'TOTAL ESTACIONES'!Z129</f>
        <v>11696.63</v>
      </c>
      <c r="AA129" s="65">
        <f>'TOTAL ESTACIONES'!AA129</f>
        <v>0</v>
      </c>
      <c r="AB129" s="65">
        <f>'TOTAL ESTACIONES'!AB129</f>
        <v>0</v>
      </c>
      <c r="AC129" s="65">
        <f>'TOTAL ESTACIONES'!AC129</f>
        <v>11696.63</v>
      </c>
      <c r="AD129" s="65">
        <f>'TOTAL ESTACIONES'!AD129</f>
        <v>0</v>
      </c>
      <c r="AE129" s="65">
        <f>'TOTAL ESTACIONES'!AE129</f>
        <v>0</v>
      </c>
      <c r="AF129" s="65">
        <f>'TOTAL ESTACIONES'!AF129</f>
        <v>11696.63</v>
      </c>
      <c r="AG129" s="65">
        <f>'TOTAL ESTACIONES'!AG129</f>
        <v>0</v>
      </c>
      <c r="AH129" s="65">
        <f>'TOTAL ESTACIONES'!AH129</f>
        <v>0</v>
      </c>
      <c r="AI129" s="65">
        <f>'TOTAL ESTACIONES'!AI129</f>
        <v>11696.63</v>
      </c>
      <c r="AJ129" s="65">
        <f>'TOTAL ESTACIONES'!AJ129</f>
        <v>0</v>
      </c>
      <c r="AK129" s="123">
        <f>'TOTAL ESTACIONES'!AK129</f>
        <v>46786.52</v>
      </c>
      <c r="AL129" s="73">
        <f>'TOTAL ESTACIONES'!AL129</f>
        <v>1.3039751155631744E-4</v>
      </c>
      <c r="AM129" s="14">
        <f>'TOTAL ESTACIONES'!AM129</f>
        <v>0.12967259030326428</v>
      </c>
      <c r="AN129" s="89"/>
      <c r="AO129" s="235">
        <v>0</v>
      </c>
      <c r="AP129" s="73">
        <v>0</v>
      </c>
      <c r="AQ129" s="175">
        <v>-1</v>
      </c>
      <c r="AR129" s="9">
        <f t="shared" si="3"/>
        <v>5370.5199999999968</v>
      </c>
      <c r="AS129" s="1" t="s">
        <v>423</v>
      </c>
    </row>
    <row r="130" spans="1:45" ht="15" hidden="1" customHeight="1" outlineLevel="1">
      <c r="A130" s="12" t="s">
        <v>256</v>
      </c>
      <c r="B130" s="8" t="s">
        <v>89</v>
      </c>
      <c r="I130" s="223" t="s">
        <v>239</v>
      </c>
      <c r="J130" s="65">
        <f>'TOTAL ESTACIONES'!J130</f>
        <v>0</v>
      </c>
      <c r="K130" s="65">
        <f>'TOTAL ESTACIONES'!K130</f>
        <v>0</v>
      </c>
      <c r="L130" s="65">
        <f>'TOTAL ESTACIONES'!L130</f>
        <v>13600</v>
      </c>
      <c r="M130" s="65">
        <f>'TOTAL ESTACIONES'!M130</f>
        <v>0</v>
      </c>
      <c r="N130" s="65">
        <f>'TOTAL ESTACIONES'!N130</f>
        <v>0</v>
      </c>
      <c r="O130" s="65">
        <f>'TOTAL ESTACIONES'!O130</f>
        <v>0</v>
      </c>
      <c r="P130" s="65">
        <f>'TOTAL ESTACIONES'!P130</f>
        <v>13600</v>
      </c>
      <c r="Q130" s="65">
        <f>'TOTAL ESTACIONES'!Q130</f>
        <v>0</v>
      </c>
      <c r="R130" s="65">
        <f>'TOTAL ESTACIONES'!R130</f>
        <v>0</v>
      </c>
      <c r="S130" s="65">
        <f>'TOTAL ESTACIONES'!S130</f>
        <v>13600</v>
      </c>
      <c r="T130" s="65">
        <f>'TOTAL ESTACIONES'!T130</f>
        <v>0</v>
      </c>
      <c r="U130" s="65">
        <f>'TOTAL ESTACIONES'!U130</f>
        <v>15080</v>
      </c>
      <c r="V130" s="11">
        <f>'TOTAL ESTACIONES'!V130</f>
        <v>55880</v>
      </c>
      <c r="W130" s="73">
        <f>'TOTAL ESTACIONES'!W130</f>
        <v>1.6953256529669191E-4</v>
      </c>
      <c r="X130" s="89">
        <f>'TOTAL ESTACIONES'!X130</f>
        <v>0</v>
      </c>
      <c r="Y130" s="65">
        <f>'TOTAL ESTACIONES'!Y130</f>
        <v>0</v>
      </c>
      <c r="Z130" s="65">
        <f>'TOTAL ESTACIONES'!Z130</f>
        <v>15485.095999999998</v>
      </c>
      <c r="AA130" s="65">
        <f>'TOTAL ESTACIONES'!AA130</f>
        <v>0</v>
      </c>
      <c r="AB130" s="65">
        <f>'TOTAL ESTACIONES'!AB130</f>
        <v>0</v>
      </c>
      <c r="AC130" s="65">
        <f>'TOTAL ESTACIONES'!AC130</f>
        <v>15485.095999999998</v>
      </c>
      <c r="AD130" s="65">
        <f>'TOTAL ESTACIONES'!AD130</f>
        <v>0</v>
      </c>
      <c r="AE130" s="65">
        <f>'TOTAL ESTACIONES'!AE130</f>
        <v>0</v>
      </c>
      <c r="AF130" s="65">
        <f>'TOTAL ESTACIONES'!AF130</f>
        <v>15485.095999999998</v>
      </c>
      <c r="AG130" s="65">
        <f>'TOTAL ESTACIONES'!AG130</f>
        <v>0</v>
      </c>
      <c r="AH130" s="65">
        <f>'TOTAL ESTACIONES'!AH130</f>
        <v>0</v>
      </c>
      <c r="AI130" s="65">
        <f>'TOTAL ESTACIONES'!AI130</f>
        <v>15485.095999999998</v>
      </c>
      <c r="AJ130" s="65">
        <f>'TOTAL ESTACIONES'!AJ130</f>
        <v>0</v>
      </c>
      <c r="AK130" s="123">
        <f>'TOTAL ESTACIONES'!AK130</f>
        <v>61940.383999999991</v>
      </c>
      <c r="AL130" s="73">
        <f>'TOTAL ESTACIONES'!AL130</f>
        <v>1.7263245777721317E-4</v>
      </c>
      <c r="AM130" s="14">
        <f>'TOTAL ESTACIONES'!AM130</f>
        <v>0.10845354330708634</v>
      </c>
      <c r="AN130" s="89"/>
      <c r="AO130" s="235">
        <v>4213666.1773903519</v>
      </c>
      <c r="AP130" s="73">
        <v>9.5599878183480372E-4</v>
      </c>
      <c r="AQ130" s="175">
        <v>0.23707781903318303</v>
      </c>
      <c r="AR130" s="9">
        <f t="shared" si="3"/>
        <v>6060.3839999999909</v>
      </c>
      <c r="AS130" s="1" t="s">
        <v>424</v>
      </c>
    </row>
    <row r="131" spans="1:45" ht="15" hidden="1" customHeight="1" outlineLevel="1">
      <c r="A131" s="12" t="s">
        <v>256</v>
      </c>
      <c r="B131" s="8" t="s">
        <v>89</v>
      </c>
      <c r="C131" s="19" t="s">
        <v>262</v>
      </c>
      <c r="D131" s="12"/>
      <c r="F131" s="12"/>
      <c r="G131" s="12"/>
      <c r="H131" s="12"/>
      <c r="I131" s="223" t="s">
        <v>240</v>
      </c>
      <c r="J131" s="65">
        <f>'TOTAL ESTACIONES'!J131</f>
        <v>0</v>
      </c>
      <c r="K131" s="65">
        <f>'TOTAL ESTACIONES'!K131</f>
        <v>0</v>
      </c>
      <c r="L131" s="65">
        <f>'TOTAL ESTACIONES'!L131</f>
        <v>0</v>
      </c>
      <c r="M131" s="65">
        <f>'TOTAL ESTACIONES'!M131</f>
        <v>0</v>
      </c>
      <c r="N131" s="65">
        <f>'TOTAL ESTACIONES'!N131</f>
        <v>0</v>
      </c>
      <c r="O131" s="65">
        <f>'TOTAL ESTACIONES'!O131</f>
        <v>0</v>
      </c>
      <c r="P131" s="65">
        <f>'TOTAL ESTACIONES'!P131</f>
        <v>0</v>
      </c>
      <c r="Q131" s="65">
        <f>'TOTAL ESTACIONES'!Q131</f>
        <v>0</v>
      </c>
      <c r="R131" s="65">
        <f>'TOTAL ESTACIONES'!R131</f>
        <v>0</v>
      </c>
      <c r="S131" s="65">
        <f>'TOTAL ESTACIONES'!S131</f>
        <v>0</v>
      </c>
      <c r="T131" s="65">
        <f>'TOTAL ESTACIONES'!T131</f>
        <v>0</v>
      </c>
      <c r="U131" s="65">
        <f>'TOTAL ESTACIONES'!U131</f>
        <v>0</v>
      </c>
      <c r="V131" s="11">
        <f>'TOTAL ESTACIONES'!V131</f>
        <v>0</v>
      </c>
      <c r="W131" s="73">
        <f>'TOTAL ESTACIONES'!W131</f>
        <v>0</v>
      </c>
      <c r="X131" s="89">
        <f>'TOTAL ESTACIONES'!X131</f>
        <v>0</v>
      </c>
      <c r="Y131" s="65">
        <f>'TOTAL ESTACIONES'!Y131</f>
        <v>0</v>
      </c>
      <c r="Z131" s="65">
        <f>'TOTAL ESTACIONES'!Z131</f>
        <v>0</v>
      </c>
      <c r="AA131" s="65">
        <f>'TOTAL ESTACIONES'!AA131</f>
        <v>0</v>
      </c>
      <c r="AB131" s="65">
        <f>'TOTAL ESTACIONES'!AB131</f>
        <v>0</v>
      </c>
      <c r="AC131" s="65">
        <f>'TOTAL ESTACIONES'!AC131</f>
        <v>0</v>
      </c>
      <c r="AD131" s="65">
        <f>'TOTAL ESTACIONES'!AD131</f>
        <v>0</v>
      </c>
      <c r="AE131" s="65">
        <f>'TOTAL ESTACIONES'!AE131</f>
        <v>0</v>
      </c>
      <c r="AF131" s="65">
        <f>'TOTAL ESTACIONES'!AF131</f>
        <v>0</v>
      </c>
      <c r="AG131" s="65">
        <f>'TOTAL ESTACIONES'!AG131</f>
        <v>0</v>
      </c>
      <c r="AH131" s="65">
        <f>'TOTAL ESTACIONES'!AH131</f>
        <v>0</v>
      </c>
      <c r="AI131" s="65">
        <f>'TOTAL ESTACIONES'!AI131</f>
        <v>0</v>
      </c>
      <c r="AJ131" s="65">
        <f>'TOTAL ESTACIONES'!AJ131</f>
        <v>0</v>
      </c>
      <c r="AK131" s="123">
        <f>'TOTAL ESTACIONES'!AK131</f>
        <v>0</v>
      </c>
      <c r="AL131" s="73">
        <f>'TOTAL ESTACIONES'!AL131</f>
        <v>0</v>
      </c>
      <c r="AM131" s="14">
        <f>'TOTAL ESTACIONES'!AM131</f>
        <v>0</v>
      </c>
      <c r="AN131" s="89"/>
      <c r="AO131" s="235">
        <v>4690368.087704001</v>
      </c>
      <c r="AP131" s="73">
        <v>1.0641531600823033E-3</v>
      </c>
      <c r="AQ131" s="175">
        <v>4.3773186195591007E-2</v>
      </c>
      <c r="AR131" s="9">
        <f t="shared" si="3"/>
        <v>0</v>
      </c>
    </row>
    <row r="132" spans="1:45" ht="15" hidden="1" customHeight="1" outlineLevel="1">
      <c r="A132" s="12" t="s">
        <v>256</v>
      </c>
      <c r="B132" s="8" t="s">
        <v>89</v>
      </c>
      <c r="E132" s="191"/>
      <c r="I132" s="223" t="s">
        <v>241</v>
      </c>
      <c r="J132" s="65">
        <f>'TOTAL ESTACIONES'!J132</f>
        <v>0</v>
      </c>
      <c r="K132" s="65">
        <f>'TOTAL ESTACIONES'!K132</f>
        <v>0</v>
      </c>
      <c r="L132" s="65">
        <f>'TOTAL ESTACIONES'!L132</f>
        <v>0</v>
      </c>
      <c r="M132" s="65">
        <f>'TOTAL ESTACIONES'!M132</f>
        <v>0</v>
      </c>
      <c r="N132" s="65">
        <f>'TOTAL ESTACIONES'!N132</f>
        <v>0</v>
      </c>
      <c r="O132" s="65">
        <f>'TOTAL ESTACIONES'!O132</f>
        <v>0</v>
      </c>
      <c r="P132" s="65">
        <f>'TOTAL ESTACIONES'!P132</f>
        <v>0</v>
      </c>
      <c r="Q132" s="65">
        <f>'TOTAL ESTACIONES'!Q132</f>
        <v>0</v>
      </c>
      <c r="R132" s="65">
        <f>'TOTAL ESTACIONES'!R132</f>
        <v>0</v>
      </c>
      <c r="S132" s="65">
        <f>'TOTAL ESTACIONES'!S132</f>
        <v>0</v>
      </c>
      <c r="T132" s="65">
        <f>'TOTAL ESTACIONES'!T132</f>
        <v>0</v>
      </c>
      <c r="U132" s="65">
        <f>'TOTAL ESTACIONES'!U132</f>
        <v>0</v>
      </c>
      <c r="V132" s="11">
        <f>'TOTAL ESTACIONES'!V132</f>
        <v>0</v>
      </c>
      <c r="W132" s="73">
        <f>'TOTAL ESTACIONES'!W132</f>
        <v>0</v>
      </c>
      <c r="X132" s="89">
        <f>'TOTAL ESTACIONES'!X132</f>
        <v>0</v>
      </c>
      <c r="Y132" s="65">
        <f>'TOTAL ESTACIONES'!Y132</f>
        <v>0</v>
      </c>
      <c r="Z132" s="65">
        <f>'TOTAL ESTACIONES'!Z132</f>
        <v>0</v>
      </c>
      <c r="AA132" s="65">
        <f>'TOTAL ESTACIONES'!AA132</f>
        <v>0</v>
      </c>
      <c r="AB132" s="65">
        <f>'TOTAL ESTACIONES'!AB132</f>
        <v>1035.0999999999999</v>
      </c>
      <c r="AC132" s="65">
        <f>'TOTAL ESTACIONES'!AC132</f>
        <v>0</v>
      </c>
      <c r="AD132" s="65">
        <f>'TOTAL ESTACIONES'!AD132</f>
        <v>0</v>
      </c>
      <c r="AE132" s="65">
        <f>'TOTAL ESTACIONES'!AE132</f>
        <v>0</v>
      </c>
      <c r="AF132" s="65">
        <f>'TOTAL ESTACIONES'!AF132</f>
        <v>0</v>
      </c>
      <c r="AG132" s="65">
        <f>'TOTAL ESTACIONES'!AG132</f>
        <v>1035.0999999999999</v>
      </c>
      <c r="AH132" s="65">
        <f>'TOTAL ESTACIONES'!AH132</f>
        <v>0</v>
      </c>
      <c r="AI132" s="65">
        <f>'TOTAL ESTACIONES'!AI132</f>
        <v>0</v>
      </c>
      <c r="AJ132" s="65">
        <f>'TOTAL ESTACIONES'!AJ132</f>
        <v>0</v>
      </c>
      <c r="AK132" s="123">
        <f>'TOTAL ESTACIONES'!AK132</f>
        <v>2070.1999999999998</v>
      </c>
      <c r="AL132" s="73">
        <f>'TOTAL ESTACIONES'!AL132</f>
        <v>5.7698013962972321E-6</v>
      </c>
      <c r="AM132" s="14">
        <f>'TOTAL ESTACIONES'!AM132</f>
        <v>0</v>
      </c>
      <c r="AN132" s="89"/>
      <c r="AO132" s="235">
        <v>795646.94239975966</v>
      </c>
      <c r="AP132" s="73">
        <v>1.8051679361459093E-4</v>
      </c>
      <c r="AQ132" s="175">
        <v>0.10667184899991256</v>
      </c>
      <c r="AR132" s="9">
        <f t="shared" si="3"/>
        <v>2070.1999999999998</v>
      </c>
      <c r="AS132" s="1" t="s">
        <v>425</v>
      </c>
    </row>
    <row r="133" spans="1:45" ht="15" hidden="1" customHeight="1" outlineLevel="1">
      <c r="A133" s="12"/>
      <c r="I133" s="223" t="s">
        <v>242</v>
      </c>
      <c r="J133" s="65">
        <f>'TOTAL ESTACIONES'!J133</f>
        <v>28000</v>
      </c>
      <c r="K133" s="65">
        <f>'TOTAL ESTACIONES'!K133</f>
        <v>28000</v>
      </c>
      <c r="L133" s="65">
        <f>'TOTAL ESTACIONES'!L133</f>
        <v>28000</v>
      </c>
      <c r="M133" s="65">
        <f>'TOTAL ESTACIONES'!M133</f>
        <v>28000</v>
      </c>
      <c r="N133" s="65">
        <f>'TOTAL ESTACIONES'!N133</f>
        <v>28000</v>
      </c>
      <c r="O133" s="65">
        <f>'TOTAL ESTACIONES'!O133</f>
        <v>28000</v>
      </c>
      <c r="P133" s="65">
        <f>'TOTAL ESTACIONES'!P133</f>
        <v>28000</v>
      </c>
      <c r="Q133" s="65">
        <f>'TOTAL ESTACIONES'!Q133</f>
        <v>28000</v>
      </c>
      <c r="R133" s="65">
        <f>'TOTAL ESTACIONES'!R133</f>
        <v>28000</v>
      </c>
      <c r="S133" s="65">
        <f>'TOTAL ESTACIONES'!S133</f>
        <v>28000</v>
      </c>
      <c r="T133" s="65">
        <f>'TOTAL ESTACIONES'!T133</f>
        <v>28000</v>
      </c>
      <c r="U133" s="65">
        <f>'TOTAL ESTACIONES'!U133</f>
        <v>28000</v>
      </c>
      <c r="V133" s="11">
        <f>'TOTAL ESTACIONES'!V133</f>
        <v>336000</v>
      </c>
      <c r="W133" s="73">
        <f>'TOTAL ESTACIONES'!W133</f>
        <v>1.0193797770166155E-3</v>
      </c>
      <c r="X133" s="89">
        <f>'TOTAL ESTACIONES'!X133</f>
        <v>0</v>
      </c>
      <c r="Y133" s="65">
        <f>'TOTAL ESTACIONES'!Y133</f>
        <v>28000</v>
      </c>
      <c r="Z133" s="65">
        <f>'TOTAL ESTACIONES'!Z133</f>
        <v>28000</v>
      </c>
      <c r="AA133" s="65">
        <f>'TOTAL ESTACIONES'!AA133</f>
        <v>28000</v>
      </c>
      <c r="AB133" s="65">
        <f>'TOTAL ESTACIONES'!AB133</f>
        <v>28000</v>
      </c>
      <c r="AC133" s="65">
        <f>'TOTAL ESTACIONES'!AC133</f>
        <v>28000</v>
      </c>
      <c r="AD133" s="65">
        <f>'TOTAL ESTACIONES'!AD133</f>
        <v>28000</v>
      </c>
      <c r="AE133" s="65">
        <f>'TOTAL ESTACIONES'!AE133</f>
        <v>28000</v>
      </c>
      <c r="AF133" s="65">
        <f>'TOTAL ESTACIONES'!AF133</f>
        <v>28000</v>
      </c>
      <c r="AG133" s="65">
        <f>'TOTAL ESTACIONES'!AG133</f>
        <v>28000</v>
      </c>
      <c r="AH133" s="65">
        <f>'TOTAL ESTACIONES'!AH133</f>
        <v>28000</v>
      </c>
      <c r="AI133" s="65">
        <f>'TOTAL ESTACIONES'!AI133</f>
        <v>28000</v>
      </c>
      <c r="AJ133" s="65">
        <f>'TOTAL ESTACIONES'!AJ133</f>
        <v>28000</v>
      </c>
      <c r="AK133" s="123">
        <f>'TOTAL ESTACIONES'!AK133</f>
        <v>336000</v>
      </c>
      <c r="AL133" s="73">
        <f>'TOTAL ESTACIONES'!AL133</f>
        <v>9.3645699408553286E-4</v>
      </c>
      <c r="AM133" s="14">
        <f>'TOTAL ESTACIONES'!AM133</f>
        <v>0</v>
      </c>
      <c r="AN133" s="89"/>
      <c r="AO133" s="235">
        <v>1452240</v>
      </c>
      <c r="AP133" s="73">
        <v>3.294849692605728E-4</v>
      </c>
      <c r="AQ133" s="175">
        <v>0.74717581971925195</v>
      </c>
      <c r="AR133" s="9">
        <f t="shared" si="3"/>
        <v>0</v>
      </c>
    </row>
    <row r="134" spans="1:45" ht="15" hidden="1" outlineLevel="1">
      <c r="I134" s="223" t="s">
        <v>243</v>
      </c>
      <c r="J134" s="65">
        <f>'TOTAL ESTACIONES'!J134</f>
        <v>0</v>
      </c>
      <c r="K134" s="65">
        <f>'TOTAL ESTACIONES'!K134</f>
        <v>0</v>
      </c>
      <c r="L134" s="65">
        <f>'TOTAL ESTACIONES'!L134</f>
        <v>0</v>
      </c>
      <c r="M134" s="65">
        <f>'TOTAL ESTACIONES'!M134</f>
        <v>0</v>
      </c>
      <c r="N134" s="65">
        <f>'TOTAL ESTACIONES'!N134</f>
        <v>0</v>
      </c>
      <c r="O134" s="65">
        <f>'TOTAL ESTACIONES'!O134</f>
        <v>0</v>
      </c>
      <c r="P134" s="65">
        <f>'TOTAL ESTACIONES'!P134</f>
        <v>0</v>
      </c>
      <c r="Q134" s="65">
        <f>'TOTAL ESTACIONES'!Q134</f>
        <v>0</v>
      </c>
      <c r="R134" s="65">
        <f>'TOTAL ESTACIONES'!R134</f>
        <v>0</v>
      </c>
      <c r="S134" s="65">
        <f>'TOTAL ESTACIONES'!S134</f>
        <v>0</v>
      </c>
      <c r="T134" s="65">
        <f>'TOTAL ESTACIONES'!T134</f>
        <v>0</v>
      </c>
      <c r="U134" s="65">
        <f>'TOTAL ESTACIONES'!U134</f>
        <v>8320</v>
      </c>
      <c r="V134" s="11">
        <f>'TOTAL ESTACIONES'!V134</f>
        <v>8320</v>
      </c>
      <c r="W134" s="73">
        <f>'TOTAL ESTACIONES'!W134</f>
        <v>2.5241784954697146E-5</v>
      </c>
      <c r="X134" s="89">
        <f>'TOTAL ESTACIONES'!X134</f>
        <v>0</v>
      </c>
      <c r="Y134" s="65">
        <f>'TOTAL ESTACIONES'!Y134</f>
        <v>0</v>
      </c>
      <c r="Z134" s="65">
        <f>'TOTAL ESTACIONES'!Z134</f>
        <v>0</v>
      </c>
      <c r="AA134" s="65">
        <f>'TOTAL ESTACIONES'!AA134</f>
        <v>0</v>
      </c>
      <c r="AB134" s="65">
        <f>'TOTAL ESTACIONES'!AB134</f>
        <v>0</v>
      </c>
      <c r="AC134" s="65">
        <f>'TOTAL ESTACIONES'!AC134</f>
        <v>0</v>
      </c>
      <c r="AD134" s="65">
        <f>'TOTAL ESTACIONES'!AD134</f>
        <v>0</v>
      </c>
      <c r="AE134" s="65">
        <f>'TOTAL ESTACIONES'!AE134</f>
        <v>0</v>
      </c>
      <c r="AF134" s="65">
        <f>'TOTAL ESTACIONES'!AF134</f>
        <v>0</v>
      </c>
      <c r="AG134" s="65">
        <f>'TOTAL ESTACIONES'!AG134</f>
        <v>0</v>
      </c>
      <c r="AH134" s="65">
        <f>'TOTAL ESTACIONES'!AH134</f>
        <v>0</v>
      </c>
      <c r="AI134" s="65">
        <f>'TOTAL ESTACIONES'!AI134</f>
        <v>0</v>
      </c>
      <c r="AJ134" s="65">
        <f>'TOTAL ESTACIONES'!AJ134</f>
        <v>6417.619999999999</v>
      </c>
      <c r="AK134" s="123">
        <f>'TOTAL ESTACIONES'!AK134</f>
        <v>6417.619999999999</v>
      </c>
      <c r="AL134" s="73">
        <f>'TOTAL ESTACIONES'!AL134</f>
        <v>1.7886384328521419E-5</v>
      </c>
      <c r="AM134" s="14">
        <f>'TOTAL ESTACIONES'!AM134</f>
        <v>-0.22865144230769241</v>
      </c>
      <c r="AN134" s="89"/>
      <c r="AO134" s="243">
        <v>188765095.8007873</v>
      </c>
      <c r="AP134" s="76">
        <v>4.2827123469530846E-2</v>
      </c>
      <c r="AQ134" s="180">
        <v>0.270703191730431</v>
      </c>
      <c r="AR134" s="9">
        <f t="shared" si="3"/>
        <v>-1902.380000000001</v>
      </c>
      <c r="AS134" s="1" t="s">
        <v>421</v>
      </c>
    </row>
    <row r="135" spans="1:45" ht="15" hidden="1" outlineLevel="1">
      <c r="I135" s="223" t="s">
        <v>244</v>
      </c>
      <c r="J135" s="65">
        <f>'TOTAL ESTACIONES'!J135</f>
        <v>0</v>
      </c>
      <c r="K135" s="65">
        <f>'TOTAL ESTACIONES'!K135</f>
        <v>0</v>
      </c>
      <c r="L135" s="65">
        <f>'TOTAL ESTACIONES'!L135</f>
        <v>0</v>
      </c>
      <c r="M135" s="65">
        <f>'TOTAL ESTACIONES'!M135</f>
        <v>0</v>
      </c>
      <c r="N135" s="65">
        <f>'TOTAL ESTACIONES'!N135</f>
        <v>0</v>
      </c>
      <c r="O135" s="65">
        <f>'TOTAL ESTACIONES'!O135</f>
        <v>0</v>
      </c>
      <c r="P135" s="65">
        <f>'TOTAL ESTACIONES'!P135</f>
        <v>0</v>
      </c>
      <c r="Q135" s="65">
        <f>'TOTAL ESTACIONES'!Q135</f>
        <v>0</v>
      </c>
      <c r="R135" s="65">
        <f>'TOTAL ESTACIONES'!R135</f>
        <v>0</v>
      </c>
      <c r="S135" s="65">
        <f>'TOTAL ESTACIONES'!S135</f>
        <v>0</v>
      </c>
      <c r="T135" s="65">
        <f>'TOTAL ESTACIONES'!T135</f>
        <v>0</v>
      </c>
      <c r="U135" s="65">
        <f>'TOTAL ESTACIONES'!U135</f>
        <v>0</v>
      </c>
      <c r="V135" s="11">
        <f>'TOTAL ESTACIONES'!V135</f>
        <v>0</v>
      </c>
      <c r="W135" s="73">
        <f>'TOTAL ESTACIONES'!W135</f>
        <v>0</v>
      </c>
      <c r="X135" s="89">
        <f>'TOTAL ESTACIONES'!X135</f>
        <v>0</v>
      </c>
      <c r="Y135" s="65">
        <f>'TOTAL ESTACIONES'!Y135</f>
        <v>0</v>
      </c>
      <c r="Z135" s="65">
        <f>'TOTAL ESTACIONES'!Z135</f>
        <v>0</v>
      </c>
      <c r="AA135" s="65">
        <f>'TOTAL ESTACIONES'!AA135</f>
        <v>0</v>
      </c>
      <c r="AB135" s="65">
        <f>'TOTAL ESTACIONES'!AB135</f>
        <v>0</v>
      </c>
      <c r="AC135" s="65">
        <f>'TOTAL ESTACIONES'!AC135</f>
        <v>0</v>
      </c>
      <c r="AD135" s="65">
        <f>'TOTAL ESTACIONES'!AD135</f>
        <v>0</v>
      </c>
      <c r="AE135" s="65">
        <f>'TOTAL ESTACIONES'!AE135</f>
        <v>0</v>
      </c>
      <c r="AF135" s="65">
        <f>'TOTAL ESTACIONES'!AF135</f>
        <v>0</v>
      </c>
      <c r="AG135" s="65">
        <f>'TOTAL ESTACIONES'!AG135</f>
        <v>0</v>
      </c>
      <c r="AH135" s="65">
        <f>'TOTAL ESTACIONES'!AH135</f>
        <v>0</v>
      </c>
      <c r="AI135" s="65">
        <f>'TOTAL ESTACIONES'!AI135</f>
        <v>0</v>
      </c>
      <c r="AJ135" s="65">
        <f>'TOTAL ESTACIONES'!AJ135</f>
        <v>0</v>
      </c>
      <c r="AK135" s="123">
        <f>'TOTAL ESTACIONES'!AK135</f>
        <v>0</v>
      </c>
      <c r="AL135" s="73">
        <f>'TOTAL ESTACIONES'!AL135</f>
        <v>0</v>
      </c>
      <c r="AM135" s="14">
        <f>'TOTAL ESTACIONES'!AM135</f>
        <v>0</v>
      </c>
      <c r="AN135" s="89"/>
      <c r="AO135" s="241">
        <v>0.76753670833838283</v>
      </c>
      <c r="AP135" s="73">
        <v>1.7413912903737211E-10</v>
      </c>
      <c r="AQ135" s="176">
        <v>0.11862194659846237</v>
      </c>
      <c r="AR135" s="9">
        <f t="shared" si="3"/>
        <v>0</v>
      </c>
    </row>
    <row r="136" spans="1:45" ht="15" hidden="1" outlineLevel="1">
      <c r="I136" s="223" t="s">
        <v>245</v>
      </c>
      <c r="J136" s="65">
        <f>'TOTAL ESTACIONES'!J136</f>
        <v>0</v>
      </c>
      <c r="K136" s="65">
        <f>'TOTAL ESTACIONES'!K136</f>
        <v>0</v>
      </c>
      <c r="L136" s="65">
        <f>'TOTAL ESTACIONES'!L136</f>
        <v>0</v>
      </c>
      <c r="M136" s="65">
        <f>'TOTAL ESTACIONES'!M136</f>
        <v>0</v>
      </c>
      <c r="N136" s="65">
        <f>'TOTAL ESTACIONES'!N136</f>
        <v>0</v>
      </c>
      <c r="O136" s="65">
        <f>'TOTAL ESTACIONES'!O136</f>
        <v>0</v>
      </c>
      <c r="P136" s="65">
        <f>'TOTAL ESTACIONES'!P136</f>
        <v>0</v>
      </c>
      <c r="Q136" s="65">
        <f>'TOTAL ESTACIONES'!Q136</f>
        <v>0</v>
      </c>
      <c r="R136" s="65">
        <f>'TOTAL ESTACIONES'!R136</f>
        <v>0</v>
      </c>
      <c r="S136" s="65">
        <f>'TOTAL ESTACIONES'!S136</f>
        <v>0</v>
      </c>
      <c r="T136" s="65">
        <f>'TOTAL ESTACIONES'!T136</f>
        <v>0</v>
      </c>
      <c r="U136" s="65">
        <f>'TOTAL ESTACIONES'!U136</f>
        <v>0</v>
      </c>
      <c r="V136" s="11">
        <f>'TOTAL ESTACIONES'!V136</f>
        <v>0</v>
      </c>
      <c r="W136" s="73">
        <f>'TOTAL ESTACIONES'!W136</f>
        <v>0</v>
      </c>
      <c r="X136" s="89">
        <f>'TOTAL ESTACIONES'!X136</f>
        <v>0</v>
      </c>
      <c r="Y136" s="65">
        <f>'TOTAL ESTACIONES'!Y136</f>
        <v>0</v>
      </c>
      <c r="Z136" s="65">
        <f>'TOTAL ESTACIONES'!Z136</f>
        <v>0</v>
      </c>
      <c r="AA136" s="65">
        <f>'TOTAL ESTACIONES'!AA136</f>
        <v>0</v>
      </c>
      <c r="AB136" s="65">
        <f>'TOTAL ESTACIONES'!AB136</f>
        <v>0</v>
      </c>
      <c r="AC136" s="65">
        <f>'TOTAL ESTACIONES'!AC136</f>
        <v>0</v>
      </c>
      <c r="AD136" s="65">
        <f>'TOTAL ESTACIONES'!AD136</f>
        <v>0</v>
      </c>
      <c r="AE136" s="65">
        <f>'TOTAL ESTACIONES'!AE136</f>
        <v>0</v>
      </c>
      <c r="AF136" s="65">
        <f>'TOTAL ESTACIONES'!AF136</f>
        <v>0</v>
      </c>
      <c r="AG136" s="65">
        <f>'TOTAL ESTACIONES'!AG136</f>
        <v>0</v>
      </c>
      <c r="AH136" s="65">
        <f>'TOTAL ESTACIONES'!AH136</f>
        <v>0</v>
      </c>
      <c r="AI136" s="65">
        <f>'TOTAL ESTACIONES'!AI136</f>
        <v>0</v>
      </c>
      <c r="AJ136" s="65">
        <f>'TOTAL ESTACIONES'!AJ136</f>
        <v>0</v>
      </c>
      <c r="AK136" s="123">
        <f>'TOTAL ESTACIONES'!AK136</f>
        <v>0</v>
      </c>
      <c r="AL136" s="73">
        <f>'TOTAL ESTACIONES'!AL136</f>
        <v>0</v>
      </c>
      <c r="AM136" s="14">
        <f>'TOTAL ESTACIONES'!AM136</f>
        <v>0</v>
      </c>
      <c r="AN136" s="89"/>
      <c r="AO136" s="241">
        <v>0.61706290133307728</v>
      </c>
      <c r="AP136" s="73">
        <v>1.3999955315758334E-10</v>
      </c>
      <c r="AQ136" s="176">
        <v>0.14569359669045023</v>
      </c>
      <c r="AR136" s="9">
        <f t="shared" si="3"/>
        <v>0</v>
      </c>
    </row>
    <row r="137" spans="1:45" ht="15.75" hidden="1" outlineLevel="1">
      <c r="I137" s="223" t="s">
        <v>246</v>
      </c>
      <c r="J137" s="65">
        <f>'TOTAL ESTACIONES'!J137</f>
        <v>0</v>
      </c>
      <c r="K137" s="65">
        <f>'TOTAL ESTACIONES'!K137</f>
        <v>0</v>
      </c>
      <c r="L137" s="65">
        <f>'TOTAL ESTACIONES'!L137</f>
        <v>0</v>
      </c>
      <c r="M137" s="65">
        <f>'TOTAL ESTACIONES'!M137</f>
        <v>0</v>
      </c>
      <c r="N137" s="65">
        <f>'TOTAL ESTACIONES'!N137</f>
        <v>0</v>
      </c>
      <c r="O137" s="65">
        <f>'TOTAL ESTACIONES'!O137</f>
        <v>0</v>
      </c>
      <c r="P137" s="65">
        <f>'TOTAL ESTACIONES'!P137</f>
        <v>0</v>
      </c>
      <c r="Q137" s="65">
        <f>'TOTAL ESTACIONES'!Q137</f>
        <v>0</v>
      </c>
      <c r="R137" s="65">
        <f>'TOTAL ESTACIONES'!R137</f>
        <v>0</v>
      </c>
      <c r="S137" s="65">
        <f>'TOTAL ESTACIONES'!S137</f>
        <v>0</v>
      </c>
      <c r="T137" s="65">
        <f>'TOTAL ESTACIONES'!T137</f>
        <v>0</v>
      </c>
      <c r="U137" s="65">
        <f>'TOTAL ESTACIONES'!U137</f>
        <v>0</v>
      </c>
      <c r="V137" s="11">
        <f>'TOTAL ESTACIONES'!V137</f>
        <v>0</v>
      </c>
      <c r="W137" s="73">
        <f>'TOTAL ESTACIONES'!W137</f>
        <v>0</v>
      </c>
      <c r="X137" s="89">
        <f>'TOTAL ESTACIONES'!X137</f>
        <v>0</v>
      </c>
      <c r="Y137" s="65">
        <f>'TOTAL ESTACIONES'!Y137</f>
        <v>0</v>
      </c>
      <c r="Z137" s="65">
        <f>'TOTAL ESTACIONES'!Z137</f>
        <v>0</v>
      </c>
      <c r="AA137" s="65">
        <f>'TOTAL ESTACIONES'!AA137</f>
        <v>0</v>
      </c>
      <c r="AB137" s="65">
        <f>'TOTAL ESTACIONES'!AB137</f>
        <v>0</v>
      </c>
      <c r="AC137" s="65">
        <f>'TOTAL ESTACIONES'!AC137</f>
        <v>0</v>
      </c>
      <c r="AD137" s="65">
        <f>'TOTAL ESTACIONES'!AD137</f>
        <v>0</v>
      </c>
      <c r="AE137" s="65">
        <f>'TOTAL ESTACIONES'!AE137</f>
        <v>0</v>
      </c>
      <c r="AF137" s="65">
        <f>'TOTAL ESTACIONES'!AF137</f>
        <v>0</v>
      </c>
      <c r="AG137" s="65">
        <f>'TOTAL ESTACIONES'!AG137</f>
        <v>0</v>
      </c>
      <c r="AH137" s="65">
        <f>'TOTAL ESTACIONES'!AH137</f>
        <v>0</v>
      </c>
      <c r="AI137" s="65">
        <f>'TOTAL ESTACIONES'!AI137</f>
        <v>0</v>
      </c>
      <c r="AJ137" s="65">
        <f>'TOTAL ESTACIONES'!AJ137</f>
        <v>0</v>
      </c>
      <c r="AK137" s="123">
        <f>'TOTAL ESTACIONES'!AK137</f>
        <v>0</v>
      </c>
      <c r="AL137" s="73">
        <f>'TOTAL ESTACIONES'!AL137</f>
        <v>0</v>
      </c>
      <c r="AM137" s="14">
        <f>'TOTAL ESTACIONES'!AM137</f>
        <v>0</v>
      </c>
      <c r="AN137" s="89"/>
      <c r="AO137" s="244">
        <v>461979404.78854239</v>
      </c>
      <c r="AP137" s="77">
        <v>0.1048141285089039</v>
      </c>
      <c r="AQ137" s="177">
        <v>0.13668020636276434</v>
      </c>
      <c r="AR137" s="9">
        <f t="shared" si="3"/>
        <v>0</v>
      </c>
    </row>
    <row r="138" spans="1:45" ht="15.75" hidden="1" outlineLevel="1">
      <c r="I138" s="223" t="s">
        <v>247</v>
      </c>
      <c r="J138" s="65">
        <f>'TOTAL ESTACIONES'!J138</f>
        <v>0</v>
      </c>
      <c r="K138" s="65">
        <f>'TOTAL ESTACIONES'!K138</f>
        <v>0</v>
      </c>
      <c r="L138" s="65">
        <f>'TOTAL ESTACIONES'!L138</f>
        <v>0</v>
      </c>
      <c r="M138" s="65">
        <f>'TOTAL ESTACIONES'!M138</f>
        <v>0</v>
      </c>
      <c r="N138" s="65">
        <f>'TOTAL ESTACIONES'!N138</f>
        <v>0</v>
      </c>
      <c r="O138" s="65">
        <f>'TOTAL ESTACIONES'!O138</f>
        <v>0</v>
      </c>
      <c r="P138" s="65">
        <f>'TOTAL ESTACIONES'!P138</f>
        <v>0</v>
      </c>
      <c r="Q138" s="65">
        <f>'TOTAL ESTACIONES'!Q138</f>
        <v>0</v>
      </c>
      <c r="R138" s="65">
        <f>'TOTAL ESTACIONES'!R138</f>
        <v>0</v>
      </c>
      <c r="S138" s="65">
        <f>'TOTAL ESTACIONES'!S138</f>
        <v>0</v>
      </c>
      <c r="T138" s="65">
        <f>'TOTAL ESTACIONES'!T138</f>
        <v>0</v>
      </c>
      <c r="U138" s="65">
        <f>'TOTAL ESTACIONES'!U138</f>
        <v>0</v>
      </c>
      <c r="V138" s="11">
        <f>'TOTAL ESTACIONES'!V138</f>
        <v>0</v>
      </c>
      <c r="W138" s="73">
        <f>'TOTAL ESTACIONES'!W138</f>
        <v>0</v>
      </c>
      <c r="X138" s="89">
        <f>'TOTAL ESTACIONES'!X138</f>
        <v>0</v>
      </c>
      <c r="Y138" s="65">
        <f>'TOTAL ESTACIONES'!Y138</f>
        <v>0</v>
      </c>
      <c r="Z138" s="65">
        <f>'TOTAL ESTACIONES'!Z138</f>
        <v>0</v>
      </c>
      <c r="AA138" s="65">
        <f>'TOTAL ESTACIONES'!AA138</f>
        <v>0</v>
      </c>
      <c r="AB138" s="65">
        <f>'TOTAL ESTACIONES'!AB138</f>
        <v>0</v>
      </c>
      <c r="AC138" s="65">
        <f>'TOTAL ESTACIONES'!AC138</f>
        <v>0</v>
      </c>
      <c r="AD138" s="65">
        <f>'TOTAL ESTACIONES'!AD138</f>
        <v>0</v>
      </c>
      <c r="AE138" s="65">
        <f>'TOTAL ESTACIONES'!AE138</f>
        <v>0</v>
      </c>
      <c r="AF138" s="65">
        <f>'TOTAL ESTACIONES'!AF138</f>
        <v>0</v>
      </c>
      <c r="AG138" s="65">
        <f>'TOTAL ESTACIONES'!AG138</f>
        <v>0</v>
      </c>
      <c r="AH138" s="65">
        <f>'TOTAL ESTACIONES'!AH138</f>
        <v>0</v>
      </c>
      <c r="AI138" s="65">
        <f>'TOTAL ESTACIONES'!AI138</f>
        <v>0</v>
      </c>
      <c r="AJ138" s="65">
        <f>'TOTAL ESTACIONES'!AJ138</f>
        <v>0</v>
      </c>
      <c r="AK138" s="123">
        <f>'TOTAL ESTACIONES'!AK138</f>
        <v>0</v>
      </c>
      <c r="AL138" s="73">
        <f>'TOTAL ESTACIONES'!AL138</f>
        <v>0</v>
      </c>
      <c r="AM138" s="14">
        <f>'TOTAL ESTACIONES'!AM138</f>
        <v>0</v>
      </c>
      <c r="AN138" s="89"/>
      <c r="AO138" s="244"/>
      <c r="AP138" s="77"/>
      <c r="AQ138" s="177"/>
      <c r="AR138" s="9">
        <f t="shared" si="3"/>
        <v>0</v>
      </c>
    </row>
    <row r="139" spans="1:45" ht="15.75" hidden="1" outlineLevel="1">
      <c r="I139" s="223" t="s">
        <v>248</v>
      </c>
      <c r="J139" s="65">
        <f>'TOTAL ESTACIONES'!J139</f>
        <v>0</v>
      </c>
      <c r="K139" s="65">
        <f>'TOTAL ESTACIONES'!K139</f>
        <v>0</v>
      </c>
      <c r="L139" s="65">
        <f>'TOTAL ESTACIONES'!L139</f>
        <v>0</v>
      </c>
      <c r="M139" s="65">
        <f>'TOTAL ESTACIONES'!M139</f>
        <v>0</v>
      </c>
      <c r="N139" s="65">
        <f>'TOTAL ESTACIONES'!N139</f>
        <v>0</v>
      </c>
      <c r="O139" s="65">
        <f>'TOTAL ESTACIONES'!O139</f>
        <v>0</v>
      </c>
      <c r="P139" s="65">
        <f>'TOTAL ESTACIONES'!P139</f>
        <v>0</v>
      </c>
      <c r="Q139" s="65">
        <f>'TOTAL ESTACIONES'!Q139</f>
        <v>0</v>
      </c>
      <c r="R139" s="65">
        <f>'TOTAL ESTACIONES'!R139</f>
        <v>0</v>
      </c>
      <c r="S139" s="65">
        <f>'TOTAL ESTACIONES'!S139</f>
        <v>0</v>
      </c>
      <c r="T139" s="65">
        <f>'TOTAL ESTACIONES'!T139</f>
        <v>0</v>
      </c>
      <c r="U139" s="65">
        <f>'TOTAL ESTACIONES'!U139</f>
        <v>0</v>
      </c>
      <c r="V139" s="11">
        <f>'TOTAL ESTACIONES'!V139</f>
        <v>0</v>
      </c>
      <c r="W139" s="73">
        <f>'TOTAL ESTACIONES'!W139</f>
        <v>0</v>
      </c>
      <c r="X139" s="89">
        <f>'TOTAL ESTACIONES'!X139</f>
        <v>0</v>
      </c>
      <c r="Y139" s="65">
        <f>'TOTAL ESTACIONES'!Y139</f>
        <v>0</v>
      </c>
      <c r="Z139" s="65">
        <f>'TOTAL ESTACIONES'!Z139</f>
        <v>0</v>
      </c>
      <c r="AA139" s="65">
        <f>'TOTAL ESTACIONES'!AA139</f>
        <v>0</v>
      </c>
      <c r="AB139" s="65">
        <f>'TOTAL ESTACIONES'!AB139</f>
        <v>0</v>
      </c>
      <c r="AC139" s="65">
        <f>'TOTAL ESTACIONES'!AC139</f>
        <v>0</v>
      </c>
      <c r="AD139" s="65">
        <f>'TOTAL ESTACIONES'!AD139</f>
        <v>0</v>
      </c>
      <c r="AE139" s="65">
        <f>'TOTAL ESTACIONES'!AE139</f>
        <v>0</v>
      </c>
      <c r="AF139" s="65">
        <f>'TOTAL ESTACIONES'!AF139</f>
        <v>0</v>
      </c>
      <c r="AG139" s="65">
        <f>'TOTAL ESTACIONES'!AG139</f>
        <v>0</v>
      </c>
      <c r="AH139" s="65">
        <f>'TOTAL ESTACIONES'!AH139</f>
        <v>0</v>
      </c>
      <c r="AI139" s="65">
        <f>'TOTAL ESTACIONES'!AI139</f>
        <v>0</v>
      </c>
      <c r="AJ139" s="65">
        <f>'TOTAL ESTACIONES'!AJ139</f>
        <v>0</v>
      </c>
      <c r="AK139" s="123">
        <f>'TOTAL ESTACIONES'!AK139</f>
        <v>0</v>
      </c>
      <c r="AL139" s="73">
        <f>'TOTAL ESTACIONES'!AL139</f>
        <v>0</v>
      </c>
      <c r="AM139" s="14">
        <f>'TOTAL ESTACIONES'!AM139</f>
        <v>0</v>
      </c>
      <c r="AN139" s="89"/>
      <c r="AO139" s="244"/>
      <c r="AP139" s="77"/>
      <c r="AQ139" s="177"/>
      <c r="AR139" s="9">
        <f t="shared" si="3"/>
        <v>0</v>
      </c>
    </row>
    <row r="140" spans="1:45" ht="15.75" hidden="1" outlineLevel="1">
      <c r="I140" s="223" t="s">
        <v>249</v>
      </c>
      <c r="J140" s="65">
        <f>'TOTAL ESTACIONES'!J140</f>
        <v>0</v>
      </c>
      <c r="K140" s="65">
        <f>'TOTAL ESTACIONES'!K140</f>
        <v>0</v>
      </c>
      <c r="L140" s="65">
        <f>'TOTAL ESTACIONES'!L140</f>
        <v>0</v>
      </c>
      <c r="M140" s="65">
        <f>'TOTAL ESTACIONES'!M140</f>
        <v>0</v>
      </c>
      <c r="N140" s="65">
        <f>'TOTAL ESTACIONES'!N140</f>
        <v>0</v>
      </c>
      <c r="O140" s="65">
        <f>'TOTAL ESTACIONES'!O140</f>
        <v>0</v>
      </c>
      <c r="P140" s="65">
        <f>'TOTAL ESTACIONES'!P140</f>
        <v>0</v>
      </c>
      <c r="Q140" s="65">
        <f>'TOTAL ESTACIONES'!Q140</f>
        <v>0</v>
      </c>
      <c r="R140" s="65">
        <f>'TOTAL ESTACIONES'!R140</f>
        <v>0</v>
      </c>
      <c r="S140" s="65">
        <f>'TOTAL ESTACIONES'!S140</f>
        <v>0</v>
      </c>
      <c r="T140" s="65">
        <f>'TOTAL ESTACIONES'!T140</f>
        <v>0</v>
      </c>
      <c r="U140" s="65">
        <f>'TOTAL ESTACIONES'!U140</f>
        <v>0</v>
      </c>
      <c r="V140" s="11">
        <f>'TOTAL ESTACIONES'!V140</f>
        <v>0</v>
      </c>
      <c r="W140" s="73">
        <f>'TOTAL ESTACIONES'!W140</f>
        <v>0</v>
      </c>
      <c r="X140" s="89">
        <f>'TOTAL ESTACIONES'!X140</f>
        <v>0</v>
      </c>
      <c r="Y140" s="65">
        <f>'TOTAL ESTACIONES'!Y140</f>
        <v>0</v>
      </c>
      <c r="Z140" s="65">
        <f>'TOTAL ESTACIONES'!Z140</f>
        <v>0</v>
      </c>
      <c r="AA140" s="65">
        <f>'TOTAL ESTACIONES'!AA140</f>
        <v>0</v>
      </c>
      <c r="AB140" s="65">
        <f>'TOTAL ESTACIONES'!AB140</f>
        <v>0</v>
      </c>
      <c r="AC140" s="65">
        <f>'TOTAL ESTACIONES'!AC140</f>
        <v>0</v>
      </c>
      <c r="AD140" s="65">
        <f>'TOTAL ESTACIONES'!AD140</f>
        <v>0</v>
      </c>
      <c r="AE140" s="65">
        <f>'TOTAL ESTACIONES'!AE140</f>
        <v>0</v>
      </c>
      <c r="AF140" s="65">
        <f>'TOTAL ESTACIONES'!AF140</f>
        <v>0</v>
      </c>
      <c r="AG140" s="65">
        <f>'TOTAL ESTACIONES'!AG140</f>
        <v>0</v>
      </c>
      <c r="AH140" s="65">
        <f>'TOTAL ESTACIONES'!AH140</f>
        <v>0</v>
      </c>
      <c r="AI140" s="65">
        <f>'TOTAL ESTACIONES'!AI140</f>
        <v>0</v>
      </c>
      <c r="AJ140" s="65">
        <f>'TOTAL ESTACIONES'!AJ140</f>
        <v>0</v>
      </c>
      <c r="AK140" s="123">
        <f>'TOTAL ESTACIONES'!AK140</f>
        <v>0</v>
      </c>
      <c r="AL140" s="73">
        <f>'TOTAL ESTACIONES'!AL140</f>
        <v>0</v>
      </c>
      <c r="AM140" s="14">
        <f>'TOTAL ESTACIONES'!AM140</f>
        <v>0</v>
      </c>
      <c r="AN140" s="89"/>
      <c r="AO140" s="244"/>
      <c r="AP140" s="77"/>
      <c r="AQ140" s="177"/>
      <c r="AR140" s="9">
        <f t="shared" si="3"/>
        <v>0</v>
      </c>
    </row>
    <row r="141" spans="1:45" ht="15.75" hidden="1" outlineLevel="1">
      <c r="I141" s="223" t="s">
        <v>250</v>
      </c>
      <c r="J141" s="65">
        <f>'TOTAL ESTACIONES'!J141</f>
        <v>0</v>
      </c>
      <c r="K141" s="65">
        <f>'TOTAL ESTACIONES'!K141</f>
        <v>0</v>
      </c>
      <c r="L141" s="65">
        <f>'TOTAL ESTACIONES'!L141</f>
        <v>0</v>
      </c>
      <c r="M141" s="65">
        <f>'TOTAL ESTACIONES'!M141</f>
        <v>0</v>
      </c>
      <c r="N141" s="65">
        <f>'TOTAL ESTACIONES'!N141</f>
        <v>0</v>
      </c>
      <c r="O141" s="65">
        <f>'TOTAL ESTACIONES'!O141</f>
        <v>0</v>
      </c>
      <c r="P141" s="65">
        <f>'TOTAL ESTACIONES'!P141</f>
        <v>0</v>
      </c>
      <c r="Q141" s="65">
        <f>'TOTAL ESTACIONES'!Q141</f>
        <v>0</v>
      </c>
      <c r="R141" s="65">
        <f>'TOTAL ESTACIONES'!R141</f>
        <v>0</v>
      </c>
      <c r="S141" s="65">
        <f>'TOTAL ESTACIONES'!S141</f>
        <v>0</v>
      </c>
      <c r="T141" s="65">
        <f>'TOTAL ESTACIONES'!T141</f>
        <v>0</v>
      </c>
      <c r="U141" s="65">
        <f>'TOTAL ESTACIONES'!U141</f>
        <v>0</v>
      </c>
      <c r="V141" s="11">
        <f>'TOTAL ESTACIONES'!V141</f>
        <v>0</v>
      </c>
      <c r="W141" s="73">
        <f>'TOTAL ESTACIONES'!W141</f>
        <v>0</v>
      </c>
      <c r="X141" s="89">
        <f>'TOTAL ESTACIONES'!X141</f>
        <v>0</v>
      </c>
      <c r="Y141" s="65">
        <f>'TOTAL ESTACIONES'!Y141</f>
        <v>0</v>
      </c>
      <c r="Z141" s="65">
        <f>'TOTAL ESTACIONES'!Z141</f>
        <v>0</v>
      </c>
      <c r="AA141" s="65">
        <f>'TOTAL ESTACIONES'!AA141</f>
        <v>0</v>
      </c>
      <c r="AB141" s="65">
        <f>'TOTAL ESTACIONES'!AB141</f>
        <v>0</v>
      </c>
      <c r="AC141" s="65">
        <f>'TOTAL ESTACIONES'!AC141</f>
        <v>0</v>
      </c>
      <c r="AD141" s="65">
        <f>'TOTAL ESTACIONES'!AD141</f>
        <v>0</v>
      </c>
      <c r="AE141" s="65">
        <f>'TOTAL ESTACIONES'!AE141</f>
        <v>0</v>
      </c>
      <c r="AF141" s="65">
        <f>'TOTAL ESTACIONES'!AF141</f>
        <v>0</v>
      </c>
      <c r="AG141" s="65">
        <f>'TOTAL ESTACIONES'!AG141</f>
        <v>0</v>
      </c>
      <c r="AH141" s="65">
        <f>'TOTAL ESTACIONES'!AH141</f>
        <v>0</v>
      </c>
      <c r="AI141" s="65">
        <f>'TOTAL ESTACIONES'!AI141</f>
        <v>0</v>
      </c>
      <c r="AJ141" s="65">
        <f>'TOTAL ESTACIONES'!AJ141</f>
        <v>0</v>
      </c>
      <c r="AK141" s="123">
        <f>'TOTAL ESTACIONES'!AK141</f>
        <v>0</v>
      </c>
      <c r="AL141" s="73">
        <f>'TOTAL ESTACIONES'!AL141</f>
        <v>0</v>
      </c>
      <c r="AM141" s="14">
        <f>'TOTAL ESTACIONES'!AM141</f>
        <v>0</v>
      </c>
      <c r="AN141" s="89"/>
      <c r="AO141" s="244"/>
      <c r="AP141" s="77"/>
      <c r="AQ141" s="177"/>
      <c r="AR141" s="9">
        <f t="shared" si="3"/>
        <v>0</v>
      </c>
    </row>
    <row r="142" spans="1:45" ht="15.75" hidden="1" outlineLevel="1">
      <c r="I142" s="223" t="s">
        <v>251</v>
      </c>
      <c r="J142" s="65">
        <f>'TOTAL ESTACIONES'!J142</f>
        <v>0</v>
      </c>
      <c r="K142" s="65">
        <f>'TOTAL ESTACIONES'!K142</f>
        <v>0</v>
      </c>
      <c r="L142" s="65">
        <f>'TOTAL ESTACIONES'!L142</f>
        <v>0</v>
      </c>
      <c r="M142" s="65">
        <f>'TOTAL ESTACIONES'!M142</f>
        <v>0</v>
      </c>
      <c r="N142" s="65">
        <f>'TOTAL ESTACIONES'!N142</f>
        <v>0</v>
      </c>
      <c r="O142" s="65">
        <f>'TOTAL ESTACIONES'!O142</f>
        <v>0</v>
      </c>
      <c r="P142" s="65">
        <f>'TOTAL ESTACIONES'!P142</f>
        <v>0</v>
      </c>
      <c r="Q142" s="65">
        <f>'TOTAL ESTACIONES'!Q142</f>
        <v>0</v>
      </c>
      <c r="R142" s="65">
        <f>'TOTAL ESTACIONES'!R142</f>
        <v>0</v>
      </c>
      <c r="S142" s="65">
        <f>'TOTAL ESTACIONES'!S142</f>
        <v>0</v>
      </c>
      <c r="T142" s="65">
        <f>'TOTAL ESTACIONES'!T142</f>
        <v>0</v>
      </c>
      <c r="U142" s="65">
        <f>'TOTAL ESTACIONES'!U142</f>
        <v>0</v>
      </c>
      <c r="V142" s="11">
        <f>'TOTAL ESTACIONES'!V142</f>
        <v>0</v>
      </c>
      <c r="W142" s="73">
        <f>'TOTAL ESTACIONES'!W142</f>
        <v>0</v>
      </c>
      <c r="X142" s="89">
        <f>'TOTAL ESTACIONES'!X142</f>
        <v>0</v>
      </c>
      <c r="Y142" s="65">
        <f>'TOTAL ESTACIONES'!Y142</f>
        <v>0</v>
      </c>
      <c r="Z142" s="65">
        <f>'TOTAL ESTACIONES'!Z142</f>
        <v>0</v>
      </c>
      <c r="AA142" s="65">
        <f>'TOTAL ESTACIONES'!AA142</f>
        <v>0</v>
      </c>
      <c r="AB142" s="65">
        <f>'TOTAL ESTACIONES'!AB142</f>
        <v>0</v>
      </c>
      <c r="AC142" s="65">
        <f>'TOTAL ESTACIONES'!AC142</f>
        <v>0</v>
      </c>
      <c r="AD142" s="65">
        <f>'TOTAL ESTACIONES'!AD142</f>
        <v>0</v>
      </c>
      <c r="AE142" s="65">
        <f>'TOTAL ESTACIONES'!AE142</f>
        <v>0</v>
      </c>
      <c r="AF142" s="65">
        <f>'TOTAL ESTACIONES'!AF142</f>
        <v>0</v>
      </c>
      <c r="AG142" s="65">
        <f>'TOTAL ESTACIONES'!AG142</f>
        <v>0</v>
      </c>
      <c r="AH142" s="65">
        <f>'TOTAL ESTACIONES'!AH142</f>
        <v>0</v>
      </c>
      <c r="AI142" s="65">
        <f>'TOTAL ESTACIONES'!AI142</f>
        <v>0</v>
      </c>
      <c r="AJ142" s="65">
        <f>'TOTAL ESTACIONES'!AJ142</f>
        <v>0</v>
      </c>
      <c r="AK142" s="123">
        <f>'TOTAL ESTACIONES'!AK142</f>
        <v>0</v>
      </c>
      <c r="AL142" s="73">
        <f>'TOTAL ESTACIONES'!AL142</f>
        <v>0</v>
      </c>
      <c r="AM142" s="14">
        <f>'TOTAL ESTACIONES'!AM142</f>
        <v>0</v>
      </c>
      <c r="AN142" s="89"/>
      <c r="AO142" s="244"/>
      <c r="AP142" s="77"/>
      <c r="AQ142" s="177"/>
      <c r="AR142" s="9">
        <f t="shared" si="3"/>
        <v>0</v>
      </c>
    </row>
    <row r="143" spans="1:45" ht="15.75" hidden="1" outlineLevel="1">
      <c r="I143" s="223" t="s">
        <v>252</v>
      </c>
      <c r="J143" s="65">
        <f>'TOTAL ESTACIONES'!J143</f>
        <v>0</v>
      </c>
      <c r="K143" s="65">
        <f>'TOTAL ESTACIONES'!K143</f>
        <v>0</v>
      </c>
      <c r="L143" s="65">
        <f>'TOTAL ESTACIONES'!L143</f>
        <v>0</v>
      </c>
      <c r="M143" s="65">
        <f>'TOTAL ESTACIONES'!M143</f>
        <v>0</v>
      </c>
      <c r="N143" s="65">
        <f>'TOTAL ESTACIONES'!N143</f>
        <v>0</v>
      </c>
      <c r="O143" s="65">
        <f>'TOTAL ESTACIONES'!O143</f>
        <v>0</v>
      </c>
      <c r="P143" s="65">
        <f>'TOTAL ESTACIONES'!P143</f>
        <v>0</v>
      </c>
      <c r="Q143" s="65">
        <f>'TOTAL ESTACIONES'!Q143</f>
        <v>0</v>
      </c>
      <c r="R143" s="65">
        <f>'TOTAL ESTACIONES'!R143</f>
        <v>0</v>
      </c>
      <c r="S143" s="65">
        <f>'TOTAL ESTACIONES'!S143</f>
        <v>0</v>
      </c>
      <c r="T143" s="65">
        <f>'TOTAL ESTACIONES'!T143</f>
        <v>0</v>
      </c>
      <c r="U143" s="65">
        <f>'TOTAL ESTACIONES'!U143</f>
        <v>0</v>
      </c>
      <c r="V143" s="11">
        <f>'TOTAL ESTACIONES'!V143</f>
        <v>0</v>
      </c>
      <c r="W143" s="73">
        <f>'TOTAL ESTACIONES'!W143</f>
        <v>0</v>
      </c>
      <c r="X143" s="89">
        <f>'TOTAL ESTACIONES'!X143</f>
        <v>0</v>
      </c>
      <c r="Y143" s="65">
        <f>'TOTAL ESTACIONES'!Y143</f>
        <v>0</v>
      </c>
      <c r="Z143" s="65">
        <f>'TOTAL ESTACIONES'!Z143</f>
        <v>0</v>
      </c>
      <c r="AA143" s="65">
        <f>'TOTAL ESTACIONES'!AA143</f>
        <v>0</v>
      </c>
      <c r="AB143" s="65">
        <f>'TOTAL ESTACIONES'!AB143</f>
        <v>0</v>
      </c>
      <c r="AC143" s="65">
        <f>'TOTAL ESTACIONES'!AC143</f>
        <v>0</v>
      </c>
      <c r="AD143" s="65">
        <f>'TOTAL ESTACIONES'!AD143</f>
        <v>0</v>
      </c>
      <c r="AE143" s="65">
        <f>'TOTAL ESTACIONES'!AE143</f>
        <v>0</v>
      </c>
      <c r="AF143" s="65">
        <f>'TOTAL ESTACIONES'!AF143</f>
        <v>0</v>
      </c>
      <c r="AG143" s="65">
        <f>'TOTAL ESTACIONES'!AG143</f>
        <v>0</v>
      </c>
      <c r="AH143" s="65">
        <f>'TOTAL ESTACIONES'!AH143</f>
        <v>0</v>
      </c>
      <c r="AI143" s="65">
        <f>'TOTAL ESTACIONES'!AI143</f>
        <v>0</v>
      </c>
      <c r="AJ143" s="65">
        <f>'TOTAL ESTACIONES'!AJ143</f>
        <v>0</v>
      </c>
      <c r="AK143" s="123">
        <f>'TOTAL ESTACIONES'!AK143</f>
        <v>0</v>
      </c>
      <c r="AL143" s="73">
        <f>'TOTAL ESTACIONES'!AL143</f>
        <v>0</v>
      </c>
      <c r="AM143" s="14">
        <f>'TOTAL ESTACIONES'!AM143</f>
        <v>0</v>
      </c>
      <c r="AN143" s="89"/>
      <c r="AO143" s="244"/>
      <c r="AP143" s="77"/>
      <c r="AQ143" s="177"/>
      <c r="AR143" s="9">
        <f t="shared" si="3"/>
        <v>0</v>
      </c>
    </row>
    <row r="144" spans="1:45" ht="15.75" hidden="1" outlineLevel="1">
      <c r="I144" s="223" t="s">
        <v>253</v>
      </c>
      <c r="J144" s="65">
        <f>'TOTAL ESTACIONES'!J144</f>
        <v>0</v>
      </c>
      <c r="K144" s="65">
        <f>'TOTAL ESTACIONES'!K144</f>
        <v>0</v>
      </c>
      <c r="L144" s="65">
        <f>'TOTAL ESTACIONES'!L144</f>
        <v>0</v>
      </c>
      <c r="M144" s="65">
        <f>'TOTAL ESTACIONES'!M144</f>
        <v>0</v>
      </c>
      <c r="N144" s="65">
        <f>'TOTAL ESTACIONES'!N144</f>
        <v>0</v>
      </c>
      <c r="O144" s="65">
        <f>'TOTAL ESTACIONES'!O144</f>
        <v>0</v>
      </c>
      <c r="P144" s="65">
        <f>'TOTAL ESTACIONES'!P144</f>
        <v>0</v>
      </c>
      <c r="Q144" s="65">
        <f>'TOTAL ESTACIONES'!Q144</f>
        <v>0</v>
      </c>
      <c r="R144" s="65">
        <f>'TOTAL ESTACIONES'!R144</f>
        <v>0</v>
      </c>
      <c r="S144" s="65">
        <f>'TOTAL ESTACIONES'!S144</f>
        <v>0</v>
      </c>
      <c r="T144" s="65">
        <f>'TOTAL ESTACIONES'!T144</f>
        <v>0</v>
      </c>
      <c r="U144" s="65">
        <f>'TOTAL ESTACIONES'!U144</f>
        <v>0</v>
      </c>
      <c r="V144" s="11">
        <f>'TOTAL ESTACIONES'!V144</f>
        <v>0</v>
      </c>
      <c r="W144" s="73">
        <f>'TOTAL ESTACIONES'!W144</f>
        <v>0</v>
      </c>
      <c r="X144" s="89">
        <f>'TOTAL ESTACIONES'!X144</f>
        <v>0</v>
      </c>
      <c r="Y144" s="65">
        <f>'TOTAL ESTACIONES'!Y144</f>
        <v>0</v>
      </c>
      <c r="Z144" s="65">
        <f>'TOTAL ESTACIONES'!Z144</f>
        <v>0</v>
      </c>
      <c r="AA144" s="65">
        <f>'TOTAL ESTACIONES'!AA144</f>
        <v>0</v>
      </c>
      <c r="AB144" s="65">
        <f>'TOTAL ESTACIONES'!AB144</f>
        <v>0</v>
      </c>
      <c r="AC144" s="65">
        <f>'TOTAL ESTACIONES'!AC144</f>
        <v>0</v>
      </c>
      <c r="AD144" s="65">
        <f>'TOTAL ESTACIONES'!AD144</f>
        <v>0</v>
      </c>
      <c r="AE144" s="65">
        <f>'TOTAL ESTACIONES'!AE144</f>
        <v>0</v>
      </c>
      <c r="AF144" s="65">
        <f>'TOTAL ESTACIONES'!AF144</f>
        <v>0</v>
      </c>
      <c r="AG144" s="65">
        <f>'TOTAL ESTACIONES'!AG144</f>
        <v>0</v>
      </c>
      <c r="AH144" s="65">
        <f>'TOTAL ESTACIONES'!AH144</f>
        <v>0</v>
      </c>
      <c r="AI144" s="65">
        <f>'TOTAL ESTACIONES'!AI144</f>
        <v>0</v>
      </c>
      <c r="AJ144" s="65">
        <f>'TOTAL ESTACIONES'!AJ144</f>
        <v>0</v>
      </c>
      <c r="AK144" s="123">
        <f>'TOTAL ESTACIONES'!AK144</f>
        <v>0</v>
      </c>
      <c r="AL144" s="73">
        <f>'TOTAL ESTACIONES'!AL144</f>
        <v>0</v>
      </c>
      <c r="AM144" s="14">
        <f>'TOTAL ESTACIONES'!AM144</f>
        <v>0</v>
      </c>
      <c r="AN144" s="89"/>
      <c r="AO144" s="244"/>
      <c r="AP144" s="77"/>
      <c r="AQ144" s="177"/>
      <c r="AR144" s="9">
        <f t="shared" si="3"/>
        <v>0</v>
      </c>
    </row>
    <row r="145" spans="5:44" ht="15.75" hidden="1" outlineLevel="1">
      <c r="I145" s="223" t="s">
        <v>254</v>
      </c>
      <c r="J145" s="65">
        <f>'TOTAL ESTACIONES'!J145</f>
        <v>0</v>
      </c>
      <c r="K145" s="65">
        <f>'TOTAL ESTACIONES'!K145</f>
        <v>0</v>
      </c>
      <c r="L145" s="65">
        <f>'TOTAL ESTACIONES'!L145</f>
        <v>0</v>
      </c>
      <c r="M145" s="65">
        <f>'TOTAL ESTACIONES'!M145</f>
        <v>0</v>
      </c>
      <c r="N145" s="65">
        <f>'TOTAL ESTACIONES'!N145</f>
        <v>0</v>
      </c>
      <c r="O145" s="65">
        <f>'TOTAL ESTACIONES'!O145</f>
        <v>0</v>
      </c>
      <c r="P145" s="65">
        <f>'TOTAL ESTACIONES'!P145</f>
        <v>0</v>
      </c>
      <c r="Q145" s="65">
        <f>'TOTAL ESTACIONES'!Q145</f>
        <v>0</v>
      </c>
      <c r="R145" s="65">
        <f>'TOTAL ESTACIONES'!R145</f>
        <v>0</v>
      </c>
      <c r="S145" s="65">
        <f>'TOTAL ESTACIONES'!S145</f>
        <v>0</v>
      </c>
      <c r="T145" s="65">
        <f>'TOTAL ESTACIONES'!T145</f>
        <v>0</v>
      </c>
      <c r="U145" s="65">
        <f>'TOTAL ESTACIONES'!U145</f>
        <v>0</v>
      </c>
      <c r="V145" s="11">
        <f>'TOTAL ESTACIONES'!V145</f>
        <v>0</v>
      </c>
      <c r="W145" s="73">
        <f>'TOTAL ESTACIONES'!W145</f>
        <v>0</v>
      </c>
      <c r="X145" s="89">
        <f>'TOTAL ESTACIONES'!X145</f>
        <v>0</v>
      </c>
      <c r="Y145" s="65">
        <f>'TOTAL ESTACIONES'!Y145</f>
        <v>0</v>
      </c>
      <c r="Z145" s="65">
        <f>'TOTAL ESTACIONES'!Z145</f>
        <v>0</v>
      </c>
      <c r="AA145" s="65">
        <f>'TOTAL ESTACIONES'!AA145</f>
        <v>0</v>
      </c>
      <c r="AB145" s="65">
        <f>'TOTAL ESTACIONES'!AB145</f>
        <v>0</v>
      </c>
      <c r="AC145" s="65">
        <f>'TOTAL ESTACIONES'!AC145</f>
        <v>0</v>
      </c>
      <c r="AD145" s="65">
        <f>'TOTAL ESTACIONES'!AD145</f>
        <v>0</v>
      </c>
      <c r="AE145" s="65">
        <f>'TOTAL ESTACIONES'!AE145</f>
        <v>0</v>
      </c>
      <c r="AF145" s="65">
        <f>'TOTAL ESTACIONES'!AF145</f>
        <v>0</v>
      </c>
      <c r="AG145" s="65">
        <f>'TOTAL ESTACIONES'!AG145</f>
        <v>0</v>
      </c>
      <c r="AH145" s="65">
        <f>'TOTAL ESTACIONES'!AH145</f>
        <v>0</v>
      </c>
      <c r="AI145" s="65">
        <f>'TOTAL ESTACIONES'!AI145</f>
        <v>0</v>
      </c>
      <c r="AJ145" s="65">
        <f>'TOTAL ESTACIONES'!AJ145</f>
        <v>0</v>
      </c>
      <c r="AK145" s="123">
        <f>'TOTAL ESTACIONES'!AK145</f>
        <v>0</v>
      </c>
      <c r="AL145" s="73">
        <f>'TOTAL ESTACIONES'!AL145</f>
        <v>0</v>
      </c>
      <c r="AM145" s="14">
        <f>'TOTAL ESTACIONES'!AM145</f>
        <v>0</v>
      </c>
      <c r="AN145" s="89"/>
      <c r="AO145" s="244"/>
      <c r="AP145" s="77"/>
      <c r="AQ145" s="177"/>
      <c r="AR145" s="9">
        <f t="shared" si="3"/>
        <v>0</v>
      </c>
    </row>
    <row r="146" spans="5:44" ht="15.75" hidden="1" outlineLevel="1">
      <c r="I146" s="223" t="s">
        <v>255</v>
      </c>
      <c r="J146" s="65">
        <f>'TOTAL ESTACIONES'!J146</f>
        <v>0</v>
      </c>
      <c r="K146" s="65">
        <f>'TOTAL ESTACIONES'!K146</f>
        <v>0</v>
      </c>
      <c r="L146" s="65">
        <f>'TOTAL ESTACIONES'!L146</f>
        <v>0</v>
      </c>
      <c r="M146" s="65">
        <f>'TOTAL ESTACIONES'!M146</f>
        <v>0</v>
      </c>
      <c r="N146" s="65">
        <f>'TOTAL ESTACIONES'!N146</f>
        <v>0</v>
      </c>
      <c r="O146" s="65">
        <f>'TOTAL ESTACIONES'!O146</f>
        <v>0</v>
      </c>
      <c r="P146" s="65">
        <f>'TOTAL ESTACIONES'!P146</f>
        <v>0</v>
      </c>
      <c r="Q146" s="65">
        <f>'TOTAL ESTACIONES'!Q146</f>
        <v>0</v>
      </c>
      <c r="R146" s="65">
        <f>'TOTAL ESTACIONES'!R146</f>
        <v>0</v>
      </c>
      <c r="S146" s="65">
        <f>'TOTAL ESTACIONES'!S146</f>
        <v>0</v>
      </c>
      <c r="T146" s="65">
        <f>'TOTAL ESTACIONES'!T146</f>
        <v>0</v>
      </c>
      <c r="U146" s="65">
        <f>'TOTAL ESTACIONES'!U146</f>
        <v>0</v>
      </c>
      <c r="V146" s="11">
        <f>'TOTAL ESTACIONES'!V146</f>
        <v>0</v>
      </c>
      <c r="W146" s="73">
        <f>'TOTAL ESTACIONES'!W146</f>
        <v>0</v>
      </c>
      <c r="X146" s="89">
        <f>'TOTAL ESTACIONES'!X146</f>
        <v>0</v>
      </c>
      <c r="Y146" s="65">
        <f>'TOTAL ESTACIONES'!Y146</f>
        <v>0</v>
      </c>
      <c r="Z146" s="65">
        <f>'TOTAL ESTACIONES'!Z146</f>
        <v>0</v>
      </c>
      <c r="AA146" s="65">
        <f>'TOTAL ESTACIONES'!AA146</f>
        <v>0</v>
      </c>
      <c r="AB146" s="65">
        <f>'TOTAL ESTACIONES'!AB146</f>
        <v>0</v>
      </c>
      <c r="AC146" s="65">
        <f>'TOTAL ESTACIONES'!AC146</f>
        <v>0</v>
      </c>
      <c r="AD146" s="65">
        <f>'TOTAL ESTACIONES'!AD146</f>
        <v>0</v>
      </c>
      <c r="AE146" s="65">
        <f>'TOTAL ESTACIONES'!AE146</f>
        <v>0</v>
      </c>
      <c r="AF146" s="65">
        <f>'TOTAL ESTACIONES'!AF146</f>
        <v>0</v>
      </c>
      <c r="AG146" s="65">
        <f>'TOTAL ESTACIONES'!AG146</f>
        <v>0</v>
      </c>
      <c r="AH146" s="65">
        <f>'TOTAL ESTACIONES'!AH146</f>
        <v>0</v>
      </c>
      <c r="AI146" s="65">
        <f>'TOTAL ESTACIONES'!AI146</f>
        <v>0</v>
      </c>
      <c r="AJ146" s="65">
        <f>'TOTAL ESTACIONES'!AJ146</f>
        <v>0</v>
      </c>
      <c r="AK146" s="123">
        <f>'TOTAL ESTACIONES'!AK146</f>
        <v>0</v>
      </c>
      <c r="AL146" s="73">
        <f>'TOTAL ESTACIONES'!AL146</f>
        <v>0</v>
      </c>
      <c r="AM146" s="14">
        <f>'TOTAL ESTACIONES'!AM146</f>
        <v>0</v>
      </c>
      <c r="AN146" s="89"/>
      <c r="AO146" s="244"/>
      <c r="AP146" s="77"/>
      <c r="AQ146" s="177"/>
      <c r="AR146" s="9">
        <f t="shared" si="3"/>
        <v>0</v>
      </c>
    </row>
    <row r="147" spans="5:44" ht="15.75" collapsed="1">
      <c r="I147" s="119" t="s">
        <v>257</v>
      </c>
      <c r="J147" s="15">
        <f>'TOTAL ESTACIONES'!J147</f>
        <v>62418</v>
      </c>
      <c r="K147" s="15">
        <f>'TOTAL ESTACIONES'!K147</f>
        <v>57905</v>
      </c>
      <c r="L147" s="15">
        <f>'TOTAL ESTACIONES'!L147</f>
        <v>53803</v>
      </c>
      <c r="M147" s="15">
        <f>'TOTAL ESTACIONES'!M147</f>
        <v>62237</v>
      </c>
      <c r="N147" s="15">
        <f>'TOTAL ESTACIONES'!N147</f>
        <v>63237</v>
      </c>
      <c r="O147" s="15">
        <f>'TOTAL ESTACIONES'!O147</f>
        <v>59778</v>
      </c>
      <c r="P147" s="15">
        <f>'TOTAL ESTACIONES'!P147</f>
        <v>62693</v>
      </c>
      <c r="Q147" s="15">
        <f>'TOTAL ESTACIONES'!Q147</f>
        <v>70494</v>
      </c>
      <c r="R147" s="15">
        <f>'TOTAL ESTACIONES'!R147</f>
        <v>64019</v>
      </c>
      <c r="S147" s="15">
        <f>'TOTAL ESTACIONES'!S147</f>
        <v>73378</v>
      </c>
      <c r="T147" s="15">
        <f>'TOTAL ESTACIONES'!T147</f>
        <v>67646</v>
      </c>
      <c r="U147" s="15">
        <f>'TOTAL ESTACIONES'!U147</f>
        <v>68884.25</v>
      </c>
      <c r="V147" s="15">
        <f>'TOTAL ESTACIONES'!V147</f>
        <v>766492.25</v>
      </c>
      <c r="W147" s="72">
        <f>'TOTAL ESTACIONES'!W147</f>
        <v>2.3254366038391785E-3</v>
      </c>
      <c r="X147" s="89">
        <f>'TOTAL ESTACIONES'!X147</f>
        <v>0</v>
      </c>
      <c r="Y147" s="15">
        <f>'TOTAL ESTACIONES'!Y147</f>
        <v>63120.72</v>
      </c>
      <c r="Z147" s="15">
        <f>'TOTAL ESTACIONES'!Z147</f>
        <v>64404.08</v>
      </c>
      <c r="AA147" s="15">
        <f>'TOTAL ESTACIONES'!AA147</f>
        <v>61447.360000000001</v>
      </c>
      <c r="AB147" s="15">
        <f>'TOTAL ESTACIONES'!AB147</f>
        <v>64422.8</v>
      </c>
      <c r="AC147" s="15">
        <f>'TOTAL ESTACIONES'!AC147</f>
        <v>68465.279999999999</v>
      </c>
      <c r="AD147" s="15">
        <f>'TOTAL ESTACIONES'!AD147</f>
        <v>62941.84</v>
      </c>
      <c r="AE147" s="15">
        <f>'TOTAL ESTACIONES'!AE147</f>
        <v>67489.759999999995</v>
      </c>
      <c r="AF147" s="15">
        <f>'TOTAL ESTACIONES'!AF147</f>
        <v>61755.199999999997</v>
      </c>
      <c r="AG147" s="15">
        <f>'TOTAL ESTACIONES'!AG147</f>
        <v>57032.56</v>
      </c>
      <c r="AH147" s="15">
        <f>'TOTAL ESTACIONES'!AH147</f>
        <v>61331.92</v>
      </c>
      <c r="AI147" s="15">
        <f>'TOTAL ESTACIONES'!AI147</f>
        <v>52732.160000000003</v>
      </c>
      <c r="AJ147" s="15">
        <f>'TOTAL ESTACIONES'!AJ147</f>
        <v>60957.520000000004</v>
      </c>
      <c r="AK147" s="15">
        <f>'TOTAL ESTACIONES'!AK147</f>
        <v>746101.20000000007</v>
      </c>
      <c r="AL147" s="72">
        <f>'TOTAL ESTACIONES'!AL147</f>
        <v>2.0794395447488365E-3</v>
      </c>
      <c r="AM147" s="10">
        <f>+AK147/V147-1</f>
        <v>-2.6603073938451294E-2</v>
      </c>
      <c r="AN147" s="89"/>
      <c r="AO147" s="244"/>
      <c r="AP147" s="77"/>
      <c r="AQ147" s="177"/>
      <c r="AR147" s="9">
        <f t="shared" si="3"/>
        <v>-20391.04999999993</v>
      </c>
    </row>
    <row r="148" spans="5:44" ht="15.75" hidden="1" outlineLevel="1">
      <c r="I148" s="226" t="s">
        <v>258</v>
      </c>
      <c r="J148" s="65">
        <f>'TOTAL ESTACIONES'!J148</f>
        <v>0</v>
      </c>
      <c r="K148" s="65">
        <f>'TOTAL ESTACIONES'!K148</f>
        <v>0</v>
      </c>
      <c r="L148" s="65">
        <f>'TOTAL ESTACIONES'!L148</f>
        <v>0</v>
      </c>
      <c r="M148" s="65">
        <f>'TOTAL ESTACIONES'!M148</f>
        <v>0</v>
      </c>
      <c r="N148" s="65">
        <f>'TOTAL ESTACIONES'!N148</f>
        <v>0</v>
      </c>
      <c r="O148" s="65">
        <f>'TOTAL ESTACIONES'!O148</f>
        <v>0</v>
      </c>
      <c r="P148" s="65">
        <f>'TOTAL ESTACIONES'!P148</f>
        <v>0</v>
      </c>
      <c r="Q148" s="65">
        <f>'TOTAL ESTACIONES'!Q148</f>
        <v>0</v>
      </c>
      <c r="R148" s="65">
        <f>'TOTAL ESTACIONES'!R148</f>
        <v>0</v>
      </c>
      <c r="S148" s="65">
        <f>'TOTAL ESTACIONES'!S148</f>
        <v>0</v>
      </c>
      <c r="T148" s="65">
        <f>'TOTAL ESTACIONES'!T148</f>
        <v>0</v>
      </c>
      <c r="U148" s="65">
        <f>'TOTAL ESTACIONES'!U148</f>
        <v>0</v>
      </c>
      <c r="V148" s="11">
        <f>'TOTAL ESTACIONES'!V148</f>
        <v>0</v>
      </c>
      <c r="W148" s="73">
        <f>'TOTAL ESTACIONES'!W148</f>
        <v>0</v>
      </c>
      <c r="X148" s="89">
        <f>'TOTAL ESTACIONES'!X148</f>
        <v>0</v>
      </c>
      <c r="Y148" s="65">
        <f>'TOTAL ESTACIONES'!Y148</f>
        <v>0</v>
      </c>
      <c r="Z148" s="65">
        <f>'TOTAL ESTACIONES'!Z148</f>
        <v>0</v>
      </c>
      <c r="AA148" s="65">
        <f>'TOTAL ESTACIONES'!AA148</f>
        <v>0</v>
      </c>
      <c r="AB148" s="65">
        <f>'TOTAL ESTACIONES'!AB148</f>
        <v>0</v>
      </c>
      <c r="AC148" s="65">
        <f>'TOTAL ESTACIONES'!AC148</f>
        <v>0</v>
      </c>
      <c r="AD148" s="65">
        <f>'TOTAL ESTACIONES'!AD148</f>
        <v>0</v>
      </c>
      <c r="AE148" s="65">
        <f>'TOTAL ESTACIONES'!AE148</f>
        <v>0</v>
      </c>
      <c r="AF148" s="65">
        <f>'TOTAL ESTACIONES'!AF148</f>
        <v>0</v>
      </c>
      <c r="AG148" s="65">
        <f>'TOTAL ESTACIONES'!AG148</f>
        <v>0</v>
      </c>
      <c r="AH148" s="65">
        <f>'TOTAL ESTACIONES'!AH148</f>
        <v>0</v>
      </c>
      <c r="AI148" s="65">
        <f>'TOTAL ESTACIONES'!AI148</f>
        <v>0</v>
      </c>
      <c r="AJ148" s="65">
        <f>'TOTAL ESTACIONES'!AJ148</f>
        <v>0</v>
      </c>
      <c r="AK148" s="123">
        <f>'TOTAL ESTACIONES'!AK148</f>
        <v>0</v>
      </c>
      <c r="AL148" s="73">
        <f>'TOTAL ESTACIONES'!AL148</f>
        <v>0</v>
      </c>
      <c r="AM148" s="14">
        <f>'TOTAL ESTACIONES'!AM148</f>
        <v>0</v>
      </c>
      <c r="AN148" s="89"/>
      <c r="AO148" s="244"/>
      <c r="AP148" s="77"/>
      <c r="AQ148" s="177"/>
    </row>
    <row r="149" spans="5:44" ht="15.75" hidden="1" outlineLevel="1">
      <c r="I149" s="226" t="s">
        <v>259</v>
      </c>
      <c r="J149" s="65">
        <f>'TOTAL ESTACIONES'!J149</f>
        <v>0</v>
      </c>
      <c r="K149" s="65">
        <f>'TOTAL ESTACIONES'!K149</f>
        <v>0</v>
      </c>
      <c r="L149" s="65">
        <f>'TOTAL ESTACIONES'!L149</f>
        <v>0</v>
      </c>
      <c r="M149" s="65">
        <f>'TOTAL ESTACIONES'!M149</f>
        <v>0</v>
      </c>
      <c r="N149" s="65">
        <f>'TOTAL ESTACIONES'!N149</f>
        <v>0</v>
      </c>
      <c r="O149" s="65">
        <f>'TOTAL ESTACIONES'!O149</f>
        <v>0</v>
      </c>
      <c r="P149" s="65">
        <f>'TOTAL ESTACIONES'!P149</f>
        <v>0</v>
      </c>
      <c r="Q149" s="65">
        <f>'TOTAL ESTACIONES'!Q149</f>
        <v>0</v>
      </c>
      <c r="R149" s="65">
        <f>'TOTAL ESTACIONES'!R149</f>
        <v>0</v>
      </c>
      <c r="S149" s="65">
        <f>'TOTAL ESTACIONES'!S149</f>
        <v>0</v>
      </c>
      <c r="T149" s="65">
        <f>'TOTAL ESTACIONES'!T149</f>
        <v>0</v>
      </c>
      <c r="U149" s="65">
        <f>'TOTAL ESTACIONES'!U149</f>
        <v>0</v>
      </c>
      <c r="V149" s="11">
        <f>'TOTAL ESTACIONES'!V149</f>
        <v>0</v>
      </c>
      <c r="W149" s="73">
        <f>'TOTAL ESTACIONES'!W149</f>
        <v>0</v>
      </c>
      <c r="X149" s="89">
        <f>'TOTAL ESTACIONES'!X149</f>
        <v>0</v>
      </c>
      <c r="Y149" s="65">
        <f>'TOTAL ESTACIONES'!Y149</f>
        <v>0</v>
      </c>
      <c r="Z149" s="65">
        <f>'TOTAL ESTACIONES'!Z149</f>
        <v>0</v>
      </c>
      <c r="AA149" s="65">
        <f>'TOTAL ESTACIONES'!AA149</f>
        <v>0</v>
      </c>
      <c r="AB149" s="65">
        <f>'TOTAL ESTACIONES'!AB149</f>
        <v>0</v>
      </c>
      <c r="AC149" s="65">
        <f>'TOTAL ESTACIONES'!AC149</f>
        <v>0</v>
      </c>
      <c r="AD149" s="65">
        <f>'TOTAL ESTACIONES'!AD149</f>
        <v>0</v>
      </c>
      <c r="AE149" s="65">
        <f>'TOTAL ESTACIONES'!AE149</f>
        <v>0</v>
      </c>
      <c r="AF149" s="65">
        <f>'TOTAL ESTACIONES'!AF149</f>
        <v>0</v>
      </c>
      <c r="AG149" s="65">
        <f>'TOTAL ESTACIONES'!AG149</f>
        <v>0</v>
      </c>
      <c r="AH149" s="65">
        <f>'TOTAL ESTACIONES'!AH149</f>
        <v>0</v>
      </c>
      <c r="AI149" s="65">
        <f>'TOTAL ESTACIONES'!AI149</f>
        <v>0</v>
      </c>
      <c r="AJ149" s="65">
        <f>'TOTAL ESTACIONES'!AJ149</f>
        <v>0</v>
      </c>
      <c r="AK149" s="123">
        <f>'TOTAL ESTACIONES'!AK149</f>
        <v>0</v>
      </c>
      <c r="AL149" s="73">
        <f>'TOTAL ESTACIONES'!AL149</f>
        <v>0</v>
      </c>
      <c r="AM149" s="14">
        <f>'TOTAL ESTACIONES'!AM149</f>
        <v>0</v>
      </c>
      <c r="AN149" s="89"/>
      <c r="AO149" s="244"/>
      <c r="AP149" s="77"/>
      <c r="AQ149" s="177"/>
    </row>
    <row r="150" spans="5:44" ht="15.75" hidden="1" outlineLevel="1">
      <c r="I150" s="262" t="s">
        <v>260</v>
      </c>
      <c r="J150" s="65">
        <f>'TOTAL ESTACIONES'!J150</f>
        <v>30718</v>
      </c>
      <c r="K150" s="65">
        <f>'TOTAL ESTACIONES'!K150</f>
        <v>33105</v>
      </c>
      <c r="L150" s="65">
        <f>'TOTAL ESTACIONES'!L150</f>
        <v>32203</v>
      </c>
      <c r="M150" s="65">
        <f>'TOTAL ESTACIONES'!M150</f>
        <v>30237</v>
      </c>
      <c r="N150" s="65">
        <f>'TOTAL ESTACIONES'!N150</f>
        <v>31237</v>
      </c>
      <c r="O150" s="65">
        <f>'TOTAL ESTACIONES'!O150</f>
        <v>29778</v>
      </c>
      <c r="P150" s="65">
        <f>'TOTAL ESTACIONES'!P150</f>
        <v>30411</v>
      </c>
      <c r="Q150" s="65">
        <f>'TOTAL ESTACIONES'!Q150</f>
        <v>30474</v>
      </c>
      <c r="R150" s="65">
        <f>'TOTAL ESTACIONES'!R150</f>
        <v>31919</v>
      </c>
      <c r="S150" s="65">
        <f>'TOTAL ESTACIONES'!S150</f>
        <v>31058</v>
      </c>
      <c r="T150" s="65">
        <f>'TOTAL ESTACIONES'!T150</f>
        <v>30965.5</v>
      </c>
      <c r="U150" s="65">
        <f>'TOTAL ESTACIONES'!U150</f>
        <v>31104.125</v>
      </c>
      <c r="V150" s="11">
        <f>'TOTAL ESTACIONES'!V150</f>
        <v>373209.625</v>
      </c>
      <c r="W150" s="73">
        <f>'TOTAL ESTACIONES'!W150</f>
        <v>1.1322688818837937E-3</v>
      </c>
      <c r="X150" s="89">
        <f>'TOTAL ESTACIONES'!X150</f>
        <v>0</v>
      </c>
      <c r="Y150" s="65">
        <f>'TOTAL ESTACIONES'!Y150</f>
        <v>34082.879999999997</v>
      </c>
      <c r="Z150" s="65">
        <f>'TOTAL ESTACIONES'!Z150</f>
        <v>35366.240000000005</v>
      </c>
      <c r="AA150" s="65">
        <f>'TOTAL ESTACIONES'!AA150</f>
        <v>32409.52</v>
      </c>
      <c r="AB150" s="65">
        <f>'TOTAL ESTACIONES'!AB150</f>
        <v>35384.960000000006</v>
      </c>
      <c r="AC150" s="65">
        <f>'TOTAL ESTACIONES'!AC150</f>
        <v>39427.440000000002</v>
      </c>
      <c r="AD150" s="65">
        <f>'TOTAL ESTACIONES'!AD150</f>
        <v>33904</v>
      </c>
      <c r="AE150" s="65">
        <f>'TOTAL ESTACIONES'!AE150</f>
        <v>38451.919999999998</v>
      </c>
      <c r="AF150" s="65">
        <f>'TOTAL ESTACIONES'!AF150</f>
        <v>32717.360000000001</v>
      </c>
      <c r="AG150" s="65">
        <f>'TOTAL ESTACIONES'!AG150</f>
        <v>27994.720000000001</v>
      </c>
      <c r="AH150" s="65">
        <f>'TOTAL ESTACIONES'!AH150</f>
        <v>32294.080000000002</v>
      </c>
      <c r="AI150" s="65">
        <f>'TOTAL ESTACIONES'!AI150</f>
        <v>23694.32</v>
      </c>
      <c r="AJ150" s="65">
        <f>'TOTAL ESTACIONES'!AJ150</f>
        <v>31919.68</v>
      </c>
      <c r="AK150" s="123">
        <f>'TOTAL ESTACIONES'!AK150</f>
        <v>397647.12000000005</v>
      </c>
      <c r="AL150" s="73">
        <f>'TOTAL ESTACIONES'!AL150</f>
        <v>1.1082721032796702E-3</v>
      </c>
      <c r="AM150" s="14">
        <f>'TOTAL ESTACIONES'!AM150</f>
        <v>6.5479273210062638E-2</v>
      </c>
      <c r="AN150" s="89"/>
      <c r="AO150" s="244"/>
      <c r="AP150" s="77"/>
      <c r="AQ150" s="177"/>
    </row>
    <row r="151" spans="5:44" ht="15.75" hidden="1" outlineLevel="1">
      <c r="I151" s="262" t="s">
        <v>263</v>
      </c>
      <c r="J151" s="65">
        <f>'TOTAL ESTACIONES'!J151</f>
        <v>15700</v>
      </c>
      <c r="K151" s="65">
        <f>'TOTAL ESTACIONES'!K151</f>
        <v>8800</v>
      </c>
      <c r="L151" s="65">
        <f>'TOTAL ESTACIONES'!L151</f>
        <v>5600</v>
      </c>
      <c r="M151" s="65">
        <f>'TOTAL ESTACIONES'!M151</f>
        <v>16000</v>
      </c>
      <c r="N151" s="65">
        <f>'TOTAL ESTACIONES'!N151</f>
        <v>16000</v>
      </c>
      <c r="O151" s="65">
        <f>'TOTAL ESTACIONES'!O151</f>
        <v>14000</v>
      </c>
      <c r="P151" s="65">
        <f>'TOTAL ESTACIONES'!P151</f>
        <v>16282</v>
      </c>
      <c r="Q151" s="65">
        <f>'TOTAL ESTACIONES'!Q151</f>
        <v>24020</v>
      </c>
      <c r="R151" s="65">
        <f>'TOTAL ESTACIONES'!R151</f>
        <v>16100</v>
      </c>
      <c r="S151" s="65">
        <f>'TOTAL ESTACIONES'!S151</f>
        <v>26320</v>
      </c>
      <c r="T151" s="65">
        <f>'TOTAL ESTACIONES'!T151</f>
        <v>20680.5</v>
      </c>
      <c r="U151" s="65">
        <f>'TOTAL ESTACIONES'!U151</f>
        <v>21780.125</v>
      </c>
      <c r="V151" s="11">
        <f>'TOTAL ESTACIONES'!V151</f>
        <v>201282.625</v>
      </c>
      <c r="W151" s="73">
        <f>'TOTAL ESTACIONES'!W151</f>
        <v>6.106649922316043E-4</v>
      </c>
      <c r="X151" s="89">
        <f>'TOTAL ESTACIONES'!X151</f>
        <v>0</v>
      </c>
      <c r="Y151" s="65">
        <f>'TOTAL ESTACIONES'!Y151</f>
        <v>12397.84</v>
      </c>
      <c r="Z151" s="65">
        <f>'TOTAL ESTACIONES'!Z151</f>
        <v>12397.84</v>
      </c>
      <c r="AA151" s="65">
        <f>'TOTAL ESTACIONES'!AA151</f>
        <v>12397.84</v>
      </c>
      <c r="AB151" s="65">
        <f>'TOTAL ESTACIONES'!AB151</f>
        <v>12397.84</v>
      </c>
      <c r="AC151" s="65">
        <f>'TOTAL ESTACIONES'!AC151</f>
        <v>12397.84</v>
      </c>
      <c r="AD151" s="65">
        <f>'TOTAL ESTACIONES'!AD151</f>
        <v>12397.84</v>
      </c>
      <c r="AE151" s="65">
        <f>'TOTAL ESTACIONES'!AE151</f>
        <v>12397.84</v>
      </c>
      <c r="AF151" s="65">
        <f>'TOTAL ESTACIONES'!AF151</f>
        <v>12397.84</v>
      </c>
      <c r="AG151" s="65">
        <f>'TOTAL ESTACIONES'!AG151</f>
        <v>12397.84</v>
      </c>
      <c r="AH151" s="65">
        <f>'TOTAL ESTACIONES'!AH151</f>
        <v>12397.84</v>
      </c>
      <c r="AI151" s="65">
        <f>'TOTAL ESTACIONES'!AI151</f>
        <v>12397.84</v>
      </c>
      <c r="AJ151" s="65">
        <f>'TOTAL ESTACIONES'!AJ151</f>
        <v>12397.84</v>
      </c>
      <c r="AK151" s="123">
        <f>'TOTAL ESTACIONES'!AK151</f>
        <v>148774.07999999999</v>
      </c>
      <c r="AL151" s="73">
        <f>'TOTAL ESTACIONES'!AL151</f>
        <v>4.146444278411922E-4</v>
      </c>
      <c r="AM151" s="14">
        <f>'TOTAL ESTACIONES'!AM151</f>
        <v>-0.2608697347821255</v>
      </c>
      <c r="AN151" s="89"/>
      <c r="AO151" s="244"/>
      <c r="AP151" s="77"/>
      <c r="AQ151" s="177"/>
    </row>
    <row r="152" spans="5:44" ht="15.75" hidden="1" outlineLevel="1">
      <c r="I152" s="262" t="s">
        <v>426</v>
      </c>
      <c r="J152" s="65">
        <f>'TOTAL ESTACIONES'!J152</f>
        <v>0</v>
      </c>
      <c r="K152" s="65">
        <f>'TOTAL ESTACIONES'!K152</f>
        <v>0</v>
      </c>
      <c r="L152" s="65">
        <f>'TOTAL ESTACIONES'!L152</f>
        <v>0</v>
      </c>
      <c r="M152" s="65">
        <f>'TOTAL ESTACIONES'!M152</f>
        <v>0</v>
      </c>
      <c r="N152" s="65">
        <f>'TOTAL ESTACIONES'!N152</f>
        <v>0</v>
      </c>
      <c r="O152" s="65">
        <f>'TOTAL ESTACIONES'!O152</f>
        <v>0</v>
      </c>
      <c r="P152" s="65">
        <f>'TOTAL ESTACIONES'!P152</f>
        <v>0</v>
      </c>
      <c r="Q152" s="65">
        <f>'TOTAL ESTACIONES'!Q152</f>
        <v>0</v>
      </c>
      <c r="R152" s="65">
        <f>'TOTAL ESTACIONES'!R152</f>
        <v>0</v>
      </c>
      <c r="S152" s="65">
        <f>'TOTAL ESTACIONES'!S152</f>
        <v>0</v>
      </c>
      <c r="T152" s="65">
        <f>'TOTAL ESTACIONES'!T152</f>
        <v>0</v>
      </c>
      <c r="U152" s="65">
        <f>'TOTAL ESTACIONES'!U152</f>
        <v>0</v>
      </c>
      <c r="V152" s="11">
        <f>'TOTAL ESTACIONES'!V152</f>
        <v>0</v>
      </c>
      <c r="W152" s="73">
        <f>'TOTAL ESTACIONES'!W152</f>
        <v>0</v>
      </c>
      <c r="X152" s="89">
        <f>'TOTAL ESTACIONES'!X152</f>
        <v>0</v>
      </c>
      <c r="Y152" s="65">
        <f>'TOTAL ESTACIONES'!Y152</f>
        <v>0</v>
      </c>
      <c r="Z152" s="65">
        <f>'TOTAL ESTACIONES'!Z152</f>
        <v>0</v>
      </c>
      <c r="AA152" s="65">
        <f>'TOTAL ESTACIONES'!AA152</f>
        <v>0</v>
      </c>
      <c r="AB152" s="65">
        <f>'TOTAL ESTACIONES'!AB152</f>
        <v>0</v>
      </c>
      <c r="AC152" s="65">
        <f>'TOTAL ESTACIONES'!AC152</f>
        <v>0</v>
      </c>
      <c r="AD152" s="65">
        <f>'TOTAL ESTACIONES'!AD152</f>
        <v>0</v>
      </c>
      <c r="AE152" s="65">
        <f>'TOTAL ESTACIONES'!AE152</f>
        <v>0</v>
      </c>
      <c r="AF152" s="65">
        <f>'TOTAL ESTACIONES'!AF152</f>
        <v>0</v>
      </c>
      <c r="AG152" s="65">
        <f>'TOTAL ESTACIONES'!AG152</f>
        <v>0</v>
      </c>
      <c r="AH152" s="65">
        <f>'TOTAL ESTACIONES'!AH152</f>
        <v>0</v>
      </c>
      <c r="AI152" s="65">
        <f>'TOTAL ESTACIONES'!AI152</f>
        <v>0</v>
      </c>
      <c r="AJ152" s="65">
        <f>'TOTAL ESTACIONES'!AJ152</f>
        <v>0</v>
      </c>
      <c r="AK152" s="123">
        <f>'TOTAL ESTACIONES'!AK152</f>
        <v>0</v>
      </c>
      <c r="AL152" s="73">
        <f>'TOTAL ESTACIONES'!AL152</f>
        <v>0</v>
      </c>
      <c r="AM152" s="14">
        <f>'TOTAL ESTACIONES'!AM152</f>
        <v>0</v>
      </c>
      <c r="AN152" s="89"/>
      <c r="AO152" s="244"/>
      <c r="AP152" s="77"/>
      <c r="AQ152" s="177"/>
    </row>
    <row r="153" spans="5:44" ht="15.75" hidden="1" outlineLevel="1">
      <c r="I153" s="226" t="s">
        <v>264</v>
      </c>
      <c r="J153" s="65">
        <f>'TOTAL ESTACIONES'!J153</f>
        <v>16000</v>
      </c>
      <c r="K153" s="65">
        <f>'TOTAL ESTACIONES'!K153</f>
        <v>16000</v>
      </c>
      <c r="L153" s="65">
        <f>'TOTAL ESTACIONES'!L153</f>
        <v>16000</v>
      </c>
      <c r="M153" s="65">
        <f>'TOTAL ESTACIONES'!M153</f>
        <v>16000</v>
      </c>
      <c r="N153" s="65">
        <f>'TOTAL ESTACIONES'!N153</f>
        <v>16000</v>
      </c>
      <c r="O153" s="65">
        <f>'TOTAL ESTACIONES'!O153</f>
        <v>16000</v>
      </c>
      <c r="P153" s="65">
        <f>'TOTAL ESTACIONES'!P153</f>
        <v>16000</v>
      </c>
      <c r="Q153" s="65">
        <f>'TOTAL ESTACIONES'!Q153</f>
        <v>16000</v>
      </c>
      <c r="R153" s="65">
        <f>'TOTAL ESTACIONES'!R153</f>
        <v>16000</v>
      </c>
      <c r="S153" s="65">
        <f>'TOTAL ESTACIONES'!S153</f>
        <v>16000</v>
      </c>
      <c r="T153" s="65">
        <f>'TOTAL ESTACIONES'!T153</f>
        <v>16000</v>
      </c>
      <c r="U153" s="65">
        <f>'TOTAL ESTACIONES'!U153</f>
        <v>16000</v>
      </c>
      <c r="V153" s="11">
        <f>'TOTAL ESTACIONES'!V153</f>
        <v>192000</v>
      </c>
      <c r="W153" s="73">
        <f>'TOTAL ESTACIONES'!W153</f>
        <v>5.8250272972378036E-4</v>
      </c>
      <c r="X153" s="89">
        <f>'TOTAL ESTACIONES'!X153</f>
        <v>0</v>
      </c>
      <c r="Y153" s="65">
        <f>'TOTAL ESTACIONES'!Y153</f>
        <v>16640</v>
      </c>
      <c r="Z153" s="65">
        <f>'TOTAL ESTACIONES'!Z153</f>
        <v>16640</v>
      </c>
      <c r="AA153" s="65">
        <f>'TOTAL ESTACIONES'!AA153</f>
        <v>16640</v>
      </c>
      <c r="AB153" s="65">
        <f>'TOTAL ESTACIONES'!AB153</f>
        <v>16640</v>
      </c>
      <c r="AC153" s="65">
        <f>'TOTAL ESTACIONES'!AC153</f>
        <v>16640</v>
      </c>
      <c r="AD153" s="65">
        <f>'TOTAL ESTACIONES'!AD153</f>
        <v>16640</v>
      </c>
      <c r="AE153" s="65">
        <f>'TOTAL ESTACIONES'!AE153</f>
        <v>16640</v>
      </c>
      <c r="AF153" s="65">
        <f>'TOTAL ESTACIONES'!AF153</f>
        <v>16640</v>
      </c>
      <c r="AG153" s="65">
        <f>'TOTAL ESTACIONES'!AG153</f>
        <v>16640</v>
      </c>
      <c r="AH153" s="65">
        <f>'TOTAL ESTACIONES'!AH153</f>
        <v>16640</v>
      </c>
      <c r="AI153" s="65">
        <f>'TOTAL ESTACIONES'!AI153</f>
        <v>16640</v>
      </c>
      <c r="AJ153" s="65">
        <f>'TOTAL ESTACIONES'!AJ153</f>
        <v>16640</v>
      </c>
      <c r="AK153" s="123">
        <f>'TOTAL ESTACIONES'!AK153</f>
        <v>199680</v>
      </c>
      <c r="AL153" s="73">
        <f>'TOTAL ESTACIONES'!AL153</f>
        <v>5.5652301362797381E-4</v>
      </c>
      <c r="AM153" s="14">
        <f>'TOTAL ESTACIONES'!AM153</f>
        <v>4.0000000000000036E-2</v>
      </c>
      <c r="AN153" s="89"/>
      <c r="AO153" s="244"/>
      <c r="AP153" s="77"/>
      <c r="AQ153" s="177"/>
    </row>
    <row r="154" spans="5:44" ht="15.75">
      <c r="I154" s="119" t="s">
        <v>427</v>
      </c>
      <c r="J154" s="27">
        <v>69841</v>
      </c>
      <c r="K154" s="27">
        <v>70380</v>
      </c>
      <c r="L154" s="27">
        <v>71161</v>
      </c>
      <c r="M154" s="27">
        <v>93772</v>
      </c>
      <c r="N154" s="27">
        <v>82517</v>
      </c>
      <c r="O154" s="27">
        <v>76745</v>
      </c>
      <c r="P154" s="27">
        <v>87788</v>
      </c>
      <c r="Q154" s="27">
        <v>87333</v>
      </c>
      <c r="R154" s="27">
        <v>89513</v>
      </c>
      <c r="S154" s="27">
        <v>86567</v>
      </c>
      <c r="T154" s="27">
        <v>86264</v>
      </c>
      <c r="U154" s="27">
        <v>87417</v>
      </c>
      <c r="V154" s="27">
        <f t="shared" ref="V154" si="4">SUM(J154:U154)</f>
        <v>989298</v>
      </c>
      <c r="W154" s="76">
        <f t="shared" ref="W154" si="5">V154/V$6</f>
        <v>3.0013999245326896E-3</v>
      </c>
      <c r="Y154" s="27">
        <f t="shared" ref="Y154" si="6">+J154*1.0375</f>
        <v>72460.037500000006</v>
      </c>
      <c r="Z154" s="27">
        <f t="shared" ref="Z154" si="7">+K154*1.0375</f>
        <v>73019.25</v>
      </c>
      <c r="AA154" s="27">
        <f t="shared" ref="AA154" si="8">+L154*1.0375</f>
        <v>73829.537500000006</v>
      </c>
      <c r="AB154" s="27">
        <f t="shared" ref="AB154" si="9">+M154*1.0375</f>
        <v>97288.450000000012</v>
      </c>
      <c r="AC154" s="27">
        <f t="shared" ref="AC154" si="10">+N154*1.0375</f>
        <v>85611.387500000012</v>
      </c>
      <c r="AD154" s="27">
        <f t="shared" ref="AD154" si="11">+O154*1.0375</f>
        <v>79622.9375</v>
      </c>
      <c r="AE154" s="27">
        <f t="shared" ref="AE154" si="12">+P154*1.0375</f>
        <v>91080.05</v>
      </c>
      <c r="AF154" s="27">
        <f t="shared" ref="AF154" si="13">+Q154*1.0375</f>
        <v>90607.987500000003</v>
      </c>
      <c r="AG154" s="27">
        <f t="shared" ref="AG154" si="14">+R154*1.0375</f>
        <v>92869.737500000003</v>
      </c>
      <c r="AH154" s="27">
        <f t="shared" ref="AH154" si="15">+S154*1.0375</f>
        <v>89813.262500000012</v>
      </c>
      <c r="AI154" s="27">
        <f t="shared" ref="AI154" si="16">+T154*1.0375</f>
        <v>89498.900000000009</v>
      </c>
      <c r="AJ154" s="27">
        <f t="shared" ref="AJ154" si="17">+U154*1.0375</f>
        <v>90695.137500000012</v>
      </c>
      <c r="AK154" s="27">
        <f t="shared" ref="AK154" si="18">SUM(Y154:AJ154)</f>
        <v>1026396.6750000003</v>
      </c>
      <c r="AL154" s="72">
        <f t="shared" ref="AL154" si="19">AK154/AK$6</f>
        <v>2.8606438839579936E-3</v>
      </c>
      <c r="AM154" s="10">
        <f>+AK154/V154-1</f>
        <v>3.7500000000000311E-2</v>
      </c>
      <c r="AN154" s="89"/>
      <c r="AO154" s="244"/>
      <c r="AP154" s="77"/>
      <c r="AQ154" s="177"/>
    </row>
    <row r="155" spans="5:44" ht="15.75">
      <c r="I155" s="186" t="s">
        <v>265</v>
      </c>
      <c r="J155" s="27">
        <f>'TOTAL ESTACIONES'!J155</f>
        <v>942134</v>
      </c>
      <c r="K155" s="27">
        <f>'TOTAL ESTACIONES'!K155</f>
        <v>818797</v>
      </c>
      <c r="L155" s="27">
        <f>'TOTAL ESTACIONES'!L155</f>
        <v>929272</v>
      </c>
      <c r="M155" s="27">
        <f>'TOTAL ESTACIONES'!M155</f>
        <v>845832</v>
      </c>
      <c r="N155" s="27">
        <f>'TOTAL ESTACIONES'!N155</f>
        <v>862681</v>
      </c>
      <c r="O155" s="27">
        <f>'TOTAL ESTACIONES'!O155</f>
        <v>931167</v>
      </c>
      <c r="P155" s="27">
        <f>'TOTAL ESTACIONES'!P155</f>
        <v>912774</v>
      </c>
      <c r="Q155" s="27">
        <f>'TOTAL ESTACIONES'!Q155</f>
        <v>977258</v>
      </c>
      <c r="R155" s="27">
        <f>'TOTAL ESTACIONES'!R155</f>
        <v>1001300</v>
      </c>
      <c r="S155" s="27">
        <f>'TOTAL ESTACIONES'!S155</f>
        <v>1018878</v>
      </c>
      <c r="T155" s="27">
        <f>'TOTAL ESTACIONES'!T155</f>
        <v>975294.28666666662</v>
      </c>
      <c r="U155" s="27">
        <f>'TOTAL ESTACIONES'!U155</f>
        <v>1041983.3955555556</v>
      </c>
      <c r="V155" s="27">
        <f>'TOTAL ESTACIONES'!V155</f>
        <v>11257370.682222221</v>
      </c>
      <c r="W155" s="76">
        <f>'TOTAL ESTACIONES'!W155</f>
        <v>3.41533809995151E-2</v>
      </c>
      <c r="X155" s="89">
        <f>'TOTAL ESTACIONES'!X155</f>
        <v>0</v>
      </c>
      <c r="Y155" s="27">
        <f>'TOTAL ESTACIONES'!Y155</f>
        <v>1073769.4743684565</v>
      </c>
      <c r="Z155" s="27">
        <f>'TOTAL ESTACIONES'!Z155</f>
        <v>954522.70160365733</v>
      </c>
      <c r="AA155" s="27">
        <f>'TOTAL ESTACIONES'!AA155</f>
        <v>1081610.3892440486</v>
      </c>
      <c r="AB155" s="27">
        <f>'TOTAL ESTACIONES'!AB155</f>
        <v>955880.80645800615</v>
      </c>
      <c r="AC155" s="27">
        <f>'TOTAL ESTACIONES'!AC155</f>
        <v>1134366.5822241502</v>
      </c>
      <c r="AD155" s="27">
        <f>'TOTAL ESTACIONES'!AD155</f>
        <v>957442.19806335703</v>
      </c>
      <c r="AE155" s="27">
        <f>'TOTAL ESTACIONES'!AE155</f>
        <v>988920.62134790351</v>
      </c>
      <c r="AF155" s="27">
        <f>'TOTAL ESTACIONES'!AF155</f>
        <v>1174111.9511540055</v>
      </c>
      <c r="AG155" s="27">
        <f>'TOTAL ESTACIONES'!AG155</f>
        <v>1099196.1945407789</v>
      </c>
      <c r="AH155" s="27">
        <f>'TOTAL ESTACIONES'!AH155</f>
        <v>1059820.0827295256</v>
      </c>
      <c r="AI155" s="27">
        <f>'TOTAL ESTACIONES'!AI155</f>
        <v>991734.2464814285</v>
      </c>
      <c r="AJ155" s="27">
        <f>'TOTAL ESTACIONES'!AJ155</f>
        <v>1088844.0249740614</v>
      </c>
      <c r="AK155" s="27">
        <f>'TOTAL ESTACIONES'!AK155</f>
        <v>12560219.273189379</v>
      </c>
      <c r="AL155" s="76">
        <f>'TOTAL ESTACIONES'!AL155</f>
        <v>3.5006265433411017E-2</v>
      </c>
      <c r="AM155" s="10">
        <f>+AK155/V155-1</f>
        <v>0.11573293868919432</v>
      </c>
      <c r="AN155" s="89"/>
      <c r="AO155" s="244"/>
      <c r="AP155" s="77"/>
      <c r="AQ155" s="177"/>
      <c r="AR155" s="9">
        <f t="shared" ref="AR155" si="20">+AK155-V155</f>
        <v>1302848.5909671579</v>
      </c>
    </row>
    <row r="156" spans="5:44" ht="15.75">
      <c r="I156" s="26" t="s">
        <v>266</v>
      </c>
      <c r="J156" s="17">
        <f>'TOTAL ESTACIONES'!J156</f>
        <v>0.77024340153895965</v>
      </c>
      <c r="K156" s="17">
        <f>'TOTAL ESTACIONES'!K156</f>
        <v>0.70531711821599252</v>
      </c>
      <c r="L156" s="17">
        <f>'TOTAL ESTACIONES'!L156</f>
        <v>0.70757469618980906</v>
      </c>
      <c r="M156" s="17">
        <f>'TOTAL ESTACIONES'!M156</f>
        <v>0.68170366274918159</v>
      </c>
      <c r="N156" s="17">
        <f>'TOTAL ESTACIONES'!N156</f>
        <v>0.67802123785024726</v>
      </c>
      <c r="O156" s="17">
        <f>'TOTAL ESTACIONES'!O156</f>
        <v>0.74648389775886559</v>
      </c>
      <c r="P156" s="17">
        <f>'TOTAL ESTACIONES'!P156</f>
        <v>0.70092286710805796</v>
      </c>
      <c r="Q156" s="17">
        <f>'TOTAL ESTACIONES'!Q156</f>
        <v>0.74207116079557578</v>
      </c>
      <c r="R156" s="17">
        <f>'TOTAL ESTACIONES'!R156</f>
        <v>0.74293753032814491</v>
      </c>
      <c r="S156" s="17">
        <f>'TOTAL ESTACIONES'!S156</f>
        <v>0.70337640390099643</v>
      </c>
      <c r="T156" s="17">
        <f>'TOTAL ESTACIONES'!T156</f>
        <v>0.69842524820033713</v>
      </c>
      <c r="U156" s="17">
        <f>'TOTAL ESTACIONES'!U156</f>
        <v>0.76104622557094392</v>
      </c>
      <c r="V156" s="17">
        <f>'TOTAL ESTACIONES'!V156</f>
        <v>0.71982915233315059</v>
      </c>
      <c r="W156" s="73">
        <f>'TOTAL ESTACIONES'!W156</f>
        <v>2.1838669071292452E-9</v>
      </c>
      <c r="X156" s="89">
        <f>'TOTAL ESTACIONES'!X156</f>
        <v>0</v>
      </c>
      <c r="Y156" s="17">
        <f>'TOTAL ESTACIONES'!Y156</f>
        <v>0.83468441743527133</v>
      </c>
      <c r="Z156" s="17">
        <f>'TOTAL ESTACIONES'!Z156</f>
        <v>0.77986514381503402</v>
      </c>
      <c r="AA156" s="17">
        <f>'TOTAL ESTACIONES'!AA156</f>
        <v>0.79631842902670225</v>
      </c>
      <c r="AB156" s="17">
        <f>'TOTAL ESTACIONES'!AB156</f>
        <v>0.7272646719784619</v>
      </c>
      <c r="AC156" s="17">
        <f>'TOTAL ESTACIONES'!AC156</f>
        <v>0.8469583306904388</v>
      </c>
      <c r="AD156" s="17">
        <f>'TOTAL ESTACIONES'!AD156</f>
        <v>0.73426540885780012</v>
      </c>
      <c r="AE156" s="17">
        <f>'TOTAL ESTACIONES'!AE156</f>
        <v>0.72518702234980192</v>
      </c>
      <c r="AF156" s="17">
        <f>'TOTAL ESTACIONES'!AF156</f>
        <v>0.83699255415267837</v>
      </c>
      <c r="AG156" s="17">
        <f>'TOTAL ESTACIONES'!AG156</f>
        <v>0.7785498994280643</v>
      </c>
      <c r="AH156" s="17">
        <f>'TOTAL ESTACIONES'!AH156</f>
        <v>0.70713993365291483</v>
      </c>
      <c r="AI156" s="17">
        <f>'TOTAL ESTACIONES'!AI156</f>
        <v>0.67859484545839688</v>
      </c>
      <c r="AJ156" s="17">
        <f>'TOTAL ESTACIONES'!AJ156</f>
        <v>0.75889178839572213</v>
      </c>
      <c r="AK156" s="227">
        <f>'TOTAL ESTACIONES'!AK156</f>
        <v>0.76588682982958711</v>
      </c>
      <c r="AL156" s="73">
        <f>'TOTAL ESTACIONES'!AL156</f>
        <v>2.1345835668806939E-9</v>
      </c>
      <c r="AM156" s="16">
        <f>'TOTAL ESTACIONES'!AM156</f>
        <v>6.3984179228018023E-2</v>
      </c>
      <c r="AN156" s="89"/>
      <c r="AO156" s="244"/>
      <c r="AP156" s="77"/>
      <c r="AQ156" s="177"/>
    </row>
    <row r="157" spans="5:44" ht="15.75">
      <c r="I157" s="26" t="s">
        <v>267</v>
      </c>
      <c r="J157" s="17">
        <f>'TOTAL ESTACIONES'!J157</f>
        <v>0.77024340153895965</v>
      </c>
      <c r="K157" s="17">
        <f>'TOTAL ESTACIONES'!K157</f>
        <v>0.70531711821599252</v>
      </c>
      <c r="L157" s="17">
        <f>'TOTAL ESTACIONES'!L157</f>
        <v>0.70757469618980906</v>
      </c>
      <c r="M157" s="17">
        <f>'TOTAL ESTACIONES'!M157</f>
        <v>0.68170366274918159</v>
      </c>
      <c r="N157" s="17">
        <f>'TOTAL ESTACIONES'!N157</f>
        <v>0.67802123785024726</v>
      </c>
      <c r="O157" s="17">
        <f>'TOTAL ESTACIONES'!O157</f>
        <v>0.74648389775886559</v>
      </c>
      <c r="P157" s="17">
        <f>'TOTAL ESTACIONES'!P157</f>
        <v>0.70092286710805796</v>
      </c>
      <c r="Q157" s="17">
        <f>'TOTAL ESTACIONES'!Q157</f>
        <v>0.74207116079557578</v>
      </c>
      <c r="R157" s="17">
        <f>'TOTAL ESTACIONES'!R157</f>
        <v>0.74293753032814491</v>
      </c>
      <c r="S157" s="17">
        <f>'TOTAL ESTACIONES'!S157</f>
        <v>0.70337640390099643</v>
      </c>
      <c r="T157" s="17">
        <f>'TOTAL ESTACIONES'!T157</f>
        <v>0.69842524820033713</v>
      </c>
      <c r="U157" s="17">
        <f>'TOTAL ESTACIONES'!U157</f>
        <v>0.76104622557094392</v>
      </c>
      <c r="V157" s="17">
        <f>'TOTAL ESTACIONES'!V157</f>
        <v>0.71982915233315059</v>
      </c>
      <c r="W157" s="73">
        <f>'TOTAL ESTACIONES'!W157</f>
        <v>2.1838669071292452E-9</v>
      </c>
      <c r="X157" s="89">
        <f>'TOTAL ESTACIONES'!X157</f>
        <v>0</v>
      </c>
      <c r="Y157" s="17">
        <f>'TOTAL ESTACIONES'!Y157</f>
        <v>0.83468441743527133</v>
      </c>
      <c r="Z157" s="17">
        <f>'TOTAL ESTACIONES'!Z157</f>
        <v>0.77986514381503402</v>
      </c>
      <c r="AA157" s="17">
        <f>'TOTAL ESTACIONES'!AA157</f>
        <v>0.79631842902670225</v>
      </c>
      <c r="AB157" s="17">
        <f>'TOTAL ESTACIONES'!AB157</f>
        <v>0.7272646719784619</v>
      </c>
      <c r="AC157" s="17">
        <f>'TOTAL ESTACIONES'!AC157</f>
        <v>0.8469583306904388</v>
      </c>
      <c r="AD157" s="17">
        <f>'TOTAL ESTACIONES'!AD157</f>
        <v>0.73426540885780012</v>
      </c>
      <c r="AE157" s="17">
        <f>'TOTAL ESTACIONES'!AE157</f>
        <v>0.72518702234980192</v>
      </c>
      <c r="AF157" s="17">
        <f>'TOTAL ESTACIONES'!AF157</f>
        <v>0.83699255415267837</v>
      </c>
      <c r="AG157" s="17">
        <f>'TOTAL ESTACIONES'!AG157</f>
        <v>0.7785498994280643</v>
      </c>
      <c r="AH157" s="17">
        <f>'TOTAL ESTACIONES'!AH157</f>
        <v>0.70713993365291483</v>
      </c>
      <c r="AI157" s="17">
        <f>'TOTAL ESTACIONES'!AI157</f>
        <v>0.67859484545839688</v>
      </c>
      <c r="AJ157" s="17">
        <f>'TOTAL ESTACIONES'!AJ157</f>
        <v>0.75889178839572213</v>
      </c>
      <c r="AK157" s="227">
        <f>'TOTAL ESTACIONES'!AK157</f>
        <v>0.76588682982958711</v>
      </c>
      <c r="AL157" s="73">
        <f>'TOTAL ESTACIONES'!AL157</f>
        <v>2.1345835668806939E-9</v>
      </c>
      <c r="AM157" s="16">
        <f>'TOTAL ESTACIONES'!AM157</f>
        <v>6.3984179228018023E-2</v>
      </c>
      <c r="AN157" s="89"/>
      <c r="AO157" s="244"/>
      <c r="AP157" s="77"/>
      <c r="AQ157" s="177"/>
    </row>
    <row r="158" spans="5:44" ht="15.75">
      <c r="I158" s="25" t="s">
        <v>268</v>
      </c>
      <c r="J158" s="24">
        <f>'TOTAL ESTACIONES'!J158</f>
        <v>1492835</v>
      </c>
      <c r="K158" s="24">
        <f>'TOTAL ESTACIONES'!K158</f>
        <v>1756672</v>
      </c>
      <c r="L158" s="24">
        <f>'TOTAL ESTACIONES'!L158</f>
        <v>1887198</v>
      </c>
      <c r="M158" s="24">
        <f>'TOTAL ESTACIONES'!M158</f>
        <v>2075341</v>
      </c>
      <c r="N158" s="24">
        <f>'TOTAL ESTACIONES'!N158</f>
        <v>2300235</v>
      </c>
      <c r="O158" s="24">
        <f>'TOTAL ESTACIONES'!O158</f>
        <v>1991226</v>
      </c>
      <c r="P158" s="24">
        <f>'TOTAL ESTACIONES'!P158</f>
        <v>1881736</v>
      </c>
      <c r="Q158" s="24">
        <f>'TOTAL ESTACIONES'!Q158</f>
        <v>1842109</v>
      </c>
      <c r="R158" s="24">
        <f>'TOTAL ESTACIONES'!R158</f>
        <v>1844125</v>
      </c>
      <c r="S158" s="24">
        <f>'TOTAL ESTACIONES'!S158</f>
        <v>1800890</v>
      </c>
      <c r="T158" s="24">
        <f>'TOTAL ESTACIONES'!T158</f>
        <v>1852893.38</v>
      </c>
      <c r="U158" s="24">
        <f>'TOTAL ESTACIONES'!U158</f>
        <v>1789143.4933333329</v>
      </c>
      <c r="V158" s="24">
        <f>'TOTAL ESTACIONES'!V158</f>
        <v>22409585.696987834</v>
      </c>
      <c r="W158" s="77">
        <f>'TOTAL ESTACIONES'!W158</f>
        <v>6.798773354413748E-2</v>
      </c>
      <c r="X158" s="89">
        <f>'TOTAL ESTACIONES'!X158</f>
        <v>0</v>
      </c>
      <c r="Y158" s="24">
        <f>'TOTAL ESTACIONES'!Y158</f>
        <v>1685149.8889648805</v>
      </c>
      <c r="Z158" s="24">
        <f>'TOTAL ESTACIONES'!Z158</f>
        <v>1606631.5250630055</v>
      </c>
      <c r="AA158" s="24">
        <f>'TOTAL ESTACIONES'!AA158</f>
        <v>1974039.1674226199</v>
      </c>
      <c r="AB158" s="24">
        <f>'TOTAL ESTACIONES'!AB158</f>
        <v>1822905.9502086579</v>
      </c>
      <c r="AC158" s="24">
        <f>'TOTAL ESTACIONES'!AC158</f>
        <v>1796472.6711091837</v>
      </c>
      <c r="AD158" s="24">
        <f>'TOTAL ESTACIONES'!AD158</f>
        <v>1800911.0219366418</v>
      </c>
      <c r="AE158" s="24">
        <f>'TOTAL ESTACIONES'!AE158</f>
        <v>2006314.658652094</v>
      </c>
      <c r="AF158" s="24">
        <f>'TOTAL ESTACIONES'!AF158</f>
        <v>1888745.0621793263</v>
      </c>
      <c r="AG158" s="24">
        <f>'TOTAL ESTACIONES'!AG158</f>
        <v>1953684.0721258868</v>
      </c>
      <c r="AH158" s="24">
        <f>'TOTAL ESTACIONES'!AH158</f>
        <v>2239837.0172704756</v>
      </c>
      <c r="AI158" s="24">
        <f>'TOTAL ESTACIONES'!AI158</f>
        <v>2117237.2835185728</v>
      </c>
      <c r="AJ158" s="24">
        <f>'TOTAL ESTACIONES'!AJ158</f>
        <v>1967500.305025948</v>
      </c>
      <c r="AK158" s="24">
        <f>'TOTAL ESTACIONES'!AK158</f>
        <v>22859428.623477265</v>
      </c>
      <c r="AL158" s="77">
        <f>'TOTAL ESTACIONES'!AL158</f>
        <v>6.3710928021590202E-2</v>
      </c>
      <c r="AM158" s="23">
        <f>'TOTAL ESTACIONES'!AM158</f>
        <v>2.0073683314453028E-2</v>
      </c>
      <c r="AN158" s="89"/>
      <c r="AO158" s="244"/>
      <c r="AP158" s="77"/>
      <c r="AQ158" s="177"/>
    </row>
    <row r="159" spans="5:44" ht="15">
      <c r="J159" s="135"/>
      <c r="W159" s="75"/>
      <c r="X159" s="89"/>
      <c r="Y159" s="135"/>
      <c r="AL159" s="75"/>
      <c r="AM159" s="173"/>
      <c r="AN159" s="89"/>
      <c r="AP159" s="75"/>
      <c r="AQ159" s="173"/>
    </row>
    <row r="160" spans="5:44" ht="15">
      <c r="E160" s="187" t="s">
        <v>108</v>
      </c>
      <c r="I160" s="138" t="s">
        <v>269</v>
      </c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75"/>
      <c r="X160" s="89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75"/>
      <c r="AM160" s="173"/>
      <c r="AN160" s="89"/>
      <c r="AO160" s="135"/>
      <c r="AP160" s="75"/>
      <c r="AQ160" s="173"/>
    </row>
    <row r="161" spans="1:43" ht="5.25" customHeight="1">
      <c r="A161" s="21"/>
      <c r="B161" s="21"/>
      <c r="C161" s="21"/>
      <c r="D161" s="21"/>
      <c r="E161" s="192"/>
      <c r="F161" s="21"/>
      <c r="G161" s="21"/>
      <c r="H161" s="21"/>
      <c r="I161" s="138"/>
      <c r="W161" s="75"/>
      <c r="X161" s="89"/>
      <c r="AL161" s="75"/>
      <c r="AM161" s="173"/>
      <c r="AN161" s="89"/>
      <c r="AP161" s="75"/>
      <c r="AQ161" s="173"/>
    </row>
    <row r="162" spans="1:43" ht="15" collapsed="1">
      <c r="A162" s="12" t="s">
        <v>154</v>
      </c>
      <c r="B162" s="8" t="s">
        <v>270</v>
      </c>
      <c r="I162" s="119" t="s">
        <v>155</v>
      </c>
      <c r="J162" s="231">
        <f>SUM(J163:J211)</f>
        <v>298221.27</v>
      </c>
      <c r="K162" s="231">
        <f t="shared" ref="K162:U162" si="21">SUM(K163:K211)</f>
        <v>200000</v>
      </c>
      <c r="L162" s="231">
        <f t="shared" si="21"/>
        <v>200000</v>
      </c>
      <c r="M162" s="231">
        <f t="shared" si="21"/>
        <v>202176.26</v>
      </c>
      <c r="N162" s="231">
        <f t="shared" si="21"/>
        <v>200000</v>
      </c>
      <c r="O162" s="231">
        <f t="shared" si="21"/>
        <v>200000</v>
      </c>
      <c r="P162" s="231">
        <f t="shared" si="21"/>
        <v>227971.75</v>
      </c>
      <c r="Q162" s="231">
        <f t="shared" si="21"/>
        <v>368045.55</v>
      </c>
      <c r="R162" s="231">
        <f t="shared" si="21"/>
        <v>182787.8</v>
      </c>
      <c r="S162" s="231">
        <f t="shared" si="21"/>
        <v>200852.9</v>
      </c>
      <c r="T162" s="231">
        <f t="shared" si="21"/>
        <v>195895.41666666666</v>
      </c>
      <c r="U162" s="231">
        <f t="shared" si="21"/>
        <v>194845.37222222218</v>
      </c>
      <c r="V162" s="231">
        <f>SUM(V163:V211)</f>
        <v>2670796.3188888887</v>
      </c>
      <c r="W162" s="72">
        <f t="shared" ref="W162:W235" si="22">V162/V$6</f>
        <v>8.102844511921883E-3</v>
      </c>
      <c r="X162" s="89"/>
      <c r="Y162" s="231">
        <f>SUM(Y163:Y211)</f>
        <v>253946.75</v>
      </c>
      <c r="Z162" s="231">
        <f t="shared" ref="Z162:AJ162" si="23">SUM(Z163:Z211)</f>
        <v>201971.75</v>
      </c>
      <c r="AA162" s="231">
        <f t="shared" si="23"/>
        <v>201971.75</v>
      </c>
      <c r="AB162" s="231">
        <f t="shared" si="23"/>
        <v>253946.75</v>
      </c>
      <c r="AC162" s="231">
        <f t="shared" si="23"/>
        <v>201971.75</v>
      </c>
      <c r="AD162" s="231">
        <f t="shared" si="23"/>
        <v>201971.75</v>
      </c>
      <c r="AE162" s="231">
        <f t="shared" si="23"/>
        <v>201971.75</v>
      </c>
      <c r="AF162" s="231">
        <f t="shared" si="23"/>
        <v>201971.75</v>
      </c>
      <c r="AG162" s="231">
        <f t="shared" si="23"/>
        <v>201971.75</v>
      </c>
      <c r="AH162" s="231">
        <f t="shared" si="23"/>
        <v>411477.4142</v>
      </c>
      <c r="AI162" s="231">
        <f t="shared" si="23"/>
        <v>201971.75</v>
      </c>
      <c r="AJ162" s="231">
        <f t="shared" si="23"/>
        <v>201971.75</v>
      </c>
      <c r="AK162" s="231">
        <f>SUM(AK163:AK211)</f>
        <v>2737116.6642</v>
      </c>
      <c r="AL162" s="72">
        <v>8.1460760094509178E-3</v>
      </c>
      <c r="AM162" s="180">
        <v>4.385482532231233E-2</v>
      </c>
      <c r="AN162" s="89"/>
      <c r="AO162" s="253">
        <v>33415051.442629419</v>
      </c>
      <c r="AP162" s="72">
        <v>7.5812243137602688E-3</v>
      </c>
      <c r="AQ162" s="180">
        <v>7.0067826036686709E-2</v>
      </c>
    </row>
    <row r="163" spans="1:43" ht="15" hidden="1" customHeight="1" outlineLevel="1">
      <c r="A163" s="12" t="s">
        <v>154</v>
      </c>
      <c r="B163" s="8" t="s">
        <v>270</v>
      </c>
      <c r="C163" s="8" t="s">
        <v>160</v>
      </c>
      <c r="I163" s="136" t="s">
        <v>162</v>
      </c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235">
        <f t="shared" ref="V163:V211" si="24">SUM(J163:U163)</f>
        <v>0</v>
      </c>
      <c r="W163" s="73">
        <f t="shared" si="22"/>
        <v>0</v>
      </c>
      <c r="X163" s="89"/>
      <c r="Y163" s="65">
        <f>SUM(S:Z!Y162)</f>
        <v>0</v>
      </c>
      <c r="Z163" s="65">
        <f>SUM(S:Z!Z162)</f>
        <v>0</v>
      </c>
      <c r="AA163" s="65">
        <f>SUM(S:Z!AA162)</f>
        <v>0</v>
      </c>
      <c r="AB163" s="65">
        <f>SUM(S:Z!AB162)</f>
        <v>0</v>
      </c>
      <c r="AC163" s="65">
        <f>SUM(S:Z!AC162)</f>
        <v>0</v>
      </c>
      <c r="AD163" s="65">
        <f>SUM(S:Z!AD162)</f>
        <v>0</v>
      </c>
      <c r="AE163" s="65">
        <f>SUM(S:Z!AE162)</f>
        <v>0</v>
      </c>
      <c r="AF163" s="65">
        <f>SUM(S:Z!AF162)</f>
        <v>0</v>
      </c>
      <c r="AG163" s="65">
        <f>SUM(S:Z!AG162)</f>
        <v>0</v>
      </c>
      <c r="AH163" s="65">
        <f>SUM(S:Z!AH162)</f>
        <v>0</v>
      </c>
      <c r="AI163" s="65">
        <f>SUM(S:Z!AI162)</f>
        <v>0</v>
      </c>
      <c r="AJ163" s="65">
        <f>SUM(S:Z!AJ162)</f>
        <v>0</v>
      </c>
      <c r="AK163" s="65">
        <f>SUM(Y163:AJ163)</f>
        <v>0</v>
      </c>
      <c r="AL163" s="73">
        <f t="shared" ref="AL163:AL226" si="25">AK163/AK$6</f>
        <v>0</v>
      </c>
      <c r="AM163" s="14">
        <f t="shared" ref="AM163:AM226" si="26">IFERROR(AK163/V163-1,0)</f>
        <v>0</v>
      </c>
      <c r="AN163" s="89"/>
      <c r="AO163" s="255">
        <v>9837449.79230709</v>
      </c>
      <c r="AP163" s="73">
        <v>2.2319257439684416E-3</v>
      </c>
      <c r="AQ163" s="122">
        <v>0.12825613886809317</v>
      </c>
    </row>
    <row r="164" spans="1:43" ht="15" hidden="1" customHeight="1" outlineLevel="1">
      <c r="A164" s="12" t="s">
        <v>154</v>
      </c>
      <c r="B164" s="8" t="s">
        <v>270</v>
      </c>
      <c r="I164" s="136" t="s">
        <v>158</v>
      </c>
      <c r="J164" s="234">
        <v>0</v>
      </c>
      <c r="K164" s="234">
        <v>0</v>
      </c>
      <c r="L164" s="234">
        <v>0</v>
      </c>
      <c r="M164" s="234">
        <v>0</v>
      </c>
      <c r="N164" s="234">
        <v>0</v>
      </c>
      <c r="O164" s="234">
        <v>0</v>
      </c>
      <c r="P164" s="234">
        <v>0</v>
      </c>
      <c r="Q164" s="234">
        <v>0</v>
      </c>
      <c r="R164" s="234">
        <v>0</v>
      </c>
      <c r="S164" s="234">
        <v>0</v>
      </c>
      <c r="T164" s="234"/>
      <c r="U164" s="234"/>
      <c r="V164" s="235">
        <f t="shared" si="24"/>
        <v>0</v>
      </c>
      <c r="W164" s="73">
        <f t="shared" si="22"/>
        <v>0</v>
      </c>
      <c r="X164" s="89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4"/>
      <c r="AI164" s="234"/>
      <c r="AJ164" s="234"/>
      <c r="AK164" s="65">
        <f t="shared" ref="AK164:AK227" si="27">SUM(Y164:AJ164)</f>
        <v>0</v>
      </c>
      <c r="AL164" s="73">
        <f t="shared" si="25"/>
        <v>0</v>
      </c>
      <c r="AM164" s="14">
        <f t="shared" si="26"/>
        <v>0</v>
      </c>
      <c r="AN164" s="89"/>
      <c r="AO164" s="255">
        <v>912658.41000000027</v>
      </c>
      <c r="AP164" s="73">
        <v>2.0706441646301804E-4</v>
      </c>
      <c r="AQ164" s="122">
        <v>2.2204460492503131E-16</v>
      </c>
    </row>
    <row r="165" spans="1:43" ht="15" hidden="1" customHeight="1" outlineLevel="1">
      <c r="A165" s="12" t="s">
        <v>154</v>
      </c>
      <c r="B165" s="8" t="s">
        <v>270</v>
      </c>
      <c r="I165" s="136" t="s">
        <v>271</v>
      </c>
      <c r="J165" s="234">
        <v>0</v>
      </c>
      <c r="K165" s="234">
        <v>0</v>
      </c>
      <c r="L165" s="234">
        <v>0</v>
      </c>
      <c r="M165" s="234">
        <v>0</v>
      </c>
      <c r="N165" s="234">
        <v>0</v>
      </c>
      <c r="O165" s="234">
        <v>0</v>
      </c>
      <c r="P165" s="234">
        <v>0</v>
      </c>
      <c r="Q165" s="234">
        <v>0</v>
      </c>
      <c r="R165" s="234">
        <v>0</v>
      </c>
      <c r="S165" s="234">
        <v>0</v>
      </c>
      <c r="T165" s="234"/>
      <c r="U165" s="234"/>
      <c r="V165" s="235">
        <f>SUM(J165:U165)</f>
        <v>0</v>
      </c>
      <c r="W165" s="73">
        <f t="shared" si="22"/>
        <v>0</v>
      </c>
      <c r="X165" s="89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234"/>
      <c r="AK165" s="65">
        <f t="shared" si="27"/>
        <v>0</v>
      </c>
      <c r="AL165" s="73">
        <f t="shared" si="25"/>
        <v>0</v>
      </c>
      <c r="AM165" s="14">
        <f t="shared" si="26"/>
        <v>0</v>
      </c>
      <c r="AN165" s="89"/>
      <c r="AO165" s="255">
        <v>111578.08000000003</v>
      </c>
      <c r="AP165" s="73">
        <v>2.5314893033488777E-5</v>
      </c>
      <c r="AQ165" s="122">
        <v>2.2204460492503131E-16</v>
      </c>
    </row>
    <row r="166" spans="1:43" ht="15" hidden="1" customHeight="1" outlineLevel="1">
      <c r="A166" s="12"/>
      <c r="I166" s="136" t="s">
        <v>183</v>
      </c>
      <c r="J166" s="234">
        <v>0</v>
      </c>
      <c r="K166" s="234">
        <v>0</v>
      </c>
      <c r="L166" s="234">
        <v>0</v>
      </c>
      <c r="M166" s="234">
        <v>0</v>
      </c>
      <c r="N166" s="234">
        <v>0</v>
      </c>
      <c r="O166" s="234">
        <v>0</v>
      </c>
      <c r="P166" s="234">
        <v>0</v>
      </c>
      <c r="Q166" s="234">
        <v>0</v>
      </c>
      <c r="R166" s="234">
        <v>0</v>
      </c>
      <c r="S166" s="234">
        <v>0</v>
      </c>
      <c r="T166" s="234"/>
      <c r="U166" s="234"/>
      <c r="V166" s="235">
        <f>SUM(J166:U166)</f>
        <v>0</v>
      </c>
      <c r="W166" s="73">
        <f>V166/V$6</f>
        <v>0</v>
      </c>
      <c r="X166" s="89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4"/>
      <c r="AI166" s="234"/>
      <c r="AJ166" s="234"/>
      <c r="AK166" s="65">
        <f t="shared" si="27"/>
        <v>0</v>
      </c>
      <c r="AL166" s="73">
        <f t="shared" si="25"/>
        <v>0</v>
      </c>
      <c r="AM166" s="14">
        <f t="shared" si="26"/>
        <v>0</v>
      </c>
      <c r="AN166" s="89"/>
      <c r="AO166" s="255">
        <v>454680</v>
      </c>
      <c r="AP166" s="73">
        <v>1.0315803574023387E-4</v>
      </c>
      <c r="AQ166" s="122">
        <v>-0.21696477131945935</v>
      </c>
    </row>
    <row r="167" spans="1:43" ht="15" hidden="1" customHeight="1" outlineLevel="1">
      <c r="A167" s="12"/>
      <c r="I167" s="136" t="s">
        <v>194</v>
      </c>
      <c r="J167" s="234">
        <v>0</v>
      </c>
      <c r="K167" s="234">
        <v>0</v>
      </c>
      <c r="L167" s="234">
        <v>0</v>
      </c>
      <c r="M167" s="234">
        <v>0</v>
      </c>
      <c r="N167" s="234">
        <v>0</v>
      </c>
      <c r="O167" s="234">
        <v>0</v>
      </c>
      <c r="P167" s="234">
        <v>0</v>
      </c>
      <c r="Q167" s="234">
        <v>0</v>
      </c>
      <c r="R167" s="234">
        <v>0</v>
      </c>
      <c r="S167" s="234">
        <v>0</v>
      </c>
      <c r="T167" s="234"/>
      <c r="U167" s="234"/>
      <c r="V167" s="235">
        <f>SUM(J167:U167)</f>
        <v>0</v>
      </c>
      <c r="W167" s="73">
        <f>V167/V$6</f>
        <v>0</v>
      </c>
      <c r="X167" s="89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234"/>
      <c r="AK167" s="65">
        <f t="shared" si="27"/>
        <v>0</v>
      </c>
      <c r="AL167" s="73">
        <f t="shared" si="25"/>
        <v>0</v>
      </c>
      <c r="AM167" s="14">
        <f t="shared" si="26"/>
        <v>0</v>
      </c>
      <c r="AN167" s="89"/>
      <c r="AO167" s="255">
        <v>1696378</v>
      </c>
      <c r="AP167" s="73">
        <v>3.8487512613914499E-4</v>
      </c>
      <c r="AQ167" s="122">
        <v>0.52155161314143639</v>
      </c>
    </row>
    <row r="168" spans="1:43" ht="15" hidden="1" customHeight="1" outlineLevel="1">
      <c r="A168" s="12"/>
      <c r="I168" s="136" t="s">
        <v>272</v>
      </c>
      <c r="J168" s="234">
        <v>0</v>
      </c>
      <c r="K168" s="234">
        <v>0</v>
      </c>
      <c r="L168" s="234">
        <v>0</v>
      </c>
      <c r="M168" s="234">
        <v>0</v>
      </c>
      <c r="N168" s="234">
        <v>0</v>
      </c>
      <c r="O168" s="234">
        <v>0</v>
      </c>
      <c r="P168" s="234">
        <v>0</v>
      </c>
      <c r="Q168" s="234">
        <v>0</v>
      </c>
      <c r="R168" s="234">
        <v>0</v>
      </c>
      <c r="S168" s="234">
        <v>0</v>
      </c>
      <c r="T168" s="234"/>
      <c r="U168" s="234"/>
      <c r="V168" s="235">
        <f>SUM(J168:U168)</f>
        <v>0</v>
      </c>
      <c r="W168" s="73">
        <f>V168/V$6</f>
        <v>0</v>
      </c>
      <c r="X168" s="89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234"/>
      <c r="AK168" s="65">
        <f t="shared" si="27"/>
        <v>0</v>
      </c>
      <c r="AL168" s="73">
        <f t="shared" si="25"/>
        <v>0</v>
      </c>
      <c r="AM168" s="14">
        <f t="shared" si="26"/>
        <v>0</v>
      </c>
      <c r="AN168" s="89"/>
      <c r="AO168" s="255">
        <v>24000</v>
      </c>
      <c r="AP168" s="73">
        <v>5.4451325278561027E-6</v>
      </c>
      <c r="AQ168" s="122">
        <v>0</v>
      </c>
    </row>
    <row r="169" spans="1:43" ht="15" hidden="1" customHeight="1" outlineLevel="1">
      <c r="A169" s="12" t="s">
        <v>154</v>
      </c>
      <c r="B169" s="8" t="s">
        <v>270</v>
      </c>
      <c r="I169" s="136" t="s">
        <v>273</v>
      </c>
      <c r="J169" s="234">
        <v>0</v>
      </c>
      <c r="K169" s="234">
        <v>0</v>
      </c>
      <c r="L169" s="234">
        <v>0</v>
      </c>
      <c r="M169" s="234">
        <v>0</v>
      </c>
      <c r="N169" s="234">
        <v>0</v>
      </c>
      <c r="O169" s="234">
        <v>0</v>
      </c>
      <c r="P169" s="234">
        <v>0</v>
      </c>
      <c r="Q169" s="234">
        <v>0</v>
      </c>
      <c r="R169" s="234">
        <v>0</v>
      </c>
      <c r="S169" s="234">
        <v>0</v>
      </c>
      <c r="T169" s="234"/>
      <c r="U169" s="234"/>
      <c r="V169" s="235">
        <f>SUM(J169:U169)</f>
        <v>0</v>
      </c>
      <c r="W169" s="73">
        <f t="shared" si="22"/>
        <v>0</v>
      </c>
      <c r="X169" s="89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J169" s="234"/>
      <c r="AK169" s="65">
        <f t="shared" si="27"/>
        <v>0</v>
      </c>
      <c r="AL169" s="73">
        <f t="shared" si="25"/>
        <v>0</v>
      </c>
      <c r="AM169" s="14">
        <f t="shared" si="26"/>
        <v>0</v>
      </c>
      <c r="AN169" s="89"/>
      <c r="AO169" s="255">
        <v>141000</v>
      </c>
      <c r="AP169" s="73">
        <v>3.1990153601154606E-5</v>
      </c>
      <c r="AQ169" s="122">
        <v>0</v>
      </c>
    </row>
    <row r="170" spans="1:43" ht="15" hidden="1" customHeight="1" outlineLevel="1">
      <c r="A170" s="12" t="s">
        <v>154</v>
      </c>
      <c r="B170" s="8" t="s">
        <v>270</v>
      </c>
      <c r="I170" s="136" t="s">
        <v>165</v>
      </c>
      <c r="J170" s="234">
        <v>0</v>
      </c>
      <c r="K170" s="234">
        <v>0</v>
      </c>
      <c r="L170" s="234">
        <v>0</v>
      </c>
      <c r="M170" s="234">
        <v>2176.2600000000002</v>
      </c>
      <c r="N170" s="234">
        <v>0</v>
      </c>
      <c r="O170" s="234">
        <v>0</v>
      </c>
      <c r="P170" s="234">
        <v>0</v>
      </c>
      <c r="Q170" s="234">
        <v>0</v>
      </c>
      <c r="R170" s="234">
        <v>0</v>
      </c>
      <c r="S170" s="234">
        <v>10000</v>
      </c>
      <c r="T170" s="234">
        <v>10000</v>
      </c>
      <c r="U170" s="234">
        <v>10000</v>
      </c>
      <c r="V170" s="235">
        <f>SUM(J170:U170)</f>
        <v>32176.260000000002</v>
      </c>
      <c r="W170" s="73">
        <f t="shared" si="22"/>
        <v>9.7618537928656696E-5</v>
      </c>
      <c r="X170" s="89"/>
      <c r="Y170" s="65">
        <f>SUM(S:Z!Y169)</f>
        <v>51975</v>
      </c>
      <c r="Z170" s="65">
        <f>SUM(S:Z!Z169)</f>
        <v>0</v>
      </c>
      <c r="AA170" s="65">
        <f>SUM(S:Z!AA169)</f>
        <v>0</v>
      </c>
      <c r="AB170" s="65">
        <f>SUM(S:Z!AB169)</f>
        <v>51975</v>
      </c>
      <c r="AC170" s="65">
        <f>SUM(S:Z!AC169)</f>
        <v>0</v>
      </c>
      <c r="AD170" s="65">
        <f>SUM(S:Z!AD169)</f>
        <v>0</v>
      </c>
      <c r="AE170" s="65">
        <f>SUM(S:Z!AE169)</f>
        <v>0</v>
      </c>
      <c r="AF170" s="65">
        <f>SUM(S:Z!AF169)</f>
        <v>0</v>
      </c>
      <c r="AG170" s="65">
        <f>SUM(S:Z!AG169)</f>
        <v>0</v>
      </c>
      <c r="AH170" s="65">
        <f>SUM(S:Z!AH169)</f>
        <v>209505.6642</v>
      </c>
      <c r="AI170" s="65">
        <f>SUM(S:Z!AI169)</f>
        <v>0</v>
      </c>
      <c r="AJ170" s="65">
        <f>SUM(S:Z!AJ169)</f>
        <v>0</v>
      </c>
      <c r="AK170" s="65">
        <f t="shared" si="27"/>
        <v>313455.6642</v>
      </c>
      <c r="AL170" s="73">
        <f t="shared" si="25"/>
        <v>8.7362425320183378E-4</v>
      </c>
      <c r="AM170" s="14">
        <f t="shared" si="26"/>
        <v>8.7418302872987717</v>
      </c>
      <c r="AN170" s="89"/>
      <c r="AO170" s="255">
        <v>77748.36</v>
      </c>
      <c r="AP170" s="73">
        <v>1.7639588500977762E-5</v>
      </c>
      <c r="AQ170" s="122">
        <v>-0.64788403859978849</v>
      </c>
    </row>
    <row r="171" spans="1:43" ht="15" hidden="1" customHeight="1" outlineLevel="1">
      <c r="A171" s="12" t="s">
        <v>154</v>
      </c>
      <c r="B171" s="8" t="s">
        <v>270</v>
      </c>
      <c r="I171" s="136" t="s">
        <v>178</v>
      </c>
      <c r="J171" s="234">
        <v>0</v>
      </c>
      <c r="K171" s="234">
        <v>0</v>
      </c>
      <c r="L171" s="234">
        <v>0</v>
      </c>
      <c r="M171" s="234">
        <v>0</v>
      </c>
      <c r="N171" s="234">
        <v>0</v>
      </c>
      <c r="O171" s="234">
        <v>0</v>
      </c>
      <c r="P171" s="234">
        <v>0</v>
      </c>
      <c r="Q171" s="234">
        <v>0</v>
      </c>
      <c r="R171" s="234">
        <v>0</v>
      </c>
      <c r="S171" s="234">
        <v>0</v>
      </c>
      <c r="T171" s="234">
        <v>0</v>
      </c>
      <c r="U171" s="234">
        <v>0</v>
      </c>
      <c r="V171" s="235">
        <f>SUM(J171:U171)</f>
        <v>0</v>
      </c>
      <c r="W171" s="73">
        <f t="shared" si="22"/>
        <v>0</v>
      </c>
      <c r="X171" s="89"/>
      <c r="Y171" s="65">
        <f>SUM(S:Z!Y170)</f>
        <v>0</v>
      </c>
      <c r="Z171" s="65">
        <f>SUM(S:Z!Z170)</f>
        <v>0</v>
      </c>
      <c r="AA171" s="65">
        <f>SUM(S:Z!AA170)</f>
        <v>0</v>
      </c>
      <c r="AB171" s="65">
        <f>SUM(S:Z!AB170)</f>
        <v>0</v>
      </c>
      <c r="AC171" s="65">
        <f>SUM(S:Z!AC170)</f>
        <v>0</v>
      </c>
      <c r="AD171" s="65">
        <f>SUM(S:Z!AD170)</f>
        <v>0</v>
      </c>
      <c r="AE171" s="65">
        <f>SUM(S:Z!AE170)</f>
        <v>0</v>
      </c>
      <c r="AF171" s="65">
        <f>SUM(S:Z!AF170)</f>
        <v>0</v>
      </c>
      <c r="AG171" s="65">
        <f>SUM(S:Z!AG170)</f>
        <v>0</v>
      </c>
      <c r="AH171" s="65">
        <f>SUM(S:Z!AH170)</f>
        <v>0</v>
      </c>
      <c r="AI171" s="65">
        <f>SUM(S:Z!AI170)</f>
        <v>0</v>
      </c>
      <c r="AJ171" s="65">
        <f>SUM(S:Z!AJ170)</f>
        <v>0</v>
      </c>
      <c r="AK171" s="65">
        <f t="shared" si="27"/>
        <v>0</v>
      </c>
      <c r="AL171" s="73">
        <f t="shared" si="25"/>
        <v>0</v>
      </c>
      <c r="AM171" s="14">
        <f t="shared" si="26"/>
        <v>0</v>
      </c>
      <c r="AN171" s="89"/>
      <c r="AO171" s="255">
        <v>3971148.373639999</v>
      </c>
      <c r="AP171" s="73">
        <v>9.009762159270841E-4</v>
      </c>
      <c r="AQ171" s="122">
        <v>16.683241582839905</v>
      </c>
    </row>
    <row r="172" spans="1:43" ht="15" hidden="1" customHeight="1" outlineLevel="1">
      <c r="A172" s="12" t="s">
        <v>154</v>
      </c>
      <c r="B172" s="8" t="s">
        <v>270</v>
      </c>
      <c r="I172" s="136" t="s">
        <v>274</v>
      </c>
      <c r="J172" s="234">
        <v>0</v>
      </c>
      <c r="K172" s="234">
        <v>0</v>
      </c>
      <c r="L172" s="234">
        <v>0</v>
      </c>
      <c r="M172" s="234">
        <v>0</v>
      </c>
      <c r="N172" s="234">
        <v>0</v>
      </c>
      <c r="O172" s="234">
        <v>0</v>
      </c>
      <c r="P172" s="234">
        <v>0</v>
      </c>
      <c r="Q172" s="234">
        <v>0</v>
      </c>
      <c r="R172" s="234">
        <v>0</v>
      </c>
      <c r="S172" s="234">
        <v>0</v>
      </c>
      <c r="T172" s="234"/>
      <c r="U172" s="234"/>
      <c r="V172" s="235">
        <f>SUM(J172:U172)</f>
        <v>0</v>
      </c>
      <c r="W172" s="73">
        <f t="shared" si="22"/>
        <v>0</v>
      </c>
      <c r="X172" s="89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>
        <f t="shared" si="27"/>
        <v>0</v>
      </c>
      <c r="AL172" s="73">
        <f t="shared" si="25"/>
        <v>0</v>
      </c>
      <c r="AM172" s="14">
        <f t="shared" si="26"/>
        <v>0</v>
      </c>
      <c r="AN172" s="89"/>
      <c r="AO172" s="255">
        <v>600000</v>
      </c>
      <c r="AP172" s="73">
        <v>1.3612831319640258E-4</v>
      </c>
      <c r="AQ172" s="122">
        <v>0.60757217938801489</v>
      </c>
    </row>
    <row r="173" spans="1:43" ht="15" hidden="1" customHeight="1" outlineLevel="1">
      <c r="A173" s="12" t="s">
        <v>154</v>
      </c>
      <c r="B173" s="8" t="s">
        <v>270</v>
      </c>
      <c r="I173" s="136" t="s">
        <v>185</v>
      </c>
      <c r="J173" s="234">
        <v>0</v>
      </c>
      <c r="K173" s="234">
        <v>0</v>
      </c>
      <c r="L173" s="234">
        <v>0</v>
      </c>
      <c r="M173" s="234">
        <v>0</v>
      </c>
      <c r="N173" s="234">
        <v>0</v>
      </c>
      <c r="O173" s="234">
        <v>0</v>
      </c>
      <c r="P173" s="234">
        <v>0</v>
      </c>
      <c r="Q173" s="234">
        <v>0</v>
      </c>
      <c r="R173" s="234">
        <v>0</v>
      </c>
      <c r="S173" s="234">
        <v>0</v>
      </c>
      <c r="T173" s="234"/>
      <c r="U173" s="234"/>
      <c r="V173" s="235">
        <f>SUM(J173:U173)</f>
        <v>0</v>
      </c>
      <c r="W173" s="73">
        <f t="shared" si="22"/>
        <v>0</v>
      </c>
      <c r="X173" s="89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J173" s="234"/>
      <c r="AK173" s="65">
        <f t="shared" si="27"/>
        <v>0</v>
      </c>
      <c r="AL173" s="73">
        <f t="shared" si="25"/>
        <v>0</v>
      </c>
      <c r="AM173" s="14">
        <f t="shared" si="26"/>
        <v>0</v>
      </c>
      <c r="AN173" s="89"/>
      <c r="AO173" s="255">
        <v>0</v>
      </c>
      <c r="AP173" s="73">
        <v>0</v>
      </c>
      <c r="AQ173" s="122">
        <v>-1</v>
      </c>
    </row>
    <row r="174" spans="1:43" ht="15" hidden="1" customHeight="1" outlineLevel="1">
      <c r="A174" s="12" t="s">
        <v>154</v>
      </c>
      <c r="B174" s="8" t="s">
        <v>270</v>
      </c>
      <c r="I174" s="136" t="s">
        <v>164</v>
      </c>
      <c r="J174" s="234">
        <v>0</v>
      </c>
      <c r="K174" s="234">
        <v>0</v>
      </c>
      <c r="L174" s="234">
        <v>0</v>
      </c>
      <c r="M174" s="234">
        <v>0</v>
      </c>
      <c r="N174" s="234">
        <v>0</v>
      </c>
      <c r="O174" s="234">
        <v>0</v>
      </c>
      <c r="P174" s="234">
        <v>0</v>
      </c>
      <c r="Q174" s="234">
        <v>99000</v>
      </c>
      <c r="R174" s="234">
        <v>0</v>
      </c>
      <c r="S174" s="234">
        <v>0</v>
      </c>
      <c r="T174" s="234"/>
      <c r="U174" s="234"/>
      <c r="V174" s="235">
        <f>SUM(J174:U174)</f>
        <v>99000</v>
      </c>
      <c r="W174" s="73">
        <f t="shared" si="22"/>
        <v>3.0035297001382424E-4</v>
      </c>
      <c r="X174" s="89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J174" s="234"/>
      <c r="AK174" s="65">
        <f t="shared" si="27"/>
        <v>0</v>
      </c>
      <c r="AL174" s="73">
        <f t="shared" si="25"/>
        <v>0</v>
      </c>
      <c r="AM174" s="14">
        <f t="shared" si="26"/>
        <v>-1</v>
      </c>
      <c r="AN174" s="89"/>
      <c r="AO174" s="255">
        <v>808821.57225000008</v>
      </c>
      <c r="AP174" s="73">
        <v>1.8350586051209126E-4</v>
      </c>
      <c r="AQ174" s="122">
        <v>-0.11851082767137178</v>
      </c>
    </row>
    <row r="175" spans="1:43" ht="15" hidden="1" customHeight="1" outlineLevel="1">
      <c r="A175" s="12" t="s">
        <v>154</v>
      </c>
      <c r="B175" s="8" t="s">
        <v>270</v>
      </c>
      <c r="I175" s="136" t="s">
        <v>275</v>
      </c>
      <c r="J175" s="234">
        <v>0</v>
      </c>
      <c r="K175" s="234">
        <v>0</v>
      </c>
      <c r="L175" s="234">
        <v>0</v>
      </c>
      <c r="M175" s="234">
        <v>0</v>
      </c>
      <c r="N175" s="234">
        <v>0</v>
      </c>
      <c r="O175" s="234">
        <v>0</v>
      </c>
      <c r="P175" s="234">
        <v>26000</v>
      </c>
      <c r="Q175" s="234">
        <v>80000</v>
      </c>
      <c r="R175" s="234">
        <v>5000</v>
      </c>
      <c r="S175" s="234">
        <v>0</v>
      </c>
      <c r="T175" s="234"/>
      <c r="U175" s="234"/>
      <c r="V175" s="235">
        <f>SUM(J175:U175)</f>
        <v>111000</v>
      </c>
      <c r="W175" s="73">
        <f t="shared" si="22"/>
        <v>3.3675939062156049E-4</v>
      </c>
      <c r="X175" s="89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234"/>
      <c r="AK175" s="65">
        <f t="shared" si="27"/>
        <v>0</v>
      </c>
      <c r="AL175" s="73">
        <f t="shared" si="25"/>
        <v>0</v>
      </c>
      <c r="AM175" s="14">
        <f t="shared" si="26"/>
        <v>-1</v>
      </c>
      <c r="AN175" s="89"/>
      <c r="AO175" s="255">
        <v>1320000</v>
      </c>
      <c r="AP175" s="73">
        <v>2.9948228903208565E-4</v>
      </c>
      <c r="AQ175" s="122">
        <v>-0.29268326166767988</v>
      </c>
    </row>
    <row r="176" spans="1:43" ht="15" hidden="1" customHeight="1" outlineLevel="1">
      <c r="A176" s="12" t="s">
        <v>154</v>
      </c>
      <c r="B176" s="8" t="s">
        <v>270</v>
      </c>
      <c r="I176" s="136" t="s">
        <v>276</v>
      </c>
      <c r="J176" s="234">
        <v>0</v>
      </c>
      <c r="K176" s="234">
        <v>0</v>
      </c>
      <c r="L176" s="234">
        <v>0</v>
      </c>
      <c r="M176" s="234">
        <v>0</v>
      </c>
      <c r="N176" s="234">
        <v>0</v>
      </c>
      <c r="O176" s="234">
        <v>0</v>
      </c>
      <c r="P176" s="234">
        <v>0</v>
      </c>
      <c r="Q176" s="234">
        <v>0</v>
      </c>
      <c r="R176" s="234">
        <v>0</v>
      </c>
      <c r="S176" s="234">
        <v>0</v>
      </c>
      <c r="T176" s="234"/>
      <c r="U176" s="234"/>
      <c r="V176" s="235">
        <f>SUM(J176:U176)</f>
        <v>0</v>
      </c>
      <c r="W176" s="73">
        <f t="shared" si="22"/>
        <v>0</v>
      </c>
      <c r="X176" s="89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J176" s="234"/>
      <c r="AK176" s="65">
        <f t="shared" si="27"/>
        <v>0</v>
      </c>
      <c r="AL176" s="73">
        <f t="shared" si="25"/>
        <v>0</v>
      </c>
      <c r="AM176" s="14">
        <f t="shared" si="26"/>
        <v>0</v>
      </c>
      <c r="AN176" s="89"/>
      <c r="AO176" s="255">
        <v>1833604.0800000003</v>
      </c>
      <c r="AP176" s="73">
        <v>4.1600905080073608E-4</v>
      </c>
      <c r="AQ176" s="122">
        <v>0.6227265893116205</v>
      </c>
    </row>
    <row r="177" spans="1:43" ht="15" hidden="1" customHeight="1" outlineLevel="1">
      <c r="A177" s="12" t="s">
        <v>154</v>
      </c>
      <c r="B177" s="8" t="s">
        <v>270</v>
      </c>
      <c r="I177" s="136" t="s">
        <v>167</v>
      </c>
      <c r="J177" s="234">
        <v>0</v>
      </c>
      <c r="K177" s="234">
        <v>0</v>
      </c>
      <c r="L177" s="234">
        <v>0</v>
      </c>
      <c r="M177" s="234">
        <v>0</v>
      </c>
      <c r="N177" s="234">
        <v>0</v>
      </c>
      <c r="O177" s="234">
        <v>0</v>
      </c>
      <c r="P177" s="234">
        <v>0</v>
      </c>
      <c r="Q177" s="234">
        <v>0</v>
      </c>
      <c r="R177" s="234">
        <v>0</v>
      </c>
      <c r="S177" s="234">
        <v>0</v>
      </c>
      <c r="T177" s="234"/>
      <c r="U177" s="234"/>
      <c r="V177" s="235">
        <f>SUM(J177:U177)</f>
        <v>0</v>
      </c>
      <c r="W177" s="73">
        <f t="shared" si="22"/>
        <v>0</v>
      </c>
      <c r="X177" s="89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234"/>
      <c r="AK177" s="65">
        <f t="shared" si="27"/>
        <v>0</v>
      </c>
      <c r="AL177" s="73">
        <f t="shared" si="25"/>
        <v>0</v>
      </c>
      <c r="AM177" s="14">
        <f t="shared" si="26"/>
        <v>0</v>
      </c>
      <c r="AN177" s="89"/>
      <c r="AO177" s="255">
        <v>1560000</v>
      </c>
      <c r="AP177" s="73">
        <v>3.5393361431064669E-4</v>
      </c>
      <c r="AQ177" s="122">
        <v>-0.24203910186604582</v>
      </c>
    </row>
    <row r="178" spans="1:43" ht="15" hidden="1" customHeight="1" outlineLevel="1">
      <c r="A178" s="12" t="s">
        <v>154</v>
      </c>
      <c r="B178" s="8" t="s">
        <v>270</v>
      </c>
      <c r="I178" s="136" t="s">
        <v>182</v>
      </c>
      <c r="J178" s="234">
        <v>0</v>
      </c>
      <c r="K178" s="234">
        <v>0</v>
      </c>
      <c r="L178" s="234">
        <v>0</v>
      </c>
      <c r="M178" s="234">
        <v>0</v>
      </c>
      <c r="N178" s="234">
        <v>0</v>
      </c>
      <c r="O178" s="234">
        <v>0</v>
      </c>
      <c r="P178" s="234">
        <v>0</v>
      </c>
      <c r="Q178" s="234">
        <v>0</v>
      </c>
      <c r="R178" s="234">
        <v>0</v>
      </c>
      <c r="S178" s="234">
        <v>0</v>
      </c>
      <c r="T178" s="234"/>
      <c r="U178" s="234"/>
      <c r="V178" s="235">
        <f>SUM(J178:U178)</f>
        <v>0</v>
      </c>
      <c r="W178" s="73">
        <f t="shared" si="22"/>
        <v>0</v>
      </c>
      <c r="X178" s="89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234"/>
      <c r="AK178" s="65">
        <f t="shared" si="27"/>
        <v>0</v>
      </c>
      <c r="AL178" s="73">
        <f t="shared" si="25"/>
        <v>0</v>
      </c>
      <c r="AM178" s="14">
        <f t="shared" si="26"/>
        <v>0</v>
      </c>
      <c r="AN178" s="89"/>
      <c r="AO178" s="255">
        <v>707090.81506666658</v>
      </c>
      <c r="AP178" s="73">
        <v>1.6042513321949125E-4</v>
      </c>
      <c r="AQ178" s="122">
        <v>5.9999999999999831E-2</v>
      </c>
    </row>
    <row r="179" spans="1:43" ht="15" hidden="1" customHeight="1" outlineLevel="1">
      <c r="A179" s="12" t="s">
        <v>154</v>
      </c>
      <c r="B179" s="8" t="s">
        <v>270</v>
      </c>
      <c r="I179" s="136" t="s">
        <v>193</v>
      </c>
      <c r="J179" s="234">
        <v>0</v>
      </c>
      <c r="K179" s="234">
        <v>0</v>
      </c>
      <c r="L179" s="234">
        <v>0</v>
      </c>
      <c r="M179" s="234">
        <v>0</v>
      </c>
      <c r="N179" s="234">
        <v>0</v>
      </c>
      <c r="O179" s="234">
        <v>0</v>
      </c>
      <c r="P179" s="234">
        <v>0</v>
      </c>
      <c r="Q179" s="234">
        <v>0</v>
      </c>
      <c r="R179" s="234">
        <v>0</v>
      </c>
      <c r="S179" s="234">
        <v>0</v>
      </c>
      <c r="T179" s="234"/>
      <c r="U179" s="234"/>
      <c r="V179" s="235">
        <f>SUM(J179:U179)</f>
        <v>0</v>
      </c>
      <c r="W179" s="73">
        <f t="shared" si="22"/>
        <v>0</v>
      </c>
      <c r="X179" s="89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234"/>
      <c r="AK179" s="65">
        <f t="shared" si="27"/>
        <v>0</v>
      </c>
      <c r="AL179" s="73">
        <f t="shared" si="25"/>
        <v>0</v>
      </c>
      <c r="AM179" s="14">
        <f t="shared" si="26"/>
        <v>0</v>
      </c>
      <c r="AN179" s="89"/>
      <c r="AO179" s="255">
        <v>0</v>
      </c>
      <c r="AP179" s="73">
        <v>0</v>
      </c>
      <c r="AQ179" s="122">
        <v>-1</v>
      </c>
    </row>
    <row r="180" spans="1:43" ht="15" hidden="1" customHeight="1" outlineLevel="1">
      <c r="A180" s="12" t="s">
        <v>154</v>
      </c>
      <c r="B180" s="8" t="s">
        <v>270</v>
      </c>
      <c r="I180" s="136" t="s">
        <v>156</v>
      </c>
      <c r="J180" s="234">
        <v>298221.27</v>
      </c>
      <c r="K180" s="234">
        <v>200000</v>
      </c>
      <c r="L180" s="234">
        <v>200000</v>
      </c>
      <c r="M180" s="234">
        <v>200000</v>
      </c>
      <c r="N180" s="234">
        <v>200000</v>
      </c>
      <c r="O180" s="234">
        <v>200000</v>
      </c>
      <c r="P180" s="234">
        <v>201971.75</v>
      </c>
      <c r="Q180" s="234">
        <v>189045.55</v>
      </c>
      <c r="R180" s="234">
        <v>177787.8</v>
      </c>
      <c r="S180" s="234">
        <v>190852.9</v>
      </c>
      <c r="T180" s="234">
        <f>+AVERAGE(Q180:S180)</f>
        <v>185895.41666666666</v>
      </c>
      <c r="U180" s="234">
        <f>+AVERAGE(R180:T180)</f>
        <v>184845.37222222218</v>
      </c>
      <c r="V180" s="235">
        <f>SUM(J180:U180)</f>
        <v>2428620.0588888889</v>
      </c>
      <c r="W180" s="73">
        <f t="shared" si="22"/>
        <v>7.3681136133578427E-3</v>
      </c>
      <c r="X180" s="89"/>
      <c r="Y180" s="234">
        <v>201971.75</v>
      </c>
      <c r="Z180" s="234">
        <v>201971.75</v>
      </c>
      <c r="AA180" s="234">
        <v>201971.75</v>
      </c>
      <c r="AB180" s="234">
        <v>201971.75</v>
      </c>
      <c r="AC180" s="234">
        <v>201971.75</v>
      </c>
      <c r="AD180" s="234">
        <v>201971.75</v>
      </c>
      <c r="AE180" s="234">
        <v>201971.75</v>
      </c>
      <c r="AF180" s="234">
        <v>201971.75</v>
      </c>
      <c r="AG180" s="234">
        <v>201971.75</v>
      </c>
      <c r="AH180" s="234">
        <v>201971.75</v>
      </c>
      <c r="AI180" s="234">
        <v>201971.75</v>
      </c>
      <c r="AJ180" s="234">
        <v>201971.75</v>
      </c>
      <c r="AK180" s="65">
        <f t="shared" si="27"/>
        <v>2423661</v>
      </c>
      <c r="AL180" s="73">
        <f t="shared" si="25"/>
        <v>6.7549234962569543E-3</v>
      </c>
      <c r="AM180" s="14">
        <f t="shared" si="26"/>
        <v>-2.0419245368324956E-3</v>
      </c>
      <c r="AN180" s="89"/>
      <c r="AO180" s="255">
        <v>0</v>
      </c>
      <c r="AP180" s="73">
        <v>0</v>
      </c>
      <c r="AQ180" s="122">
        <v>-1</v>
      </c>
    </row>
    <row r="181" spans="1:43" ht="15" hidden="1" customHeight="1" outlineLevel="1">
      <c r="A181" s="12" t="s">
        <v>154</v>
      </c>
      <c r="B181" s="8" t="s">
        <v>270</v>
      </c>
      <c r="I181" s="136" t="s">
        <v>184</v>
      </c>
      <c r="J181" s="234">
        <v>0</v>
      </c>
      <c r="K181" s="234">
        <v>0</v>
      </c>
      <c r="L181" s="234">
        <v>0</v>
      </c>
      <c r="M181" s="234">
        <v>0</v>
      </c>
      <c r="N181" s="234">
        <v>0</v>
      </c>
      <c r="O181" s="234">
        <v>0</v>
      </c>
      <c r="P181" s="234">
        <v>0</v>
      </c>
      <c r="Q181" s="234">
        <v>0</v>
      </c>
      <c r="R181" s="234">
        <v>0</v>
      </c>
      <c r="S181" s="234">
        <v>0</v>
      </c>
      <c r="T181" s="234">
        <v>0</v>
      </c>
      <c r="U181" s="234">
        <v>0</v>
      </c>
      <c r="V181" s="235">
        <f>SUM(J181:U181)</f>
        <v>0</v>
      </c>
      <c r="W181" s="73">
        <f t="shared" si="22"/>
        <v>0</v>
      </c>
      <c r="X181" s="89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4"/>
      <c r="AK181" s="65">
        <f t="shared" si="27"/>
        <v>0</v>
      </c>
      <c r="AL181" s="73">
        <f t="shared" si="25"/>
        <v>0</v>
      </c>
      <c r="AM181" s="14">
        <f t="shared" si="26"/>
        <v>0</v>
      </c>
      <c r="AN181" s="89"/>
      <c r="AO181" s="255">
        <v>1876479.5584856623</v>
      </c>
      <c r="AP181" s="73">
        <v>4.2573666174030574E-4</v>
      </c>
      <c r="AQ181" s="122">
        <v>4.6229516687909644E-2</v>
      </c>
    </row>
    <row r="182" spans="1:43" ht="15" hidden="1" customHeight="1" outlineLevel="1">
      <c r="A182" s="12" t="s">
        <v>154</v>
      </c>
      <c r="B182" s="8" t="s">
        <v>270</v>
      </c>
      <c r="C182" s="19"/>
      <c r="I182" s="136" t="s">
        <v>277</v>
      </c>
      <c r="J182" s="234">
        <v>0</v>
      </c>
      <c r="K182" s="234">
        <v>0</v>
      </c>
      <c r="L182" s="234">
        <v>0</v>
      </c>
      <c r="M182" s="234">
        <v>0</v>
      </c>
      <c r="N182" s="234">
        <v>0</v>
      </c>
      <c r="O182" s="234">
        <v>0</v>
      </c>
      <c r="P182" s="234">
        <v>0</v>
      </c>
      <c r="Q182" s="234">
        <v>0</v>
      </c>
      <c r="R182" s="234">
        <v>0</v>
      </c>
      <c r="S182" s="234">
        <v>0</v>
      </c>
      <c r="T182" s="234"/>
      <c r="U182" s="234"/>
      <c r="V182" s="235">
        <f>SUM(J182:U182)</f>
        <v>0</v>
      </c>
      <c r="W182" s="73">
        <f t="shared" si="22"/>
        <v>0</v>
      </c>
      <c r="X182" s="89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4"/>
      <c r="AI182" s="234"/>
      <c r="AJ182" s="234"/>
      <c r="AK182" s="65">
        <f t="shared" si="27"/>
        <v>0</v>
      </c>
      <c r="AL182" s="73">
        <f t="shared" si="25"/>
        <v>0</v>
      </c>
      <c r="AM182" s="14">
        <f t="shared" si="26"/>
        <v>0</v>
      </c>
      <c r="AN182" s="89"/>
      <c r="AO182" s="255">
        <v>0</v>
      </c>
      <c r="AP182" s="73">
        <v>0</v>
      </c>
      <c r="AQ182" s="122">
        <v>-1</v>
      </c>
    </row>
    <row r="183" spans="1:43" ht="15" hidden="1" customHeight="1" outlineLevel="1">
      <c r="A183" s="12" t="s">
        <v>154</v>
      </c>
      <c r="B183" s="8" t="s">
        <v>270</v>
      </c>
      <c r="C183" s="19"/>
      <c r="I183" s="136" t="s">
        <v>173</v>
      </c>
      <c r="J183" s="234">
        <v>0</v>
      </c>
      <c r="K183" s="234">
        <v>0</v>
      </c>
      <c r="L183" s="234">
        <v>0</v>
      </c>
      <c r="M183" s="234">
        <v>0</v>
      </c>
      <c r="N183" s="234">
        <v>0</v>
      </c>
      <c r="O183" s="234">
        <v>0</v>
      </c>
      <c r="P183" s="234">
        <v>0</v>
      </c>
      <c r="Q183" s="234">
        <v>0</v>
      </c>
      <c r="R183" s="234">
        <v>0</v>
      </c>
      <c r="S183" s="234">
        <v>0</v>
      </c>
      <c r="T183" s="234"/>
      <c r="U183" s="234"/>
      <c r="V183" s="235">
        <f t="shared" si="24"/>
        <v>0</v>
      </c>
      <c r="W183" s="73">
        <f t="shared" si="22"/>
        <v>0</v>
      </c>
      <c r="X183" s="89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234"/>
      <c r="AK183" s="65">
        <f t="shared" si="27"/>
        <v>0</v>
      </c>
      <c r="AL183" s="73">
        <f t="shared" si="25"/>
        <v>0</v>
      </c>
      <c r="AM183" s="14">
        <f t="shared" si="26"/>
        <v>0</v>
      </c>
      <c r="AN183" s="89"/>
      <c r="AO183" s="255">
        <v>1256131.0898000002</v>
      </c>
      <c r="AP183" s="73">
        <v>2.8499167734672153E-4</v>
      </c>
      <c r="AQ183" s="122">
        <v>6.0000000000000053E-2</v>
      </c>
    </row>
    <row r="184" spans="1:43" ht="15" hidden="1" customHeight="1" outlineLevel="1">
      <c r="A184" s="12" t="s">
        <v>154</v>
      </c>
      <c r="B184" s="8" t="s">
        <v>270</v>
      </c>
      <c r="C184" s="19" t="s">
        <v>190</v>
      </c>
      <c r="D184" s="12"/>
      <c r="E184" s="191"/>
      <c r="F184" s="12"/>
      <c r="G184" s="12"/>
      <c r="H184" s="12"/>
      <c r="I184" s="136" t="s">
        <v>161</v>
      </c>
      <c r="J184" s="234">
        <v>0</v>
      </c>
      <c r="K184" s="234">
        <v>0</v>
      </c>
      <c r="L184" s="234">
        <v>0</v>
      </c>
      <c r="M184" s="234">
        <v>0</v>
      </c>
      <c r="N184" s="234">
        <v>0</v>
      </c>
      <c r="O184" s="234">
        <v>0</v>
      </c>
      <c r="P184" s="234">
        <v>0</v>
      </c>
      <c r="Q184" s="234">
        <v>0</v>
      </c>
      <c r="R184" s="234">
        <v>0</v>
      </c>
      <c r="S184" s="234">
        <v>0</v>
      </c>
      <c r="T184" s="234"/>
      <c r="U184" s="234"/>
      <c r="V184" s="235">
        <f>SUM(J184:U184)</f>
        <v>0</v>
      </c>
      <c r="W184" s="73">
        <f t="shared" si="22"/>
        <v>0</v>
      </c>
      <c r="X184" s="89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4"/>
      <c r="AI184" s="234"/>
      <c r="AJ184" s="234"/>
      <c r="AK184" s="65">
        <f t="shared" si="27"/>
        <v>0</v>
      </c>
      <c r="AL184" s="73">
        <f t="shared" si="25"/>
        <v>0</v>
      </c>
      <c r="AM184" s="14">
        <f t="shared" si="26"/>
        <v>0</v>
      </c>
      <c r="AN184" s="89"/>
      <c r="AO184" s="255">
        <v>142178.62475182104</v>
      </c>
      <c r="AP184" s="73">
        <v>3.2257560600082814E-5</v>
      </c>
      <c r="AQ184" s="122">
        <v>5.9677419354838834E-2</v>
      </c>
    </row>
    <row r="185" spans="1:43" ht="15" hidden="1" customHeight="1" outlineLevel="1">
      <c r="A185" s="12" t="s">
        <v>154</v>
      </c>
      <c r="B185" s="8" t="s">
        <v>270</v>
      </c>
      <c r="I185" s="136" t="s">
        <v>171</v>
      </c>
      <c r="J185" s="234">
        <v>0</v>
      </c>
      <c r="K185" s="234">
        <v>0</v>
      </c>
      <c r="L185" s="234">
        <v>0</v>
      </c>
      <c r="M185" s="234">
        <v>0</v>
      </c>
      <c r="N185" s="234">
        <v>0</v>
      </c>
      <c r="O185" s="234">
        <v>0</v>
      </c>
      <c r="P185" s="234">
        <v>0</v>
      </c>
      <c r="Q185" s="234">
        <v>0</v>
      </c>
      <c r="R185" s="234">
        <v>0</v>
      </c>
      <c r="S185" s="234">
        <v>0</v>
      </c>
      <c r="T185" s="234"/>
      <c r="U185" s="234"/>
      <c r="V185" s="235">
        <f>SUM(J185:U185)</f>
        <v>0</v>
      </c>
      <c r="W185" s="73">
        <f t="shared" si="22"/>
        <v>0</v>
      </c>
      <c r="X185" s="89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234"/>
      <c r="AK185" s="65">
        <f t="shared" si="27"/>
        <v>0</v>
      </c>
      <c r="AL185" s="73">
        <f t="shared" si="25"/>
        <v>0</v>
      </c>
      <c r="AM185" s="14">
        <f t="shared" si="26"/>
        <v>0</v>
      </c>
      <c r="AN185" s="89"/>
      <c r="AO185" s="255">
        <v>1833604.0800000003</v>
      </c>
      <c r="AP185" s="73">
        <v>4.1600905080073608E-4</v>
      </c>
      <c r="AQ185" s="122">
        <v>0.6227265893116205</v>
      </c>
    </row>
    <row r="186" spans="1:43" ht="15" hidden="1" customHeight="1" outlineLevel="1">
      <c r="A186" s="12" t="s">
        <v>154</v>
      </c>
      <c r="B186" s="8" t="s">
        <v>270</v>
      </c>
      <c r="I186" s="136" t="s">
        <v>180</v>
      </c>
      <c r="J186" s="234">
        <v>0</v>
      </c>
      <c r="K186" s="234">
        <v>0</v>
      </c>
      <c r="L186" s="234">
        <v>0</v>
      </c>
      <c r="M186" s="234">
        <v>0</v>
      </c>
      <c r="N186" s="234">
        <v>0</v>
      </c>
      <c r="O186" s="234">
        <v>0</v>
      </c>
      <c r="P186" s="234">
        <v>0</v>
      </c>
      <c r="Q186" s="234">
        <v>0</v>
      </c>
      <c r="R186" s="234">
        <v>0</v>
      </c>
      <c r="S186" s="234">
        <v>0</v>
      </c>
      <c r="T186" s="234"/>
      <c r="U186" s="234"/>
      <c r="V186" s="235">
        <f>SUM(J186:U186)</f>
        <v>0</v>
      </c>
      <c r="W186" s="73">
        <f t="shared" si="22"/>
        <v>0</v>
      </c>
      <c r="X186" s="89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4"/>
      <c r="AI186" s="234"/>
      <c r="AJ186" s="234"/>
      <c r="AK186" s="65">
        <f t="shared" si="27"/>
        <v>0</v>
      </c>
      <c r="AL186" s="73">
        <f t="shared" si="25"/>
        <v>0</v>
      </c>
      <c r="AM186" s="14">
        <f t="shared" si="26"/>
        <v>0</v>
      </c>
      <c r="AN186" s="89"/>
      <c r="AO186" s="255">
        <v>86287.18</v>
      </c>
      <c r="AP186" s="73">
        <v>1.9576880439790603E-5</v>
      </c>
      <c r="AQ186" s="122">
        <v>5.9999999999999831E-2</v>
      </c>
    </row>
    <row r="187" spans="1:43" ht="15" hidden="1" customHeight="1" outlineLevel="1">
      <c r="A187" s="12" t="s">
        <v>154</v>
      </c>
      <c r="B187" s="8" t="s">
        <v>270</v>
      </c>
      <c r="I187" s="136" t="s">
        <v>179</v>
      </c>
      <c r="J187" s="234">
        <v>0</v>
      </c>
      <c r="K187" s="234">
        <v>0</v>
      </c>
      <c r="L187" s="234">
        <v>0</v>
      </c>
      <c r="M187" s="234">
        <v>0</v>
      </c>
      <c r="N187" s="234">
        <v>0</v>
      </c>
      <c r="O187" s="234">
        <v>0</v>
      </c>
      <c r="P187" s="234">
        <v>0</v>
      </c>
      <c r="Q187" s="234">
        <v>0</v>
      </c>
      <c r="R187" s="234">
        <v>0</v>
      </c>
      <c r="S187" s="234">
        <v>0</v>
      </c>
      <c r="T187" s="234"/>
      <c r="U187" s="234"/>
      <c r="V187" s="235">
        <f>SUM(J187:U187)</f>
        <v>0</v>
      </c>
      <c r="W187" s="73">
        <f t="shared" si="22"/>
        <v>0</v>
      </c>
      <c r="X187" s="89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234"/>
      <c r="AK187" s="65">
        <f t="shared" si="27"/>
        <v>0</v>
      </c>
      <c r="AL187" s="73">
        <f t="shared" si="25"/>
        <v>0</v>
      </c>
      <c r="AM187" s="14">
        <f t="shared" si="26"/>
        <v>0</v>
      </c>
      <c r="AN187" s="89"/>
      <c r="AO187" s="255">
        <v>2047316.1827741936</v>
      </c>
      <c r="AP187" s="73">
        <v>4.6449616423458129E-4</v>
      </c>
      <c r="AQ187" s="122">
        <v>5.9677419354838612E-2</v>
      </c>
    </row>
    <row r="188" spans="1:43" ht="15" hidden="1" customHeight="1" outlineLevel="1">
      <c r="A188" s="12" t="s">
        <v>154</v>
      </c>
      <c r="B188" s="8" t="s">
        <v>270</v>
      </c>
      <c r="I188" s="136" t="s">
        <v>190</v>
      </c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5">
        <f>SUM(J188:U188)</f>
        <v>0</v>
      </c>
      <c r="W188" s="73">
        <f t="shared" si="22"/>
        <v>0</v>
      </c>
      <c r="X188" s="89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65">
        <f t="shared" si="27"/>
        <v>0</v>
      </c>
      <c r="AL188" s="73">
        <f t="shared" si="25"/>
        <v>0</v>
      </c>
      <c r="AM188" s="14">
        <f t="shared" si="26"/>
        <v>0</v>
      </c>
      <c r="AN188" s="89"/>
      <c r="AO188" s="255">
        <v>289200</v>
      </c>
      <c r="AP188" s="73">
        <v>6.561384696066604E-5</v>
      </c>
      <c r="AQ188" s="122">
        <v>0.93334906129284767</v>
      </c>
    </row>
    <row r="189" spans="1:43" ht="15" hidden="1" customHeight="1" outlineLevel="1">
      <c r="A189" s="12" t="s">
        <v>154</v>
      </c>
      <c r="B189" s="8" t="s">
        <v>270</v>
      </c>
      <c r="I189" s="136" t="s">
        <v>163</v>
      </c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5">
        <f t="shared" si="24"/>
        <v>0</v>
      </c>
      <c r="W189" s="73">
        <f t="shared" si="22"/>
        <v>0</v>
      </c>
      <c r="X189" s="89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65">
        <f t="shared" si="27"/>
        <v>0</v>
      </c>
      <c r="AL189" s="73">
        <f t="shared" si="25"/>
        <v>0</v>
      </c>
      <c r="AM189" s="14">
        <f t="shared" si="26"/>
        <v>0</v>
      </c>
      <c r="AN189" s="89"/>
      <c r="AO189" s="255">
        <v>454680</v>
      </c>
      <c r="AP189" s="73">
        <v>1.0315803574023387E-4</v>
      </c>
      <c r="AQ189" s="122">
        <v>-0.28704023774106469</v>
      </c>
    </row>
    <row r="190" spans="1:43" ht="15" hidden="1" customHeight="1" outlineLevel="1">
      <c r="A190" s="12" t="s">
        <v>154</v>
      </c>
      <c r="B190" s="8" t="s">
        <v>270</v>
      </c>
      <c r="C190" s="8" t="s">
        <v>172</v>
      </c>
      <c r="I190" s="136" t="s">
        <v>278</v>
      </c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5">
        <f>SUM(J190:U190)</f>
        <v>0</v>
      </c>
      <c r="W190" s="73">
        <f t="shared" si="22"/>
        <v>0</v>
      </c>
      <c r="X190" s="89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234"/>
      <c r="AK190" s="65">
        <f t="shared" si="27"/>
        <v>0</v>
      </c>
      <c r="AL190" s="73">
        <f t="shared" si="25"/>
        <v>0</v>
      </c>
      <c r="AM190" s="14">
        <f t="shared" si="26"/>
        <v>0</v>
      </c>
      <c r="AN190" s="89"/>
      <c r="AO190" s="255">
        <v>0</v>
      </c>
      <c r="AP190" s="73">
        <v>0</v>
      </c>
      <c r="AQ190" s="122">
        <v>0</v>
      </c>
    </row>
    <row r="191" spans="1:43" ht="15" hidden="1" customHeight="1" outlineLevel="1">
      <c r="A191" s="12" t="s">
        <v>154</v>
      </c>
      <c r="B191" s="8" t="s">
        <v>270</v>
      </c>
      <c r="I191" s="136" t="s">
        <v>279</v>
      </c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5">
        <f>SUM(J191:U191)</f>
        <v>0</v>
      </c>
      <c r="W191" s="73">
        <f t="shared" si="22"/>
        <v>0</v>
      </c>
      <c r="X191" s="89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65">
        <f t="shared" si="27"/>
        <v>0</v>
      </c>
      <c r="AL191" s="73">
        <f t="shared" si="25"/>
        <v>0</v>
      </c>
      <c r="AM191" s="14">
        <f t="shared" si="26"/>
        <v>0</v>
      </c>
      <c r="AN191" s="89"/>
      <c r="AO191" s="255">
        <v>0</v>
      </c>
      <c r="AP191" s="73">
        <v>0</v>
      </c>
      <c r="AQ191" s="122">
        <v>0</v>
      </c>
    </row>
    <row r="192" spans="1:43" ht="15" hidden="1" customHeight="1" outlineLevel="1">
      <c r="A192" s="12" t="s">
        <v>154</v>
      </c>
      <c r="B192" s="8" t="s">
        <v>270</v>
      </c>
      <c r="I192" s="136" t="s">
        <v>280</v>
      </c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5">
        <f>SUM(J192:U192)</f>
        <v>0</v>
      </c>
      <c r="W192" s="73">
        <f t="shared" si="22"/>
        <v>0</v>
      </c>
      <c r="X192" s="89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234"/>
      <c r="AK192" s="65">
        <f t="shared" si="27"/>
        <v>0</v>
      </c>
      <c r="AL192" s="73">
        <f t="shared" si="25"/>
        <v>0</v>
      </c>
      <c r="AM192" s="14">
        <f t="shared" si="26"/>
        <v>0</v>
      </c>
      <c r="AN192" s="89"/>
      <c r="AO192" s="255">
        <v>0</v>
      </c>
      <c r="AP192" s="73">
        <v>0</v>
      </c>
      <c r="AQ192" s="122">
        <v>0</v>
      </c>
    </row>
    <row r="193" spans="1:43" ht="15" hidden="1" customHeight="1" outlineLevel="1">
      <c r="A193" s="12" t="s">
        <v>154</v>
      </c>
      <c r="B193" s="8" t="s">
        <v>270</v>
      </c>
      <c r="I193" s="136" t="s">
        <v>281</v>
      </c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5">
        <f>SUM(J193:U193)</f>
        <v>0</v>
      </c>
      <c r="W193" s="73">
        <f t="shared" si="22"/>
        <v>0</v>
      </c>
      <c r="X193" s="89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65">
        <f t="shared" si="27"/>
        <v>0</v>
      </c>
      <c r="AL193" s="73">
        <f t="shared" si="25"/>
        <v>0</v>
      </c>
      <c r="AM193" s="14">
        <f t="shared" si="26"/>
        <v>0</v>
      </c>
      <c r="AN193" s="89"/>
      <c r="AO193" s="255">
        <v>24805</v>
      </c>
      <c r="AP193" s="73">
        <v>5.6277713480612764E-6</v>
      </c>
      <c r="AQ193" s="122">
        <v>-0.1572576576417416</v>
      </c>
    </row>
    <row r="194" spans="1:43" ht="15" hidden="1" customHeight="1" outlineLevel="1">
      <c r="A194" s="12"/>
      <c r="I194" s="136" t="s">
        <v>282</v>
      </c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5">
        <f>SUM(J194:U194)</f>
        <v>0</v>
      </c>
      <c r="W194" s="73">
        <f t="shared" si="22"/>
        <v>0</v>
      </c>
      <c r="X194" s="89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65">
        <f t="shared" si="27"/>
        <v>0</v>
      </c>
      <c r="AL194" s="73">
        <f t="shared" si="25"/>
        <v>0</v>
      </c>
      <c r="AM194" s="14">
        <f t="shared" si="26"/>
        <v>0</v>
      </c>
      <c r="AN194" s="89"/>
      <c r="AO194" s="255">
        <v>0</v>
      </c>
      <c r="AP194" s="73">
        <v>0</v>
      </c>
      <c r="AQ194" s="122">
        <v>-1</v>
      </c>
    </row>
    <row r="195" spans="1:43" ht="15" hidden="1" customHeight="1" outlineLevel="1">
      <c r="A195" s="12" t="s">
        <v>154</v>
      </c>
      <c r="B195" s="8" t="s">
        <v>270</v>
      </c>
      <c r="I195" s="136" t="s">
        <v>177</v>
      </c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5">
        <f>SUM(J195:U195)</f>
        <v>0</v>
      </c>
      <c r="W195" s="73">
        <f t="shared" si="22"/>
        <v>0</v>
      </c>
      <c r="X195" s="89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65">
        <f t="shared" si="27"/>
        <v>0</v>
      </c>
      <c r="AL195" s="73">
        <f t="shared" si="25"/>
        <v>0</v>
      </c>
      <c r="AM195" s="14">
        <f t="shared" si="26"/>
        <v>0</v>
      </c>
      <c r="AN195" s="89"/>
      <c r="AO195" s="255">
        <v>340125.8682629033</v>
      </c>
      <c r="AP195" s="73">
        <v>7.7167934535151428E-5</v>
      </c>
      <c r="AQ195" s="122">
        <v>5.9677419354838834E-2</v>
      </c>
    </row>
    <row r="196" spans="1:43" ht="15" hidden="1" customHeight="1" outlineLevel="1">
      <c r="A196" s="12" t="s">
        <v>154</v>
      </c>
      <c r="B196" s="8" t="s">
        <v>270</v>
      </c>
      <c r="I196" s="136" t="s">
        <v>175</v>
      </c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5">
        <f>SUM(J196:U196)</f>
        <v>0</v>
      </c>
      <c r="W196" s="73">
        <f t="shared" si="22"/>
        <v>0</v>
      </c>
      <c r="X196" s="89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234"/>
      <c r="AK196" s="65">
        <f t="shared" si="27"/>
        <v>0</v>
      </c>
      <c r="AL196" s="73">
        <f t="shared" si="25"/>
        <v>0</v>
      </c>
      <c r="AM196" s="14">
        <f t="shared" si="26"/>
        <v>0</v>
      </c>
      <c r="AN196" s="89"/>
      <c r="AO196" s="255">
        <v>24000</v>
      </c>
      <c r="AP196" s="73">
        <v>5.4451325278561027E-6</v>
      </c>
      <c r="AQ196" s="122">
        <v>5.5747120139164741</v>
      </c>
    </row>
    <row r="197" spans="1:43" ht="15" hidden="1" customHeight="1" outlineLevel="1">
      <c r="A197" s="12" t="s">
        <v>154</v>
      </c>
      <c r="B197" s="8" t="s">
        <v>270</v>
      </c>
      <c r="I197" s="136" t="s">
        <v>168</v>
      </c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5">
        <f>SUM(J197:U197)</f>
        <v>0</v>
      </c>
      <c r="W197" s="73">
        <f t="shared" si="22"/>
        <v>0</v>
      </c>
      <c r="X197" s="89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65">
        <f t="shared" si="27"/>
        <v>0</v>
      </c>
      <c r="AL197" s="73">
        <f t="shared" si="25"/>
        <v>0</v>
      </c>
      <c r="AM197" s="14">
        <f t="shared" si="26"/>
        <v>0</v>
      </c>
      <c r="AN197" s="89"/>
      <c r="AO197" s="255">
        <v>202439.15953301941</v>
      </c>
      <c r="AP197" s="73">
        <v>4.5929502186878948E-5</v>
      </c>
      <c r="AQ197" s="122">
        <v>5.9677419354839056E-2</v>
      </c>
    </row>
    <row r="198" spans="1:43" ht="15" hidden="1" customHeight="1" outlineLevel="1">
      <c r="A198" s="12" t="s">
        <v>154</v>
      </c>
      <c r="B198" s="8" t="s">
        <v>270</v>
      </c>
      <c r="I198" s="136" t="s">
        <v>170</v>
      </c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5">
        <f>SUM(J198:U198)</f>
        <v>0</v>
      </c>
      <c r="W198" s="73">
        <f t="shared" si="22"/>
        <v>0</v>
      </c>
      <c r="X198" s="89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234"/>
      <c r="AK198" s="65">
        <f t="shared" si="27"/>
        <v>0</v>
      </c>
      <c r="AL198" s="73">
        <f t="shared" si="25"/>
        <v>0</v>
      </c>
      <c r="AM198" s="14">
        <f t="shared" si="26"/>
        <v>0</v>
      </c>
      <c r="AN198" s="89"/>
      <c r="AO198" s="255">
        <v>0</v>
      </c>
      <c r="AP198" s="73">
        <v>0</v>
      </c>
      <c r="AQ198" s="122">
        <v>0</v>
      </c>
    </row>
    <row r="199" spans="1:43" ht="15" hidden="1" customHeight="1" outlineLevel="1">
      <c r="A199" s="12" t="s">
        <v>154</v>
      </c>
      <c r="B199" s="8" t="s">
        <v>270</v>
      </c>
      <c r="I199" s="136" t="s">
        <v>159</v>
      </c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5">
        <f>SUM(J199:U199)</f>
        <v>0</v>
      </c>
      <c r="W199" s="73">
        <f t="shared" si="22"/>
        <v>0</v>
      </c>
      <c r="X199" s="89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65">
        <f t="shared" si="27"/>
        <v>0</v>
      </c>
      <c r="AL199" s="73">
        <f t="shared" si="25"/>
        <v>0</v>
      </c>
      <c r="AM199" s="14">
        <f t="shared" si="26"/>
        <v>0</v>
      </c>
      <c r="AN199" s="89"/>
      <c r="AO199" s="255">
        <v>278755.86900000006</v>
      </c>
      <c r="AP199" s="73">
        <v>6.3244277067612295E-5</v>
      </c>
      <c r="AQ199" s="122">
        <v>5.0000000000000044E-2</v>
      </c>
    </row>
    <row r="200" spans="1:43" ht="15" hidden="1" customHeight="1" outlineLevel="1">
      <c r="A200" s="12" t="s">
        <v>154</v>
      </c>
      <c r="B200" s="8" t="s">
        <v>270</v>
      </c>
      <c r="I200" s="136" t="s">
        <v>283</v>
      </c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5">
        <f>SUM(J200:U200)</f>
        <v>0</v>
      </c>
      <c r="W200" s="73">
        <f t="shared" si="22"/>
        <v>0</v>
      </c>
      <c r="X200" s="89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234"/>
      <c r="AK200" s="65">
        <f t="shared" si="27"/>
        <v>0</v>
      </c>
      <c r="AL200" s="73">
        <f t="shared" si="25"/>
        <v>0</v>
      </c>
      <c r="AM200" s="14">
        <f t="shared" si="26"/>
        <v>0</v>
      </c>
      <c r="AN200" s="89"/>
      <c r="AO200" s="255">
        <v>74400</v>
      </c>
      <c r="AP200" s="73">
        <v>1.687991083635392E-5</v>
      </c>
      <c r="AQ200" s="122">
        <v>6.2712765737112264E-2</v>
      </c>
    </row>
    <row r="201" spans="1:43" ht="15" hidden="1" customHeight="1" outlineLevel="1">
      <c r="A201" s="12" t="s">
        <v>154</v>
      </c>
      <c r="B201" s="8" t="s">
        <v>270</v>
      </c>
      <c r="I201" s="136" t="s">
        <v>284</v>
      </c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5">
        <f>SUM(J201:U201)</f>
        <v>0</v>
      </c>
      <c r="W201" s="73">
        <f t="shared" si="22"/>
        <v>0</v>
      </c>
      <c r="X201" s="89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65">
        <f t="shared" si="27"/>
        <v>0</v>
      </c>
      <c r="AL201" s="73">
        <f t="shared" si="25"/>
        <v>0</v>
      </c>
      <c r="AM201" s="14">
        <f t="shared" si="26"/>
        <v>0</v>
      </c>
      <c r="AN201" s="89"/>
      <c r="AO201" s="255">
        <v>13280.234838709677</v>
      </c>
      <c r="AP201" s="73">
        <v>3.0130266124094127E-6</v>
      </c>
      <c r="AQ201" s="122">
        <v>4.1509443508889854E-2</v>
      </c>
    </row>
    <row r="202" spans="1:43" ht="15" hidden="1" customHeight="1" outlineLevel="1">
      <c r="A202" s="12" t="s">
        <v>154</v>
      </c>
      <c r="B202" s="8" t="s">
        <v>270</v>
      </c>
      <c r="I202" s="136" t="s">
        <v>157</v>
      </c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5">
        <f>SUM(J202:U202)</f>
        <v>0</v>
      </c>
      <c r="W202" s="73">
        <f t="shared" si="22"/>
        <v>0</v>
      </c>
      <c r="X202" s="89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234"/>
      <c r="AK202" s="65">
        <f t="shared" si="27"/>
        <v>0</v>
      </c>
      <c r="AL202" s="73">
        <f t="shared" si="25"/>
        <v>0</v>
      </c>
      <c r="AM202" s="14">
        <f t="shared" si="26"/>
        <v>0</v>
      </c>
      <c r="AN202" s="89"/>
      <c r="AO202" s="255">
        <v>0</v>
      </c>
      <c r="AP202" s="73">
        <v>0</v>
      </c>
      <c r="AQ202" s="122">
        <v>0</v>
      </c>
    </row>
    <row r="203" spans="1:43" ht="15" hidden="1" customHeight="1" outlineLevel="1">
      <c r="A203" s="12" t="s">
        <v>154</v>
      </c>
      <c r="B203" s="8" t="s">
        <v>270</v>
      </c>
      <c r="I203" s="136" t="s">
        <v>189</v>
      </c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5">
        <f>SUM(J203:U203)</f>
        <v>0</v>
      </c>
      <c r="W203" s="73">
        <f t="shared" si="22"/>
        <v>0</v>
      </c>
      <c r="X203" s="89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65">
        <f t="shared" si="27"/>
        <v>0</v>
      </c>
      <c r="AL203" s="73">
        <f t="shared" si="25"/>
        <v>0</v>
      </c>
      <c r="AM203" s="14">
        <f t="shared" si="26"/>
        <v>0</v>
      </c>
      <c r="AN203" s="89"/>
      <c r="AO203" s="255">
        <v>127572.007</v>
      </c>
      <c r="AP203" s="73">
        <v>2.8943603539982769E-5</v>
      </c>
      <c r="AQ203" s="122">
        <v>-4.4230828446365722E-2</v>
      </c>
    </row>
    <row r="204" spans="1:43" ht="15" hidden="1" customHeight="1" outlineLevel="1">
      <c r="A204" s="12" t="s">
        <v>154</v>
      </c>
      <c r="B204" s="8" t="s">
        <v>270</v>
      </c>
      <c r="I204" s="136" t="s">
        <v>181</v>
      </c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5">
        <f>SUM(J204:U204)</f>
        <v>0</v>
      </c>
      <c r="W204" s="73">
        <f t="shared" si="22"/>
        <v>0</v>
      </c>
      <c r="X204" s="89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65">
        <f t="shared" si="27"/>
        <v>0</v>
      </c>
      <c r="AL204" s="73">
        <f t="shared" si="25"/>
        <v>0</v>
      </c>
      <c r="AM204" s="14">
        <f t="shared" si="26"/>
        <v>0</v>
      </c>
      <c r="AN204" s="89"/>
      <c r="AO204" s="255">
        <v>235462.9717741936</v>
      </c>
      <c r="AP204" s="73">
        <v>5.3421961946388541E-5</v>
      </c>
      <c r="AQ204" s="122">
        <v>5.9677419354839056E-2</v>
      </c>
    </row>
    <row r="205" spans="1:43" ht="15" hidden="1" customHeight="1" outlineLevel="1">
      <c r="A205" s="12"/>
      <c r="I205" s="136" t="s">
        <v>285</v>
      </c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5">
        <f>SUM(J205:U205)</f>
        <v>0</v>
      </c>
      <c r="W205" s="73">
        <f t="shared" si="22"/>
        <v>0</v>
      </c>
      <c r="X205" s="89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234"/>
      <c r="AK205" s="65">
        <f t="shared" si="27"/>
        <v>0</v>
      </c>
      <c r="AL205" s="73">
        <f t="shared" si="25"/>
        <v>0</v>
      </c>
      <c r="AM205" s="14">
        <f t="shared" si="26"/>
        <v>0</v>
      </c>
      <c r="AN205" s="89"/>
      <c r="AO205" s="255">
        <v>0</v>
      </c>
      <c r="AP205" s="73">
        <v>0</v>
      </c>
      <c r="AQ205" s="122">
        <v>0</v>
      </c>
    </row>
    <row r="206" spans="1:43" ht="15" hidden="1" customHeight="1" outlineLevel="1">
      <c r="A206" s="12"/>
      <c r="I206" s="136" t="s">
        <v>195</v>
      </c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5">
        <f>SUM(J206:U206)</f>
        <v>0</v>
      </c>
      <c r="W206" s="73">
        <f t="shared" si="22"/>
        <v>0</v>
      </c>
      <c r="X206" s="89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65">
        <f t="shared" si="27"/>
        <v>0</v>
      </c>
      <c r="AL206" s="73">
        <f t="shared" si="25"/>
        <v>0</v>
      </c>
      <c r="AM206" s="14">
        <f t="shared" si="26"/>
        <v>0</v>
      </c>
      <c r="AN206" s="89"/>
      <c r="AO206" s="255">
        <v>20103.877500000002</v>
      </c>
      <c r="AP206" s="73">
        <v>4.5611782213035183E-6</v>
      </c>
      <c r="AQ206" s="122">
        <v>5.0000000000000266E-2</v>
      </c>
    </row>
    <row r="207" spans="1:43" ht="15" hidden="1" customHeight="1" outlineLevel="1">
      <c r="A207" s="12"/>
      <c r="I207" s="136" t="s">
        <v>245</v>
      </c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5">
        <f>SUM(J207:U207)</f>
        <v>0</v>
      </c>
      <c r="W207" s="73">
        <f t="shared" si="22"/>
        <v>0</v>
      </c>
      <c r="X207" s="89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234"/>
      <c r="AK207" s="65">
        <f t="shared" si="27"/>
        <v>0</v>
      </c>
      <c r="AL207" s="73">
        <f t="shared" si="25"/>
        <v>0</v>
      </c>
      <c r="AM207" s="14">
        <f t="shared" si="26"/>
        <v>0</v>
      </c>
      <c r="AN207" s="89"/>
      <c r="AO207" s="255">
        <v>0</v>
      </c>
      <c r="AP207" s="73">
        <v>0</v>
      </c>
      <c r="AQ207" s="122">
        <v>0</v>
      </c>
    </row>
    <row r="208" spans="1:43" ht="15" hidden="1" customHeight="1" outlineLevel="1">
      <c r="A208" s="12"/>
      <c r="I208" s="136" t="s">
        <v>169</v>
      </c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5">
        <f>SUM(J208:U208)</f>
        <v>0</v>
      </c>
      <c r="W208" s="73">
        <f t="shared" si="22"/>
        <v>0</v>
      </c>
      <c r="X208" s="89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65">
        <f t="shared" si="27"/>
        <v>0</v>
      </c>
      <c r="AL208" s="73">
        <f t="shared" si="25"/>
        <v>0</v>
      </c>
      <c r="AM208" s="14">
        <f t="shared" si="26"/>
        <v>0</v>
      </c>
      <c r="AN208" s="89"/>
      <c r="AO208" s="255">
        <v>0</v>
      </c>
      <c r="AP208" s="73">
        <v>0</v>
      </c>
      <c r="AQ208" s="122">
        <v>0</v>
      </c>
    </row>
    <row r="209" spans="1:43" ht="15" hidden="1" customHeight="1" outlineLevel="1">
      <c r="A209" s="12"/>
      <c r="I209" s="136" t="s">
        <v>225</v>
      </c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5">
        <f>SUM(J209:U209)</f>
        <v>0</v>
      </c>
      <c r="W209" s="73">
        <f t="shared" si="22"/>
        <v>0</v>
      </c>
      <c r="X209" s="89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234"/>
      <c r="AK209" s="65">
        <f t="shared" si="27"/>
        <v>0</v>
      </c>
      <c r="AL209" s="73">
        <f t="shared" si="25"/>
        <v>0</v>
      </c>
      <c r="AM209" s="14">
        <f t="shared" si="26"/>
        <v>0</v>
      </c>
      <c r="AN209" s="89"/>
      <c r="AO209" s="255">
        <v>0</v>
      </c>
      <c r="AP209" s="73">
        <v>0</v>
      </c>
      <c r="AQ209" s="122">
        <v>0</v>
      </c>
    </row>
    <row r="210" spans="1:43" ht="15" hidden="1" customHeight="1" outlineLevel="1">
      <c r="A210" s="12"/>
      <c r="I210" s="136" t="s">
        <v>186</v>
      </c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5">
        <f>SUM(J210:U210)</f>
        <v>0</v>
      </c>
      <c r="W210" s="73">
        <f t="shared" si="22"/>
        <v>0</v>
      </c>
      <c r="X210" s="89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65">
        <f t="shared" si="27"/>
        <v>0</v>
      </c>
      <c r="AL210" s="73">
        <f t="shared" si="25"/>
        <v>0</v>
      </c>
      <c r="AM210" s="14">
        <f t="shared" si="26"/>
        <v>0</v>
      </c>
      <c r="AN210" s="89"/>
      <c r="AO210" s="255">
        <v>0</v>
      </c>
      <c r="AP210" s="73">
        <v>0</v>
      </c>
      <c r="AQ210" s="122">
        <v>0</v>
      </c>
    </row>
    <row r="211" spans="1:43" ht="15" hidden="1" customHeight="1" outlineLevel="1">
      <c r="A211" s="12"/>
      <c r="I211" s="136" t="s">
        <v>176</v>
      </c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5">
        <f>SUM(J211:U211)</f>
        <v>0</v>
      </c>
      <c r="W211" s="73">
        <f t="shared" si="22"/>
        <v>0</v>
      </c>
      <c r="X211" s="89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4"/>
      <c r="AI211" s="234"/>
      <c r="AJ211" s="234"/>
      <c r="AK211" s="65">
        <f t="shared" si="27"/>
        <v>0</v>
      </c>
      <c r="AL211" s="73">
        <f t="shared" si="25"/>
        <v>0</v>
      </c>
      <c r="AM211" s="14">
        <f t="shared" si="26"/>
        <v>0</v>
      </c>
      <c r="AN211" s="89"/>
      <c r="AO211" s="255">
        <v>32072.255645161287</v>
      </c>
      <c r="AP211" s="73">
        <v>7.2765701022993432E-6</v>
      </c>
      <c r="AQ211" s="122">
        <v>5.9677419354838612E-2</v>
      </c>
    </row>
    <row r="212" spans="1:43" ht="15" collapsed="1">
      <c r="A212" s="12" t="s">
        <v>196</v>
      </c>
      <c r="B212" s="8" t="s">
        <v>270</v>
      </c>
      <c r="E212" s="1"/>
      <c r="I212" s="121" t="s">
        <v>197</v>
      </c>
      <c r="J212" s="231">
        <f t="shared" ref="J212:U212" si="28">SUM(J213:J228)</f>
        <v>0</v>
      </c>
      <c r="K212" s="231">
        <f t="shared" si="28"/>
        <v>0</v>
      </c>
      <c r="L212" s="231">
        <f t="shared" si="28"/>
        <v>0</v>
      </c>
      <c r="M212" s="231">
        <f t="shared" si="28"/>
        <v>0</v>
      </c>
      <c r="N212" s="231">
        <f t="shared" si="28"/>
        <v>0</v>
      </c>
      <c r="O212" s="231">
        <f t="shared" si="28"/>
        <v>0</v>
      </c>
      <c r="P212" s="231">
        <f t="shared" si="28"/>
        <v>0</v>
      </c>
      <c r="Q212" s="231">
        <f t="shared" si="28"/>
        <v>0</v>
      </c>
      <c r="R212" s="231">
        <f t="shared" si="28"/>
        <v>0</v>
      </c>
      <c r="S212" s="231">
        <f t="shared" si="28"/>
        <v>0</v>
      </c>
      <c r="T212" s="231">
        <f t="shared" si="28"/>
        <v>0</v>
      </c>
      <c r="U212" s="231">
        <f t="shared" si="28"/>
        <v>0</v>
      </c>
      <c r="V212" s="231">
        <f>SUM(V213:V228)</f>
        <v>0</v>
      </c>
      <c r="W212" s="72">
        <f t="shared" si="22"/>
        <v>0</v>
      </c>
      <c r="X212" s="89"/>
      <c r="Y212" s="231">
        <f t="shared" ref="Y212:AK212" si="29">SUM(Y213:Y228)</f>
        <v>0</v>
      </c>
      <c r="Z212" s="231">
        <f t="shared" si="29"/>
        <v>0</v>
      </c>
      <c r="AA212" s="231">
        <f t="shared" si="29"/>
        <v>0</v>
      </c>
      <c r="AB212" s="231">
        <f t="shared" si="29"/>
        <v>0</v>
      </c>
      <c r="AC212" s="231">
        <f t="shared" si="29"/>
        <v>0</v>
      </c>
      <c r="AD212" s="231">
        <f t="shared" si="29"/>
        <v>0</v>
      </c>
      <c r="AE212" s="231">
        <f t="shared" si="29"/>
        <v>0</v>
      </c>
      <c r="AF212" s="231">
        <f t="shared" si="29"/>
        <v>0</v>
      </c>
      <c r="AG212" s="231">
        <f t="shared" si="29"/>
        <v>0</v>
      </c>
      <c r="AH212" s="231">
        <f t="shared" si="29"/>
        <v>0</v>
      </c>
      <c r="AI212" s="231">
        <f t="shared" si="29"/>
        <v>0</v>
      </c>
      <c r="AJ212" s="231">
        <f t="shared" si="29"/>
        <v>0</v>
      </c>
      <c r="AK212" s="231">
        <f t="shared" si="29"/>
        <v>0</v>
      </c>
      <c r="AL212" s="196">
        <f t="shared" si="25"/>
        <v>0</v>
      </c>
      <c r="AM212" s="122">
        <f t="shared" si="26"/>
        <v>0</v>
      </c>
      <c r="AN212" s="89"/>
      <c r="AO212" s="253">
        <v>45557269.029590905</v>
      </c>
      <c r="AP212" s="196">
        <v>1.0336056978054869E-2</v>
      </c>
      <c r="AQ212" s="122">
        <v>2.2158083973571108E-2</v>
      </c>
    </row>
    <row r="213" spans="1:43" ht="15" hidden="1" customHeight="1" outlineLevel="1">
      <c r="A213" s="12" t="s">
        <v>196</v>
      </c>
      <c r="B213" s="8" t="s">
        <v>270</v>
      </c>
      <c r="E213"/>
      <c r="I213" t="s">
        <v>198</v>
      </c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5">
        <f>SUM(J213:U213)</f>
        <v>0</v>
      </c>
      <c r="W213" s="73">
        <f t="shared" si="22"/>
        <v>0</v>
      </c>
      <c r="X213" s="89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234"/>
      <c r="AK213" s="65">
        <f t="shared" si="27"/>
        <v>0</v>
      </c>
      <c r="AL213" s="73">
        <f t="shared" si="25"/>
        <v>0</v>
      </c>
      <c r="AM213" s="14">
        <f t="shared" si="26"/>
        <v>0</v>
      </c>
      <c r="AN213" s="89"/>
      <c r="AO213" s="255">
        <v>1313951.6265164383</v>
      </c>
      <c r="AP213" s="196">
        <v>2.981100308989205E-4</v>
      </c>
      <c r="AQ213" s="122">
        <v>-8.8903176500625403E-2</v>
      </c>
    </row>
    <row r="214" spans="1:43" ht="15" hidden="1" customHeight="1" outlineLevel="1">
      <c r="A214" s="12" t="s">
        <v>196</v>
      </c>
      <c r="B214" s="8" t="s">
        <v>270</v>
      </c>
      <c r="E214"/>
      <c r="I214" t="s">
        <v>199</v>
      </c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5">
        <f t="shared" ref="V214:V233" si="30">SUM(J214:U214)</f>
        <v>0</v>
      </c>
      <c r="W214" s="73">
        <f t="shared" si="22"/>
        <v>0</v>
      </c>
      <c r="X214" s="89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234"/>
      <c r="AK214" s="65">
        <f t="shared" si="27"/>
        <v>0</v>
      </c>
      <c r="AL214" s="73">
        <f t="shared" si="25"/>
        <v>0</v>
      </c>
      <c r="AM214" s="14">
        <f t="shared" si="26"/>
        <v>0</v>
      </c>
      <c r="AN214" s="89"/>
      <c r="AO214" s="255">
        <v>3607173.4336760826</v>
      </c>
      <c r="AP214" s="196">
        <v>8.1839739155533438E-4</v>
      </c>
      <c r="AQ214" s="122">
        <v>-0.27187656623319856</v>
      </c>
    </row>
    <row r="215" spans="1:43" ht="15" hidden="1" customHeight="1" outlineLevel="1">
      <c r="A215" s="12" t="s">
        <v>196</v>
      </c>
      <c r="B215" s="8" t="s">
        <v>270</v>
      </c>
      <c r="E215"/>
      <c r="I215" t="s">
        <v>200</v>
      </c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5">
        <f t="shared" si="30"/>
        <v>0</v>
      </c>
      <c r="W215" s="73">
        <f t="shared" si="22"/>
        <v>0</v>
      </c>
      <c r="X215" s="89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234"/>
      <c r="AK215" s="65">
        <f t="shared" si="27"/>
        <v>0</v>
      </c>
      <c r="AL215" s="73">
        <f t="shared" si="25"/>
        <v>0</v>
      </c>
      <c r="AM215" s="14">
        <f t="shared" si="26"/>
        <v>0</v>
      </c>
      <c r="AN215" s="89"/>
      <c r="AO215" s="255">
        <v>0</v>
      </c>
      <c r="AP215" s="196">
        <v>0</v>
      </c>
      <c r="AQ215" s="122">
        <v>-1</v>
      </c>
    </row>
    <row r="216" spans="1:43" ht="15" hidden="1" customHeight="1" outlineLevel="1">
      <c r="A216" s="12" t="s">
        <v>196</v>
      </c>
      <c r="B216" s="8" t="s">
        <v>270</v>
      </c>
      <c r="E216"/>
      <c r="I216" t="s">
        <v>201</v>
      </c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5">
        <f t="shared" si="30"/>
        <v>0</v>
      </c>
      <c r="W216" s="73">
        <f t="shared" si="22"/>
        <v>0</v>
      </c>
      <c r="X216" s="89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234"/>
      <c r="AK216" s="65">
        <f t="shared" si="27"/>
        <v>0</v>
      </c>
      <c r="AL216" s="73">
        <f t="shared" si="25"/>
        <v>0</v>
      </c>
      <c r="AM216" s="14">
        <f t="shared" si="26"/>
        <v>0</v>
      </c>
      <c r="AN216" s="89"/>
      <c r="AO216" s="255">
        <v>1918369.3747139999</v>
      </c>
      <c r="AP216" s="196">
        <v>4.3524064511242392E-4</v>
      </c>
      <c r="AQ216" s="122">
        <v>9.0757567074263967E-2</v>
      </c>
    </row>
    <row r="217" spans="1:43" ht="15" hidden="1" customHeight="1" outlineLevel="1">
      <c r="A217" s="12" t="s">
        <v>196</v>
      </c>
      <c r="B217" s="8" t="s">
        <v>270</v>
      </c>
      <c r="E217"/>
      <c r="I217" t="s">
        <v>286</v>
      </c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5">
        <f t="shared" si="30"/>
        <v>0</v>
      </c>
      <c r="W217" s="73">
        <f t="shared" si="22"/>
        <v>0</v>
      </c>
      <c r="X217" s="89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65">
        <f t="shared" si="27"/>
        <v>0</v>
      </c>
      <c r="AL217" s="73">
        <f t="shared" si="25"/>
        <v>0</v>
      </c>
      <c r="AM217" s="14">
        <f t="shared" si="26"/>
        <v>0</v>
      </c>
      <c r="AN217" s="89"/>
      <c r="AO217" s="255">
        <v>0</v>
      </c>
      <c r="AP217" s="196">
        <v>0</v>
      </c>
      <c r="AQ217" s="122">
        <v>-1</v>
      </c>
    </row>
    <row r="218" spans="1:43" ht="15" hidden="1" customHeight="1" outlineLevel="1">
      <c r="A218" s="12" t="s">
        <v>196</v>
      </c>
      <c r="B218" s="8" t="s">
        <v>270</v>
      </c>
      <c r="E218"/>
      <c r="I218" t="s">
        <v>202</v>
      </c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5">
        <f t="shared" si="30"/>
        <v>0</v>
      </c>
      <c r="W218" s="73">
        <f t="shared" si="22"/>
        <v>0</v>
      </c>
      <c r="X218" s="89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234"/>
      <c r="AK218" s="65">
        <f t="shared" si="27"/>
        <v>0</v>
      </c>
      <c r="AL218" s="73">
        <f t="shared" si="25"/>
        <v>0</v>
      </c>
      <c r="AM218" s="14">
        <f t="shared" si="26"/>
        <v>0</v>
      </c>
      <c r="AN218" s="89"/>
      <c r="AO218" s="255">
        <v>0</v>
      </c>
      <c r="AP218" s="196">
        <v>0</v>
      </c>
      <c r="AQ218" s="122">
        <v>-1</v>
      </c>
    </row>
    <row r="219" spans="1:43" ht="15" hidden="1" customHeight="1" outlineLevel="1">
      <c r="A219" s="12" t="s">
        <v>196</v>
      </c>
      <c r="B219" s="8" t="s">
        <v>270</v>
      </c>
      <c r="E219"/>
      <c r="I219" t="s">
        <v>203</v>
      </c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5">
        <f t="shared" si="30"/>
        <v>0</v>
      </c>
      <c r="W219" s="73">
        <f t="shared" si="22"/>
        <v>0</v>
      </c>
      <c r="X219" s="89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234"/>
      <c r="AK219" s="65">
        <f t="shared" si="27"/>
        <v>0</v>
      </c>
      <c r="AL219" s="73">
        <f t="shared" si="25"/>
        <v>0</v>
      </c>
      <c r="AM219" s="14">
        <f t="shared" si="26"/>
        <v>0</v>
      </c>
      <c r="AN219" s="89"/>
      <c r="AO219" s="255">
        <v>3197282.2911900003</v>
      </c>
      <c r="AP219" s="196">
        <v>7.2540107518737323E-4</v>
      </c>
      <c r="AQ219" s="122">
        <v>0.26484835091477965</v>
      </c>
    </row>
    <row r="220" spans="1:43" ht="15" hidden="1" customHeight="1" outlineLevel="1">
      <c r="A220" s="12" t="s">
        <v>196</v>
      </c>
      <c r="B220" s="8" t="s">
        <v>270</v>
      </c>
      <c r="E220"/>
      <c r="I220" t="s">
        <v>204</v>
      </c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5">
        <f t="shared" si="30"/>
        <v>0</v>
      </c>
      <c r="W220" s="73">
        <f t="shared" si="22"/>
        <v>0</v>
      </c>
      <c r="X220" s="89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65">
        <f t="shared" si="27"/>
        <v>0</v>
      </c>
      <c r="AL220" s="73">
        <f t="shared" si="25"/>
        <v>0</v>
      </c>
      <c r="AM220" s="14">
        <f t="shared" si="26"/>
        <v>0</v>
      </c>
      <c r="AN220" s="89"/>
      <c r="AO220" s="255">
        <v>3197282.2911900003</v>
      </c>
      <c r="AP220" s="196">
        <v>7.2540107518737323E-4</v>
      </c>
      <c r="AQ220" s="122">
        <v>0.55168113982333344</v>
      </c>
    </row>
    <row r="221" spans="1:43" ht="15" hidden="1" customHeight="1" outlineLevel="1">
      <c r="A221" s="12" t="s">
        <v>196</v>
      </c>
      <c r="B221" s="8" t="s">
        <v>270</v>
      </c>
      <c r="E221"/>
      <c r="I221" t="s">
        <v>205</v>
      </c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5">
        <f t="shared" si="30"/>
        <v>0</v>
      </c>
      <c r="W221" s="73">
        <f t="shared" si="22"/>
        <v>0</v>
      </c>
      <c r="X221" s="89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65">
        <f t="shared" si="27"/>
        <v>0</v>
      </c>
      <c r="AL221" s="73">
        <f t="shared" si="25"/>
        <v>0</v>
      </c>
      <c r="AM221" s="14">
        <f t="shared" si="26"/>
        <v>0</v>
      </c>
      <c r="AN221" s="89"/>
      <c r="AO221" s="255">
        <v>0</v>
      </c>
      <c r="AP221" s="196">
        <v>0</v>
      </c>
      <c r="AQ221" s="122">
        <v>-1</v>
      </c>
    </row>
    <row r="222" spans="1:43" ht="15" hidden="1" customHeight="1" outlineLevel="1">
      <c r="A222" s="12" t="s">
        <v>196</v>
      </c>
      <c r="B222" s="8" t="s">
        <v>270</v>
      </c>
      <c r="E222"/>
      <c r="I222" t="s">
        <v>206</v>
      </c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5">
        <f t="shared" si="30"/>
        <v>0</v>
      </c>
      <c r="W222" s="73">
        <f t="shared" si="22"/>
        <v>0</v>
      </c>
      <c r="X222" s="89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234"/>
      <c r="AK222" s="65">
        <f t="shared" si="27"/>
        <v>0</v>
      </c>
      <c r="AL222" s="73">
        <f t="shared" si="25"/>
        <v>0</v>
      </c>
      <c r="AM222" s="14">
        <f t="shared" si="26"/>
        <v>0</v>
      </c>
      <c r="AN222" s="89"/>
      <c r="AO222" s="255">
        <v>0</v>
      </c>
      <c r="AP222" s="196">
        <v>0</v>
      </c>
      <c r="AQ222" s="122">
        <v>-1</v>
      </c>
    </row>
    <row r="223" spans="1:43" ht="15" hidden="1" customHeight="1" outlineLevel="1">
      <c r="A223" s="12" t="s">
        <v>196</v>
      </c>
      <c r="B223" s="8" t="s">
        <v>270</v>
      </c>
      <c r="E223"/>
      <c r="I223" t="s">
        <v>207</v>
      </c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5">
        <f t="shared" si="30"/>
        <v>0</v>
      </c>
      <c r="W223" s="73">
        <f t="shared" si="22"/>
        <v>0</v>
      </c>
      <c r="X223" s="89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234"/>
      <c r="AK223" s="65">
        <f t="shared" si="27"/>
        <v>0</v>
      </c>
      <c r="AL223" s="73">
        <f t="shared" si="25"/>
        <v>0</v>
      </c>
      <c r="AM223" s="14">
        <f t="shared" si="26"/>
        <v>0</v>
      </c>
      <c r="AN223" s="89"/>
      <c r="AO223" s="255">
        <v>350387.10040438356</v>
      </c>
      <c r="AP223" s="196">
        <v>7.9496008239712134E-5</v>
      </c>
      <c r="AQ223" s="122">
        <v>0.16899239956424661</v>
      </c>
    </row>
    <row r="224" spans="1:43" ht="15" hidden="1" customHeight="1" outlineLevel="1">
      <c r="A224" s="12" t="s">
        <v>196</v>
      </c>
      <c r="B224" s="8" t="s">
        <v>270</v>
      </c>
      <c r="E224"/>
      <c r="I224" t="s">
        <v>208</v>
      </c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5">
        <v>0</v>
      </c>
      <c r="W224" s="73">
        <f t="shared" si="22"/>
        <v>0</v>
      </c>
      <c r="X224" s="89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234"/>
      <c r="AK224" s="65">
        <f t="shared" si="27"/>
        <v>0</v>
      </c>
      <c r="AL224" s="73">
        <f t="shared" si="25"/>
        <v>0</v>
      </c>
      <c r="AM224" s="14">
        <f t="shared" si="26"/>
        <v>0</v>
      </c>
      <c r="AN224" s="89"/>
      <c r="AO224" s="255">
        <v>0</v>
      </c>
      <c r="AP224" s="196">
        <v>0</v>
      </c>
      <c r="AQ224" s="122">
        <v>0</v>
      </c>
    </row>
    <row r="225" spans="1:43" ht="15" hidden="1" customHeight="1" outlineLevel="1">
      <c r="A225" s="12" t="s">
        <v>196</v>
      </c>
      <c r="B225" s="8" t="s">
        <v>270</v>
      </c>
      <c r="E225"/>
      <c r="I225" t="s">
        <v>209</v>
      </c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5">
        <f t="shared" si="30"/>
        <v>0</v>
      </c>
      <c r="W225" s="73">
        <f t="shared" si="22"/>
        <v>0</v>
      </c>
      <c r="X225" s="89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234"/>
      <c r="AK225" s="65">
        <f t="shared" si="27"/>
        <v>0</v>
      </c>
      <c r="AL225" s="73">
        <f t="shared" si="25"/>
        <v>0</v>
      </c>
      <c r="AM225" s="14">
        <f t="shared" si="26"/>
        <v>0</v>
      </c>
      <c r="AN225" s="89"/>
      <c r="AO225" s="255">
        <v>0</v>
      </c>
      <c r="AP225" s="196">
        <v>0</v>
      </c>
      <c r="AQ225" s="122">
        <v>0</v>
      </c>
    </row>
    <row r="226" spans="1:43" ht="15" hidden="1" customHeight="1" outlineLevel="1">
      <c r="A226" s="12" t="s">
        <v>196</v>
      </c>
      <c r="B226" s="8" t="s">
        <v>270</v>
      </c>
      <c r="E226"/>
      <c r="I226" t="s">
        <v>210</v>
      </c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5">
        <f t="shared" si="30"/>
        <v>0</v>
      </c>
      <c r="W226" s="73">
        <f t="shared" si="22"/>
        <v>0</v>
      </c>
      <c r="X226" s="89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234"/>
      <c r="AK226" s="65">
        <f t="shared" si="27"/>
        <v>0</v>
      </c>
      <c r="AL226" s="73">
        <f t="shared" si="25"/>
        <v>0</v>
      </c>
      <c r="AM226" s="14">
        <f t="shared" si="26"/>
        <v>0</v>
      </c>
      <c r="AN226" s="89"/>
      <c r="AO226" s="255">
        <v>31972822.911899995</v>
      </c>
      <c r="AP226" s="196">
        <v>7.2540107518737308E-3</v>
      </c>
      <c r="AQ226" s="122">
        <v>0.12897793399805346</v>
      </c>
    </row>
    <row r="227" spans="1:43" ht="15" hidden="1" customHeight="1" outlineLevel="1">
      <c r="A227" s="12" t="s">
        <v>196</v>
      </c>
      <c r="B227" s="8" t="s">
        <v>270</v>
      </c>
      <c r="E227"/>
      <c r="I227" t="s">
        <v>211</v>
      </c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5">
        <f t="shared" si="30"/>
        <v>0</v>
      </c>
      <c r="W227" s="73">
        <f t="shared" si="22"/>
        <v>0</v>
      </c>
      <c r="X227" s="89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234"/>
      <c r="AK227" s="65">
        <f t="shared" si="27"/>
        <v>0</v>
      </c>
      <c r="AL227" s="73">
        <f t="shared" ref="AL227:AL290" si="31">AK227/AK$6</f>
        <v>0</v>
      </c>
      <c r="AM227" s="14">
        <f t="shared" ref="AM227:AM290" si="32">IFERROR(AK227/V227-1,0)</f>
        <v>0</v>
      </c>
      <c r="AN227" s="89"/>
      <c r="AO227" s="255">
        <v>0</v>
      </c>
      <c r="AP227" s="196">
        <v>0</v>
      </c>
      <c r="AQ227" s="122">
        <v>-1</v>
      </c>
    </row>
    <row r="228" spans="1:43" ht="15" hidden="1" customHeight="1" outlineLevel="1">
      <c r="A228" s="12" t="s">
        <v>196</v>
      </c>
      <c r="B228" s="8" t="s">
        <v>270</v>
      </c>
      <c r="E228"/>
      <c r="I228" t="s">
        <v>212</v>
      </c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5">
        <f t="shared" si="30"/>
        <v>0</v>
      </c>
      <c r="W228" s="73">
        <f t="shared" si="22"/>
        <v>0</v>
      </c>
      <c r="X228" s="89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4"/>
      <c r="AI228" s="234"/>
      <c r="AJ228" s="234"/>
      <c r="AK228" s="65">
        <f t="shared" ref="AK228" si="33">SUM(Y228:AJ228)</f>
        <v>0</v>
      </c>
      <c r="AL228" s="73">
        <f t="shared" si="31"/>
        <v>0</v>
      </c>
      <c r="AM228" s="14">
        <f t="shared" si="32"/>
        <v>0</v>
      </c>
      <c r="AN228" s="89"/>
      <c r="AO228" s="255">
        <v>0</v>
      </c>
      <c r="AP228" s="196">
        <v>0</v>
      </c>
      <c r="AQ228" s="122">
        <v>-1</v>
      </c>
    </row>
    <row r="229" spans="1:43" ht="15" collapsed="1">
      <c r="A229" s="12" t="s">
        <v>213</v>
      </c>
      <c r="B229" s="8" t="s">
        <v>270</v>
      </c>
      <c r="I229" s="167" t="s">
        <v>214</v>
      </c>
      <c r="J229" s="231">
        <f t="shared" ref="J229:U229" si="34">SUM(J230:J233)</f>
        <v>0</v>
      </c>
      <c r="K229" s="231">
        <f t="shared" si="34"/>
        <v>0</v>
      </c>
      <c r="L229" s="231">
        <f t="shared" si="34"/>
        <v>0</v>
      </c>
      <c r="M229" s="231">
        <f t="shared" si="34"/>
        <v>0</v>
      </c>
      <c r="N229" s="231">
        <f t="shared" si="34"/>
        <v>0</v>
      </c>
      <c r="O229" s="231">
        <f t="shared" si="34"/>
        <v>0</v>
      </c>
      <c r="P229" s="231">
        <f t="shared" si="34"/>
        <v>0</v>
      </c>
      <c r="Q229" s="231">
        <f t="shared" si="34"/>
        <v>0</v>
      </c>
      <c r="R229" s="231">
        <f t="shared" si="34"/>
        <v>0</v>
      </c>
      <c r="S229" s="231">
        <f t="shared" si="34"/>
        <v>0</v>
      </c>
      <c r="T229" s="231">
        <f t="shared" si="34"/>
        <v>0</v>
      </c>
      <c r="U229" s="231">
        <f t="shared" si="34"/>
        <v>0</v>
      </c>
      <c r="V229" s="231">
        <f>SUM(V230:V233)</f>
        <v>0</v>
      </c>
      <c r="W229" s="72">
        <f t="shared" si="22"/>
        <v>0</v>
      </c>
      <c r="X229" s="89"/>
      <c r="Y229" s="231">
        <f t="shared" ref="Y229:AK229" si="35">SUM(Y230:Y233)</f>
        <v>0</v>
      </c>
      <c r="Z229" s="231">
        <f t="shared" si="35"/>
        <v>0</v>
      </c>
      <c r="AA229" s="231">
        <f t="shared" si="35"/>
        <v>0</v>
      </c>
      <c r="AB229" s="231">
        <f t="shared" si="35"/>
        <v>0</v>
      </c>
      <c r="AC229" s="231">
        <f t="shared" si="35"/>
        <v>0</v>
      </c>
      <c r="AD229" s="231">
        <f t="shared" si="35"/>
        <v>0</v>
      </c>
      <c r="AE229" s="231">
        <f t="shared" si="35"/>
        <v>0</v>
      </c>
      <c r="AF229" s="231">
        <f t="shared" si="35"/>
        <v>0</v>
      </c>
      <c r="AG229" s="231">
        <f t="shared" si="35"/>
        <v>0</v>
      </c>
      <c r="AH229" s="231">
        <f t="shared" si="35"/>
        <v>0</v>
      </c>
      <c r="AI229" s="231">
        <f t="shared" si="35"/>
        <v>0</v>
      </c>
      <c r="AJ229" s="231">
        <f t="shared" si="35"/>
        <v>0</v>
      </c>
      <c r="AK229" s="231">
        <f t="shared" si="35"/>
        <v>0</v>
      </c>
      <c r="AL229" s="196">
        <f t="shared" si="31"/>
        <v>0</v>
      </c>
      <c r="AM229" s="122">
        <f t="shared" si="32"/>
        <v>0</v>
      </c>
      <c r="AN229" s="89"/>
      <c r="AO229" s="253">
        <v>9348703.9369576648</v>
      </c>
      <c r="AP229" s="196">
        <v>2.1210388291843579E-3</v>
      </c>
      <c r="AQ229" s="122">
        <v>0.13051608734020514</v>
      </c>
    </row>
    <row r="230" spans="1:43" ht="15" hidden="1" customHeight="1" outlineLevel="1">
      <c r="A230" s="12" t="s">
        <v>213</v>
      </c>
      <c r="B230" s="8" t="s">
        <v>270</v>
      </c>
      <c r="I230" s="136" t="s">
        <v>215</v>
      </c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5">
        <f t="shared" si="30"/>
        <v>0</v>
      </c>
      <c r="W230" s="73">
        <f t="shared" si="22"/>
        <v>0</v>
      </c>
      <c r="X230" s="89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234"/>
      <c r="AK230" s="65">
        <f t="shared" ref="AK230:AK250" si="36">SUM(Y230:AJ230)</f>
        <v>0</v>
      </c>
      <c r="AL230" s="73">
        <f t="shared" si="31"/>
        <v>0</v>
      </c>
      <c r="AM230" s="14">
        <f t="shared" si="32"/>
        <v>0</v>
      </c>
      <c r="AN230" s="89"/>
      <c r="AO230" s="255">
        <v>2037275.0233398813</v>
      </c>
      <c r="AP230" s="73">
        <v>4.6221802074069955E-4</v>
      </c>
      <c r="AQ230" s="122">
        <v>0.26847080741528817</v>
      </c>
    </row>
    <row r="231" spans="1:43" ht="15" hidden="1" customHeight="1" outlineLevel="1">
      <c r="A231" s="12" t="s">
        <v>213</v>
      </c>
      <c r="B231" s="8" t="s">
        <v>270</v>
      </c>
      <c r="I231" s="136" t="s">
        <v>216</v>
      </c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5">
        <f t="shared" si="30"/>
        <v>0</v>
      </c>
      <c r="W231" s="73">
        <f t="shared" si="22"/>
        <v>0</v>
      </c>
      <c r="X231" s="89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234"/>
      <c r="AK231" s="65">
        <f t="shared" si="36"/>
        <v>0</v>
      </c>
      <c r="AL231" s="73">
        <f t="shared" si="31"/>
        <v>0</v>
      </c>
      <c r="AM231" s="14">
        <f t="shared" si="32"/>
        <v>0</v>
      </c>
      <c r="AN231" s="89"/>
      <c r="AO231" s="255">
        <v>2542926.68413284</v>
      </c>
      <c r="AP231" s="73">
        <v>5.7694053348854117E-4</v>
      </c>
      <c r="AQ231" s="122">
        <v>0.34533570389229284</v>
      </c>
    </row>
    <row r="232" spans="1:43" ht="15" hidden="1" customHeight="1" outlineLevel="1">
      <c r="A232" s="12" t="s">
        <v>213</v>
      </c>
      <c r="B232" s="8" t="s">
        <v>270</v>
      </c>
      <c r="I232" s="136" t="s">
        <v>217</v>
      </c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5">
        <f t="shared" si="30"/>
        <v>0</v>
      </c>
      <c r="W232" s="73">
        <f t="shared" si="22"/>
        <v>0</v>
      </c>
      <c r="X232" s="89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65">
        <f t="shared" si="36"/>
        <v>0</v>
      </c>
      <c r="AL232" s="73">
        <f t="shared" si="31"/>
        <v>0</v>
      </c>
      <c r="AM232" s="14">
        <f t="shared" si="32"/>
        <v>0</v>
      </c>
      <c r="AN232" s="89"/>
      <c r="AO232" s="255">
        <v>3436834.1552043082</v>
      </c>
      <c r="AP232" s="73">
        <v>7.7975072713957615E-4</v>
      </c>
      <c r="AQ232" s="122">
        <v>8.6286907835201987E-2</v>
      </c>
    </row>
    <row r="233" spans="1:43" ht="15" hidden="1" customHeight="1" outlineLevel="1">
      <c r="A233" s="12" t="s">
        <v>213</v>
      </c>
      <c r="B233" s="8" t="s">
        <v>270</v>
      </c>
      <c r="I233" s="136" t="s">
        <v>412</v>
      </c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5">
        <f t="shared" si="30"/>
        <v>0</v>
      </c>
      <c r="W233" s="73">
        <f t="shared" si="22"/>
        <v>0</v>
      </c>
      <c r="X233" s="89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234"/>
      <c r="AK233" s="65">
        <f t="shared" si="36"/>
        <v>0</v>
      </c>
      <c r="AL233" s="73">
        <f t="shared" si="31"/>
        <v>0</v>
      </c>
      <c r="AM233" s="14">
        <f t="shared" si="32"/>
        <v>0</v>
      </c>
      <c r="AN233" s="89"/>
      <c r="AO233" s="255">
        <v>1331668.0742806348</v>
      </c>
      <c r="AP233" s="73">
        <v>3.0212954781554086E-4</v>
      </c>
      <c r="AQ233" s="122">
        <v>-0.17252162507151803</v>
      </c>
    </row>
    <row r="234" spans="1:43" ht="15" collapsed="1">
      <c r="A234" s="12" t="s">
        <v>219</v>
      </c>
      <c r="B234" s="8" t="s">
        <v>270</v>
      </c>
      <c r="I234" s="119" t="s">
        <v>220</v>
      </c>
      <c r="J234" s="231">
        <f t="shared" ref="J234" si="37">SUM(J235:J239)</f>
        <v>0</v>
      </c>
      <c r="K234" s="231">
        <f t="shared" ref="K234" si="38">SUM(K235:K243)</f>
        <v>0</v>
      </c>
      <c r="L234" s="231">
        <f t="shared" ref="L234" si="39">SUM(L235:L243)</f>
        <v>0</v>
      </c>
      <c r="M234" s="231">
        <f t="shared" ref="M234" si="40">SUM(M235:M243)</f>
        <v>0</v>
      </c>
      <c r="N234" s="231">
        <f t="shared" ref="N234" si="41">SUM(N235:N243)</f>
        <v>0</v>
      </c>
      <c r="O234" s="231">
        <f t="shared" ref="O234" si="42">SUM(O235:O243)</f>
        <v>0</v>
      </c>
      <c r="P234" s="231">
        <f t="shared" ref="P234" si="43">SUM(P235:P243)</f>
        <v>0</v>
      </c>
      <c r="Q234" s="231">
        <f t="shared" ref="Q234" si="44">SUM(Q235:Q243)</f>
        <v>0</v>
      </c>
      <c r="R234" s="231">
        <f t="shared" ref="R234" si="45">SUM(R235:R243)</f>
        <v>0</v>
      </c>
      <c r="S234" s="231">
        <f t="shared" ref="S234" si="46">SUM(S235:S243)</f>
        <v>0</v>
      </c>
      <c r="T234" s="231">
        <f t="shared" ref="T234" si="47">SUM(T235:T243)</f>
        <v>0</v>
      </c>
      <c r="U234" s="231">
        <f t="shared" ref="U234" si="48">SUM(U235:U243)</f>
        <v>0</v>
      </c>
      <c r="V234" s="231">
        <f t="shared" ref="V234" si="49">SUM(V235:V243)</f>
        <v>0</v>
      </c>
      <c r="W234" s="72">
        <f t="shared" si="22"/>
        <v>0</v>
      </c>
      <c r="X234" s="89"/>
      <c r="Y234" s="231">
        <f t="shared" ref="Y234:AI234" si="50">SUM(Y235:Y243)</f>
        <v>0</v>
      </c>
      <c r="Z234" s="231">
        <f t="shared" si="50"/>
        <v>0</v>
      </c>
      <c r="AA234" s="231">
        <f t="shared" si="50"/>
        <v>0</v>
      </c>
      <c r="AB234" s="231">
        <f t="shared" si="50"/>
        <v>0</v>
      </c>
      <c r="AC234" s="231">
        <f t="shared" si="50"/>
        <v>0</v>
      </c>
      <c r="AD234" s="231">
        <f t="shared" si="50"/>
        <v>0</v>
      </c>
      <c r="AE234" s="231">
        <f t="shared" si="50"/>
        <v>0</v>
      </c>
      <c r="AF234" s="231">
        <f t="shared" si="50"/>
        <v>0</v>
      </c>
      <c r="AG234" s="231">
        <f t="shared" si="50"/>
        <v>0</v>
      </c>
      <c r="AH234" s="231">
        <f t="shared" si="50"/>
        <v>0</v>
      </c>
      <c r="AI234" s="231">
        <f t="shared" si="50"/>
        <v>0</v>
      </c>
      <c r="AJ234" s="231">
        <f>SUM(AJ235:AJ243)</f>
        <v>0</v>
      </c>
      <c r="AK234" s="231">
        <f>SUM(AK235:AK243)</f>
        <v>0</v>
      </c>
      <c r="AL234" s="72">
        <f t="shared" si="31"/>
        <v>0</v>
      </c>
      <c r="AM234" s="122">
        <f t="shared" si="32"/>
        <v>0</v>
      </c>
      <c r="AN234" s="89"/>
      <c r="AO234" s="253">
        <v>1311343.0660000001</v>
      </c>
      <c r="AP234" s="72">
        <v>2.9751819932729803E-4</v>
      </c>
      <c r="AQ234" s="122">
        <v>2.3156191655586911E-2</v>
      </c>
    </row>
    <row r="235" spans="1:43" ht="15" hidden="1" customHeight="1" outlineLevel="1">
      <c r="A235" s="12" t="s">
        <v>219</v>
      </c>
      <c r="B235" s="8" t="s">
        <v>270</v>
      </c>
      <c r="I235" s="136" t="s">
        <v>226</v>
      </c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5">
        <f t="shared" ref="V235:V243" si="51">SUM(J235:U235)</f>
        <v>0</v>
      </c>
      <c r="W235" s="73">
        <f t="shared" si="22"/>
        <v>0</v>
      </c>
      <c r="X235" s="89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4"/>
      <c r="AI235" s="234"/>
      <c r="AJ235" s="234"/>
      <c r="AK235" s="65">
        <f t="shared" si="36"/>
        <v>0</v>
      </c>
      <c r="AL235" s="73">
        <f t="shared" si="31"/>
        <v>0</v>
      </c>
      <c r="AM235" s="14">
        <f t="shared" si="32"/>
        <v>0</v>
      </c>
      <c r="AN235" s="89"/>
      <c r="AO235" s="235">
        <v>274128.72000000003</v>
      </c>
      <c r="AP235" s="73">
        <v>6.2194467087148251E-5</v>
      </c>
      <c r="AQ235" s="14">
        <v>5.9982190994154028E-2</v>
      </c>
    </row>
    <row r="236" spans="1:43" ht="15" hidden="1" customHeight="1" outlineLevel="1">
      <c r="A236" s="12" t="s">
        <v>219</v>
      </c>
      <c r="B236" s="8" t="s">
        <v>270</v>
      </c>
      <c r="I236" s="136" t="s">
        <v>244</v>
      </c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5">
        <f t="shared" si="51"/>
        <v>0</v>
      </c>
      <c r="W236" s="73">
        <f t="shared" ref="W236:W258" si="52">V236/V$6</f>
        <v>0</v>
      </c>
      <c r="X236" s="89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4"/>
      <c r="AI236" s="234"/>
      <c r="AJ236" s="234"/>
      <c r="AK236" s="65">
        <f t="shared" si="36"/>
        <v>0</v>
      </c>
      <c r="AL236" s="73">
        <f t="shared" si="31"/>
        <v>0</v>
      </c>
      <c r="AM236" s="14">
        <f t="shared" si="32"/>
        <v>0</v>
      </c>
      <c r="AN236" s="89"/>
      <c r="AO236" s="235">
        <v>660511.44000000006</v>
      </c>
      <c r="AP236" s="73">
        <v>1.4985718029021146E-4</v>
      </c>
      <c r="AQ236" s="14">
        <v>5.9998928304278554E-2</v>
      </c>
    </row>
    <row r="237" spans="1:43" ht="15" hidden="1" customHeight="1" outlineLevel="1">
      <c r="A237" s="12" t="s">
        <v>219</v>
      </c>
      <c r="B237" s="8" t="s">
        <v>270</v>
      </c>
      <c r="I237" s="136" t="s">
        <v>288</v>
      </c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5">
        <f t="shared" si="51"/>
        <v>0</v>
      </c>
      <c r="W237" s="73">
        <f t="shared" si="52"/>
        <v>0</v>
      </c>
      <c r="X237" s="89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4"/>
      <c r="AI237" s="234"/>
      <c r="AJ237" s="234"/>
      <c r="AK237" s="65">
        <f t="shared" si="36"/>
        <v>0</v>
      </c>
      <c r="AL237" s="73">
        <f t="shared" si="31"/>
        <v>0</v>
      </c>
      <c r="AM237" s="14">
        <f t="shared" si="32"/>
        <v>0</v>
      </c>
      <c r="AN237" s="89"/>
      <c r="AO237" s="235">
        <v>73330.906000000017</v>
      </c>
      <c r="AP237" s="73">
        <v>1.6637354231573263E-5</v>
      </c>
      <c r="AQ237" s="14">
        <v>6.0000000000000053E-2</v>
      </c>
    </row>
    <row r="238" spans="1:43" ht="15" hidden="1" customHeight="1" outlineLevel="1">
      <c r="A238" s="12" t="s">
        <v>219</v>
      </c>
      <c r="B238" s="8" t="s">
        <v>270</v>
      </c>
      <c r="I238" s="136" t="s">
        <v>221</v>
      </c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5">
        <f t="shared" si="51"/>
        <v>0</v>
      </c>
      <c r="W238" s="73">
        <f t="shared" si="52"/>
        <v>0</v>
      </c>
      <c r="X238" s="89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4"/>
      <c r="AI238" s="234"/>
      <c r="AJ238" s="234"/>
      <c r="AK238" s="65">
        <f t="shared" si="36"/>
        <v>0</v>
      </c>
      <c r="AL238" s="73">
        <f t="shared" si="31"/>
        <v>0</v>
      </c>
      <c r="AM238" s="14">
        <f t="shared" si="32"/>
        <v>0</v>
      </c>
      <c r="AN238" s="89"/>
      <c r="AO238" s="235">
        <v>303372</v>
      </c>
      <c r="AP238" s="73">
        <v>6.8829197718365065E-5</v>
      </c>
      <c r="AQ238" s="14">
        <v>6.021445078461185E-2</v>
      </c>
    </row>
    <row r="239" spans="1:43" ht="15" hidden="1" customHeight="1" outlineLevel="1">
      <c r="A239" s="12" t="s">
        <v>219</v>
      </c>
      <c r="B239" s="8" t="s">
        <v>270</v>
      </c>
      <c r="I239" s="136" t="s">
        <v>246</v>
      </c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5">
        <f t="shared" si="51"/>
        <v>0</v>
      </c>
      <c r="W239" s="73">
        <f t="shared" si="52"/>
        <v>0</v>
      </c>
      <c r="X239" s="89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4"/>
      <c r="AI239" s="234"/>
      <c r="AJ239" s="234"/>
      <c r="AK239" s="65">
        <f t="shared" si="36"/>
        <v>0</v>
      </c>
      <c r="AL239" s="73">
        <f t="shared" si="31"/>
        <v>0</v>
      </c>
      <c r="AM239" s="14">
        <f t="shared" si="32"/>
        <v>0</v>
      </c>
      <c r="AN239" s="89"/>
      <c r="AO239" s="235">
        <v>0</v>
      </c>
      <c r="AP239" s="73">
        <v>0</v>
      </c>
      <c r="AQ239" s="14">
        <v>-1</v>
      </c>
    </row>
    <row r="240" spans="1:43" ht="15" hidden="1" customHeight="1" outlineLevel="1">
      <c r="A240" s="12"/>
      <c r="I240" s="136" t="s">
        <v>289</v>
      </c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5">
        <f t="shared" si="51"/>
        <v>0</v>
      </c>
      <c r="W240" s="73">
        <f t="shared" si="52"/>
        <v>0</v>
      </c>
      <c r="X240" s="89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4"/>
      <c r="AI240" s="234"/>
      <c r="AJ240" s="234"/>
      <c r="AK240" s="65">
        <f t="shared" si="36"/>
        <v>0</v>
      </c>
      <c r="AL240" s="73">
        <f t="shared" si="31"/>
        <v>0</v>
      </c>
      <c r="AM240" s="14">
        <f t="shared" si="32"/>
        <v>0</v>
      </c>
      <c r="AN240" s="89"/>
      <c r="AO240" s="235">
        <v>0</v>
      </c>
      <c r="AP240" s="73">
        <v>0</v>
      </c>
      <c r="AQ240" s="14">
        <v>-1</v>
      </c>
    </row>
    <row r="241" spans="1:45" ht="15" hidden="1" customHeight="1" outlineLevel="1">
      <c r="A241" s="12"/>
      <c r="I241" s="136" t="s">
        <v>225</v>
      </c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5">
        <f t="shared" si="51"/>
        <v>0</v>
      </c>
      <c r="W241" s="73">
        <f t="shared" si="52"/>
        <v>0</v>
      </c>
      <c r="X241" s="89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4"/>
      <c r="AI241" s="234"/>
      <c r="AJ241" s="234"/>
      <c r="AK241" s="65">
        <f t="shared" si="36"/>
        <v>0</v>
      </c>
      <c r="AL241" s="73">
        <f t="shared" si="31"/>
        <v>0</v>
      </c>
      <c r="AM241" s="14">
        <f t="shared" si="32"/>
        <v>0</v>
      </c>
      <c r="AN241" s="89"/>
      <c r="AO241" s="235">
        <v>0</v>
      </c>
      <c r="AP241" s="73">
        <v>0</v>
      </c>
      <c r="AQ241" s="14">
        <v>0</v>
      </c>
    </row>
    <row r="242" spans="1:45" ht="15" hidden="1" customHeight="1" outlineLevel="1">
      <c r="A242" s="12"/>
      <c r="I242" s="136" t="s">
        <v>290</v>
      </c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5">
        <f t="shared" si="51"/>
        <v>0</v>
      </c>
      <c r="W242" s="73">
        <f t="shared" si="52"/>
        <v>0</v>
      </c>
      <c r="X242" s="89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4"/>
      <c r="AI242" s="234"/>
      <c r="AJ242" s="234"/>
      <c r="AK242" s="65">
        <f t="shared" si="36"/>
        <v>0</v>
      </c>
      <c r="AL242" s="73">
        <f t="shared" si="31"/>
        <v>0</v>
      </c>
      <c r="AM242" s="14">
        <f t="shared" si="32"/>
        <v>0</v>
      </c>
      <c r="AN242" s="89"/>
      <c r="AO242" s="235">
        <v>0</v>
      </c>
      <c r="AP242" s="73">
        <v>0</v>
      </c>
      <c r="AQ242" s="14">
        <v>0</v>
      </c>
    </row>
    <row r="243" spans="1:45" ht="15" hidden="1" customHeight="1" outlineLevel="1">
      <c r="A243" s="12"/>
      <c r="I243" s="136" t="s">
        <v>81</v>
      </c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5">
        <f t="shared" si="51"/>
        <v>0</v>
      </c>
      <c r="W243" s="73">
        <f t="shared" si="52"/>
        <v>0</v>
      </c>
      <c r="X243" s="89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4"/>
      <c r="AI243" s="234"/>
      <c r="AJ243" s="234"/>
      <c r="AK243" s="65">
        <f t="shared" si="36"/>
        <v>0</v>
      </c>
      <c r="AL243" s="73">
        <f t="shared" si="31"/>
        <v>0</v>
      </c>
      <c r="AM243" s="14">
        <f t="shared" si="32"/>
        <v>0</v>
      </c>
      <c r="AN243" s="89"/>
      <c r="AO243" s="235">
        <v>0</v>
      </c>
      <c r="AP243" s="73">
        <v>0</v>
      </c>
      <c r="AQ243" s="14">
        <v>0</v>
      </c>
    </row>
    <row r="244" spans="1:45" ht="15" collapsed="1">
      <c r="A244" s="12" t="s">
        <v>256</v>
      </c>
      <c r="B244" s="8" t="s">
        <v>270</v>
      </c>
      <c r="E244" s="1"/>
      <c r="I244" s="120" t="s">
        <v>257</v>
      </c>
      <c r="J244" s="231">
        <f t="shared" ref="J244:U244" si="53">SUM(J245:J250)</f>
        <v>5642</v>
      </c>
      <c r="K244" s="231">
        <f t="shared" si="53"/>
        <v>5642</v>
      </c>
      <c r="L244" s="231">
        <f t="shared" si="53"/>
        <v>5642</v>
      </c>
      <c r="M244" s="231">
        <f t="shared" si="53"/>
        <v>5642</v>
      </c>
      <c r="N244" s="231">
        <f t="shared" si="53"/>
        <v>5642</v>
      </c>
      <c r="O244" s="231">
        <f t="shared" si="53"/>
        <v>5642</v>
      </c>
      <c r="P244" s="231">
        <f t="shared" si="53"/>
        <v>5642</v>
      </c>
      <c r="Q244" s="231">
        <f t="shared" si="53"/>
        <v>5642</v>
      </c>
      <c r="R244" s="231">
        <f t="shared" si="53"/>
        <v>5642</v>
      </c>
      <c r="S244" s="231">
        <f t="shared" si="53"/>
        <v>5642</v>
      </c>
      <c r="T244" s="231">
        <f t="shared" si="53"/>
        <v>5642</v>
      </c>
      <c r="U244" s="231">
        <f t="shared" si="53"/>
        <v>5642</v>
      </c>
      <c r="V244" s="231">
        <f>SUM(V245:V250)</f>
        <v>67704</v>
      </c>
      <c r="W244" s="72">
        <f t="shared" si="52"/>
        <v>2.0540502506884804E-4</v>
      </c>
      <c r="X244" s="89"/>
      <c r="Y244" s="231">
        <f t="shared" ref="Y244:AJ244" si="54">SUM(Y245:Y250)</f>
        <v>0</v>
      </c>
      <c r="Z244" s="231">
        <f t="shared" si="54"/>
        <v>0</v>
      </c>
      <c r="AA244" s="231">
        <f t="shared" si="54"/>
        <v>0</v>
      </c>
      <c r="AB244" s="231">
        <f t="shared" si="54"/>
        <v>0</v>
      </c>
      <c r="AC244" s="231">
        <f t="shared" si="54"/>
        <v>0</v>
      </c>
      <c r="AD244" s="231">
        <f t="shared" si="54"/>
        <v>0</v>
      </c>
      <c r="AE244" s="231">
        <f t="shared" si="54"/>
        <v>0</v>
      </c>
      <c r="AF244" s="231">
        <f t="shared" si="54"/>
        <v>0</v>
      </c>
      <c r="AG244" s="231">
        <f t="shared" si="54"/>
        <v>0</v>
      </c>
      <c r="AH244" s="231">
        <f t="shared" si="54"/>
        <v>0</v>
      </c>
      <c r="AI244" s="231">
        <f t="shared" si="54"/>
        <v>0</v>
      </c>
      <c r="AJ244" s="231">
        <f t="shared" si="54"/>
        <v>0</v>
      </c>
      <c r="AK244" s="231">
        <f>SUM(AK245:AK250)</f>
        <v>0</v>
      </c>
      <c r="AL244" s="72">
        <f t="shared" si="31"/>
        <v>0</v>
      </c>
      <c r="AM244" s="10">
        <f t="shared" si="32"/>
        <v>-1</v>
      </c>
      <c r="AN244" s="89"/>
      <c r="AO244" s="231">
        <v>5082417.8915999997</v>
      </c>
      <c r="AP244" s="72">
        <v>1.1531016242378746E-3</v>
      </c>
      <c r="AQ244" s="10">
        <v>6.3251574434852964E-2</v>
      </c>
    </row>
    <row r="245" spans="1:45" ht="15" hidden="1" customHeight="1" outlineLevel="1">
      <c r="A245" s="12" t="s">
        <v>256</v>
      </c>
      <c r="B245" s="8" t="s">
        <v>270</v>
      </c>
      <c r="E245" s="136" t="s">
        <v>264</v>
      </c>
      <c r="I245" s="136" t="s">
        <v>264</v>
      </c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5">
        <f t="shared" ref="V245:V250" si="55">SUM(J245:U245)</f>
        <v>0</v>
      </c>
      <c r="W245" s="73">
        <f t="shared" si="52"/>
        <v>0</v>
      </c>
      <c r="X245" s="89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4"/>
      <c r="AI245" s="234"/>
      <c r="AJ245" s="234"/>
      <c r="AK245" s="65">
        <f t="shared" si="36"/>
        <v>0</v>
      </c>
      <c r="AL245" s="73">
        <f t="shared" si="31"/>
        <v>0</v>
      </c>
      <c r="AM245" s="14">
        <f t="shared" si="32"/>
        <v>0</v>
      </c>
      <c r="AN245" s="89"/>
      <c r="AO245" s="235">
        <v>1454328.5011999998</v>
      </c>
      <c r="AP245" s="73">
        <v>3.2995880950301382E-4</v>
      </c>
      <c r="AQ245" s="14">
        <v>5.9999999999999831E-2</v>
      </c>
    </row>
    <row r="246" spans="1:45" ht="15" hidden="1" customHeight="1" outlineLevel="1">
      <c r="A246" s="12" t="s">
        <v>256</v>
      </c>
      <c r="B246" s="8" t="s">
        <v>270</v>
      </c>
      <c r="C246" s="19" t="s">
        <v>291</v>
      </c>
      <c r="E246" s="136" t="s">
        <v>259</v>
      </c>
      <c r="I246" s="136" t="s">
        <v>259</v>
      </c>
      <c r="J246" s="234">
        <v>5642</v>
      </c>
      <c r="K246" s="234">
        <v>5642</v>
      </c>
      <c r="L246" s="234">
        <v>5642</v>
      </c>
      <c r="M246" s="234">
        <v>5642</v>
      </c>
      <c r="N246" s="234">
        <v>5642</v>
      </c>
      <c r="O246" s="234">
        <v>5642</v>
      </c>
      <c r="P246" s="234">
        <v>5642</v>
      </c>
      <c r="Q246" s="234">
        <v>5642</v>
      </c>
      <c r="R246" s="234">
        <v>5642</v>
      </c>
      <c r="S246" s="234">
        <v>5642</v>
      </c>
      <c r="T246" s="234">
        <v>5642</v>
      </c>
      <c r="U246" s="234">
        <v>5642</v>
      </c>
      <c r="V246" s="235">
        <f t="shared" si="55"/>
        <v>67704</v>
      </c>
      <c r="W246" s="73">
        <f t="shared" si="52"/>
        <v>2.0540502506884804E-4</v>
      </c>
      <c r="X246" s="89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234"/>
      <c r="AK246" s="65">
        <f t="shared" si="36"/>
        <v>0</v>
      </c>
      <c r="AL246" s="73">
        <f t="shared" si="31"/>
        <v>0</v>
      </c>
      <c r="AM246" s="14">
        <f t="shared" si="32"/>
        <v>-1</v>
      </c>
      <c r="AN246" s="89"/>
      <c r="AO246" s="235">
        <v>0</v>
      </c>
      <c r="AP246" s="73">
        <v>0</v>
      </c>
      <c r="AQ246" s="14">
        <v>-1</v>
      </c>
    </row>
    <row r="247" spans="1:45" ht="15" hidden="1" customHeight="1" outlineLevel="1">
      <c r="A247" s="12" t="s">
        <v>256</v>
      </c>
      <c r="B247" s="8" t="s">
        <v>270</v>
      </c>
      <c r="E247" s="136" t="s">
        <v>292</v>
      </c>
      <c r="I247" s="136" t="s">
        <v>292</v>
      </c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5">
        <f t="shared" si="55"/>
        <v>0</v>
      </c>
      <c r="W247" s="73">
        <f t="shared" si="52"/>
        <v>0</v>
      </c>
      <c r="X247" s="89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4"/>
      <c r="AI247" s="234"/>
      <c r="AJ247" s="234"/>
      <c r="AK247" s="65">
        <f t="shared" si="36"/>
        <v>0</v>
      </c>
      <c r="AL247" s="73">
        <f t="shared" si="31"/>
        <v>0</v>
      </c>
      <c r="AM247" s="14">
        <f t="shared" si="32"/>
        <v>0</v>
      </c>
      <c r="AN247" s="89"/>
      <c r="AO247" s="235">
        <v>0</v>
      </c>
      <c r="AP247" s="73">
        <v>0</v>
      </c>
      <c r="AQ247" s="14">
        <v>0</v>
      </c>
    </row>
    <row r="248" spans="1:45" ht="15" hidden="1" customHeight="1" outlineLevel="1">
      <c r="A248" s="12" t="s">
        <v>256</v>
      </c>
      <c r="B248" s="8" t="s">
        <v>270</v>
      </c>
      <c r="E248" s="136" t="s">
        <v>263</v>
      </c>
      <c r="I248" s="136" t="s">
        <v>263</v>
      </c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5">
        <f t="shared" si="55"/>
        <v>0</v>
      </c>
      <c r="W248" s="73">
        <f t="shared" si="52"/>
        <v>0</v>
      </c>
      <c r="X248" s="89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4"/>
      <c r="AI248" s="234"/>
      <c r="AJ248" s="234"/>
      <c r="AK248" s="65">
        <f t="shared" si="36"/>
        <v>0</v>
      </c>
      <c r="AL248" s="73">
        <f t="shared" si="31"/>
        <v>0</v>
      </c>
      <c r="AM248" s="14">
        <f t="shared" si="32"/>
        <v>0</v>
      </c>
      <c r="AN248" s="89"/>
      <c r="AO248" s="235">
        <v>12830.028</v>
      </c>
      <c r="AP248" s="73">
        <v>2.910883449837691E-6</v>
      </c>
      <c r="AQ248" s="14">
        <v>5.9999999999999831E-2</v>
      </c>
    </row>
    <row r="249" spans="1:45" ht="15" hidden="1" customHeight="1" outlineLevel="1">
      <c r="A249" s="12" t="s">
        <v>256</v>
      </c>
      <c r="B249" s="8" t="s">
        <v>270</v>
      </c>
      <c r="E249" s="136" t="s">
        <v>260</v>
      </c>
      <c r="I249" s="136" t="s">
        <v>260</v>
      </c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5">
        <f t="shared" si="55"/>
        <v>0</v>
      </c>
      <c r="W249" s="73">
        <f t="shared" si="52"/>
        <v>0</v>
      </c>
      <c r="X249" s="89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4"/>
      <c r="AI249" s="234"/>
      <c r="AJ249" s="234"/>
      <c r="AK249" s="65">
        <f t="shared" si="36"/>
        <v>0</v>
      </c>
      <c r="AL249" s="73">
        <f t="shared" si="31"/>
        <v>0</v>
      </c>
      <c r="AM249" s="14">
        <f t="shared" si="32"/>
        <v>0</v>
      </c>
      <c r="AN249" s="89"/>
      <c r="AO249" s="235">
        <v>201997.4584</v>
      </c>
      <c r="AP249" s="73">
        <v>4.5829288803254164E-5</v>
      </c>
      <c r="AQ249" s="14">
        <v>5.9999999999999831E-2</v>
      </c>
    </row>
    <row r="250" spans="1:45" ht="15" hidden="1" customHeight="1" outlineLevel="1">
      <c r="A250" s="12" t="s">
        <v>256</v>
      </c>
      <c r="B250" s="8" t="s">
        <v>270</v>
      </c>
      <c r="E250" s="136" t="s">
        <v>293</v>
      </c>
      <c r="I250" s="136" t="s">
        <v>293</v>
      </c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5">
        <f t="shared" si="55"/>
        <v>0</v>
      </c>
      <c r="W250" s="73">
        <f t="shared" si="52"/>
        <v>0</v>
      </c>
      <c r="X250" s="89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4"/>
      <c r="AI250" s="234"/>
      <c r="AJ250" s="234"/>
      <c r="AK250" s="65">
        <f t="shared" si="36"/>
        <v>0</v>
      </c>
      <c r="AL250" s="73">
        <f t="shared" si="31"/>
        <v>0</v>
      </c>
      <c r="AM250" s="14">
        <f t="shared" si="32"/>
        <v>0</v>
      </c>
      <c r="AN250" s="89"/>
      <c r="AO250" s="235">
        <v>3413261.9040000006</v>
      </c>
      <c r="AP250" s="73">
        <v>7.7440264248176906E-4</v>
      </c>
      <c r="AQ250" s="14">
        <v>9.0684245155259857E-2</v>
      </c>
    </row>
    <row r="251" spans="1:45" ht="16.5" customHeight="1">
      <c r="I251" s="128" t="s">
        <v>294</v>
      </c>
      <c r="J251" s="231">
        <f t="shared" ref="J251:V251" si="56">J162+J212+J229+J234+J244</f>
        <v>303863.27</v>
      </c>
      <c r="K251" s="231">
        <f t="shared" si="56"/>
        <v>205642</v>
      </c>
      <c r="L251" s="231">
        <f t="shared" si="56"/>
        <v>205642</v>
      </c>
      <c r="M251" s="231">
        <f t="shared" si="56"/>
        <v>207818.26</v>
      </c>
      <c r="N251" s="231">
        <f t="shared" si="56"/>
        <v>205642</v>
      </c>
      <c r="O251" s="231">
        <f t="shared" si="56"/>
        <v>205642</v>
      </c>
      <c r="P251" s="231">
        <f t="shared" si="56"/>
        <v>233613.75</v>
      </c>
      <c r="Q251" s="231">
        <f t="shared" si="56"/>
        <v>373687.55</v>
      </c>
      <c r="R251" s="231">
        <f t="shared" si="56"/>
        <v>188429.8</v>
      </c>
      <c r="S251" s="231">
        <f t="shared" si="56"/>
        <v>206494.9</v>
      </c>
      <c r="T251" s="231">
        <f t="shared" si="56"/>
        <v>201537.41666666666</v>
      </c>
      <c r="U251" s="231">
        <f t="shared" si="56"/>
        <v>200487.37222222218</v>
      </c>
      <c r="V251" s="231">
        <f t="shared" si="56"/>
        <v>2738500.3188888887</v>
      </c>
      <c r="W251" s="72">
        <f t="shared" si="52"/>
        <v>8.3082495369907316E-3</v>
      </c>
      <c r="X251" s="89"/>
      <c r="Y251" s="231">
        <f>Y162+Y212+Y229+Y234+Y244</f>
        <v>253946.75</v>
      </c>
      <c r="Z251" s="231">
        <f t="shared" ref="Z251:AK251" si="57">Z162+Z212+Z229+Z234+Z244</f>
        <v>201971.75</v>
      </c>
      <c r="AA251" s="231">
        <f t="shared" si="57"/>
        <v>201971.75</v>
      </c>
      <c r="AB251" s="231">
        <f t="shared" si="57"/>
        <v>253946.75</v>
      </c>
      <c r="AC251" s="231">
        <f t="shared" si="57"/>
        <v>201971.75</v>
      </c>
      <c r="AD251" s="231">
        <f t="shared" si="57"/>
        <v>201971.75</v>
      </c>
      <c r="AE251" s="231">
        <f t="shared" si="57"/>
        <v>201971.75</v>
      </c>
      <c r="AF251" s="231">
        <f t="shared" si="57"/>
        <v>201971.75</v>
      </c>
      <c r="AG251" s="231">
        <f t="shared" si="57"/>
        <v>201971.75</v>
      </c>
      <c r="AH251" s="231">
        <f t="shared" si="57"/>
        <v>411477.4142</v>
      </c>
      <c r="AI251" s="231">
        <f t="shared" si="57"/>
        <v>201971.75</v>
      </c>
      <c r="AJ251" s="231">
        <f t="shared" si="57"/>
        <v>201971.75</v>
      </c>
      <c r="AK251" s="231">
        <f t="shared" si="57"/>
        <v>2737116.6642</v>
      </c>
      <c r="AL251" s="72">
        <f t="shared" si="31"/>
        <v>7.6285477494587878E-3</v>
      </c>
      <c r="AM251" s="122">
        <f t="shared" si="32"/>
        <v>-5.0526000648787317E-4</v>
      </c>
      <c r="AN251" s="89"/>
      <c r="AO251" s="231">
        <v>94714785.366777986</v>
      </c>
      <c r="AP251" s="72">
        <v>2.1488939944564668E-2</v>
      </c>
      <c r="AQ251" s="122">
        <v>5.0893316265223865E-2</v>
      </c>
    </row>
    <row r="252" spans="1:45" ht="15">
      <c r="E252" s="187" t="s">
        <v>295</v>
      </c>
      <c r="I252" s="194" t="s">
        <v>428</v>
      </c>
      <c r="J252" s="241">
        <f>+J251/J39</f>
        <v>0.24842398075809949</v>
      </c>
      <c r="K252" s="241">
        <f t="shared" ref="K252:U252" si="58">+K251/K39</f>
        <v>0.17714137060122734</v>
      </c>
      <c r="L252" s="241">
        <f>+L251/L39</f>
        <v>0.15658179270855541</v>
      </c>
      <c r="M252" s="241">
        <f t="shared" si="58"/>
        <v>0.167492444159315</v>
      </c>
      <c r="N252" s="241">
        <f t="shared" si="58"/>
        <v>0.16162364001757376</v>
      </c>
      <c r="O252" s="241">
        <f t="shared" si="58"/>
        <v>0.1648559728844865</v>
      </c>
      <c r="P252" s="241">
        <f t="shared" si="58"/>
        <v>0.1793929487976926</v>
      </c>
      <c r="Q252" s="241">
        <f t="shared" si="58"/>
        <v>0.2837559313951431</v>
      </c>
      <c r="R252" s="241">
        <f t="shared" si="58"/>
        <v>0.13980981748948995</v>
      </c>
      <c r="S252" s="241">
        <f t="shared" si="58"/>
        <v>0.14255253345925209</v>
      </c>
      <c r="T252" s="241">
        <f t="shared" si="58"/>
        <v>0.14432445896730614</v>
      </c>
      <c r="U252" s="241">
        <f t="shared" si="58"/>
        <v>0.14643242738336321</v>
      </c>
      <c r="V252" s="241">
        <f t="shared" ref="K252:V252" si="59">+V251/V33</f>
        <v>8.1340893665694164E-2</v>
      </c>
      <c r="W252" s="73">
        <f t="shared" si="52"/>
        <v>2.4677756561686773E-10</v>
      </c>
      <c r="X252" s="89"/>
      <c r="Y252" s="241">
        <f>IFERROR(Y251/Y39,0)</f>
        <v>0.19740307407043689</v>
      </c>
      <c r="Z252" s="241">
        <f t="shared" ref="Z252:AJ252" si="60">IFERROR(Z251/Z39,0)</f>
        <v>0.16501517208097441</v>
      </c>
      <c r="AA252" s="241">
        <f t="shared" si="60"/>
        <v>0.14869848539471101</v>
      </c>
      <c r="AB252" s="241">
        <f t="shared" si="60"/>
        <v>0.19321080472689681</v>
      </c>
      <c r="AC252" s="241">
        <f t="shared" si="60"/>
        <v>0.15079927327480541</v>
      </c>
      <c r="AD252" s="241">
        <f t="shared" si="60"/>
        <v>0.15489276521491049</v>
      </c>
      <c r="AE252" s="241">
        <f t="shared" si="60"/>
        <v>0.14810823924537342</v>
      </c>
      <c r="AF252" s="241">
        <f t="shared" si="60"/>
        <v>0.14398018070851959</v>
      </c>
      <c r="AG252" s="241">
        <f t="shared" si="60"/>
        <v>0.1430546124802623</v>
      </c>
      <c r="AH252" s="241">
        <f t="shared" si="60"/>
        <v>0.27454859189653547</v>
      </c>
      <c r="AI252" s="241">
        <f t="shared" si="60"/>
        <v>0.13819930991036775</v>
      </c>
      <c r="AJ252" s="241">
        <f t="shared" si="60"/>
        <v>0.14076828181755879</v>
      </c>
      <c r="AK252" s="241">
        <f>+AK251/AK39</f>
        <v>0.16690167259202313</v>
      </c>
      <c r="AL252" s="73">
        <f t="shared" si="31"/>
        <v>4.6516737685527895E-10</v>
      </c>
      <c r="AM252" s="16">
        <f t="shared" si="32"/>
        <v>1.0518790127629805</v>
      </c>
      <c r="AN252" s="89"/>
      <c r="AO252" s="241">
        <v>0.3851192630872492</v>
      </c>
      <c r="AP252" s="73">
        <v>8.7376059439181367E-11</v>
      </c>
      <c r="AQ252" s="16">
        <v>-7.4880479754628859E-2</v>
      </c>
    </row>
    <row r="253" spans="1:45" ht="15">
      <c r="E253" s="187" t="s">
        <v>266</v>
      </c>
      <c r="I253" s="194" t="s">
        <v>429</v>
      </c>
      <c r="J253" s="241">
        <f>+J251+J155</f>
        <v>1245997.27</v>
      </c>
      <c r="K253" s="241">
        <f t="shared" ref="K253:V253" si="61">+K251+K155</f>
        <v>1024439</v>
      </c>
      <c r="L253" s="241">
        <f t="shared" si="61"/>
        <v>1134914</v>
      </c>
      <c r="M253" s="241">
        <f t="shared" si="61"/>
        <v>1053650.26</v>
      </c>
      <c r="N253" s="241">
        <f t="shared" si="61"/>
        <v>1068323</v>
      </c>
      <c r="O253" s="241">
        <f t="shared" si="61"/>
        <v>1136809</v>
      </c>
      <c r="P253" s="241">
        <f t="shared" si="61"/>
        <v>1146387.75</v>
      </c>
      <c r="Q253" s="241">
        <f t="shared" si="61"/>
        <v>1350945.55</v>
      </c>
      <c r="R253" s="241">
        <f t="shared" si="61"/>
        <v>1189729.8</v>
      </c>
      <c r="S253" s="241">
        <f t="shared" si="61"/>
        <v>1225372.8999999999</v>
      </c>
      <c r="T253" s="241">
        <f t="shared" si="61"/>
        <v>1176831.7033333334</v>
      </c>
      <c r="U253" s="241">
        <f t="shared" si="61"/>
        <v>1242470.7677777777</v>
      </c>
      <c r="V253" s="241">
        <f>+V251+V155</f>
        <v>13995871.001111109</v>
      </c>
      <c r="W253" s="74"/>
      <c r="X253" s="90"/>
      <c r="Y253" s="241">
        <f t="shared" ref="Y253:AK253" si="62">+Y251+Y155</f>
        <v>1327716.2243684565</v>
      </c>
      <c r="Z253" s="241">
        <f t="shared" si="62"/>
        <v>1156494.4516036573</v>
      </c>
      <c r="AA253" s="241">
        <f t="shared" si="62"/>
        <v>1283582.1392440486</v>
      </c>
      <c r="AB253" s="241">
        <f t="shared" si="62"/>
        <v>1209827.5564580061</v>
      </c>
      <c r="AC253" s="241">
        <f t="shared" si="62"/>
        <v>1336338.3322241502</v>
      </c>
      <c r="AD253" s="241">
        <f t="shared" si="62"/>
        <v>1159413.948063357</v>
      </c>
      <c r="AE253" s="241">
        <f t="shared" si="62"/>
        <v>1190892.3713479035</v>
      </c>
      <c r="AF253" s="241">
        <f t="shared" si="62"/>
        <v>1376083.7011540055</v>
      </c>
      <c r="AG253" s="241">
        <f t="shared" si="62"/>
        <v>1301167.9445407789</v>
      </c>
      <c r="AH253" s="241">
        <f t="shared" si="62"/>
        <v>1471297.4969295256</v>
      </c>
      <c r="AI253" s="241">
        <f t="shared" si="62"/>
        <v>1193705.9964814284</v>
      </c>
      <c r="AJ253" s="241">
        <f t="shared" si="62"/>
        <v>1290815.7749740614</v>
      </c>
      <c r="AK253" s="241">
        <f>+AK251+AK155</f>
        <v>15297335.937389379</v>
      </c>
      <c r="AL253" s="74">
        <f t="shared" si="31"/>
        <v>4.2634813182869803E-2</v>
      </c>
      <c r="AM253" s="16">
        <f t="shared" si="32"/>
        <v>9.2989206329134433E-2</v>
      </c>
      <c r="AN253" s="90"/>
      <c r="AO253" s="241">
        <v>283479881.16756529</v>
      </c>
      <c r="AP253" s="74"/>
      <c r="AQ253" s="16">
        <v>0.18770070177395759</v>
      </c>
    </row>
    <row r="254" spans="1:45" ht="15">
      <c r="E254" s="187" t="s">
        <v>296</v>
      </c>
      <c r="I254" s="194" t="s">
        <v>297</v>
      </c>
      <c r="J254" s="241">
        <f>+J253/J39</f>
        <v>1.0186673822970591</v>
      </c>
      <c r="K254" s="241">
        <f t="shared" ref="K254:V254" si="63">+K253/K39</f>
        <v>0.88245848881721989</v>
      </c>
      <c r="L254" s="241">
        <f t="shared" si="63"/>
        <v>0.86415648889836449</v>
      </c>
      <c r="M254" s="241">
        <f t="shared" si="63"/>
        <v>0.84919610690849656</v>
      </c>
      <c r="N254" s="241">
        <f t="shared" si="63"/>
        <v>0.83964487786782105</v>
      </c>
      <c r="O254" s="241">
        <f t="shared" si="63"/>
        <v>0.91133987064335209</v>
      </c>
      <c r="P254" s="241">
        <f t="shared" si="63"/>
        <v>0.88031581590575048</v>
      </c>
      <c r="Q254" s="241">
        <f t="shared" si="63"/>
        <v>1.0258270921907189</v>
      </c>
      <c r="R254" s="241">
        <f t="shared" si="63"/>
        <v>0.88274734781763498</v>
      </c>
      <c r="S254" s="241">
        <f t="shared" si="63"/>
        <v>0.84592893736024843</v>
      </c>
      <c r="T254" s="241">
        <f t="shared" si="63"/>
        <v>0.8427497071676433</v>
      </c>
      <c r="U254" s="241">
        <f t="shared" si="63"/>
        <v>0.90747865295430707</v>
      </c>
      <c r="V254" s="241">
        <f t="shared" si="63"/>
        <v>0.89493685899531794</v>
      </c>
      <c r="W254" s="74">
        <f>V254/V$6</f>
        <v>2.7151206421624925E-9</v>
      </c>
      <c r="X254" s="90"/>
      <c r="Y254" s="241">
        <f t="shared" ref="Y254" si="64">+Y253/Y39</f>
        <v>1.0320874915057083</v>
      </c>
      <c r="Z254" s="241">
        <f t="shared" ref="Z254" si="65">+Z253/Z39</f>
        <v>0.9448803158960084</v>
      </c>
      <c r="AA254" s="241">
        <f t="shared" ref="AA254" si="66">+AA253/AA39</f>
        <v>0.94501691442141322</v>
      </c>
      <c r="AB254" s="241">
        <f t="shared" ref="AB254" si="67">+AB253/AB39</f>
        <v>0.92047547670535879</v>
      </c>
      <c r="AC254" s="241">
        <f t="shared" ref="AC254" si="68">+AC253/AC39</f>
        <v>0.99775760396524416</v>
      </c>
      <c r="AD254" s="241">
        <f t="shared" ref="AD254" si="69">+AD253/AD39</f>
        <v>0.88915817407271069</v>
      </c>
      <c r="AE254" s="241">
        <f t="shared" ref="AE254" si="70">+AE253/AE39</f>
        <v>0.87329526159517534</v>
      </c>
      <c r="AF254" s="241">
        <f t="shared" ref="AF254" si="71">+AF253/AF39</f>
        <v>0.98097273486119796</v>
      </c>
      <c r="AG254" s="241">
        <f t="shared" ref="AG254" si="72">+AG253/AG39</f>
        <v>0.9216045119083266</v>
      </c>
      <c r="AH254" s="241">
        <f t="shared" ref="AH254" si="73">+AH253/AH39</f>
        <v>0.9816885255494503</v>
      </c>
      <c r="AI254" s="241">
        <f t="shared" ref="AI254" si="74">+AI253/AI39</f>
        <v>0.81679415536876454</v>
      </c>
      <c r="AJ254" s="241">
        <f t="shared" ref="AJ254" si="75">+AJ253/AJ39</f>
        <v>0.89966007021328087</v>
      </c>
      <c r="AK254" s="241">
        <f t="shared" ref="AK254" si="76">+AK253/AK39</f>
        <v>0.93278850242161027</v>
      </c>
      <c r="AL254" s="74">
        <f t="shared" si="31"/>
        <v>2.5997509437359727E-9</v>
      </c>
      <c r="AM254" s="16">
        <f t="shared" si="32"/>
        <v>4.2295322899970511E-2</v>
      </c>
      <c r="AN254" s="90"/>
      <c r="AO254" s="241">
        <v>1.1526559714256319</v>
      </c>
      <c r="AP254" s="74">
        <v>2.6151518847655347E-10</v>
      </c>
      <c r="AQ254" s="16">
        <v>4.5553422420766987E-2</v>
      </c>
    </row>
    <row r="255" spans="1:45" ht="15">
      <c r="E255" s="187" t="s">
        <v>297</v>
      </c>
      <c r="I255" s="195" t="s">
        <v>430</v>
      </c>
      <c r="J255" s="241">
        <f>+J251+J155</f>
        <v>1245997.27</v>
      </c>
      <c r="K255" s="241">
        <f t="shared" ref="K255:V255" si="77">+K251+K155</f>
        <v>1024439</v>
      </c>
      <c r="L255" s="241">
        <f t="shared" si="77"/>
        <v>1134914</v>
      </c>
      <c r="M255" s="241">
        <f t="shared" si="77"/>
        <v>1053650.26</v>
      </c>
      <c r="N255" s="241">
        <f t="shared" si="77"/>
        <v>1068323</v>
      </c>
      <c r="O255" s="241">
        <f t="shared" si="77"/>
        <v>1136809</v>
      </c>
      <c r="P255" s="241">
        <f t="shared" si="77"/>
        <v>1146387.75</v>
      </c>
      <c r="Q255" s="241">
        <f t="shared" si="77"/>
        <v>1350945.55</v>
      </c>
      <c r="R255" s="241">
        <f t="shared" si="77"/>
        <v>1189729.8</v>
      </c>
      <c r="S255" s="241">
        <f t="shared" si="77"/>
        <v>1225372.8999999999</v>
      </c>
      <c r="T255" s="241">
        <f t="shared" si="77"/>
        <v>1176831.7033333334</v>
      </c>
      <c r="U255" s="241">
        <f t="shared" si="77"/>
        <v>1242470.7677777777</v>
      </c>
      <c r="V255" s="241">
        <f t="shared" si="77"/>
        <v>13995871.001111109</v>
      </c>
      <c r="W255" s="74"/>
      <c r="X255" s="90"/>
      <c r="Y255" s="241">
        <f t="shared" ref="Y255:AK255" si="78">+Y251+Y155</f>
        <v>1327716.2243684565</v>
      </c>
      <c r="Z255" s="241">
        <f t="shared" si="78"/>
        <v>1156494.4516036573</v>
      </c>
      <c r="AA255" s="241">
        <f t="shared" si="78"/>
        <v>1283582.1392440486</v>
      </c>
      <c r="AB255" s="241">
        <f t="shared" si="78"/>
        <v>1209827.5564580061</v>
      </c>
      <c r="AC255" s="241">
        <f t="shared" si="78"/>
        <v>1336338.3322241502</v>
      </c>
      <c r="AD255" s="241">
        <f t="shared" si="78"/>
        <v>1159413.948063357</v>
      </c>
      <c r="AE255" s="241">
        <f t="shared" si="78"/>
        <v>1190892.3713479035</v>
      </c>
      <c r="AF255" s="241">
        <f t="shared" si="78"/>
        <v>1376083.7011540055</v>
      </c>
      <c r="AG255" s="241">
        <f t="shared" si="78"/>
        <v>1301167.9445407789</v>
      </c>
      <c r="AH255" s="241">
        <f t="shared" si="78"/>
        <v>1471297.4969295256</v>
      </c>
      <c r="AI255" s="241">
        <f t="shared" si="78"/>
        <v>1193705.9964814284</v>
      </c>
      <c r="AJ255" s="241">
        <f t="shared" si="78"/>
        <v>1290815.7749740614</v>
      </c>
      <c r="AK255" s="241">
        <f t="shared" si="78"/>
        <v>15297335.937389379</v>
      </c>
      <c r="AL255" s="74">
        <f t="shared" si="31"/>
        <v>4.2634813182869803E-2</v>
      </c>
      <c r="AM255" s="16">
        <f t="shared" si="32"/>
        <v>9.2989206329134433E-2</v>
      </c>
      <c r="AN255" s="90"/>
      <c r="AO255" s="241">
        <v>246472918.13076526</v>
      </c>
      <c r="AP255" s="74"/>
      <c r="AQ255" s="16">
        <v>0.19222036394648589</v>
      </c>
      <c r="AR255" s="298">
        <f>+AK255-V255</f>
        <v>1301464.9362782706</v>
      </c>
      <c r="AS255" s="1" t="s">
        <v>431</v>
      </c>
    </row>
    <row r="256" spans="1:45" ht="15">
      <c r="E256" s="187" t="s">
        <v>298</v>
      </c>
      <c r="I256" s="194" t="s">
        <v>432</v>
      </c>
      <c r="J256" s="241">
        <f>+J255/J33</f>
        <v>0.5117097055445059</v>
      </c>
      <c r="K256" s="241">
        <f>+K255/K33</f>
        <v>0.39776794051879483</v>
      </c>
      <c r="L256" s="241">
        <f>+L255/L33</f>
        <v>0.40295618273938655</v>
      </c>
      <c r="M256" s="241">
        <f>+M255/M33</f>
        <v>0.36069423481594554</v>
      </c>
      <c r="N256" s="241">
        <f>+N255/N33</f>
        <v>0.33776521412519334</v>
      </c>
      <c r="O256" s="241">
        <f>+O255/O33</f>
        <v>0.38899935771814398</v>
      </c>
      <c r="P256" s="241">
        <f>+P255/P33</f>
        <v>0.41022853738222442</v>
      </c>
      <c r="Q256" s="241">
        <f>+Q255/Q33</f>
        <v>0.4791662632073086</v>
      </c>
      <c r="R256" s="241">
        <f>+R255/R33</f>
        <v>0.41812024565750283</v>
      </c>
      <c r="S256" s="241">
        <f>+S255/S33</f>
        <v>0.43456514862215612</v>
      </c>
      <c r="T256" s="241">
        <f>+T255/T33</f>
        <v>0.41610806708607151</v>
      </c>
      <c r="U256" s="241">
        <f>+U255/U33</f>
        <v>0.43886085524955087</v>
      </c>
      <c r="V256" s="241">
        <f>+V255/V39</f>
        <v>0.89493685899531794</v>
      </c>
      <c r="W256" s="74">
        <f>V256/V$6</f>
        <v>2.7151206421624925E-9</v>
      </c>
      <c r="X256" s="90"/>
      <c r="Y256" s="241">
        <f>IFERROR(Y134+Y250,0)</f>
        <v>0</v>
      </c>
      <c r="Z256" s="241">
        <f>IFERROR(Z134+Z250,0)</f>
        <v>0</v>
      </c>
      <c r="AA256" s="241">
        <f>IFERROR(AA134+AA250,0)</f>
        <v>0</v>
      </c>
      <c r="AB256" s="241">
        <f>IFERROR(AB134+AB250,0)</f>
        <v>0</v>
      </c>
      <c r="AC256" s="241">
        <f>IFERROR(AC134+AC250,0)</f>
        <v>0</v>
      </c>
      <c r="AD256" s="241">
        <f>IFERROR(AD134+AD250,0)</f>
        <v>0</v>
      </c>
      <c r="AE256" s="241">
        <f>IFERROR(AE134+AE250,0)</f>
        <v>0</v>
      </c>
      <c r="AF256" s="241">
        <f>IFERROR(AF134+AF250,0)</f>
        <v>0</v>
      </c>
      <c r="AG256" s="241">
        <f>IFERROR(AG134+AG250,0)</f>
        <v>0</v>
      </c>
      <c r="AH256" s="241">
        <f>IFERROR(AH134+AH250,0)</f>
        <v>0</v>
      </c>
      <c r="AI256" s="241">
        <f>IFERROR(AI134+AI250,0)</f>
        <v>0</v>
      </c>
      <c r="AJ256" s="241">
        <f>IFERROR(AJ134+AJ250,0)</f>
        <v>6417.619999999999</v>
      </c>
      <c r="AK256" s="241">
        <f>+AK255/AK39</f>
        <v>0.93278850242161027</v>
      </c>
      <c r="AL256" s="74">
        <f t="shared" si="31"/>
        <v>2.5997509437359727E-9</v>
      </c>
      <c r="AM256" s="16">
        <f t="shared" si="32"/>
        <v>4.2295322899970511E-2</v>
      </c>
      <c r="AN256" s="90"/>
      <c r="AO256" s="241">
        <v>1.0021821644203264</v>
      </c>
      <c r="AP256" s="74">
        <v>2.2737561259676467E-10</v>
      </c>
      <c r="AQ256" s="16">
        <v>4.9532159021338673E-2</v>
      </c>
    </row>
    <row r="257" spans="1:44" ht="15.75">
      <c r="E257" s="187" t="s">
        <v>300</v>
      </c>
      <c r="I257" s="139" t="s">
        <v>296</v>
      </c>
      <c r="J257" s="134">
        <f>J137-J251</f>
        <v>-303863.27</v>
      </c>
      <c r="K257" s="134">
        <f>K137-K251</f>
        <v>-205642</v>
      </c>
      <c r="L257" s="134">
        <f>L137-L251</f>
        <v>-205642</v>
      </c>
      <c r="M257" s="134">
        <f>M137-M251</f>
        <v>-207818.26</v>
      </c>
      <c r="N257" s="134">
        <f>N137-N251</f>
        <v>-205642</v>
      </c>
      <c r="O257" s="134">
        <f>O137-O251</f>
        <v>-205642</v>
      </c>
      <c r="P257" s="134">
        <f>P137-P251</f>
        <v>-233613.75</v>
      </c>
      <c r="Q257" s="134">
        <f>Q137-Q251</f>
        <v>-373687.55</v>
      </c>
      <c r="R257" s="134">
        <f>R137-R251</f>
        <v>-188429.8</v>
      </c>
      <c r="S257" s="134">
        <f>S137-S251</f>
        <v>-206494.9</v>
      </c>
      <c r="T257" s="134">
        <f>T137-T251</f>
        <v>-201537.41666666666</v>
      </c>
      <c r="U257" s="134">
        <f>U137-U251</f>
        <v>-200487.37222222218</v>
      </c>
      <c r="V257" s="134">
        <f>+V33-V255</f>
        <v>19671085.378098946</v>
      </c>
      <c r="W257" s="168">
        <f t="shared" si="52"/>
        <v>5.9679484007146753E-2</v>
      </c>
      <c r="X257" s="91"/>
      <c r="Y257" s="134">
        <f>Y137-Y251</f>
        <v>-253946.75</v>
      </c>
      <c r="Z257" s="134">
        <f>Z137-Z251</f>
        <v>-201971.75</v>
      </c>
      <c r="AA257" s="134">
        <f>AA137-AA251</f>
        <v>-201971.75</v>
      </c>
      <c r="AB257" s="134">
        <f>AB137-AB251</f>
        <v>-253946.75</v>
      </c>
      <c r="AC257" s="134">
        <f>AC137-AC251</f>
        <v>-201971.75</v>
      </c>
      <c r="AD257" s="134">
        <f>AD137-AD251</f>
        <v>-201971.75</v>
      </c>
      <c r="AE257" s="134">
        <f>AE137-AE251</f>
        <v>-201971.75</v>
      </c>
      <c r="AF257" s="134">
        <f>AF137-AF251</f>
        <v>-201971.75</v>
      </c>
      <c r="AG257" s="134">
        <f>AG137-AG251</f>
        <v>-201971.75</v>
      </c>
      <c r="AH257" s="134">
        <f>AH137-AH251</f>
        <v>-411477.4142</v>
      </c>
      <c r="AI257" s="134">
        <f>AI137-AI251</f>
        <v>-201971.75</v>
      </c>
      <c r="AJ257" s="134">
        <f>AJ137-AJ251</f>
        <v>-201971.75</v>
      </c>
      <c r="AK257" s="134">
        <f>+AK33-AK255</f>
        <v>20122311.959277265</v>
      </c>
      <c r="AL257" s="168">
        <f t="shared" si="31"/>
        <v>5.6082380272131416E-2</v>
      </c>
      <c r="AM257" s="154">
        <f t="shared" si="32"/>
        <v>2.2938570623088017E-2</v>
      </c>
      <c r="AN257" s="91"/>
      <c r="AO257" s="134">
        <v>367264619.42176437</v>
      </c>
      <c r="AP257" s="168">
        <v>8.3325188564339223E-2</v>
      </c>
      <c r="AQ257" s="154">
        <v>0.16112463098763619</v>
      </c>
      <c r="AR257" s="9">
        <f>+V257-AK257</f>
        <v>-451226.58117831871</v>
      </c>
    </row>
    <row r="258" spans="1:44" ht="15">
      <c r="E258" s="187" t="s">
        <v>301</v>
      </c>
      <c r="I258" s="18" t="s">
        <v>298</v>
      </c>
      <c r="J258" s="241">
        <f>IFERROR(J257/J32,0)</f>
        <v>0</v>
      </c>
      <c r="K258" s="241">
        <f>IFERROR(K257/K32,0)</f>
        <v>0</v>
      </c>
      <c r="L258" s="241">
        <f>IFERROR(L257/L32,0)</f>
        <v>0</v>
      </c>
      <c r="M258" s="241">
        <f>IFERROR(M257/M32,0)</f>
        <v>0</v>
      </c>
      <c r="N258" s="241">
        <f>IFERROR(N257/N32,0)</f>
        <v>0</v>
      </c>
      <c r="O258" s="241">
        <f>IFERROR(O257/O32,0)</f>
        <v>0</v>
      </c>
      <c r="P258" s="241">
        <f>IFERROR(P257/P32,0)</f>
        <v>0</v>
      </c>
      <c r="Q258" s="241">
        <f>IFERROR(Q257/Q32,0)</f>
        <v>0</v>
      </c>
      <c r="R258" s="241">
        <f>IFERROR(R257/R32,0)</f>
        <v>0</v>
      </c>
      <c r="S258" s="241">
        <f>IFERROR(S257/S32,0)</f>
        <v>0</v>
      </c>
      <c r="T258" s="241">
        <f>IFERROR(T257/T32,0)</f>
        <v>0</v>
      </c>
      <c r="U258" s="241">
        <f>IFERROR(U257/U32,0)</f>
        <v>0</v>
      </c>
      <c r="V258" s="241">
        <f>+V257/V39</f>
        <v>1.2578266375781124</v>
      </c>
      <c r="W258" s="74">
        <f t="shared" si="52"/>
        <v>3.8160804682736175E-9</v>
      </c>
      <c r="X258" s="90"/>
      <c r="Y258" s="241">
        <f>IFERROR(Y257/Y32,0)</f>
        <v>0</v>
      </c>
      <c r="Z258" s="241">
        <f>IFERROR(Z257/Z32,0)</f>
        <v>0</v>
      </c>
      <c r="AA258" s="241">
        <f>IFERROR(AA257/AA32,0)</f>
        <v>0</v>
      </c>
      <c r="AB258" s="241">
        <f>IFERROR(AB257/AB32,0)</f>
        <v>0</v>
      </c>
      <c r="AC258" s="241">
        <f>IFERROR(AC257/AC32,0)</f>
        <v>0</v>
      </c>
      <c r="AD258" s="241">
        <f>IFERROR(AD257/AD32,0)</f>
        <v>0</v>
      </c>
      <c r="AE258" s="241">
        <f>IFERROR(AE257/AE32,0)</f>
        <v>0</v>
      </c>
      <c r="AF258" s="241">
        <f>IFERROR(AF257/AF32,0)</f>
        <v>0</v>
      </c>
      <c r="AG258" s="241">
        <f>IFERROR(AG257/AG32,0)</f>
        <v>0</v>
      </c>
      <c r="AH258" s="241">
        <f>IFERROR(AH257/AH32,0)</f>
        <v>0</v>
      </c>
      <c r="AI258" s="241">
        <f>IFERROR(AI257/AI32,0)</f>
        <v>0</v>
      </c>
      <c r="AJ258" s="241">
        <f>IFERROR(AJ257/AJ32,0)</f>
        <v>0</v>
      </c>
      <c r="AK258" s="241">
        <f>+AK257/AK39</f>
        <v>1.2270019639091443</v>
      </c>
      <c r="AL258" s="74">
        <f t="shared" si="31"/>
        <v>3.4197457466053651E-9</v>
      </c>
      <c r="AM258" s="16">
        <f t="shared" si="32"/>
        <v>-2.4506297408615541E-2</v>
      </c>
      <c r="AN258" s="90"/>
      <c r="AO258" s="241">
        <v>1.4933326306131338</v>
      </c>
      <c r="AP258" s="74">
        <v>3.388080867441874E-10</v>
      </c>
      <c r="AQ258" s="16">
        <v>2.2158048717920265E-2</v>
      </c>
    </row>
    <row r="259" spans="1:44" ht="15.75">
      <c r="E259" s="193" t="s">
        <v>433</v>
      </c>
      <c r="I259" s="139" t="s">
        <v>434</v>
      </c>
      <c r="J259" s="134">
        <f>+J257+J127</f>
        <v>-303863.27</v>
      </c>
      <c r="K259" s="134">
        <f>+K257+K127</f>
        <v>-205642</v>
      </c>
      <c r="L259" s="134">
        <f>+L257+L127</f>
        <v>-205642</v>
      </c>
      <c r="M259" s="134">
        <f>+M257+M127</f>
        <v>-207818.26</v>
      </c>
      <c r="N259" s="134">
        <f>+N257+N127</f>
        <v>-205642</v>
      </c>
      <c r="O259" s="134">
        <f>+O257+O127</f>
        <v>-205642</v>
      </c>
      <c r="P259" s="134">
        <f>+P257+P127</f>
        <v>-233613.75</v>
      </c>
      <c r="Q259" s="134">
        <f>+Q257+Q127</f>
        <v>-373687.55</v>
      </c>
      <c r="R259" s="134">
        <f>+R257+R127</f>
        <v>-188429.8</v>
      </c>
      <c r="S259" s="134">
        <f>+S257+S127</f>
        <v>-206494.9</v>
      </c>
      <c r="T259" s="134">
        <f>+T257+T127</f>
        <v>-196337.41666666666</v>
      </c>
      <c r="U259" s="134">
        <f>+U257+U127</f>
        <v>-197367.37222222218</v>
      </c>
      <c r="V259" s="134">
        <f>+V257</f>
        <v>19671085.378098946</v>
      </c>
      <c r="W259" s="168">
        <f>V259/V$6</f>
        <v>5.9679484007146753E-2</v>
      </c>
      <c r="X259" s="91"/>
      <c r="Y259" s="134">
        <f>+Y257+Y127</f>
        <v>-250841.45</v>
      </c>
      <c r="Z259" s="134">
        <f>+Z257+Z127</f>
        <v>-201971.75</v>
      </c>
      <c r="AA259" s="134">
        <f>+AA257+AA127</f>
        <v>-201971.75</v>
      </c>
      <c r="AB259" s="134">
        <f>+AB257+AB127</f>
        <v>-253946.75</v>
      </c>
      <c r="AC259" s="134">
        <f>+AC257+AC127</f>
        <v>-201971.75</v>
      </c>
      <c r="AD259" s="134">
        <f>+AD257+AD127</f>
        <v>-198866.45</v>
      </c>
      <c r="AE259" s="134">
        <f>+AE257+AE127</f>
        <v>-201971.75</v>
      </c>
      <c r="AF259" s="134">
        <f>+AF257+AF127</f>
        <v>-201971.75</v>
      </c>
      <c r="AG259" s="134">
        <f>+AG257+AG127</f>
        <v>-201971.75</v>
      </c>
      <c r="AH259" s="134">
        <f>+AH257+AH127</f>
        <v>-411477.4142</v>
      </c>
      <c r="AI259" s="134">
        <f>+AI257+AI127</f>
        <v>-198866.45</v>
      </c>
      <c r="AJ259" s="134">
        <f>+AJ257+AJ127</f>
        <v>-201971.75</v>
      </c>
      <c r="AK259" s="134">
        <f>+AK257</f>
        <v>20122311.959277265</v>
      </c>
      <c r="AL259" s="168">
        <f t="shared" si="31"/>
        <v>5.6082380272131416E-2</v>
      </c>
      <c r="AM259" s="154">
        <f t="shared" si="32"/>
        <v>2.2938570623088017E-2</v>
      </c>
      <c r="AN259" s="91"/>
      <c r="AO259" s="134">
        <v>404271582.4585644</v>
      </c>
      <c r="AP259" s="168">
        <v>9.1721347655541241E-2</v>
      </c>
      <c r="AQ259" s="154">
        <v>0.16087942592720239</v>
      </c>
    </row>
    <row r="260" spans="1:44" ht="15">
      <c r="I260" s="18" t="s">
        <v>435</v>
      </c>
      <c r="J260" s="256" t="e">
        <f>+J259/J32</f>
        <v>#DIV/0!</v>
      </c>
      <c r="K260" s="256" t="e">
        <f>+K259/K32</f>
        <v>#DIV/0!</v>
      </c>
      <c r="L260" s="256" t="e">
        <f>+L259/L32</f>
        <v>#DIV/0!</v>
      </c>
      <c r="M260" s="256" t="e">
        <f>+M259/M32</f>
        <v>#DIV/0!</v>
      </c>
      <c r="N260" s="256" t="e">
        <f>+N259/N32</f>
        <v>#DIV/0!</v>
      </c>
      <c r="O260" s="256" t="e">
        <f>+O259/O32</f>
        <v>#DIV/0!</v>
      </c>
      <c r="P260" s="256" t="e">
        <f>+P259/P32</f>
        <v>#DIV/0!</v>
      </c>
      <c r="Q260" s="256" t="e">
        <f>+Q259/Q32</f>
        <v>#DIV/0!</v>
      </c>
      <c r="R260" s="256" t="e">
        <f>+R259/R32</f>
        <v>#DIV/0!</v>
      </c>
      <c r="S260" s="256" t="e">
        <f>+S259/S32</f>
        <v>#DIV/0!</v>
      </c>
      <c r="T260" s="256" t="e">
        <f>+T259/T32</f>
        <v>#DIV/0!</v>
      </c>
      <c r="U260" s="256" t="e">
        <f>+U259/U32</f>
        <v>#DIV/0!</v>
      </c>
      <c r="V260" s="256">
        <f>+V259/V39</f>
        <v>1.2578266375781124</v>
      </c>
      <c r="W260" s="74">
        <f>V260/V$6</f>
        <v>3.8160804682736175E-9</v>
      </c>
      <c r="X260" s="90"/>
      <c r="Y260" s="256" t="e">
        <f>+Y259/Y32</f>
        <v>#DIV/0!</v>
      </c>
      <c r="Z260" s="256" t="e">
        <f>+Z259/Z32</f>
        <v>#DIV/0!</v>
      </c>
      <c r="AA260" s="256" t="e">
        <f>+AA259/AA32</f>
        <v>#DIV/0!</v>
      </c>
      <c r="AB260" s="256" t="e">
        <f>+AB259/AB32</f>
        <v>#DIV/0!</v>
      </c>
      <c r="AC260" s="256" t="e">
        <f>+AC259/AC32</f>
        <v>#DIV/0!</v>
      </c>
      <c r="AD260" s="256" t="e">
        <f>+AD259/AD32</f>
        <v>#DIV/0!</v>
      </c>
      <c r="AE260" s="256" t="e">
        <f>+AE259/AE32</f>
        <v>#DIV/0!</v>
      </c>
      <c r="AF260" s="256" t="e">
        <f>+AF259/AF32</f>
        <v>#DIV/0!</v>
      </c>
      <c r="AG260" s="256" t="e">
        <f>+AG259/AG32</f>
        <v>#DIV/0!</v>
      </c>
      <c r="AH260" s="256" t="e">
        <f>+AH259/AH32</f>
        <v>#DIV/0!</v>
      </c>
      <c r="AI260" s="256" t="e">
        <f>+AI259/AI32</f>
        <v>#DIV/0!</v>
      </c>
      <c r="AJ260" s="256" t="e">
        <f>+AJ259/AJ32</f>
        <v>#DIV/0!</v>
      </c>
      <c r="AK260" s="256">
        <f>+AK259/AK39</f>
        <v>1.2270019639091443</v>
      </c>
      <c r="AL260" s="74">
        <f t="shared" si="31"/>
        <v>3.4197457466053651E-9</v>
      </c>
      <c r="AM260" s="16">
        <f t="shared" si="32"/>
        <v>-2.4506297408615541E-2</v>
      </c>
      <c r="AN260" s="90"/>
      <c r="AO260" s="256">
        <v>1.6438064376184394</v>
      </c>
      <c r="AP260" s="74">
        <v>3.7294766262397614E-10</v>
      </c>
      <c r="AQ260" s="16">
        <v>2.1942190472026724E-2</v>
      </c>
    </row>
    <row r="261" spans="1:44" ht="14.45" hidden="1" customHeight="1" collapsed="1">
      <c r="A261" s="12" t="s">
        <v>302</v>
      </c>
      <c r="E261" s="187" t="s">
        <v>87</v>
      </c>
      <c r="I261" s="125" t="s">
        <v>303</v>
      </c>
      <c r="J261" s="231">
        <f>SUM(J262:J274)</f>
        <v>0</v>
      </c>
      <c r="K261" s="231">
        <f t="shared" ref="K261:U261" si="79">SUM(K262:K274)</f>
        <v>0</v>
      </c>
      <c r="L261" s="231">
        <f t="shared" si="79"/>
        <v>0</v>
      </c>
      <c r="M261" s="231">
        <f t="shared" si="79"/>
        <v>0</v>
      </c>
      <c r="N261" s="231">
        <f t="shared" si="79"/>
        <v>0</v>
      </c>
      <c r="O261" s="231">
        <f t="shared" si="79"/>
        <v>0</v>
      </c>
      <c r="P261" s="231">
        <f t="shared" si="79"/>
        <v>0</v>
      </c>
      <c r="Q261" s="231">
        <f t="shared" si="79"/>
        <v>0</v>
      </c>
      <c r="R261" s="231">
        <f t="shared" si="79"/>
        <v>0</v>
      </c>
      <c r="S261" s="231">
        <f t="shared" si="79"/>
        <v>0</v>
      </c>
      <c r="T261" s="231">
        <f t="shared" si="79"/>
        <v>0</v>
      </c>
      <c r="U261" s="231">
        <f t="shared" si="79"/>
        <v>0</v>
      </c>
      <c r="V261" s="231">
        <f>SUM(V262:V274)</f>
        <v>0</v>
      </c>
      <c r="W261" s="72">
        <f>V261/V$6</f>
        <v>0</v>
      </c>
      <c r="X261" s="89"/>
      <c r="Y261" s="231">
        <f>SUM(Y262:Y274)</f>
        <v>0</v>
      </c>
      <c r="Z261" s="231">
        <f t="shared" ref="Z261:AJ261" si="80">SUM(Z262:Z274)</f>
        <v>0</v>
      </c>
      <c r="AA261" s="231">
        <f t="shared" si="80"/>
        <v>0</v>
      </c>
      <c r="AB261" s="231">
        <f t="shared" si="80"/>
        <v>0</v>
      </c>
      <c r="AC261" s="231">
        <f t="shared" si="80"/>
        <v>0</v>
      </c>
      <c r="AD261" s="231">
        <f t="shared" si="80"/>
        <v>0</v>
      </c>
      <c r="AE261" s="231">
        <f t="shared" si="80"/>
        <v>0</v>
      </c>
      <c r="AF261" s="231">
        <f t="shared" si="80"/>
        <v>0</v>
      </c>
      <c r="AG261" s="231">
        <f t="shared" si="80"/>
        <v>0</v>
      </c>
      <c r="AH261" s="231">
        <f t="shared" si="80"/>
        <v>0</v>
      </c>
      <c r="AI261" s="231">
        <f t="shared" si="80"/>
        <v>0</v>
      </c>
      <c r="AJ261" s="231">
        <f t="shared" si="80"/>
        <v>0</v>
      </c>
      <c r="AK261" s="231">
        <v>6937428</v>
      </c>
      <c r="AL261" s="72">
        <f t="shared" si="31"/>
        <v>1.9335127891561932E-2</v>
      </c>
      <c r="AM261" s="10">
        <f t="shared" si="32"/>
        <v>0</v>
      </c>
      <c r="AN261" s="89"/>
      <c r="AO261" s="231">
        <v>6937428</v>
      </c>
      <c r="AP261" s="72">
        <v>1.5777733702514857E-3</v>
      </c>
      <c r="AQ261" s="10">
        <v>-0.39460480559059874</v>
      </c>
    </row>
    <row r="262" spans="1:44" ht="15" hidden="1" customHeight="1" outlineLevel="1">
      <c r="A262" s="12" t="s">
        <v>302</v>
      </c>
      <c r="I262" s="136" t="s">
        <v>304</v>
      </c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5">
        <f>SUM(J262:U262)</f>
        <v>0</v>
      </c>
      <c r="W262" s="73">
        <f>V262/V$6</f>
        <v>0</v>
      </c>
      <c r="X262" s="89"/>
      <c r="Y262" s="234"/>
      <c r="Z262" s="234"/>
      <c r="AA262" s="234"/>
      <c r="AB262" s="234"/>
      <c r="AC262" s="234"/>
      <c r="AD262" s="234"/>
      <c r="AE262" s="234"/>
      <c r="AF262" s="234"/>
      <c r="AG262" s="234"/>
      <c r="AH262" s="234"/>
      <c r="AI262" s="234"/>
      <c r="AJ262" s="234"/>
      <c r="AK262" s="65">
        <f t="shared" ref="AK262:AK325" si="81">SUM(Y262:AJ262)</f>
        <v>0</v>
      </c>
      <c r="AL262" s="73">
        <f t="shared" si="31"/>
        <v>0</v>
      </c>
      <c r="AM262" s="14">
        <f t="shared" si="32"/>
        <v>0</v>
      </c>
      <c r="AN262" s="89"/>
      <c r="AO262" s="235">
        <v>0</v>
      </c>
      <c r="AP262" s="73">
        <v>0</v>
      </c>
      <c r="AQ262" s="14">
        <v>-1</v>
      </c>
    </row>
    <row r="263" spans="1:44" ht="15" hidden="1" customHeight="1" outlineLevel="1">
      <c r="A263" s="12"/>
      <c r="I263" s="136" t="s">
        <v>305</v>
      </c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5">
        <f t="shared" ref="V263:V274" si="82">SUM(J263:U263)</f>
        <v>0</v>
      </c>
      <c r="W263" s="73">
        <f t="shared" ref="W263:W273" si="83">V263/V$6</f>
        <v>0</v>
      </c>
      <c r="X263" s="89"/>
      <c r="Y263" s="234"/>
      <c r="Z263" s="234"/>
      <c r="AA263" s="234"/>
      <c r="AB263" s="234"/>
      <c r="AC263" s="234"/>
      <c r="AD263" s="234"/>
      <c r="AE263" s="234"/>
      <c r="AF263" s="234"/>
      <c r="AG263" s="234"/>
      <c r="AH263" s="234"/>
      <c r="AI263" s="234"/>
      <c r="AJ263" s="234"/>
      <c r="AK263" s="65">
        <f t="shared" si="81"/>
        <v>0</v>
      </c>
      <c r="AL263" s="73">
        <f t="shared" si="31"/>
        <v>0</v>
      </c>
      <c r="AM263" s="14">
        <f t="shared" si="32"/>
        <v>0</v>
      </c>
      <c r="AN263" s="89"/>
      <c r="AO263" s="235">
        <v>0</v>
      </c>
      <c r="AP263" s="73">
        <v>0</v>
      </c>
      <c r="AQ263" s="14">
        <v>-1</v>
      </c>
    </row>
    <row r="264" spans="1:44" ht="15" hidden="1" customHeight="1" outlineLevel="1">
      <c r="A264" s="12"/>
      <c r="I264" s="136" t="s">
        <v>306</v>
      </c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5">
        <f t="shared" si="82"/>
        <v>0</v>
      </c>
      <c r="W264" s="73">
        <f t="shared" si="83"/>
        <v>0</v>
      </c>
      <c r="X264" s="89"/>
      <c r="Y264" s="234"/>
      <c r="Z264" s="234"/>
      <c r="AA264" s="234"/>
      <c r="AB264" s="234"/>
      <c r="AC264" s="234"/>
      <c r="AD264" s="234"/>
      <c r="AE264" s="234"/>
      <c r="AF264" s="234"/>
      <c r="AG264" s="234"/>
      <c r="AH264" s="234"/>
      <c r="AI264" s="234"/>
      <c r="AJ264" s="234"/>
      <c r="AK264" s="65">
        <f t="shared" si="81"/>
        <v>0</v>
      </c>
      <c r="AL264" s="73">
        <f t="shared" si="31"/>
        <v>0</v>
      </c>
      <c r="AM264" s="14">
        <f t="shared" si="32"/>
        <v>0</v>
      </c>
      <c r="AN264" s="89"/>
      <c r="AO264" s="235">
        <v>0</v>
      </c>
      <c r="AP264" s="73">
        <v>0</v>
      </c>
      <c r="AQ264" s="14">
        <v>-1</v>
      </c>
    </row>
    <row r="265" spans="1:44" ht="15" hidden="1" customHeight="1" outlineLevel="1">
      <c r="A265" s="12"/>
      <c r="I265" s="136" t="s">
        <v>307</v>
      </c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5">
        <f t="shared" si="82"/>
        <v>0</v>
      </c>
      <c r="W265" s="73">
        <f t="shared" si="83"/>
        <v>0</v>
      </c>
      <c r="X265" s="89"/>
      <c r="Y265" s="234"/>
      <c r="Z265" s="234"/>
      <c r="AA265" s="234"/>
      <c r="AB265" s="234"/>
      <c r="AC265" s="234"/>
      <c r="AD265" s="234"/>
      <c r="AE265" s="234"/>
      <c r="AF265" s="234"/>
      <c r="AG265" s="234"/>
      <c r="AH265" s="234"/>
      <c r="AI265" s="234"/>
      <c r="AJ265" s="234"/>
      <c r="AK265" s="65">
        <f t="shared" si="81"/>
        <v>0</v>
      </c>
      <c r="AL265" s="73">
        <f t="shared" si="31"/>
        <v>0</v>
      </c>
      <c r="AM265" s="14">
        <f t="shared" si="32"/>
        <v>0</v>
      </c>
      <c r="AN265" s="89"/>
      <c r="AO265" s="235">
        <v>0</v>
      </c>
      <c r="AP265" s="73">
        <v>0</v>
      </c>
      <c r="AQ265" s="14">
        <v>-1</v>
      </c>
    </row>
    <row r="266" spans="1:44" ht="15" hidden="1" customHeight="1" outlineLevel="1">
      <c r="A266" s="12"/>
      <c r="I266" s="136" t="s">
        <v>308</v>
      </c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5">
        <f t="shared" si="82"/>
        <v>0</v>
      </c>
      <c r="W266" s="73">
        <f t="shared" si="83"/>
        <v>0</v>
      </c>
      <c r="X266" s="89"/>
      <c r="Y266" s="234"/>
      <c r="Z266" s="234"/>
      <c r="AA266" s="234"/>
      <c r="AB266" s="234"/>
      <c r="AC266" s="234"/>
      <c r="AD266" s="234"/>
      <c r="AE266" s="234"/>
      <c r="AF266" s="234"/>
      <c r="AG266" s="234"/>
      <c r="AH266" s="234"/>
      <c r="AI266" s="234"/>
      <c r="AJ266" s="234"/>
      <c r="AK266" s="65">
        <f t="shared" si="81"/>
        <v>0</v>
      </c>
      <c r="AL266" s="73">
        <f t="shared" si="31"/>
        <v>0</v>
      </c>
      <c r="AM266" s="14">
        <f t="shared" si="32"/>
        <v>0</v>
      </c>
      <c r="AN266" s="89"/>
      <c r="AO266" s="235">
        <v>0</v>
      </c>
      <c r="AP266" s="73">
        <v>0</v>
      </c>
      <c r="AQ266" s="14">
        <v>0</v>
      </c>
    </row>
    <row r="267" spans="1:44" ht="15" hidden="1" customHeight="1" outlineLevel="1">
      <c r="A267" s="12"/>
      <c r="I267" s="136" t="s">
        <v>309</v>
      </c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5">
        <f t="shared" si="82"/>
        <v>0</v>
      </c>
      <c r="W267" s="73">
        <f t="shared" si="83"/>
        <v>0</v>
      </c>
      <c r="X267" s="89"/>
      <c r="Y267" s="234"/>
      <c r="Z267" s="234"/>
      <c r="AA267" s="234"/>
      <c r="AB267" s="234"/>
      <c r="AC267" s="234"/>
      <c r="AD267" s="234"/>
      <c r="AE267" s="234"/>
      <c r="AF267" s="234"/>
      <c r="AG267" s="234"/>
      <c r="AH267" s="234"/>
      <c r="AI267" s="234"/>
      <c r="AJ267" s="234"/>
      <c r="AK267" s="65">
        <f t="shared" si="81"/>
        <v>0</v>
      </c>
      <c r="AL267" s="73">
        <f t="shared" si="31"/>
        <v>0</v>
      </c>
      <c r="AM267" s="14">
        <f t="shared" si="32"/>
        <v>0</v>
      </c>
      <c r="AN267" s="89"/>
      <c r="AO267" s="235">
        <v>1984116</v>
      </c>
      <c r="AP267" s="73">
        <v>4.5124582025066011E-4</v>
      </c>
      <c r="AQ267" s="14">
        <v>-0.22021317237231386</v>
      </c>
    </row>
    <row r="268" spans="1:44" ht="15" hidden="1" customHeight="1" outlineLevel="1">
      <c r="A268" s="12"/>
      <c r="I268" s="136" t="s">
        <v>310</v>
      </c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5">
        <f t="shared" si="82"/>
        <v>0</v>
      </c>
      <c r="W268" s="73">
        <f t="shared" si="83"/>
        <v>0</v>
      </c>
      <c r="X268" s="89"/>
      <c r="Y268" s="234"/>
      <c r="Z268" s="234"/>
      <c r="AA268" s="234"/>
      <c r="AB268" s="234"/>
      <c r="AC268" s="234"/>
      <c r="AD268" s="234"/>
      <c r="AE268" s="234"/>
      <c r="AF268" s="234"/>
      <c r="AG268" s="234"/>
      <c r="AH268" s="234"/>
      <c r="AI268" s="234"/>
      <c r="AJ268" s="234"/>
      <c r="AK268" s="65">
        <f t="shared" si="81"/>
        <v>0</v>
      </c>
      <c r="AL268" s="73">
        <f t="shared" si="31"/>
        <v>0</v>
      </c>
      <c r="AM268" s="14">
        <f t="shared" si="32"/>
        <v>0</v>
      </c>
      <c r="AN268" s="89"/>
      <c r="AO268" s="235">
        <v>4953312</v>
      </c>
      <c r="AP268" s="73">
        <v>1.1265275500008255E-3</v>
      </c>
      <c r="AQ268" s="14">
        <v>-0.16760631795748837</v>
      </c>
    </row>
    <row r="269" spans="1:44" ht="15" hidden="1" customHeight="1" outlineLevel="1">
      <c r="A269" s="12"/>
      <c r="I269" s="136" t="s">
        <v>311</v>
      </c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5">
        <f t="shared" si="82"/>
        <v>0</v>
      </c>
      <c r="W269" s="73">
        <f t="shared" si="83"/>
        <v>0</v>
      </c>
      <c r="X269" s="89"/>
      <c r="Y269" s="234"/>
      <c r="Z269" s="234"/>
      <c r="AA269" s="234"/>
      <c r="AB269" s="234"/>
      <c r="AC269" s="234"/>
      <c r="AD269" s="234"/>
      <c r="AE269" s="234"/>
      <c r="AF269" s="234"/>
      <c r="AG269" s="234"/>
      <c r="AH269" s="234"/>
      <c r="AI269" s="234"/>
      <c r="AJ269" s="234"/>
      <c r="AK269" s="65">
        <f t="shared" si="81"/>
        <v>0</v>
      </c>
      <c r="AL269" s="73">
        <f t="shared" si="31"/>
        <v>0</v>
      </c>
      <c r="AM269" s="14">
        <f t="shared" si="32"/>
        <v>0</v>
      </c>
      <c r="AN269" s="89"/>
      <c r="AO269" s="235">
        <v>0</v>
      </c>
      <c r="AP269" s="73">
        <v>0</v>
      </c>
      <c r="AQ269" s="14">
        <v>0</v>
      </c>
    </row>
    <row r="270" spans="1:44" ht="15" hidden="1" customHeight="1" outlineLevel="1">
      <c r="A270" s="12"/>
      <c r="I270" s="136" t="s">
        <v>312</v>
      </c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5">
        <f t="shared" si="82"/>
        <v>0</v>
      </c>
      <c r="W270" s="73">
        <f t="shared" si="83"/>
        <v>0</v>
      </c>
      <c r="X270" s="89"/>
      <c r="Y270" s="234"/>
      <c r="Z270" s="234"/>
      <c r="AA270" s="234"/>
      <c r="AB270" s="234"/>
      <c r="AC270" s="234"/>
      <c r="AD270" s="234"/>
      <c r="AE270" s="234"/>
      <c r="AF270" s="234"/>
      <c r="AG270" s="234"/>
      <c r="AH270" s="234"/>
      <c r="AI270" s="234"/>
      <c r="AJ270" s="234"/>
      <c r="AK270" s="65">
        <f t="shared" si="81"/>
        <v>0</v>
      </c>
      <c r="AL270" s="73">
        <f t="shared" si="31"/>
        <v>0</v>
      </c>
      <c r="AM270" s="14">
        <f t="shared" si="32"/>
        <v>0</v>
      </c>
      <c r="AN270" s="89"/>
      <c r="AO270" s="235">
        <v>0</v>
      </c>
      <c r="AP270" s="73">
        <v>0</v>
      </c>
      <c r="AQ270" s="14">
        <v>-1</v>
      </c>
    </row>
    <row r="271" spans="1:44" ht="15" hidden="1" customHeight="1" outlineLevel="1">
      <c r="A271" s="12"/>
      <c r="I271" s="136" t="s">
        <v>313</v>
      </c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5">
        <f t="shared" si="82"/>
        <v>0</v>
      </c>
      <c r="W271" s="73">
        <f t="shared" si="83"/>
        <v>0</v>
      </c>
      <c r="X271" s="89"/>
      <c r="Y271" s="234"/>
      <c r="Z271" s="234"/>
      <c r="AA271" s="234"/>
      <c r="AB271" s="234"/>
      <c r="AC271" s="234"/>
      <c r="AD271" s="234"/>
      <c r="AE271" s="234"/>
      <c r="AF271" s="234"/>
      <c r="AG271" s="234"/>
      <c r="AH271" s="234"/>
      <c r="AI271" s="234"/>
      <c r="AJ271" s="234"/>
      <c r="AK271" s="65">
        <f t="shared" si="81"/>
        <v>0</v>
      </c>
      <c r="AL271" s="73">
        <f t="shared" si="31"/>
        <v>0</v>
      </c>
      <c r="AM271" s="14">
        <f t="shared" si="32"/>
        <v>0</v>
      </c>
      <c r="AN271" s="89"/>
      <c r="AO271" s="235">
        <v>0</v>
      </c>
      <c r="AP271" s="73">
        <v>0</v>
      </c>
      <c r="AQ271" s="14">
        <v>-1</v>
      </c>
    </row>
    <row r="272" spans="1:44" ht="15" hidden="1" customHeight="1" outlineLevel="1">
      <c r="A272" s="12"/>
      <c r="I272" s="136" t="s">
        <v>314</v>
      </c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5">
        <f t="shared" si="82"/>
        <v>0</v>
      </c>
      <c r="W272" s="73">
        <f t="shared" si="83"/>
        <v>0</v>
      </c>
      <c r="X272" s="89"/>
      <c r="Y272" s="234"/>
      <c r="Z272" s="234"/>
      <c r="AA272" s="234"/>
      <c r="AB272" s="234"/>
      <c r="AC272" s="234"/>
      <c r="AD272" s="234"/>
      <c r="AE272" s="234"/>
      <c r="AF272" s="234"/>
      <c r="AG272" s="234"/>
      <c r="AH272" s="234"/>
      <c r="AI272" s="234"/>
      <c r="AJ272" s="234"/>
      <c r="AK272" s="65">
        <f t="shared" si="81"/>
        <v>0</v>
      </c>
      <c r="AL272" s="73">
        <f t="shared" si="31"/>
        <v>0</v>
      </c>
      <c r="AM272" s="14">
        <f t="shared" si="32"/>
        <v>0</v>
      </c>
      <c r="AN272" s="89"/>
      <c r="AO272" s="235">
        <v>0</v>
      </c>
      <c r="AP272" s="73">
        <v>0</v>
      </c>
      <c r="AQ272" s="14">
        <v>0</v>
      </c>
    </row>
    <row r="273" spans="1:43" ht="15" hidden="1" customHeight="1" outlineLevel="1">
      <c r="A273" s="12"/>
      <c r="I273" s="136" t="s">
        <v>315</v>
      </c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5">
        <f t="shared" si="82"/>
        <v>0</v>
      </c>
      <c r="W273" s="73">
        <f t="shared" si="83"/>
        <v>0</v>
      </c>
      <c r="X273" s="89"/>
      <c r="Y273" s="234"/>
      <c r="Z273" s="234"/>
      <c r="AA273" s="234"/>
      <c r="AB273" s="234"/>
      <c r="AC273" s="234"/>
      <c r="AD273" s="234"/>
      <c r="AE273" s="234"/>
      <c r="AF273" s="234"/>
      <c r="AG273" s="234"/>
      <c r="AH273" s="234"/>
      <c r="AI273" s="234"/>
      <c r="AJ273" s="234"/>
      <c r="AK273" s="65">
        <f t="shared" si="81"/>
        <v>0</v>
      </c>
      <c r="AL273" s="73">
        <f t="shared" si="31"/>
        <v>0</v>
      </c>
      <c r="AM273" s="14">
        <f t="shared" si="32"/>
        <v>0</v>
      </c>
      <c r="AN273" s="89"/>
      <c r="AO273" s="235">
        <v>0</v>
      </c>
      <c r="AP273" s="73">
        <v>0</v>
      </c>
      <c r="AQ273" s="14">
        <v>0</v>
      </c>
    </row>
    <row r="274" spans="1:43" ht="15" hidden="1" customHeight="1" outlineLevel="1">
      <c r="A274" s="12" t="s">
        <v>302</v>
      </c>
      <c r="I274" s="136" t="s">
        <v>316</v>
      </c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5">
        <f t="shared" si="82"/>
        <v>0</v>
      </c>
      <c r="W274" s="73">
        <f>V274/V$6</f>
        <v>0</v>
      </c>
      <c r="X274" s="89"/>
      <c r="Y274" s="234"/>
      <c r="Z274" s="234"/>
      <c r="AA274" s="234"/>
      <c r="AB274" s="234"/>
      <c r="AC274" s="234"/>
      <c r="AD274" s="234"/>
      <c r="AE274" s="234"/>
      <c r="AF274" s="234"/>
      <c r="AG274" s="234"/>
      <c r="AH274" s="234"/>
      <c r="AI274" s="234"/>
      <c r="AJ274" s="234"/>
      <c r="AK274" s="65">
        <f t="shared" si="81"/>
        <v>0</v>
      </c>
      <c r="AL274" s="73">
        <f t="shared" si="31"/>
        <v>0</v>
      </c>
      <c r="AM274" s="14">
        <f t="shared" si="32"/>
        <v>0</v>
      </c>
      <c r="AN274" s="89"/>
      <c r="AO274" s="235">
        <v>0</v>
      </c>
      <c r="AP274" s="73">
        <v>0</v>
      </c>
      <c r="AQ274" s="14">
        <v>-1</v>
      </c>
    </row>
    <row r="275" spans="1:43" ht="14.45" hidden="1" customHeight="1">
      <c r="A275" s="12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 s="163"/>
      <c r="X275" s="92"/>
      <c r="Y275"/>
      <c r="Z275"/>
      <c r="AA275"/>
      <c r="AB275"/>
      <c r="AC275"/>
      <c r="AD275"/>
      <c r="AE275"/>
      <c r="AF275"/>
      <c r="AG275"/>
      <c r="AH275"/>
      <c r="AI275"/>
      <c r="AJ275"/>
      <c r="AK275" s="65">
        <f t="shared" si="81"/>
        <v>0</v>
      </c>
      <c r="AL275" s="163">
        <f t="shared" si="31"/>
        <v>0</v>
      </c>
      <c r="AM275" s="156">
        <f t="shared" si="32"/>
        <v>0</v>
      </c>
      <c r="AN275" s="92"/>
      <c r="AO275"/>
      <c r="AP275" s="163"/>
      <c r="AQ275" s="156"/>
    </row>
    <row r="276" spans="1:43" ht="14.45" hidden="1" customHeight="1" collapsed="1">
      <c r="A276" s="12" t="s">
        <v>317</v>
      </c>
      <c r="E276" s="187" t="s">
        <v>108</v>
      </c>
      <c r="I276" s="126" t="s">
        <v>318</v>
      </c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>
        <f>SUM(V277:V280)</f>
        <v>0</v>
      </c>
      <c r="W276" s="72">
        <f>V276/V$6</f>
        <v>0</v>
      </c>
      <c r="X276" s="89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  <c r="AJ276" s="231"/>
      <c r="AK276" s="65">
        <f t="shared" si="81"/>
        <v>0</v>
      </c>
      <c r="AL276" s="72">
        <f t="shared" si="31"/>
        <v>0</v>
      </c>
      <c r="AM276" s="10">
        <f t="shared" si="32"/>
        <v>0</v>
      </c>
      <c r="AN276" s="89"/>
      <c r="AO276" s="231">
        <v>19356034.172505777</v>
      </c>
      <c r="AP276" s="72">
        <v>4.4021264467259862E-3</v>
      </c>
      <c r="AQ276" s="10">
        <v>0.24402124931392932</v>
      </c>
    </row>
    <row r="277" spans="1:43" ht="15" hidden="1" customHeight="1" outlineLevel="1">
      <c r="A277" s="12" t="s">
        <v>317</v>
      </c>
      <c r="I277" s="136" t="s">
        <v>319</v>
      </c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5">
        <f>SUM(J277:U277)</f>
        <v>0</v>
      </c>
      <c r="W277" s="73">
        <f>V277/V$6</f>
        <v>0</v>
      </c>
      <c r="X277" s="89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234"/>
      <c r="AJ277" s="234"/>
      <c r="AK277" s="65">
        <f t="shared" si="81"/>
        <v>0</v>
      </c>
      <c r="AL277" s="73">
        <f t="shared" si="31"/>
        <v>0</v>
      </c>
      <c r="AM277" s="14">
        <f t="shared" si="32"/>
        <v>0</v>
      </c>
      <c r="AN277" s="89"/>
      <c r="AO277" s="235">
        <v>0</v>
      </c>
      <c r="AP277" s="73">
        <v>0</v>
      </c>
      <c r="AQ277" s="14">
        <v>-1</v>
      </c>
    </row>
    <row r="278" spans="1:43" ht="15" hidden="1" customHeight="1" outlineLevel="1">
      <c r="A278" s="12" t="s">
        <v>317</v>
      </c>
      <c r="I278" s="136" t="s">
        <v>320</v>
      </c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5">
        <f>SUM(J278:U278)</f>
        <v>0</v>
      </c>
      <c r="W278" s="73">
        <f>V278/V$6</f>
        <v>0</v>
      </c>
      <c r="X278" s="89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234"/>
      <c r="AJ278" s="234"/>
      <c r="AK278" s="65">
        <f t="shared" si="81"/>
        <v>0</v>
      </c>
      <c r="AL278" s="73">
        <f t="shared" si="31"/>
        <v>0</v>
      </c>
      <c r="AM278" s="14">
        <f t="shared" si="32"/>
        <v>0</v>
      </c>
      <c r="AN278" s="89"/>
      <c r="AO278" s="235">
        <v>5285718.3600000022</v>
      </c>
      <c r="AP278" s="73">
        <v>1.2021264467259854E-3</v>
      </c>
      <c r="AQ278" s="14">
        <v>1.721672935798829</v>
      </c>
    </row>
    <row r="279" spans="1:43" ht="15" hidden="1" customHeight="1" outlineLevel="1">
      <c r="A279" s="12" t="s">
        <v>317</v>
      </c>
      <c r="I279" s="136" t="s">
        <v>322</v>
      </c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5">
        <f>SUM(J279:U279)</f>
        <v>0</v>
      </c>
      <c r="W279" s="73">
        <f>V279/V$6</f>
        <v>0</v>
      </c>
      <c r="X279" s="89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234"/>
      <c r="AJ279" s="234"/>
      <c r="AK279" s="65">
        <f t="shared" si="81"/>
        <v>0</v>
      </c>
      <c r="AL279" s="73">
        <f t="shared" si="31"/>
        <v>0</v>
      </c>
      <c r="AM279" s="14">
        <f t="shared" si="32"/>
        <v>0</v>
      </c>
      <c r="AN279" s="89"/>
      <c r="AO279" s="235">
        <v>14070315.812505774</v>
      </c>
      <c r="AP279" s="73">
        <v>3.2000000000000006E-3</v>
      </c>
      <c r="AQ279" s="14">
        <v>0.42645075315763603</v>
      </c>
    </row>
    <row r="280" spans="1:43" ht="15" hidden="1" customHeight="1" outlineLevel="1">
      <c r="A280" s="12" t="s">
        <v>317</v>
      </c>
      <c r="I280" s="136" t="s">
        <v>323</v>
      </c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5">
        <f>SUM(J280:U280)</f>
        <v>0</v>
      </c>
      <c r="W280" s="73">
        <f>V280/V$6</f>
        <v>0</v>
      </c>
      <c r="X280" s="89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234"/>
      <c r="AJ280" s="234"/>
      <c r="AK280" s="65">
        <f t="shared" si="81"/>
        <v>0</v>
      </c>
      <c r="AL280" s="73">
        <f t="shared" si="31"/>
        <v>0</v>
      </c>
      <c r="AM280" s="14">
        <f t="shared" si="32"/>
        <v>0</v>
      </c>
      <c r="AN280" s="89"/>
      <c r="AO280" s="235">
        <v>0</v>
      </c>
      <c r="AP280" s="73">
        <v>0</v>
      </c>
      <c r="AQ280" s="14">
        <v>-1</v>
      </c>
    </row>
    <row r="281" spans="1:43" ht="14.45" hidden="1" customHeight="1">
      <c r="A281" s="12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64"/>
      <c r="X281" s="89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65">
        <f t="shared" si="81"/>
        <v>0</v>
      </c>
      <c r="AL281" s="164">
        <f t="shared" si="31"/>
        <v>0</v>
      </c>
      <c r="AM281" s="157">
        <f t="shared" si="32"/>
        <v>0</v>
      </c>
      <c r="AN281" s="89"/>
      <c r="AO281" s="136"/>
      <c r="AP281" s="164"/>
      <c r="AQ281" s="157"/>
    </row>
    <row r="282" spans="1:43" ht="14.45" hidden="1" customHeight="1" collapsed="1">
      <c r="A282" s="12"/>
      <c r="E282" s="187" t="s">
        <v>108</v>
      </c>
      <c r="I282" s="126" t="s">
        <v>324</v>
      </c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>
        <f>SUM(V283:V288)</f>
        <v>0</v>
      </c>
      <c r="W282" s="72">
        <f t="shared" ref="W282:W288" si="84">V282/V$6</f>
        <v>0</v>
      </c>
      <c r="X282" s="89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65">
        <f t="shared" si="81"/>
        <v>0</v>
      </c>
      <c r="AL282" s="72">
        <f t="shared" si="31"/>
        <v>0</v>
      </c>
      <c r="AM282" s="10">
        <f t="shared" si="32"/>
        <v>0</v>
      </c>
      <c r="AN282" s="89"/>
      <c r="AO282" s="165">
        <v>15668262.48</v>
      </c>
      <c r="AP282" s="72">
        <v>3.5634196562550993E-3</v>
      </c>
      <c r="AQ282" s="10">
        <v>0.3633968190149548</v>
      </c>
    </row>
    <row r="283" spans="1:43" ht="15" hidden="1" customHeight="1" outlineLevel="1">
      <c r="A283" s="12" t="s">
        <v>256</v>
      </c>
      <c r="B283" s="8" t="s">
        <v>270</v>
      </c>
      <c r="I283" s="136" t="s">
        <v>325</v>
      </c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5">
        <f t="shared" ref="V283:V288" si="85">SUM(J283:U283)</f>
        <v>0</v>
      </c>
      <c r="W283" s="73">
        <f t="shared" si="84"/>
        <v>0</v>
      </c>
      <c r="X283" s="89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234"/>
      <c r="AJ283" s="234"/>
      <c r="AK283" s="65">
        <f t="shared" si="81"/>
        <v>0</v>
      </c>
      <c r="AL283" s="73">
        <f t="shared" si="31"/>
        <v>0</v>
      </c>
      <c r="AM283" s="14">
        <f t="shared" si="32"/>
        <v>0</v>
      </c>
      <c r="AN283" s="89"/>
      <c r="AO283" s="235">
        <v>1234247.1599999997</v>
      </c>
      <c r="AP283" s="73">
        <v>2.8070378551770545E-4</v>
      </c>
      <c r="AQ283" s="14">
        <v>0.18766011136115712</v>
      </c>
    </row>
    <row r="284" spans="1:43" ht="15" hidden="1" customHeight="1" outlineLevel="1">
      <c r="A284" s="12" t="s">
        <v>256</v>
      </c>
      <c r="B284" s="8" t="s">
        <v>270</v>
      </c>
      <c r="I284" s="136" t="s">
        <v>326</v>
      </c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5">
        <f t="shared" si="85"/>
        <v>0</v>
      </c>
      <c r="W284" s="73">
        <f t="shared" si="84"/>
        <v>0</v>
      </c>
      <c r="X284" s="89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4"/>
      <c r="AI284" s="234"/>
      <c r="AJ284" s="234"/>
      <c r="AK284" s="65">
        <f t="shared" si="81"/>
        <v>0</v>
      </c>
      <c r="AL284" s="73">
        <f t="shared" si="31"/>
        <v>0</v>
      </c>
      <c r="AM284" s="14">
        <f t="shared" si="32"/>
        <v>0</v>
      </c>
      <c r="AN284" s="89"/>
      <c r="AO284" s="235">
        <v>2159306.8800000004</v>
      </c>
      <c r="AP284" s="73">
        <v>4.9108933360675182E-4</v>
      </c>
      <c r="AQ284" s="14">
        <v>3.5617617084404696E-2</v>
      </c>
    </row>
    <row r="285" spans="1:43" ht="15" hidden="1" customHeight="1" outlineLevel="1">
      <c r="A285" s="12" t="s">
        <v>256</v>
      </c>
      <c r="B285" s="8" t="s">
        <v>270</v>
      </c>
      <c r="I285" s="136" t="s">
        <v>327</v>
      </c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5">
        <f t="shared" si="85"/>
        <v>0</v>
      </c>
      <c r="W285" s="73">
        <f t="shared" si="84"/>
        <v>0</v>
      </c>
      <c r="X285" s="89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4"/>
      <c r="AI285" s="234"/>
      <c r="AJ285" s="234"/>
      <c r="AK285" s="65">
        <f t="shared" si="81"/>
        <v>0</v>
      </c>
      <c r="AL285" s="73">
        <f t="shared" si="31"/>
        <v>0</v>
      </c>
      <c r="AM285" s="14">
        <f t="shared" si="32"/>
        <v>0</v>
      </c>
      <c r="AN285" s="89"/>
      <c r="AO285" s="235">
        <v>1698577.7999999996</v>
      </c>
      <c r="AP285" s="73">
        <v>3.8630610943138485E-4</v>
      </c>
      <c r="AQ285" s="14">
        <v>3.373804335652153E-3</v>
      </c>
    </row>
    <row r="286" spans="1:43" ht="15" hidden="1" customHeight="1" outlineLevel="1">
      <c r="A286" s="12" t="s">
        <v>256</v>
      </c>
      <c r="B286" s="8" t="s">
        <v>270</v>
      </c>
      <c r="I286" s="136" t="s">
        <v>328</v>
      </c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5">
        <f t="shared" si="85"/>
        <v>0</v>
      </c>
      <c r="W286" s="73">
        <f t="shared" si="84"/>
        <v>0</v>
      </c>
      <c r="X286" s="89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4"/>
      <c r="AI286" s="234"/>
      <c r="AJ286" s="234"/>
      <c r="AK286" s="65">
        <f t="shared" si="81"/>
        <v>0</v>
      </c>
      <c r="AL286" s="73">
        <f t="shared" si="31"/>
        <v>0</v>
      </c>
      <c r="AM286" s="14">
        <f t="shared" si="32"/>
        <v>0</v>
      </c>
      <c r="AN286" s="89"/>
      <c r="AO286" s="235">
        <v>2004686.2799999996</v>
      </c>
      <c r="AP286" s="73">
        <v>4.5592410159680396E-4</v>
      </c>
      <c r="AQ286" s="14">
        <v>0.43766525294206859</v>
      </c>
    </row>
    <row r="287" spans="1:43" ht="15" hidden="1" customHeight="1" outlineLevel="1">
      <c r="A287" s="12" t="s">
        <v>256</v>
      </c>
      <c r="B287" s="8" t="s">
        <v>270</v>
      </c>
      <c r="I287" s="136" t="s">
        <v>329</v>
      </c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5">
        <f t="shared" si="85"/>
        <v>0</v>
      </c>
      <c r="W287" s="73">
        <f t="shared" si="84"/>
        <v>0</v>
      </c>
      <c r="X287" s="89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4"/>
      <c r="AI287" s="234"/>
      <c r="AJ287" s="234"/>
      <c r="AK287" s="65">
        <f t="shared" si="81"/>
        <v>0</v>
      </c>
      <c r="AL287" s="73">
        <f t="shared" si="31"/>
        <v>0</v>
      </c>
      <c r="AM287" s="14">
        <f t="shared" si="32"/>
        <v>0</v>
      </c>
      <c r="AN287" s="89"/>
      <c r="AO287" s="235">
        <v>7064046.8400000026</v>
      </c>
      <c r="AP287" s="73">
        <v>1.6065701857174101E-3</v>
      </c>
      <c r="AQ287" s="14">
        <v>0.52994282823057004</v>
      </c>
    </row>
    <row r="288" spans="1:43" ht="15" hidden="1" customHeight="1" outlineLevel="1">
      <c r="A288" s="12" t="s">
        <v>256</v>
      </c>
      <c r="B288" s="8" t="s">
        <v>270</v>
      </c>
      <c r="I288" s="136" t="s">
        <v>330</v>
      </c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5">
        <f t="shared" si="85"/>
        <v>0</v>
      </c>
      <c r="W288" s="73">
        <f t="shared" si="84"/>
        <v>0</v>
      </c>
      <c r="X288" s="89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4"/>
      <c r="AI288" s="234"/>
      <c r="AJ288" s="234"/>
      <c r="AK288" s="65">
        <f t="shared" si="81"/>
        <v>0</v>
      </c>
      <c r="AL288" s="73">
        <f t="shared" si="31"/>
        <v>0</v>
      </c>
      <c r="AM288" s="14">
        <f t="shared" si="32"/>
        <v>0</v>
      </c>
      <c r="AN288" s="89"/>
      <c r="AO288" s="235">
        <v>1507397.5199999998</v>
      </c>
      <c r="AP288" s="73">
        <v>3.4282614038504339E-4</v>
      </c>
      <c r="AQ288" s="14">
        <v>1.2724278551209527</v>
      </c>
    </row>
    <row r="289" spans="1:43" ht="14.45" hidden="1" customHeight="1">
      <c r="A289" s="12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64"/>
      <c r="X289" s="89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65">
        <f t="shared" si="81"/>
        <v>0</v>
      </c>
      <c r="AL289" s="164">
        <f t="shared" si="31"/>
        <v>0</v>
      </c>
      <c r="AM289" s="157">
        <f t="shared" si="32"/>
        <v>0</v>
      </c>
      <c r="AN289" s="89"/>
      <c r="AO289" s="136"/>
      <c r="AP289" s="164"/>
      <c r="AQ289" s="157"/>
    </row>
    <row r="290" spans="1:43" ht="16.149999999999999" hidden="1" customHeight="1">
      <c r="I290" s="139" t="s">
        <v>331</v>
      </c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>
        <f t="shared" ref="J290:V290" si="86">+V257+V261-V276-V282</f>
        <v>19671085.378098946</v>
      </c>
      <c r="W290" s="168">
        <f>V290/V$6</f>
        <v>5.9679484007146753E-2</v>
      </c>
      <c r="X290" s="91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65">
        <f t="shared" si="81"/>
        <v>0</v>
      </c>
      <c r="AL290" s="168">
        <f t="shared" si="31"/>
        <v>0</v>
      </c>
      <c r="AM290" s="154">
        <f t="shared" si="32"/>
        <v>-1</v>
      </c>
      <c r="AN290" s="91"/>
      <c r="AO290" s="134">
        <v>347429619.69864982</v>
      </c>
      <c r="AP290" s="168">
        <v>7.9015623945521404E-2</v>
      </c>
      <c r="AQ290" s="154">
        <v>0.15536903228379217</v>
      </c>
    </row>
    <row r="291" spans="1:43" ht="14.45" hidden="1" customHeight="1">
      <c r="A291" s="12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64"/>
      <c r="X291" s="89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65">
        <f t="shared" si="81"/>
        <v>0</v>
      </c>
      <c r="AL291" s="164">
        <f t="shared" ref="AL291:AL336" si="87">AK291/AK$6</f>
        <v>0</v>
      </c>
      <c r="AM291" s="157">
        <f t="shared" ref="AM291:AM336" si="88">IFERROR(AK291/V291-1,0)</f>
        <v>0</v>
      </c>
      <c r="AN291" s="89"/>
      <c r="AO291" s="136"/>
      <c r="AP291" s="164"/>
      <c r="AQ291" s="157"/>
    </row>
    <row r="292" spans="1:43" ht="14.45" hidden="1" customHeight="1" collapsed="1">
      <c r="A292" s="12" t="s">
        <v>219</v>
      </c>
      <c r="B292" s="8" t="s">
        <v>89</v>
      </c>
      <c r="C292" s="8" t="s">
        <v>81</v>
      </c>
      <c r="D292" s="137"/>
      <c r="E292" s="187" t="s">
        <v>108</v>
      </c>
      <c r="I292" s="145" t="s">
        <v>333</v>
      </c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>
        <f>SUM(V293:V312)</f>
        <v>0</v>
      </c>
      <c r="W292" s="72">
        <f t="shared" ref="W292:W312" si="89">V292/V$6</f>
        <v>0</v>
      </c>
      <c r="X292" s="89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65">
        <f t="shared" si="81"/>
        <v>0</v>
      </c>
      <c r="AL292" s="72">
        <f t="shared" si="87"/>
        <v>0</v>
      </c>
      <c r="AM292" s="10">
        <f t="shared" si="88"/>
        <v>0</v>
      </c>
      <c r="AN292" s="89"/>
      <c r="AO292" s="251">
        <v>60647284.772128798</v>
      </c>
      <c r="AP292" s="72">
        <v>1.3792960574368953E-2</v>
      </c>
      <c r="AQ292" s="10">
        <v>1.5829038842614107E-2</v>
      </c>
    </row>
    <row r="293" spans="1:43" ht="15" hidden="1" customHeight="1" outlineLevel="2">
      <c r="A293" s="12" t="s">
        <v>81</v>
      </c>
      <c r="I293" t="s">
        <v>334</v>
      </c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5">
        <f>SUM(J293:U293)</f>
        <v>0</v>
      </c>
      <c r="W293" s="73">
        <f t="shared" si="89"/>
        <v>0</v>
      </c>
      <c r="X293" s="89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4"/>
      <c r="AI293" s="234"/>
      <c r="AJ293" s="234"/>
      <c r="AK293" s="65">
        <f t="shared" si="81"/>
        <v>0</v>
      </c>
      <c r="AL293" s="73">
        <f t="shared" si="87"/>
        <v>0</v>
      </c>
      <c r="AM293" s="158">
        <f t="shared" si="88"/>
        <v>0</v>
      </c>
      <c r="AN293" s="89"/>
      <c r="AO293" s="235">
        <v>0</v>
      </c>
      <c r="AP293" s="73">
        <v>0</v>
      </c>
      <c r="AQ293" s="158">
        <v>-1</v>
      </c>
    </row>
    <row r="294" spans="1:43" ht="15" hidden="1" customHeight="1" outlineLevel="2">
      <c r="A294" s="12" t="s">
        <v>81</v>
      </c>
      <c r="I294" t="s">
        <v>335</v>
      </c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5">
        <f t="shared" ref="V294:V312" si="90">SUM(J294:U294)</f>
        <v>0</v>
      </c>
      <c r="W294" s="73">
        <f t="shared" si="89"/>
        <v>0</v>
      </c>
      <c r="X294" s="89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4"/>
      <c r="AI294" s="234"/>
      <c r="AJ294" s="234"/>
      <c r="AK294" s="65">
        <f t="shared" si="81"/>
        <v>0</v>
      </c>
      <c r="AL294" s="73">
        <f t="shared" si="87"/>
        <v>0</v>
      </c>
      <c r="AM294" s="158">
        <f t="shared" si="88"/>
        <v>0</v>
      </c>
      <c r="AN294" s="89"/>
      <c r="AO294" s="235">
        <v>3607173.4336760826</v>
      </c>
      <c r="AP294" s="73">
        <v>8.2037639677597183E-4</v>
      </c>
      <c r="AQ294" s="158">
        <v>-0.27187656623319856</v>
      </c>
    </row>
    <row r="295" spans="1:43" ht="15" hidden="1" customHeight="1" outlineLevel="2">
      <c r="A295" s="12" t="s">
        <v>81</v>
      </c>
      <c r="I295" t="s">
        <v>336</v>
      </c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5">
        <f t="shared" si="90"/>
        <v>0</v>
      </c>
      <c r="W295" s="73">
        <f t="shared" si="89"/>
        <v>0</v>
      </c>
      <c r="X295" s="89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234"/>
      <c r="AK295" s="65">
        <f t="shared" si="81"/>
        <v>0</v>
      </c>
      <c r="AL295" s="73">
        <f t="shared" si="87"/>
        <v>0</v>
      </c>
      <c r="AM295" s="158">
        <f t="shared" si="88"/>
        <v>0</v>
      </c>
      <c r="AN295" s="89"/>
      <c r="AO295" s="235">
        <v>0</v>
      </c>
      <c r="AP295" s="73">
        <v>0</v>
      </c>
      <c r="AQ295" s="158">
        <v>-1</v>
      </c>
    </row>
    <row r="296" spans="1:43" ht="15" hidden="1" customHeight="1" outlineLevel="2">
      <c r="A296" s="12" t="s">
        <v>81</v>
      </c>
      <c r="I296" t="s">
        <v>337</v>
      </c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5">
        <f t="shared" si="90"/>
        <v>0</v>
      </c>
      <c r="W296" s="73">
        <f t="shared" si="89"/>
        <v>0</v>
      </c>
      <c r="X296" s="89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234"/>
      <c r="AK296" s="65">
        <f t="shared" si="81"/>
        <v>0</v>
      </c>
      <c r="AL296" s="73">
        <f t="shared" si="87"/>
        <v>0</v>
      </c>
      <c r="AM296" s="158">
        <f t="shared" si="88"/>
        <v>0</v>
      </c>
      <c r="AN296" s="89"/>
      <c r="AO296" s="235">
        <v>1918369.3747139999</v>
      </c>
      <c r="AP296" s="73">
        <v>4.3629312098514647E-4</v>
      </c>
      <c r="AQ296" s="158">
        <v>9.0757567074263967E-2</v>
      </c>
    </row>
    <row r="297" spans="1:43" ht="15" hidden="1" customHeight="1" outlineLevel="2">
      <c r="A297" s="12" t="s">
        <v>81</v>
      </c>
      <c r="I297" t="s">
        <v>338</v>
      </c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5">
        <f t="shared" si="90"/>
        <v>0</v>
      </c>
      <c r="W297" s="73">
        <f t="shared" si="89"/>
        <v>0</v>
      </c>
      <c r="X297" s="89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4"/>
      <c r="AI297" s="234"/>
      <c r="AJ297" s="234"/>
      <c r="AK297" s="65">
        <f t="shared" si="81"/>
        <v>0</v>
      </c>
      <c r="AL297" s="73">
        <f t="shared" si="87"/>
        <v>0</v>
      </c>
      <c r="AM297" s="158">
        <f t="shared" si="88"/>
        <v>0</v>
      </c>
      <c r="AN297" s="89"/>
      <c r="AO297" s="235">
        <v>0</v>
      </c>
      <c r="AP297" s="73">
        <v>0</v>
      </c>
      <c r="AQ297" s="158">
        <v>-1</v>
      </c>
    </row>
    <row r="298" spans="1:43" ht="15" hidden="1" customHeight="1" outlineLevel="2">
      <c r="A298" s="12" t="s">
        <v>81</v>
      </c>
      <c r="I298" t="s">
        <v>340</v>
      </c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5">
        <f t="shared" si="90"/>
        <v>0</v>
      </c>
      <c r="W298" s="73">
        <f t="shared" si="89"/>
        <v>0</v>
      </c>
      <c r="X298" s="89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4"/>
      <c r="AI298" s="234"/>
      <c r="AJ298" s="234"/>
      <c r="AK298" s="65">
        <f t="shared" si="81"/>
        <v>0</v>
      </c>
      <c r="AL298" s="73">
        <f t="shared" si="87"/>
        <v>0</v>
      </c>
      <c r="AM298" s="158">
        <f t="shared" si="88"/>
        <v>0</v>
      </c>
      <c r="AN298" s="89"/>
      <c r="AO298" s="235">
        <v>0</v>
      </c>
      <c r="AP298" s="73">
        <v>0</v>
      </c>
      <c r="AQ298" s="158">
        <v>-1</v>
      </c>
    </row>
    <row r="299" spans="1:43" ht="15" hidden="1" customHeight="1" outlineLevel="2">
      <c r="A299" s="12" t="s">
        <v>81</v>
      </c>
      <c r="I299" t="s">
        <v>341</v>
      </c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5">
        <f t="shared" si="90"/>
        <v>0</v>
      </c>
      <c r="W299" s="73">
        <f t="shared" si="89"/>
        <v>0</v>
      </c>
      <c r="X299" s="89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4"/>
      <c r="AI299" s="234"/>
      <c r="AJ299" s="234"/>
      <c r="AK299" s="65">
        <f t="shared" si="81"/>
        <v>0</v>
      </c>
      <c r="AL299" s="73">
        <f t="shared" si="87"/>
        <v>0</v>
      </c>
      <c r="AM299" s="158">
        <f t="shared" si="88"/>
        <v>0</v>
      </c>
      <c r="AN299" s="89"/>
      <c r="AO299" s="235">
        <v>3197282.2911900003</v>
      </c>
      <c r="AP299" s="73">
        <v>7.271552016419109E-4</v>
      </c>
      <c r="AQ299" s="158">
        <v>0.26484835091477965</v>
      </c>
    </row>
    <row r="300" spans="1:43" ht="15" hidden="1" customHeight="1" outlineLevel="2">
      <c r="A300" s="12" t="s">
        <v>81</v>
      </c>
      <c r="I300" t="s">
        <v>342</v>
      </c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5">
        <f t="shared" si="90"/>
        <v>0</v>
      </c>
      <c r="W300" s="73">
        <f t="shared" si="89"/>
        <v>0</v>
      </c>
      <c r="X300" s="89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4"/>
      <c r="AI300" s="234"/>
      <c r="AJ300" s="234"/>
      <c r="AK300" s="65">
        <f t="shared" si="81"/>
        <v>0</v>
      </c>
      <c r="AL300" s="73">
        <f t="shared" si="87"/>
        <v>0</v>
      </c>
      <c r="AM300" s="158">
        <f t="shared" si="88"/>
        <v>0</v>
      </c>
      <c r="AN300" s="89"/>
      <c r="AO300" s="235">
        <v>3197282.2911900003</v>
      </c>
      <c r="AP300" s="73">
        <v>7.271552016419109E-4</v>
      </c>
      <c r="AQ300" s="158">
        <v>0.55168113982333344</v>
      </c>
    </row>
    <row r="301" spans="1:43" ht="15" hidden="1" customHeight="1" outlineLevel="2">
      <c r="A301" s="12" t="s">
        <v>81</v>
      </c>
      <c r="I301" t="s">
        <v>343</v>
      </c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5">
        <f t="shared" si="90"/>
        <v>0</v>
      </c>
      <c r="W301" s="73">
        <f t="shared" si="89"/>
        <v>0</v>
      </c>
      <c r="X301" s="89"/>
      <c r="Y301" s="234"/>
      <c r="Z301" s="234"/>
      <c r="AA301" s="234"/>
      <c r="AB301" s="234"/>
      <c r="AC301" s="234"/>
      <c r="AD301" s="234"/>
      <c r="AE301" s="234"/>
      <c r="AF301" s="234"/>
      <c r="AG301" s="234"/>
      <c r="AH301" s="234"/>
      <c r="AI301" s="234"/>
      <c r="AJ301" s="234"/>
      <c r="AK301" s="65">
        <f t="shared" si="81"/>
        <v>0</v>
      </c>
      <c r="AL301" s="73">
        <f t="shared" si="87"/>
        <v>0</v>
      </c>
      <c r="AM301" s="158">
        <f t="shared" si="88"/>
        <v>0</v>
      </c>
      <c r="AN301" s="89"/>
      <c r="AO301" s="235">
        <v>0</v>
      </c>
      <c r="AP301" s="73">
        <v>0</v>
      </c>
      <c r="AQ301" s="158">
        <v>-1</v>
      </c>
    </row>
    <row r="302" spans="1:43" ht="15" hidden="1" customHeight="1" outlineLevel="2">
      <c r="A302" s="12" t="s">
        <v>81</v>
      </c>
      <c r="I302" t="s">
        <v>344</v>
      </c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5">
        <f t="shared" si="90"/>
        <v>0</v>
      </c>
      <c r="W302" s="73">
        <f t="shared" si="89"/>
        <v>0</v>
      </c>
      <c r="X302" s="89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4"/>
      <c r="AI302" s="234"/>
      <c r="AJ302" s="234"/>
      <c r="AK302" s="65">
        <f t="shared" si="81"/>
        <v>0</v>
      </c>
      <c r="AL302" s="73">
        <f t="shared" si="87"/>
        <v>0</v>
      </c>
      <c r="AM302" s="158">
        <f t="shared" si="88"/>
        <v>0</v>
      </c>
      <c r="AN302" s="89"/>
      <c r="AO302" s="235">
        <v>0</v>
      </c>
      <c r="AP302" s="73">
        <v>0</v>
      </c>
      <c r="AQ302" s="158">
        <v>-1</v>
      </c>
    </row>
    <row r="303" spans="1:43" ht="15" hidden="1" customHeight="1" outlineLevel="2">
      <c r="A303" s="12" t="s">
        <v>81</v>
      </c>
      <c r="I303" t="s">
        <v>345</v>
      </c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5">
        <f t="shared" si="90"/>
        <v>0</v>
      </c>
      <c r="W303" s="73">
        <f t="shared" si="89"/>
        <v>0</v>
      </c>
      <c r="X303" s="89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4"/>
      <c r="AI303" s="234"/>
      <c r="AJ303" s="234"/>
      <c r="AK303" s="65">
        <f t="shared" si="81"/>
        <v>0</v>
      </c>
      <c r="AL303" s="73">
        <f t="shared" si="87"/>
        <v>0</v>
      </c>
      <c r="AM303" s="158">
        <f t="shared" si="88"/>
        <v>0</v>
      </c>
      <c r="AN303" s="89"/>
      <c r="AO303" s="235">
        <v>350387.10040438356</v>
      </c>
      <c r="AP303" s="73">
        <v>7.9688241275825843E-5</v>
      </c>
      <c r="AQ303" s="158">
        <v>0.16899239956424661</v>
      </c>
    </row>
    <row r="304" spans="1:43" ht="15" hidden="1" customHeight="1" outlineLevel="2">
      <c r="A304" s="12" t="s">
        <v>81</v>
      </c>
      <c r="I304" t="s">
        <v>346</v>
      </c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5">
        <f t="shared" si="90"/>
        <v>0</v>
      </c>
      <c r="W304" s="73">
        <f t="shared" si="89"/>
        <v>0</v>
      </c>
      <c r="X304" s="89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4"/>
      <c r="AI304" s="234"/>
      <c r="AJ304" s="234"/>
      <c r="AK304" s="65">
        <f t="shared" si="81"/>
        <v>0</v>
      </c>
      <c r="AL304" s="73">
        <f t="shared" si="87"/>
        <v>0</v>
      </c>
      <c r="AM304" s="158">
        <f t="shared" si="88"/>
        <v>0</v>
      </c>
      <c r="AN304" s="89"/>
      <c r="AO304" s="235">
        <v>0</v>
      </c>
      <c r="AP304" s="73">
        <v>0</v>
      </c>
      <c r="AQ304" s="158">
        <v>-1</v>
      </c>
    </row>
    <row r="305" spans="1:43" ht="15" hidden="1" customHeight="1" outlineLevel="2">
      <c r="A305" s="12" t="s">
        <v>81</v>
      </c>
      <c r="I305" t="s">
        <v>347</v>
      </c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5">
        <f t="shared" si="90"/>
        <v>0</v>
      </c>
      <c r="W305" s="73">
        <f t="shared" si="89"/>
        <v>0</v>
      </c>
      <c r="X305" s="89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4"/>
      <c r="AI305" s="234"/>
      <c r="AJ305" s="234"/>
      <c r="AK305" s="65">
        <f t="shared" si="81"/>
        <v>0</v>
      </c>
      <c r="AL305" s="73">
        <f t="shared" si="87"/>
        <v>0</v>
      </c>
      <c r="AM305" s="158">
        <f t="shared" si="88"/>
        <v>0</v>
      </c>
      <c r="AN305" s="89"/>
      <c r="AO305" s="235">
        <v>0</v>
      </c>
      <c r="AP305" s="73">
        <v>0</v>
      </c>
      <c r="AQ305" s="158">
        <v>0</v>
      </c>
    </row>
    <row r="306" spans="1:43" ht="15" hidden="1" customHeight="1" outlineLevel="2">
      <c r="A306" s="12" t="s">
        <v>81</v>
      </c>
      <c r="I306" t="s">
        <v>348</v>
      </c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5">
        <f t="shared" si="90"/>
        <v>0</v>
      </c>
      <c r="W306" s="73">
        <f t="shared" si="89"/>
        <v>0</v>
      </c>
      <c r="X306" s="89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4"/>
      <c r="AI306" s="234"/>
      <c r="AJ306" s="234"/>
      <c r="AK306" s="65">
        <f t="shared" si="81"/>
        <v>0</v>
      </c>
      <c r="AL306" s="73">
        <f t="shared" si="87"/>
        <v>0</v>
      </c>
      <c r="AM306" s="158">
        <f t="shared" si="88"/>
        <v>0</v>
      </c>
      <c r="AN306" s="89"/>
      <c r="AO306" s="235">
        <v>31972822.911899995</v>
      </c>
      <c r="AP306" s="73">
        <v>7.2715520164191071E-3</v>
      </c>
      <c r="AQ306" s="158">
        <v>0.12897793399805346</v>
      </c>
    </row>
    <row r="307" spans="1:43" ht="15" hidden="1" customHeight="1" outlineLevel="2">
      <c r="A307" s="12" t="s">
        <v>81</v>
      </c>
      <c r="I307" t="s">
        <v>349</v>
      </c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5">
        <f t="shared" si="90"/>
        <v>0</v>
      </c>
      <c r="W307" s="73">
        <f t="shared" si="89"/>
        <v>0</v>
      </c>
      <c r="X307" s="89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4"/>
      <c r="AI307" s="234"/>
      <c r="AJ307" s="234"/>
      <c r="AK307" s="65">
        <f t="shared" si="81"/>
        <v>0</v>
      </c>
      <c r="AL307" s="73">
        <f t="shared" si="87"/>
        <v>0</v>
      </c>
      <c r="AM307" s="158">
        <f t="shared" si="88"/>
        <v>0</v>
      </c>
      <c r="AN307" s="89"/>
      <c r="AO307" s="235">
        <v>0</v>
      </c>
      <c r="AP307" s="73">
        <v>0</v>
      </c>
      <c r="AQ307" s="158">
        <v>-1</v>
      </c>
    </row>
    <row r="308" spans="1:43" ht="15" hidden="1" customHeight="1" outlineLevel="2">
      <c r="A308" s="12" t="s">
        <v>81</v>
      </c>
      <c r="D308" s="137"/>
      <c r="I308" t="s">
        <v>350</v>
      </c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5">
        <f t="shared" si="90"/>
        <v>0</v>
      </c>
      <c r="W308" s="73">
        <f t="shared" si="89"/>
        <v>0</v>
      </c>
      <c r="X308" s="89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4"/>
      <c r="AI308" s="234"/>
      <c r="AJ308" s="234"/>
      <c r="AK308" s="65">
        <f t="shared" si="81"/>
        <v>0</v>
      </c>
      <c r="AL308" s="73">
        <f t="shared" si="87"/>
        <v>0</v>
      </c>
      <c r="AM308" s="158">
        <f t="shared" si="88"/>
        <v>0</v>
      </c>
      <c r="AN308" s="89"/>
      <c r="AO308" s="235">
        <v>0</v>
      </c>
      <c r="AP308" s="73">
        <v>0</v>
      </c>
      <c r="AQ308" s="158">
        <v>-1</v>
      </c>
    </row>
    <row r="309" spans="1:43" ht="15" hidden="1" customHeight="1" outlineLevel="2">
      <c r="A309" s="12" t="s">
        <v>81</v>
      </c>
      <c r="D309" s="137"/>
      <c r="I309" t="s">
        <v>351</v>
      </c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5">
        <f t="shared" si="90"/>
        <v>0</v>
      </c>
      <c r="W309" s="73">
        <f t="shared" si="89"/>
        <v>0</v>
      </c>
      <c r="X309" s="89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4"/>
      <c r="AI309" s="234"/>
      <c r="AJ309" s="234"/>
      <c r="AK309" s="65">
        <f t="shared" si="81"/>
        <v>0</v>
      </c>
      <c r="AL309" s="73">
        <f t="shared" si="87"/>
        <v>0</v>
      </c>
      <c r="AM309" s="158">
        <f t="shared" si="88"/>
        <v>0</v>
      </c>
      <c r="AN309" s="89"/>
      <c r="AO309" s="235">
        <v>8386931.5063773058</v>
      </c>
      <c r="AP309" s="73">
        <v>1.9074327241861524E-3</v>
      </c>
      <c r="AQ309" s="158">
        <v>1.4211280549497829E-2</v>
      </c>
    </row>
    <row r="310" spans="1:43" ht="15" hidden="1" customHeight="1" outlineLevel="2">
      <c r="A310" s="12" t="s">
        <v>81</v>
      </c>
      <c r="D310" s="137"/>
      <c r="I310" t="s">
        <v>352</v>
      </c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5">
        <f t="shared" si="90"/>
        <v>0</v>
      </c>
      <c r="W310" s="73">
        <f t="shared" si="89"/>
        <v>0</v>
      </c>
      <c r="X310" s="89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4"/>
      <c r="AI310" s="234"/>
      <c r="AJ310" s="234"/>
      <c r="AK310" s="65">
        <f t="shared" si="81"/>
        <v>0</v>
      </c>
      <c r="AL310" s="73">
        <f t="shared" si="87"/>
        <v>0</v>
      </c>
      <c r="AM310" s="158">
        <f t="shared" si="88"/>
        <v>0</v>
      </c>
      <c r="AN310" s="89"/>
      <c r="AO310" s="235">
        <v>2037275.0233398813</v>
      </c>
      <c r="AP310" s="73">
        <v>4.6333573187413817E-4</v>
      </c>
      <c r="AQ310" s="158">
        <v>0.26847080741528817</v>
      </c>
    </row>
    <row r="311" spans="1:43" ht="15" hidden="1" customHeight="1" outlineLevel="2">
      <c r="A311" s="12" t="s">
        <v>81</v>
      </c>
      <c r="D311" s="137"/>
      <c r="I311" t="s">
        <v>353</v>
      </c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5">
        <f t="shared" si="90"/>
        <v>0</v>
      </c>
      <c r="W311" s="73">
        <f t="shared" si="89"/>
        <v>0</v>
      </c>
      <c r="X311" s="89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4"/>
      <c r="AI311" s="234"/>
      <c r="AJ311" s="234"/>
      <c r="AK311" s="65">
        <f t="shared" si="81"/>
        <v>0</v>
      </c>
      <c r="AL311" s="73">
        <f t="shared" si="87"/>
        <v>0</v>
      </c>
      <c r="AM311" s="158">
        <f t="shared" si="88"/>
        <v>0</v>
      </c>
      <c r="AN311" s="89"/>
      <c r="AO311" s="235">
        <v>2542926.68413284</v>
      </c>
      <c r="AP311" s="73">
        <v>5.783356605252993E-4</v>
      </c>
      <c r="AQ311" s="158">
        <v>0.34533570389229284</v>
      </c>
    </row>
    <row r="312" spans="1:43" ht="15" hidden="1" customHeight="1" outlineLevel="2">
      <c r="A312" s="12" t="s">
        <v>81</v>
      </c>
      <c r="D312" s="137"/>
      <c r="I312" t="s">
        <v>354</v>
      </c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5">
        <f t="shared" si="90"/>
        <v>0</v>
      </c>
      <c r="W312" s="73">
        <f t="shared" si="89"/>
        <v>0</v>
      </c>
      <c r="X312" s="89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4"/>
      <c r="AI312" s="234"/>
      <c r="AJ312" s="234"/>
      <c r="AK312" s="65">
        <f t="shared" si="81"/>
        <v>0</v>
      </c>
      <c r="AL312" s="73">
        <f t="shared" si="87"/>
        <v>0</v>
      </c>
      <c r="AM312" s="158">
        <f t="shared" si="88"/>
        <v>0</v>
      </c>
      <c r="AN312" s="89"/>
      <c r="AO312" s="235">
        <v>3436834.1552043082</v>
      </c>
      <c r="AP312" s="73">
        <v>7.8163627904348975E-4</v>
      </c>
      <c r="AQ312" s="158">
        <v>8.6286907835201987E-2</v>
      </c>
    </row>
    <row r="313" spans="1:43" ht="14.45" hidden="1" customHeight="1">
      <c r="A313" s="12"/>
      <c r="D313" s="137"/>
      <c r="I313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79"/>
      <c r="X313" s="89"/>
      <c r="Y313" s="252"/>
      <c r="Z313" s="252"/>
      <c r="AA313" s="252"/>
      <c r="AB313" s="252"/>
      <c r="AC313" s="252"/>
      <c r="AD313" s="252"/>
      <c r="AE313" s="252"/>
      <c r="AF313" s="252"/>
      <c r="AG313" s="252"/>
      <c r="AH313" s="252"/>
      <c r="AI313" s="252"/>
      <c r="AJ313" s="252"/>
      <c r="AK313" s="65">
        <f t="shared" si="81"/>
        <v>0</v>
      </c>
      <c r="AL313" s="79">
        <f t="shared" si="87"/>
        <v>0</v>
      </c>
      <c r="AM313" s="159">
        <f t="shared" si="88"/>
        <v>0</v>
      </c>
      <c r="AN313" s="89"/>
      <c r="AO313" s="252"/>
      <c r="AP313" s="79"/>
      <c r="AQ313" s="159"/>
    </row>
    <row r="314" spans="1:43" ht="14.45" hidden="1" customHeight="1" collapsed="1">
      <c r="A314" s="12"/>
      <c r="D314" s="137"/>
      <c r="E314" s="187" t="s">
        <v>108</v>
      </c>
      <c r="I314" s="141" t="s">
        <v>359</v>
      </c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>
        <f t="shared" ref="J314:V314" si="91">SUM(V315:V336)</f>
        <v>0</v>
      </c>
      <c r="W314" s="79">
        <f>V314/V$6</f>
        <v>0</v>
      </c>
      <c r="X314" s="89"/>
      <c r="Y314" s="252"/>
      <c r="Z314" s="252"/>
      <c r="AA314" s="252"/>
      <c r="AB314" s="252"/>
      <c r="AC314" s="252"/>
      <c r="AD314" s="252"/>
      <c r="AE314" s="252"/>
      <c r="AF314" s="252"/>
      <c r="AG314" s="252"/>
      <c r="AH314" s="252"/>
      <c r="AI314" s="252"/>
      <c r="AJ314" s="252"/>
      <c r="AK314" s="65">
        <f t="shared" si="81"/>
        <v>0</v>
      </c>
      <c r="AL314" s="79">
        <f t="shared" si="87"/>
        <v>0</v>
      </c>
      <c r="AM314" s="10">
        <f t="shared" si="88"/>
        <v>0</v>
      </c>
      <c r="AN314" s="89"/>
      <c r="AO314" s="252">
        <v>274128.72000000003</v>
      </c>
      <c r="AP314" s="79">
        <v>6.2344862452932975E-5</v>
      </c>
      <c r="AQ314" s="10">
        <v>4.8269519200356434</v>
      </c>
    </row>
    <row r="315" spans="1:43" ht="15" hidden="1" customHeight="1" outlineLevel="1">
      <c r="A315" s="12" t="s">
        <v>339</v>
      </c>
      <c r="I315" s="136" t="s">
        <v>360</v>
      </c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5">
        <f>SUM(J315:U315)</f>
        <v>0</v>
      </c>
      <c r="W315" s="73">
        <f>V315/V$6</f>
        <v>0</v>
      </c>
      <c r="X315" s="89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4"/>
      <c r="AI315" s="234"/>
      <c r="AJ315" s="234"/>
      <c r="AK315" s="65">
        <f t="shared" si="81"/>
        <v>0</v>
      </c>
      <c r="AL315" s="73">
        <f t="shared" si="87"/>
        <v>0</v>
      </c>
      <c r="AM315" s="14">
        <f t="shared" si="88"/>
        <v>0</v>
      </c>
      <c r="AN315" s="89"/>
      <c r="AO315" s="235">
        <v>274128.72000000003</v>
      </c>
      <c r="AP315" s="73">
        <v>6.2344862452932975E-5</v>
      </c>
      <c r="AQ315" s="14">
        <v>4.8269519200356434</v>
      </c>
    </row>
    <row r="316" spans="1:43" ht="15" hidden="1" customHeight="1" outlineLevel="1">
      <c r="A316" s="12"/>
      <c r="I316" s="136" t="s">
        <v>362</v>
      </c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5"/>
      <c r="W316" s="73"/>
      <c r="X316" s="89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4"/>
      <c r="AI316" s="234"/>
      <c r="AJ316" s="234"/>
      <c r="AK316" s="65">
        <f t="shared" si="81"/>
        <v>0</v>
      </c>
      <c r="AL316" s="73">
        <f t="shared" si="87"/>
        <v>0</v>
      </c>
      <c r="AM316" s="14">
        <f t="shared" si="88"/>
        <v>0</v>
      </c>
      <c r="AN316" s="89"/>
      <c r="AO316" s="235"/>
      <c r="AP316" s="73"/>
      <c r="AQ316" s="14"/>
    </row>
    <row r="317" spans="1:43" ht="15" hidden="1" customHeight="1" outlineLevel="1">
      <c r="A317" s="12"/>
      <c r="I317" s="136" t="s">
        <v>364</v>
      </c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5"/>
      <c r="W317" s="73"/>
      <c r="X317" s="89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4"/>
      <c r="AI317" s="234"/>
      <c r="AJ317" s="234"/>
      <c r="AK317" s="65">
        <f t="shared" si="81"/>
        <v>0</v>
      </c>
      <c r="AL317" s="73">
        <f t="shared" si="87"/>
        <v>0</v>
      </c>
      <c r="AM317" s="14">
        <f t="shared" si="88"/>
        <v>0</v>
      </c>
      <c r="AN317" s="89"/>
      <c r="AO317" s="235"/>
      <c r="AP317" s="73"/>
      <c r="AQ317" s="14"/>
    </row>
    <row r="318" spans="1:43" ht="15" hidden="1" customHeight="1" outlineLevel="1">
      <c r="A318" s="12"/>
      <c r="I318" s="136" t="s">
        <v>366</v>
      </c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5"/>
      <c r="W318" s="73"/>
      <c r="X318" s="89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4"/>
      <c r="AI318" s="234"/>
      <c r="AJ318" s="234"/>
      <c r="AK318" s="65">
        <f t="shared" si="81"/>
        <v>0</v>
      </c>
      <c r="AL318" s="73">
        <f t="shared" si="87"/>
        <v>0</v>
      </c>
      <c r="AM318" s="14">
        <f t="shared" si="88"/>
        <v>0</v>
      </c>
      <c r="AN318" s="89"/>
      <c r="AO318" s="235"/>
      <c r="AP318" s="73"/>
      <c r="AQ318" s="14"/>
    </row>
    <row r="319" spans="1:43" ht="15" hidden="1" customHeight="1" outlineLevel="1">
      <c r="A319" s="12"/>
      <c r="I319" s="136" t="s">
        <v>368</v>
      </c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5"/>
      <c r="W319" s="73"/>
      <c r="X319" s="89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4"/>
      <c r="AI319" s="234"/>
      <c r="AJ319" s="234"/>
      <c r="AK319" s="65">
        <f t="shared" si="81"/>
        <v>0</v>
      </c>
      <c r="AL319" s="73">
        <f t="shared" si="87"/>
        <v>0</v>
      </c>
      <c r="AM319" s="14">
        <f t="shared" si="88"/>
        <v>0</v>
      </c>
      <c r="AN319" s="89"/>
      <c r="AO319" s="235"/>
      <c r="AP319" s="73"/>
      <c r="AQ319" s="14"/>
    </row>
    <row r="320" spans="1:43" ht="15" hidden="1" customHeight="1" outlineLevel="1">
      <c r="A320" s="12"/>
      <c r="I320" s="136" t="s">
        <v>361</v>
      </c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5"/>
      <c r="W320" s="73"/>
      <c r="X320" s="89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4"/>
      <c r="AI320" s="234"/>
      <c r="AJ320" s="234"/>
      <c r="AK320" s="65">
        <f t="shared" si="81"/>
        <v>0</v>
      </c>
      <c r="AL320" s="73">
        <f t="shared" si="87"/>
        <v>0</v>
      </c>
      <c r="AM320" s="14">
        <f t="shared" si="88"/>
        <v>0</v>
      </c>
      <c r="AN320" s="89"/>
      <c r="AO320" s="235"/>
      <c r="AP320" s="73"/>
      <c r="AQ320" s="14"/>
    </row>
    <row r="321" spans="1:43" ht="15" hidden="1" customHeight="1" outlineLevel="1">
      <c r="A321" s="12"/>
      <c r="I321" s="136" t="s">
        <v>371</v>
      </c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5"/>
      <c r="W321" s="73"/>
      <c r="X321" s="89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4"/>
      <c r="AI321" s="234"/>
      <c r="AJ321" s="234"/>
      <c r="AK321" s="65">
        <f t="shared" si="81"/>
        <v>0</v>
      </c>
      <c r="AL321" s="73">
        <f t="shared" si="87"/>
        <v>0</v>
      </c>
      <c r="AM321" s="14">
        <f t="shared" si="88"/>
        <v>0</v>
      </c>
      <c r="AN321" s="89"/>
      <c r="AO321" s="235"/>
      <c r="AP321" s="73"/>
      <c r="AQ321" s="14"/>
    </row>
    <row r="322" spans="1:43" ht="15" hidden="1" customHeight="1" outlineLevel="1">
      <c r="A322" s="12"/>
      <c r="I322" s="136" t="s">
        <v>373</v>
      </c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5"/>
      <c r="W322" s="73"/>
      <c r="X322" s="89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4"/>
      <c r="AI322" s="234"/>
      <c r="AJ322" s="234"/>
      <c r="AK322" s="65">
        <f t="shared" si="81"/>
        <v>0</v>
      </c>
      <c r="AL322" s="73">
        <f t="shared" si="87"/>
        <v>0</v>
      </c>
      <c r="AM322" s="14">
        <f t="shared" si="88"/>
        <v>0</v>
      </c>
      <c r="AN322" s="89"/>
      <c r="AO322" s="235"/>
      <c r="AP322" s="73"/>
      <c r="AQ322" s="14"/>
    </row>
    <row r="323" spans="1:43" ht="15" hidden="1" customHeight="1" outlineLevel="1">
      <c r="A323" s="12"/>
      <c r="I323" s="136" t="s">
        <v>374</v>
      </c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5"/>
      <c r="W323" s="73"/>
      <c r="X323" s="89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4"/>
      <c r="AI323" s="234"/>
      <c r="AJ323" s="234"/>
      <c r="AK323" s="65">
        <f t="shared" si="81"/>
        <v>0</v>
      </c>
      <c r="AL323" s="73">
        <f t="shared" si="87"/>
        <v>0</v>
      </c>
      <c r="AM323" s="14">
        <f t="shared" si="88"/>
        <v>0</v>
      </c>
      <c r="AN323" s="89"/>
      <c r="AO323" s="235"/>
      <c r="AP323" s="73"/>
      <c r="AQ323" s="14"/>
    </row>
    <row r="324" spans="1:43" ht="15" hidden="1" customHeight="1" outlineLevel="1">
      <c r="A324" s="12"/>
      <c r="I324" s="136" t="s">
        <v>376</v>
      </c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5"/>
      <c r="W324" s="73"/>
      <c r="X324" s="89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4"/>
      <c r="AI324" s="234"/>
      <c r="AJ324" s="234"/>
      <c r="AK324" s="65">
        <f t="shared" si="81"/>
        <v>0</v>
      </c>
      <c r="AL324" s="73">
        <f t="shared" si="87"/>
        <v>0</v>
      </c>
      <c r="AM324" s="14">
        <f t="shared" si="88"/>
        <v>0</v>
      </c>
      <c r="AN324" s="89"/>
      <c r="AO324" s="235"/>
      <c r="AP324" s="73"/>
      <c r="AQ324" s="14"/>
    </row>
    <row r="325" spans="1:43" ht="15" hidden="1" customHeight="1" outlineLevel="1">
      <c r="A325" s="12"/>
      <c r="I325" s="136" t="s">
        <v>378</v>
      </c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5"/>
      <c r="W325" s="73"/>
      <c r="X325" s="89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4"/>
      <c r="AI325" s="234"/>
      <c r="AJ325" s="234"/>
      <c r="AK325" s="65">
        <f t="shared" si="81"/>
        <v>0</v>
      </c>
      <c r="AL325" s="73">
        <f t="shared" si="87"/>
        <v>0</v>
      </c>
      <c r="AM325" s="14">
        <f t="shared" si="88"/>
        <v>0</v>
      </c>
      <c r="AN325" s="89"/>
      <c r="AO325" s="235"/>
      <c r="AP325" s="73"/>
      <c r="AQ325" s="14"/>
    </row>
    <row r="326" spans="1:43" ht="15" hidden="1" customHeight="1" outlineLevel="1">
      <c r="A326" s="12"/>
      <c r="I326" s="136" t="s">
        <v>382</v>
      </c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5"/>
      <c r="W326" s="73"/>
      <c r="X326" s="89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4"/>
      <c r="AI326" s="234"/>
      <c r="AJ326" s="234"/>
      <c r="AK326" s="65">
        <f t="shared" ref="AK326:AK336" si="92">SUM(Y326:AJ326)</f>
        <v>0</v>
      </c>
      <c r="AL326" s="73">
        <f t="shared" si="87"/>
        <v>0</v>
      </c>
      <c r="AM326" s="14">
        <f t="shared" si="88"/>
        <v>0</v>
      </c>
      <c r="AN326" s="89"/>
      <c r="AO326" s="235"/>
      <c r="AP326" s="73"/>
      <c r="AQ326" s="14"/>
    </row>
    <row r="327" spans="1:43" ht="15" hidden="1" customHeight="1" outlineLevel="1">
      <c r="A327" s="12"/>
      <c r="I327" s="136" t="s">
        <v>383</v>
      </c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5"/>
      <c r="W327" s="73"/>
      <c r="X327" s="89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4"/>
      <c r="AI327" s="234"/>
      <c r="AJ327" s="234"/>
      <c r="AK327" s="65">
        <f t="shared" si="92"/>
        <v>0</v>
      </c>
      <c r="AL327" s="73">
        <f t="shared" si="87"/>
        <v>0</v>
      </c>
      <c r="AM327" s="14">
        <f t="shared" si="88"/>
        <v>0</v>
      </c>
      <c r="AN327" s="89"/>
      <c r="AO327" s="235"/>
      <c r="AP327" s="73"/>
      <c r="AQ327" s="14"/>
    </row>
    <row r="328" spans="1:43" ht="15" hidden="1" customHeight="1" outlineLevel="1">
      <c r="A328" s="12"/>
      <c r="I328" s="136" t="s">
        <v>384</v>
      </c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5"/>
      <c r="W328" s="73"/>
      <c r="X328" s="89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4"/>
      <c r="AI328" s="234"/>
      <c r="AJ328" s="234"/>
      <c r="AK328" s="65">
        <f t="shared" si="92"/>
        <v>0</v>
      </c>
      <c r="AL328" s="73">
        <f t="shared" si="87"/>
        <v>0</v>
      </c>
      <c r="AM328" s="14">
        <f t="shared" si="88"/>
        <v>0</v>
      </c>
      <c r="AN328" s="89"/>
      <c r="AO328" s="235"/>
      <c r="AP328" s="73"/>
      <c r="AQ328" s="14"/>
    </row>
    <row r="329" spans="1:43" ht="15" hidden="1" customHeight="1" outlineLevel="1">
      <c r="A329" s="12"/>
      <c r="I329" s="136" t="s">
        <v>385</v>
      </c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5"/>
      <c r="W329" s="73"/>
      <c r="X329" s="89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4"/>
      <c r="AI329" s="234"/>
      <c r="AJ329" s="234"/>
      <c r="AK329" s="65">
        <f t="shared" si="92"/>
        <v>0</v>
      </c>
      <c r="AL329" s="73">
        <f t="shared" si="87"/>
        <v>0</v>
      </c>
      <c r="AM329" s="14">
        <f t="shared" si="88"/>
        <v>0</v>
      </c>
      <c r="AN329" s="89"/>
      <c r="AO329" s="235"/>
      <c r="AP329" s="73"/>
      <c r="AQ329" s="14"/>
    </row>
    <row r="330" spans="1:43" ht="15" hidden="1" customHeight="1" outlineLevel="1">
      <c r="A330" s="12"/>
      <c r="I330" s="136" t="s">
        <v>386</v>
      </c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5"/>
      <c r="W330" s="73"/>
      <c r="X330" s="89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234"/>
      <c r="AJ330" s="234"/>
      <c r="AK330" s="65">
        <f t="shared" si="92"/>
        <v>0</v>
      </c>
      <c r="AL330" s="73">
        <f t="shared" si="87"/>
        <v>0</v>
      </c>
      <c r="AM330" s="14">
        <f t="shared" si="88"/>
        <v>0</v>
      </c>
      <c r="AN330" s="89"/>
      <c r="AO330" s="235"/>
      <c r="AP330" s="73"/>
      <c r="AQ330" s="14"/>
    </row>
    <row r="331" spans="1:43" ht="15" hidden="1" customHeight="1" outlineLevel="1">
      <c r="A331" s="12"/>
      <c r="I331" s="136" t="s">
        <v>387</v>
      </c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5"/>
      <c r="W331" s="73"/>
      <c r="X331" s="89"/>
      <c r="Y331" s="234"/>
      <c r="Z331" s="234"/>
      <c r="AA331" s="234"/>
      <c r="AB331" s="234"/>
      <c r="AC331" s="234"/>
      <c r="AD331" s="234"/>
      <c r="AE331" s="234"/>
      <c r="AF331" s="234"/>
      <c r="AG331" s="234"/>
      <c r="AH331" s="234"/>
      <c r="AI331" s="234"/>
      <c r="AJ331" s="234"/>
      <c r="AK331" s="65">
        <f t="shared" si="92"/>
        <v>0</v>
      </c>
      <c r="AL331" s="73">
        <f t="shared" si="87"/>
        <v>0</v>
      </c>
      <c r="AM331" s="14">
        <f t="shared" si="88"/>
        <v>0</v>
      </c>
      <c r="AN331" s="89"/>
      <c r="AO331" s="235"/>
      <c r="AP331" s="73"/>
      <c r="AQ331" s="14"/>
    </row>
    <row r="332" spans="1:43" ht="15" hidden="1" customHeight="1" outlineLevel="1">
      <c r="A332" s="12"/>
      <c r="I332" s="136" t="s">
        <v>390</v>
      </c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5"/>
      <c r="W332" s="73"/>
      <c r="X332" s="89"/>
      <c r="Y332" s="234"/>
      <c r="Z332" s="234"/>
      <c r="AA332" s="234"/>
      <c r="AB332" s="234"/>
      <c r="AC332" s="234"/>
      <c r="AD332" s="234"/>
      <c r="AE332" s="234"/>
      <c r="AF332" s="234"/>
      <c r="AG332" s="234"/>
      <c r="AH332" s="234"/>
      <c r="AI332" s="234"/>
      <c r="AJ332" s="234"/>
      <c r="AK332" s="65">
        <f t="shared" si="92"/>
        <v>0</v>
      </c>
      <c r="AL332" s="73">
        <f t="shared" si="87"/>
        <v>0</v>
      </c>
      <c r="AM332" s="14">
        <f t="shared" si="88"/>
        <v>0</v>
      </c>
      <c r="AN332" s="89"/>
      <c r="AO332" s="235"/>
      <c r="AP332" s="73"/>
      <c r="AQ332" s="14"/>
    </row>
    <row r="333" spans="1:43" ht="15" hidden="1" customHeight="1" outlineLevel="1">
      <c r="A333" s="12"/>
      <c r="I333" s="136" t="s">
        <v>391</v>
      </c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5"/>
      <c r="W333" s="73"/>
      <c r="X333" s="89"/>
      <c r="Y333" s="234"/>
      <c r="Z333" s="234"/>
      <c r="AA333" s="234"/>
      <c r="AB333" s="234"/>
      <c r="AC333" s="234"/>
      <c r="AD333" s="234"/>
      <c r="AE333" s="234"/>
      <c r="AF333" s="234"/>
      <c r="AG333" s="234"/>
      <c r="AH333" s="234"/>
      <c r="AI333" s="234"/>
      <c r="AJ333" s="234"/>
      <c r="AK333" s="65">
        <f t="shared" si="92"/>
        <v>0</v>
      </c>
      <c r="AL333" s="73">
        <f t="shared" si="87"/>
        <v>0</v>
      </c>
      <c r="AM333" s="14">
        <f t="shared" si="88"/>
        <v>0</v>
      </c>
      <c r="AN333" s="89"/>
      <c r="AO333" s="235"/>
      <c r="AP333" s="73"/>
      <c r="AQ333" s="14"/>
    </row>
    <row r="334" spans="1:43" ht="15" hidden="1" customHeight="1" outlineLevel="1">
      <c r="A334" s="12"/>
      <c r="I334" s="136" t="s">
        <v>392</v>
      </c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5"/>
      <c r="W334" s="73"/>
      <c r="X334" s="89"/>
      <c r="Y334" s="234"/>
      <c r="Z334" s="234"/>
      <c r="AA334" s="234"/>
      <c r="AB334" s="234"/>
      <c r="AC334" s="234"/>
      <c r="AD334" s="234"/>
      <c r="AE334" s="234"/>
      <c r="AF334" s="234"/>
      <c r="AG334" s="234"/>
      <c r="AH334" s="234"/>
      <c r="AI334" s="234"/>
      <c r="AJ334" s="234"/>
      <c r="AK334" s="65">
        <f t="shared" si="92"/>
        <v>0</v>
      </c>
      <c r="AL334" s="73">
        <f t="shared" si="87"/>
        <v>0</v>
      </c>
      <c r="AM334" s="14">
        <f t="shared" si="88"/>
        <v>0</v>
      </c>
      <c r="AN334" s="89"/>
      <c r="AO334" s="235"/>
      <c r="AP334" s="73"/>
      <c r="AQ334" s="14"/>
    </row>
    <row r="335" spans="1:43" ht="15" hidden="1" customHeight="1" outlineLevel="1">
      <c r="A335" s="12"/>
      <c r="I335" s="136" t="s">
        <v>393</v>
      </c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5"/>
      <c r="W335" s="73"/>
      <c r="X335" s="89"/>
      <c r="Y335" s="234"/>
      <c r="Z335" s="234"/>
      <c r="AA335" s="234"/>
      <c r="AB335" s="234"/>
      <c r="AC335" s="234"/>
      <c r="AD335" s="234"/>
      <c r="AE335" s="234"/>
      <c r="AF335" s="234"/>
      <c r="AG335" s="234"/>
      <c r="AH335" s="234"/>
      <c r="AI335" s="234"/>
      <c r="AJ335" s="234"/>
      <c r="AK335" s="65">
        <f t="shared" si="92"/>
        <v>0</v>
      </c>
      <c r="AL335" s="73">
        <f t="shared" si="87"/>
        <v>0</v>
      </c>
      <c r="AM335" s="14">
        <f t="shared" si="88"/>
        <v>0</v>
      </c>
      <c r="AN335" s="89"/>
      <c r="AO335" s="235"/>
      <c r="AP335" s="73"/>
      <c r="AQ335" s="14"/>
    </row>
    <row r="336" spans="1:43" ht="15" hidden="1" customHeight="1" outlineLevel="1">
      <c r="A336" s="12"/>
      <c r="I336" s="136" t="s">
        <v>394</v>
      </c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5"/>
      <c r="W336" s="73"/>
      <c r="X336" s="89"/>
      <c r="Y336" s="234"/>
      <c r="Z336" s="234"/>
      <c r="AA336" s="234"/>
      <c r="AB336" s="234"/>
      <c r="AC336" s="234"/>
      <c r="AD336" s="234"/>
      <c r="AE336" s="234"/>
      <c r="AF336" s="234"/>
      <c r="AG336" s="234"/>
      <c r="AH336" s="234"/>
      <c r="AI336" s="234"/>
      <c r="AJ336" s="234"/>
      <c r="AK336" s="65">
        <f t="shared" si="92"/>
        <v>0</v>
      </c>
      <c r="AL336" s="73">
        <f t="shared" si="87"/>
        <v>0</v>
      </c>
      <c r="AM336" s="14">
        <f t="shared" si="88"/>
        <v>0</v>
      </c>
      <c r="AN336" s="89"/>
      <c r="AO336" s="235"/>
      <c r="AP336" s="73"/>
      <c r="AQ336" s="14"/>
    </row>
    <row r="337" spans="1:43" ht="16.149999999999999" hidden="1" customHeight="1">
      <c r="I337" s="150" t="s">
        <v>395</v>
      </c>
      <c r="J337" s="151">
        <f t="shared" ref="J337:V337" si="93">+J290-J292-J314</f>
        <v>0</v>
      </c>
      <c r="K337" s="151">
        <f t="shared" si="93"/>
        <v>0</v>
      </c>
      <c r="L337" s="151">
        <f t="shared" si="93"/>
        <v>0</v>
      </c>
      <c r="M337" s="151">
        <f t="shared" si="93"/>
        <v>0</v>
      </c>
      <c r="N337" s="151">
        <f t="shared" si="93"/>
        <v>0</v>
      </c>
      <c r="O337" s="151">
        <f t="shared" si="93"/>
        <v>0</v>
      </c>
      <c r="P337" s="151">
        <f t="shared" si="93"/>
        <v>0</v>
      </c>
      <c r="Q337" s="151">
        <f t="shared" si="93"/>
        <v>0</v>
      </c>
      <c r="R337" s="151">
        <f t="shared" si="93"/>
        <v>0</v>
      </c>
      <c r="S337" s="151">
        <f t="shared" si="93"/>
        <v>0</v>
      </c>
      <c r="T337" s="151">
        <f t="shared" si="93"/>
        <v>0</v>
      </c>
      <c r="U337" s="151">
        <f t="shared" si="93"/>
        <v>0</v>
      </c>
      <c r="V337" s="151">
        <f t="shared" si="93"/>
        <v>19671085.378098946</v>
      </c>
      <c r="W337" s="80">
        <f>V337/V$6</f>
        <v>5.9679484007146753E-2</v>
      </c>
      <c r="X337" s="89"/>
      <c r="Y337" s="151">
        <f t="shared" ref="Y337:AJ337" si="94">+Y290-Y292-Y314</f>
        <v>0</v>
      </c>
      <c r="Z337" s="151">
        <f t="shared" si="94"/>
        <v>0</v>
      </c>
      <c r="AA337" s="151">
        <f t="shared" si="94"/>
        <v>0</v>
      </c>
      <c r="AB337" s="151">
        <f t="shared" si="94"/>
        <v>0</v>
      </c>
      <c r="AC337" s="151">
        <f t="shared" si="94"/>
        <v>0</v>
      </c>
      <c r="AD337" s="151">
        <f t="shared" si="94"/>
        <v>0</v>
      </c>
      <c r="AE337" s="151">
        <f t="shared" si="94"/>
        <v>0</v>
      </c>
      <c r="AF337" s="151">
        <f t="shared" si="94"/>
        <v>0</v>
      </c>
      <c r="AG337" s="151">
        <f t="shared" si="94"/>
        <v>0</v>
      </c>
      <c r="AH337" s="151">
        <f t="shared" si="94"/>
        <v>0</v>
      </c>
      <c r="AI337" s="151">
        <f t="shared" si="94"/>
        <v>0</v>
      </c>
      <c r="AJ337" s="151">
        <f t="shared" si="94"/>
        <v>0</v>
      </c>
      <c r="AK337" s="151">
        <v>252696612.47452366</v>
      </c>
      <c r="AL337" s="80">
        <v>6.3227731060963605E-2</v>
      </c>
      <c r="AM337" s="160">
        <v>4.8709957592940389E-2</v>
      </c>
      <c r="AN337" s="89"/>
      <c r="AO337" s="151">
        <v>286508206.20652097</v>
      </c>
      <c r="AP337" s="80">
        <v>6.5160318508699508E-2</v>
      </c>
      <c r="AQ337" s="160">
        <v>0.18903061595715753</v>
      </c>
    </row>
    <row r="338" spans="1:43" ht="18.75" hidden="1" customHeight="1">
      <c r="W338" s="75"/>
      <c r="X338" s="89"/>
      <c r="AL338" s="75"/>
      <c r="AM338" s="13"/>
      <c r="AN338" s="89"/>
      <c r="AP338" s="75"/>
      <c r="AQ338" s="13"/>
    </row>
    <row r="339" spans="1:43" ht="14.45" hidden="1" customHeight="1">
      <c r="A339" s="12" t="s">
        <v>396</v>
      </c>
      <c r="E339" s="187" t="s">
        <v>108</v>
      </c>
      <c r="I339" s="142" t="s">
        <v>397</v>
      </c>
      <c r="J339" s="234">
        <v>11746705.630000001</v>
      </c>
      <c r="K339" s="234">
        <v>13442074.410000002</v>
      </c>
      <c r="L339" s="234">
        <v>27855928.039999995</v>
      </c>
      <c r="M339" s="234">
        <v>24424309.870000001</v>
      </c>
      <c r="N339" s="234">
        <v>23520749.170000002</v>
      </c>
      <c r="O339" s="234">
        <v>24913927.149999999</v>
      </c>
      <c r="P339" s="234">
        <v>15603451.410000002</v>
      </c>
      <c r="Q339" s="234">
        <v>25015859.829999998</v>
      </c>
      <c r="R339" s="234">
        <v>22061742.260000002</v>
      </c>
      <c r="S339" s="234">
        <v>13159238.367802087</v>
      </c>
      <c r="T339" s="234">
        <v>12898808.496957922</v>
      </c>
      <c r="U339" s="234">
        <v>12810674.100485206</v>
      </c>
      <c r="V339" s="242">
        <f>SUM(J339:U339)</f>
        <v>227453468.7352452</v>
      </c>
      <c r="W339" s="169">
        <f>V339/V$6</f>
        <v>0.690063887621994</v>
      </c>
      <c r="X339" s="89"/>
      <c r="Y339" s="234">
        <f>+[1]CORP!Y244+[1]CORP!Y182</f>
        <v>0</v>
      </c>
      <c r="Z339" s="234">
        <f>+[1]CORP!Z244+[1]CORP!Z182</f>
        <v>0</v>
      </c>
      <c r="AA339" s="234">
        <f>+[1]CORP!AA244+[1]CORP!AA182</f>
        <v>0</v>
      </c>
      <c r="AB339" s="234">
        <f>+[1]CORP!AB244+[1]CORP!AB182</f>
        <v>0</v>
      </c>
      <c r="AC339" s="234">
        <f>+[1]CORP!AC244+[1]CORP!AC182</f>
        <v>0</v>
      </c>
      <c r="AD339" s="234">
        <f>+[1]CORP!AD244+[1]CORP!AD182</f>
        <v>0</v>
      </c>
      <c r="AE339" s="234">
        <f>+[1]CORP!AE244+[1]CORP!AE182</f>
        <v>0</v>
      </c>
      <c r="AF339" s="234">
        <f>+[1]CORP!AF244+[1]CORP!AF182</f>
        <v>0</v>
      </c>
      <c r="AG339" s="234">
        <f>+[1]CORP!AG244+[1]CORP!AG182</f>
        <v>0</v>
      </c>
      <c r="AH339" s="234">
        <f>+[1]CORP!AH244+[1]CORP!AH182</f>
        <v>0</v>
      </c>
      <c r="AI339" s="234">
        <f>+[1]CORP!AI244+[1]CORP!AI182</f>
        <v>0</v>
      </c>
      <c r="AJ339" s="234">
        <f>+[1]CORP!AJ244+[1]CORP!AJ182</f>
        <v>0</v>
      </c>
      <c r="AK339" s="242" t="e">
        <v>#N/A</v>
      </c>
      <c r="AL339" s="169" t="e">
        <v>#N/A</v>
      </c>
      <c r="AM339" s="10">
        <v>0</v>
      </c>
      <c r="AN339" s="89"/>
      <c r="AO339" s="242" t="e">
        <v>#N/A</v>
      </c>
      <c r="AP339" s="169" t="e">
        <v>#N/A</v>
      </c>
      <c r="AQ339" s="10">
        <v>0</v>
      </c>
    </row>
    <row r="340" spans="1:43" ht="16.149999999999999" hidden="1" customHeight="1">
      <c r="I340" s="152" t="s">
        <v>398</v>
      </c>
      <c r="J340" s="153">
        <f>+J337-J339</f>
        <v>-11746705.630000001</v>
      </c>
      <c r="K340" s="153">
        <f t="shared" ref="K340:V340" si="95">+K337-K339</f>
        <v>-13442074.410000002</v>
      </c>
      <c r="L340" s="153">
        <f t="shared" si="95"/>
        <v>-27855928.039999995</v>
      </c>
      <c r="M340" s="153">
        <f t="shared" si="95"/>
        <v>-24424309.870000001</v>
      </c>
      <c r="N340" s="153">
        <f t="shared" si="95"/>
        <v>-23520749.170000002</v>
      </c>
      <c r="O340" s="153">
        <f t="shared" si="95"/>
        <v>-24913927.149999999</v>
      </c>
      <c r="P340" s="153">
        <f t="shared" si="95"/>
        <v>-15603451.410000002</v>
      </c>
      <c r="Q340" s="153">
        <f t="shared" si="95"/>
        <v>-25015859.829999998</v>
      </c>
      <c r="R340" s="153">
        <f t="shared" si="95"/>
        <v>-22061742.260000002</v>
      </c>
      <c r="S340" s="153">
        <f t="shared" si="95"/>
        <v>-13159238.367802087</v>
      </c>
      <c r="T340" s="153">
        <f t="shared" si="95"/>
        <v>-12898808.496957922</v>
      </c>
      <c r="U340" s="153">
        <f t="shared" si="95"/>
        <v>-12810674.100485206</v>
      </c>
      <c r="V340" s="153">
        <f t="shared" si="95"/>
        <v>-207782383.35714626</v>
      </c>
      <c r="W340" s="170">
        <f>V340/V$6</f>
        <v>-0.63038440361484727</v>
      </c>
      <c r="X340" s="89"/>
      <c r="Y340" s="153">
        <f>+Y337-Y339</f>
        <v>0</v>
      </c>
      <c r="Z340" s="153">
        <f t="shared" ref="Z340:AJ340" si="96">+Z337-Z339</f>
        <v>0</v>
      </c>
      <c r="AA340" s="153">
        <f t="shared" si="96"/>
        <v>0</v>
      </c>
      <c r="AB340" s="153">
        <f t="shared" si="96"/>
        <v>0</v>
      </c>
      <c r="AC340" s="153">
        <f t="shared" si="96"/>
        <v>0</v>
      </c>
      <c r="AD340" s="153">
        <f t="shared" si="96"/>
        <v>0</v>
      </c>
      <c r="AE340" s="153">
        <f t="shared" si="96"/>
        <v>0</v>
      </c>
      <c r="AF340" s="153">
        <f t="shared" si="96"/>
        <v>0</v>
      </c>
      <c r="AG340" s="153">
        <f t="shared" si="96"/>
        <v>0</v>
      </c>
      <c r="AH340" s="153">
        <f t="shared" si="96"/>
        <v>0</v>
      </c>
      <c r="AI340" s="153">
        <f t="shared" si="96"/>
        <v>0</v>
      </c>
      <c r="AJ340" s="153">
        <f t="shared" si="96"/>
        <v>0</v>
      </c>
      <c r="AK340" s="153" t="e">
        <v>#N/A</v>
      </c>
      <c r="AL340" s="170" t="e">
        <v>#N/A</v>
      </c>
      <c r="AM340" s="161">
        <v>0</v>
      </c>
      <c r="AN340" s="89"/>
      <c r="AO340" s="153" t="e">
        <v>#N/A</v>
      </c>
      <c r="AP340" s="170" t="e">
        <v>#N/A</v>
      </c>
      <c r="AQ340" s="161">
        <v>0</v>
      </c>
    </row>
    <row r="341" spans="1:43" ht="14.45" hidden="1" customHeight="1">
      <c r="I341" s="140"/>
      <c r="J341" s="132"/>
      <c r="K341" s="132"/>
      <c r="L341" s="132"/>
      <c r="M341" s="132"/>
      <c r="N341" s="133"/>
      <c r="O341" s="133"/>
      <c r="P341" s="133"/>
      <c r="Q341" s="132"/>
      <c r="R341" s="133"/>
      <c r="S341" s="133"/>
      <c r="T341" s="133"/>
      <c r="U341" s="132"/>
      <c r="V341" s="132"/>
      <c r="W341" s="81"/>
      <c r="Y341" s="132"/>
      <c r="Z341" s="132"/>
      <c r="AA341" s="132"/>
      <c r="AB341" s="132"/>
      <c r="AC341" s="133"/>
      <c r="AD341" s="133"/>
      <c r="AE341" s="133"/>
      <c r="AF341" s="132"/>
      <c r="AG341" s="133"/>
      <c r="AH341" s="133"/>
      <c r="AI341" s="133"/>
      <c r="AJ341" s="132"/>
      <c r="AK341" s="132"/>
      <c r="AL341" s="81"/>
      <c r="AM341" s="162"/>
      <c r="AO341" s="132"/>
      <c r="AP341" s="81"/>
      <c r="AQ341" s="162"/>
    </row>
    <row r="342" spans="1:43" ht="15">
      <c r="J342" s="135"/>
      <c r="K342" s="135"/>
      <c r="L342" s="135"/>
      <c r="M342" s="135"/>
      <c r="N342" s="135"/>
      <c r="O342" s="135"/>
      <c r="P342" s="135"/>
      <c r="Q342" s="135"/>
      <c r="U342" s="135"/>
      <c r="V342" s="135"/>
      <c r="W342" s="82"/>
      <c r="X342" s="94"/>
      <c r="Y342" s="135"/>
      <c r="Z342" s="135"/>
      <c r="AA342" s="135"/>
      <c r="AB342" s="135"/>
      <c r="AC342" s="135"/>
      <c r="AD342" s="135"/>
      <c r="AE342" s="135"/>
      <c r="AF342" s="135"/>
      <c r="AJ342" s="135"/>
      <c r="AK342" s="135"/>
      <c r="AL342" s="82"/>
      <c r="AN342" s="94"/>
      <c r="AO342" s="135"/>
      <c r="AP342" s="82"/>
    </row>
    <row r="343" spans="1:43" ht="15" collapsed="1">
      <c r="I343" s="267" t="s">
        <v>303</v>
      </c>
      <c r="J343" s="231">
        <f t="shared" ref="J343:U343" si="97">SUM(J344:J357)</f>
        <v>85648</v>
      </c>
      <c r="K343" s="231">
        <f t="shared" si="97"/>
        <v>8080</v>
      </c>
      <c r="L343" s="231">
        <f t="shared" si="97"/>
        <v>23</v>
      </c>
      <c r="M343" s="231">
        <f t="shared" si="97"/>
        <v>1362</v>
      </c>
      <c r="N343" s="231">
        <f t="shared" si="97"/>
        <v>2690</v>
      </c>
      <c r="O343" s="231">
        <f t="shared" si="97"/>
        <v>2002</v>
      </c>
      <c r="P343" s="231">
        <f t="shared" si="97"/>
        <v>4662</v>
      </c>
      <c r="Q343" s="231">
        <f t="shared" si="97"/>
        <v>4822</v>
      </c>
      <c r="R343" s="231">
        <f t="shared" si="97"/>
        <v>23328</v>
      </c>
      <c r="S343" s="231">
        <f t="shared" si="97"/>
        <v>1381</v>
      </c>
      <c r="T343" s="231">
        <f t="shared" si="97"/>
        <v>1521</v>
      </c>
      <c r="U343" s="231">
        <f t="shared" si="97"/>
        <v>53860</v>
      </c>
      <c r="V343" s="231">
        <f>SUM(V344:V357)</f>
        <v>189379</v>
      </c>
      <c r="W343" s="72">
        <f t="shared" ref="W343:W357" si="98">V343/V$6</f>
        <v>5.7455096068937392E-4</v>
      </c>
      <c r="Y343" s="231">
        <f t="shared" ref="Y343" si="99">SUM(Y344:Y357)</f>
        <v>88859.8</v>
      </c>
      <c r="Z343" s="231">
        <f t="shared" ref="Z343" si="100">SUM(Z344:Z357)</f>
        <v>8383</v>
      </c>
      <c r="AA343" s="231">
        <f t="shared" ref="AA343" si="101">SUM(AA344:AA357)</f>
        <v>23.862500000000001</v>
      </c>
      <c r="AB343" s="231">
        <f t="shared" ref="AB343" si="102">SUM(AB344:AB357)</f>
        <v>1413.075</v>
      </c>
      <c r="AC343" s="231">
        <f t="shared" ref="AC343" si="103">SUM(AC344:AC357)</f>
        <v>2790.8750000000005</v>
      </c>
      <c r="AD343" s="231">
        <f t="shared" ref="AD343" si="104">SUM(AD344:AD357)</f>
        <v>2077.0750000000003</v>
      </c>
      <c r="AE343" s="231">
        <f t="shared" ref="AE343" si="105">SUM(AE344:AE357)</f>
        <v>4836.8250000000007</v>
      </c>
      <c r="AF343" s="231">
        <f t="shared" ref="AF343" si="106">SUM(AF344:AF357)</f>
        <v>5002.8250000000007</v>
      </c>
      <c r="AG343" s="231">
        <f t="shared" ref="AG343" si="107">SUM(AG344:AG357)</f>
        <v>24202.799999999999</v>
      </c>
      <c r="AH343" s="231">
        <f t="shared" ref="AH343" si="108">SUM(AH344:AH357)</f>
        <v>1432.7875000000001</v>
      </c>
      <c r="AI343" s="231">
        <f t="shared" ref="AI343" si="109">SUM(AI344:AI357)</f>
        <v>1578.0375000000001</v>
      </c>
      <c r="AJ343" s="231">
        <f t="shared" ref="AJ343" si="110">SUM(AJ344:AJ357)</f>
        <v>55879.75</v>
      </c>
      <c r="AK343" s="231">
        <f>SUM(AK344:AK357)</f>
        <v>196480.71249999999</v>
      </c>
      <c r="AL343" s="72">
        <f t="shared" ref="AL343:AL357" si="111">AK343/AK$6</f>
        <v>5.476063613795648E-4</v>
      </c>
      <c r="AM343" s="10">
        <f>IFERROR(AK343/V343-1,0)</f>
        <v>3.7499999999999867E-2</v>
      </c>
      <c r="AO343" s="257"/>
    </row>
    <row r="344" spans="1:43" ht="15" hidden="1" outlineLevel="1">
      <c r="I344" s="259" t="s">
        <v>304</v>
      </c>
      <c r="J344" s="274">
        <v>0</v>
      </c>
      <c r="K344" s="278">
        <v>8080</v>
      </c>
      <c r="L344" s="277">
        <v>0</v>
      </c>
      <c r="M344" s="278">
        <v>1362</v>
      </c>
      <c r="N344" s="278">
        <v>2331</v>
      </c>
      <c r="O344" s="278">
        <v>1206</v>
      </c>
      <c r="P344" s="278">
        <v>2748</v>
      </c>
      <c r="Q344" s="278">
        <v>1951</v>
      </c>
      <c r="R344" s="277">
        <v>0</v>
      </c>
      <c r="S344" s="278">
        <v>1336</v>
      </c>
      <c r="T344" s="278">
        <v>1300</v>
      </c>
      <c r="U344" s="278">
        <v>1280</v>
      </c>
      <c r="V344" s="235">
        <f t="shared" ref="V344:V357" si="112">SUM(J344:U344)</f>
        <v>21594</v>
      </c>
      <c r="W344" s="73">
        <f>V344/V$6</f>
        <v>6.5513353883621416E-5</v>
      </c>
      <c r="Y344" s="274">
        <f>+J344*1.0375</f>
        <v>0</v>
      </c>
      <c r="Z344" s="274">
        <f t="shared" ref="Z344:Z357" si="113">+K344*1.0375</f>
        <v>8383</v>
      </c>
      <c r="AA344" s="274">
        <f t="shared" ref="AA344:AA357" si="114">+L344*1.0375</f>
        <v>0</v>
      </c>
      <c r="AB344" s="274">
        <f t="shared" ref="AB344:AB357" si="115">+M344*1.0375</f>
        <v>1413.075</v>
      </c>
      <c r="AC344" s="274">
        <f t="shared" ref="AC344:AC357" si="116">+N344*1.0375</f>
        <v>2418.4125000000004</v>
      </c>
      <c r="AD344" s="274">
        <f t="shared" ref="AD344:AD357" si="117">+O344*1.0375</f>
        <v>1251.2250000000001</v>
      </c>
      <c r="AE344" s="274">
        <f t="shared" ref="AE344:AE357" si="118">+P344*1.0375</f>
        <v>2851.05</v>
      </c>
      <c r="AF344" s="274">
        <f t="shared" ref="AF344:AF357" si="119">+Q344*1.0375</f>
        <v>2024.1625000000001</v>
      </c>
      <c r="AG344" s="274">
        <f t="shared" ref="AG344:AG357" si="120">+R344*1.0375</f>
        <v>0</v>
      </c>
      <c r="AH344" s="274">
        <f t="shared" ref="AH344:AH357" si="121">+S344*1.0375</f>
        <v>1386.1000000000001</v>
      </c>
      <c r="AI344" s="274">
        <f t="shared" ref="AI344:AI357" si="122">+T344*1.0375</f>
        <v>1348.7500000000002</v>
      </c>
      <c r="AJ344" s="274">
        <f t="shared" ref="AJ344:AJ357" si="123">+U344*1.0375</f>
        <v>1328</v>
      </c>
      <c r="AK344" s="235">
        <f t="shared" ref="AK344:AK357" si="124">SUM(Y344:AJ344)</f>
        <v>22403.774999999998</v>
      </c>
      <c r="AL344" s="73">
        <f>AK344/AK$6</f>
        <v>6.244098747818038E-5</v>
      </c>
      <c r="AM344" s="16">
        <f>IFERROR(AK344/V344-1,0)</f>
        <v>3.7499999999999867E-2</v>
      </c>
      <c r="AO344" s="197"/>
    </row>
    <row r="345" spans="1:43" ht="15" hidden="1" outlineLevel="1">
      <c r="I345" s="268" t="s">
        <v>305</v>
      </c>
      <c r="J345" s="275">
        <v>85648</v>
      </c>
      <c r="K345" s="277">
        <v>0</v>
      </c>
      <c r="L345" s="277">
        <v>23</v>
      </c>
      <c r="M345" s="277">
        <v>0</v>
      </c>
      <c r="N345" s="277">
        <v>359</v>
      </c>
      <c r="O345" s="277">
        <v>145</v>
      </c>
      <c r="P345" s="277">
        <v>70</v>
      </c>
      <c r="Q345" s="277">
        <v>57</v>
      </c>
      <c r="R345" s="277">
        <v>81</v>
      </c>
      <c r="S345" s="277">
        <v>3</v>
      </c>
      <c r="T345" s="277">
        <v>203</v>
      </c>
      <c r="U345" s="277">
        <v>82</v>
      </c>
      <c r="V345" s="235">
        <f t="shared" si="112"/>
        <v>86671</v>
      </c>
      <c r="W345" s="73">
        <f t="shared" si="98"/>
        <v>2.629484067077592E-4</v>
      </c>
      <c r="Y345" s="274">
        <f t="shared" ref="Y345:Y357" si="125">+J345*1.0375</f>
        <v>88859.8</v>
      </c>
      <c r="Z345" s="274">
        <f t="shared" si="113"/>
        <v>0</v>
      </c>
      <c r="AA345" s="274">
        <f t="shared" si="114"/>
        <v>23.862500000000001</v>
      </c>
      <c r="AB345" s="274">
        <f t="shared" si="115"/>
        <v>0</v>
      </c>
      <c r="AC345" s="274">
        <f t="shared" si="116"/>
        <v>372.46250000000003</v>
      </c>
      <c r="AD345" s="274">
        <f t="shared" si="117"/>
        <v>150.4375</v>
      </c>
      <c r="AE345" s="274">
        <f t="shared" si="118"/>
        <v>72.625</v>
      </c>
      <c r="AF345" s="274">
        <f t="shared" si="119"/>
        <v>59.137500000000003</v>
      </c>
      <c r="AG345" s="274">
        <f t="shared" si="120"/>
        <v>84.037500000000009</v>
      </c>
      <c r="AH345" s="274">
        <f t="shared" si="121"/>
        <v>3.1125000000000003</v>
      </c>
      <c r="AI345" s="274">
        <f t="shared" si="122"/>
        <v>210.61250000000001</v>
      </c>
      <c r="AJ345" s="274">
        <f t="shared" si="123"/>
        <v>85.075000000000003</v>
      </c>
      <c r="AK345" s="235">
        <f t="shared" si="124"/>
        <v>89921.162500000006</v>
      </c>
      <c r="AL345" s="73">
        <f t="shared" ref="AL345:AL357" si="126">AK345/AK$6</f>
        <v>2.506169688673415E-4</v>
      </c>
      <c r="AM345" s="16">
        <f t="shared" ref="AM345:AM357" si="127">IFERROR(AK345/V345-1,0)</f>
        <v>3.7500000000000089E-2</v>
      </c>
      <c r="AO345" s="258"/>
    </row>
    <row r="346" spans="1:43" ht="15" hidden="1" outlineLevel="1">
      <c r="I346" s="268" t="s">
        <v>306</v>
      </c>
      <c r="J346" s="274">
        <v>0</v>
      </c>
      <c r="K346" s="277">
        <v>0</v>
      </c>
      <c r="L346" s="277">
        <v>0</v>
      </c>
      <c r="M346" s="277">
        <v>0</v>
      </c>
      <c r="N346" s="277">
        <v>0</v>
      </c>
      <c r="O346" s="277">
        <v>0</v>
      </c>
      <c r="P346" s="277">
        <v>0</v>
      </c>
      <c r="Q346" s="277">
        <v>0</v>
      </c>
      <c r="R346" s="277">
        <v>0</v>
      </c>
      <c r="S346" s="277">
        <v>0</v>
      </c>
      <c r="T346" s="277">
        <v>0</v>
      </c>
      <c r="U346" s="277">
        <v>0</v>
      </c>
      <c r="V346" s="235">
        <f t="shared" si="112"/>
        <v>0</v>
      </c>
      <c r="W346" s="73">
        <f t="shared" si="98"/>
        <v>0</v>
      </c>
      <c r="Y346" s="274">
        <f t="shared" si="125"/>
        <v>0</v>
      </c>
      <c r="Z346" s="274">
        <f t="shared" si="113"/>
        <v>0</v>
      </c>
      <c r="AA346" s="274">
        <f t="shared" si="114"/>
        <v>0</v>
      </c>
      <c r="AB346" s="274">
        <f t="shared" si="115"/>
        <v>0</v>
      </c>
      <c r="AC346" s="274">
        <f t="shared" si="116"/>
        <v>0</v>
      </c>
      <c r="AD346" s="274">
        <f t="shared" si="117"/>
        <v>0</v>
      </c>
      <c r="AE346" s="274">
        <f t="shared" si="118"/>
        <v>0</v>
      </c>
      <c r="AF346" s="274">
        <f t="shared" si="119"/>
        <v>0</v>
      </c>
      <c r="AG346" s="274">
        <f t="shared" si="120"/>
        <v>0</v>
      </c>
      <c r="AH346" s="274">
        <f t="shared" si="121"/>
        <v>0</v>
      </c>
      <c r="AI346" s="274">
        <f t="shared" si="122"/>
        <v>0</v>
      </c>
      <c r="AJ346" s="274">
        <f t="shared" si="123"/>
        <v>0</v>
      </c>
      <c r="AK346" s="235">
        <f t="shared" si="124"/>
        <v>0</v>
      </c>
      <c r="AL346" s="73">
        <f t="shared" si="126"/>
        <v>0</v>
      </c>
      <c r="AM346" s="16">
        <f t="shared" si="127"/>
        <v>0</v>
      </c>
      <c r="AO346" s="198"/>
    </row>
    <row r="347" spans="1:43" ht="15" hidden="1" outlineLevel="1">
      <c r="I347" s="268" t="s">
        <v>307</v>
      </c>
      <c r="J347" s="274">
        <v>0</v>
      </c>
      <c r="K347" s="277">
        <v>0</v>
      </c>
      <c r="L347" s="277">
        <v>0</v>
      </c>
      <c r="M347" s="277">
        <v>0</v>
      </c>
      <c r="N347" s="277">
        <v>0</v>
      </c>
      <c r="O347" s="277">
        <v>651</v>
      </c>
      <c r="P347" s="278">
        <v>1844</v>
      </c>
      <c r="Q347" s="278">
        <v>2814</v>
      </c>
      <c r="R347" s="278">
        <v>23247</v>
      </c>
      <c r="S347" s="277">
        <v>42</v>
      </c>
      <c r="T347" s="277">
        <v>18</v>
      </c>
      <c r="U347" s="278">
        <v>52498</v>
      </c>
      <c r="V347" s="235">
        <f t="shared" si="112"/>
        <v>81114</v>
      </c>
      <c r="W347" s="73">
        <f t="shared" si="98"/>
        <v>2.460892000979933E-4</v>
      </c>
      <c r="Y347" s="274">
        <f t="shared" si="125"/>
        <v>0</v>
      </c>
      <c r="Z347" s="274">
        <f t="shared" si="113"/>
        <v>0</v>
      </c>
      <c r="AA347" s="274">
        <f t="shared" si="114"/>
        <v>0</v>
      </c>
      <c r="AB347" s="274">
        <f t="shared" si="115"/>
        <v>0</v>
      </c>
      <c r="AC347" s="274">
        <f t="shared" si="116"/>
        <v>0</v>
      </c>
      <c r="AD347" s="274">
        <f t="shared" si="117"/>
        <v>675.41250000000002</v>
      </c>
      <c r="AE347" s="274">
        <f t="shared" si="118"/>
        <v>1913.15</v>
      </c>
      <c r="AF347" s="274">
        <f t="shared" si="119"/>
        <v>2919.5250000000001</v>
      </c>
      <c r="AG347" s="274">
        <f t="shared" si="120"/>
        <v>24118.762500000001</v>
      </c>
      <c r="AH347" s="274">
        <f t="shared" si="121"/>
        <v>43.575000000000003</v>
      </c>
      <c r="AI347" s="274">
        <f t="shared" si="122"/>
        <v>18.675000000000001</v>
      </c>
      <c r="AJ347" s="274">
        <f t="shared" si="123"/>
        <v>54466.675000000003</v>
      </c>
      <c r="AK347" s="235">
        <f t="shared" si="124"/>
        <v>84155.774999999994</v>
      </c>
      <c r="AL347" s="73">
        <f t="shared" si="126"/>
        <v>2.3454840503404293E-4</v>
      </c>
      <c r="AM347" s="16">
        <f t="shared" si="127"/>
        <v>3.7499999999999867E-2</v>
      </c>
    </row>
    <row r="348" spans="1:43" ht="15" hidden="1" outlineLevel="1">
      <c r="I348" s="268" t="s">
        <v>308</v>
      </c>
      <c r="J348" s="274">
        <v>0</v>
      </c>
      <c r="K348" s="277">
        <v>0</v>
      </c>
      <c r="L348" s="277">
        <v>0</v>
      </c>
      <c r="M348" s="277">
        <v>0</v>
      </c>
      <c r="N348" s="277">
        <v>0</v>
      </c>
      <c r="O348" s="277">
        <v>0</v>
      </c>
      <c r="P348" s="277">
        <v>0</v>
      </c>
      <c r="Q348" s="277">
        <v>0</v>
      </c>
      <c r="R348" s="277">
        <v>0</v>
      </c>
      <c r="S348" s="277">
        <v>0</v>
      </c>
      <c r="T348" s="277">
        <v>0</v>
      </c>
      <c r="U348" s="277">
        <v>0</v>
      </c>
      <c r="V348" s="235">
        <f t="shared" si="112"/>
        <v>0</v>
      </c>
      <c r="W348" s="73">
        <f t="shared" si="98"/>
        <v>0</v>
      </c>
      <c r="Y348" s="274">
        <f t="shared" si="125"/>
        <v>0</v>
      </c>
      <c r="Z348" s="274">
        <f t="shared" si="113"/>
        <v>0</v>
      </c>
      <c r="AA348" s="274">
        <f t="shared" si="114"/>
        <v>0</v>
      </c>
      <c r="AB348" s="274">
        <f t="shared" si="115"/>
        <v>0</v>
      </c>
      <c r="AC348" s="274">
        <f t="shared" si="116"/>
        <v>0</v>
      </c>
      <c r="AD348" s="274">
        <f t="shared" si="117"/>
        <v>0</v>
      </c>
      <c r="AE348" s="274">
        <f t="shared" si="118"/>
        <v>0</v>
      </c>
      <c r="AF348" s="274">
        <f t="shared" si="119"/>
        <v>0</v>
      </c>
      <c r="AG348" s="274">
        <f t="shared" si="120"/>
        <v>0</v>
      </c>
      <c r="AH348" s="274">
        <f t="shared" si="121"/>
        <v>0</v>
      </c>
      <c r="AI348" s="274">
        <f t="shared" si="122"/>
        <v>0</v>
      </c>
      <c r="AJ348" s="274">
        <f t="shared" si="123"/>
        <v>0</v>
      </c>
      <c r="AK348" s="235">
        <f t="shared" si="124"/>
        <v>0</v>
      </c>
      <c r="AL348" s="73">
        <f t="shared" si="126"/>
        <v>0</v>
      </c>
      <c r="AM348" s="16">
        <f t="shared" si="127"/>
        <v>0</v>
      </c>
    </row>
    <row r="349" spans="1:43" ht="15" hidden="1" outlineLevel="1">
      <c r="I349" s="268" t="s">
        <v>309</v>
      </c>
      <c r="J349" s="274">
        <v>0</v>
      </c>
      <c r="K349" s="277">
        <v>0</v>
      </c>
      <c r="L349" s="277">
        <v>0</v>
      </c>
      <c r="M349" s="277">
        <v>0</v>
      </c>
      <c r="N349" s="277">
        <v>0</v>
      </c>
      <c r="O349" s="277">
        <v>0</v>
      </c>
      <c r="P349" s="277">
        <v>0</v>
      </c>
      <c r="Q349" s="277">
        <v>0</v>
      </c>
      <c r="R349" s="277">
        <v>0</v>
      </c>
      <c r="S349" s="277">
        <v>0</v>
      </c>
      <c r="T349" s="277">
        <v>0</v>
      </c>
      <c r="U349" s="277">
        <v>0</v>
      </c>
      <c r="V349" s="235">
        <f t="shared" si="112"/>
        <v>0</v>
      </c>
      <c r="W349" s="73">
        <f t="shared" si="98"/>
        <v>0</v>
      </c>
      <c r="Y349" s="274">
        <f t="shared" si="125"/>
        <v>0</v>
      </c>
      <c r="Z349" s="274">
        <f t="shared" si="113"/>
        <v>0</v>
      </c>
      <c r="AA349" s="274">
        <f t="shared" si="114"/>
        <v>0</v>
      </c>
      <c r="AB349" s="274">
        <f t="shared" si="115"/>
        <v>0</v>
      </c>
      <c r="AC349" s="274">
        <f t="shared" si="116"/>
        <v>0</v>
      </c>
      <c r="AD349" s="274">
        <f t="shared" si="117"/>
        <v>0</v>
      </c>
      <c r="AE349" s="274">
        <f t="shared" si="118"/>
        <v>0</v>
      </c>
      <c r="AF349" s="274">
        <f t="shared" si="119"/>
        <v>0</v>
      </c>
      <c r="AG349" s="274">
        <f t="shared" si="120"/>
        <v>0</v>
      </c>
      <c r="AH349" s="274">
        <f t="shared" si="121"/>
        <v>0</v>
      </c>
      <c r="AI349" s="274">
        <f t="shared" si="122"/>
        <v>0</v>
      </c>
      <c r="AJ349" s="274">
        <f t="shared" si="123"/>
        <v>0</v>
      </c>
      <c r="AK349" s="235">
        <f t="shared" si="124"/>
        <v>0</v>
      </c>
      <c r="AL349" s="73">
        <f t="shared" si="126"/>
        <v>0</v>
      </c>
      <c r="AM349" s="16">
        <f t="shared" si="127"/>
        <v>0</v>
      </c>
    </row>
    <row r="350" spans="1:43" ht="15" hidden="1" outlineLevel="1">
      <c r="I350" s="259" t="s">
        <v>310</v>
      </c>
      <c r="J350" s="274">
        <v>0</v>
      </c>
      <c r="K350" s="277">
        <v>0</v>
      </c>
      <c r="L350" s="277">
        <v>0</v>
      </c>
      <c r="M350" s="277">
        <v>0</v>
      </c>
      <c r="N350" s="277">
        <v>0</v>
      </c>
      <c r="O350" s="277">
        <v>0</v>
      </c>
      <c r="P350" s="277">
        <v>0</v>
      </c>
      <c r="Q350" s="277">
        <v>0</v>
      </c>
      <c r="R350" s="277">
        <v>0</v>
      </c>
      <c r="S350" s="277">
        <v>0</v>
      </c>
      <c r="T350" s="277">
        <v>0</v>
      </c>
      <c r="U350" s="277">
        <v>0</v>
      </c>
      <c r="V350" s="235">
        <f t="shared" si="112"/>
        <v>0</v>
      </c>
      <c r="W350" s="73">
        <f t="shared" si="98"/>
        <v>0</v>
      </c>
      <c r="Y350" s="274">
        <f t="shared" si="125"/>
        <v>0</v>
      </c>
      <c r="Z350" s="274">
        <f t="shared" si="113"/>
        <v>0</v>
      </c>
      <c r="AA350" s="274">
        <f t="shared" si="114"/>
        <v>0</v>
      </c>
      <c r="AB350" s="274">
        <f t="shared" si="115"/>
        <v>0</v>
      </c>
      <c r="AC350" s="274">
        <f t="shared" si="116"/>
        <v>0</v>
      </c>
      <c r="AD350" s="274">
        <f t="shared" si="117"/>
        <v>0</v>
      </c>
      <c r="AE350" s="274">
        <f t="shared" si="118"/>
        <v>0</v>
      </c>
      <c r="AF350" s="274">
        <f t="shared" si="119"/>
        <v>0</v>
      </c>
      <c r="AG350" s="274">
        <f t="shared" si="120"/>
        <v>0</v>
      </c>
      <c r="AH350" s="274">
        <f t="shared" si="121"/>
        <v>0</v>
      </c>
      <c r="AI350" s="274">
        <f t="shared" si="122"/>
        <v>0</v>
      </c>
      <c r="AJ350" s="274">
        <f t="shared" si="123"/>
        <v>0</v>
      </c>
      <c r="AK350" s="235">
        <f t="shared" si="124"/>
        <v>0</v>
      </c>
      <c r="AL350" s="73">
        <f t="shared" si="126"/>
        <v>0</v>
      </c>
      <c r="AM350" s="16">
        <f t="shared" si="127"/>
        <v>0</v>
      </c>
    </row>
    <row r="351" spans="1:43" ht="15" hidden="1" outlineLevel="1">
      <c r="I351" s="269" t="s">
        <v>311</v>
      </c>
      <c r="J351" s="274">
        <v>0</v>
      </c>
      <c r="K351" s="277">
        <v>0</v>
      </c>
      <c r="L351" s="277">
        <v>0</v>
      </c>
      <c r="M351" s="277">
        <v>0</v>
      </c>
      <c r="N351" s="277">
        <v>0</v>
      </c>
      <c r="O351" s="277">
        <v>0</v>
      </c>
      <c r="P351" s="277">
        <v>0</v>
      </c>
      <c r="Q351" s="277">
        <v>0</v>
      </c>
      <c r="R351" s="277">
        <v>0</v>
      </c>
      <c r="S351" s="277">
        <v>0</v>
      </c>
      <c r="T351" s="277">
        <v>0</v>
      </c>
      <c r="U351" s="277">
        <v>0</v>
      </c>
      <c r="V351" s="235">
        <f t="shared" si="112"/>
        <v>0</v>
      </c>
      <c r="W351" s="73">
        <f t="shared" si="98"/>
        <v>0</v>
      </c>
      <c r="Y351" s="274">
        <f t="shared" si="125"/>
        <v>0</v>
      </c>
      <c r="Z351" s="274">
        <f t="shared" si="113"/>
        <v>0</v>
      </c>
      <c r="AA351" s="274">
        <f t="shared" si="114"/>
        <v>0</v>
      </c>
      <c r="AB351" s="274">
        <f t="shared" si="115"/>
        <v>0</v>
      </c>
      <c r="AC351" s="274">
        <f t="shared" si="116"/>
        <v>0</v>
      </c>
      <c r="AD351" s="274">
        <f t="shared" si="117"/>
        <v>0</v>
      </c>
      <c r="AE351" s="274">
        <f t="shared" si="118"/>
        <v>0</v>
      </c>
      <c r="AF351" s="274">
        <f t="shared" si="119"/>
        <v>0</v>
      </c>
      <c r="AG351" s="274">
        <f t="shared" si="120"/>
        <v>0</v>
      </c>
      <c r="AH351" s="274">
        <f t="shared" si="121"/>
        <v>0</v>
      </c>
      <c r="AI351" s="274">
        <f t="shared" si="122"/>
        <v>0</v>
      </c>
      <c r="AJ351" s="274">
        <f t="shared" si="123"/>
        <v>0</v>
      </c>
      <c r="AK351" s="235">
        <f t="shared" si="124"/>
        <v>0</v>
      </c>
      <c r="AL351" s="73">
        <f t="shared" si="126"/>
        <v>0</v>
      </c>
      <c r="AM351" s="16">
        <f t="shared" si="127"/>
        <v>0</v>
      </c>
    </row>
    <row r="352" spans="1:43" ht="15" hidden="1" outlineLevel="1">
      <c r="I352" s="269" t="s">
        <v>436</v>
      </c>
      <c r="J352" s="274">
        <v>0</v>
      </c>
      <c r="K352" s="277">
        <v>0</v>
      </c>
      <c r="L352" s="277">
        <v>0</v>
      </c>
      <c r="M352" s="277">
        <v>0</v>
      </c>
      <c r="N352" s="277">
        <v>0</v>
      </c>
      <c r="O352" s="277">
        <v>0</v>
      </c>
      <c r="P352" s="277">
        <v>0</v>
      </c>
      <c r="Q352" s="277">
        <v>0</v>
      </c>
      <c r="R352" s="277">
        <v>0</v>
      </c>
      <c r="S352" s="277">
        <v>0</v>
      </c>
      <c r="T352" s="277">
        <v>0</v>
      </c>
      <c r="U352" s="277">
        <v>0</v>
      </c>
      <c r="V352" s="235">
        <f t="shared" si="112"/>
        <v>0</v>
      </c>
      <c r="W352" s="73">
        <f t="shared" si="98"/>
        <v>0</v>
      </c>
      <c r="Y352" s="274">
        <f t="shared" si="125"/>
        <v>0</v>
      </c>
      <c r="Z352" s="274">
        <f t="shared" si="113"/>
        <v>0</v>
      </c>
      <c r="AA352" s="274">
        <f t="shared" si="114"/>
        <v>0</v>
      </c>
      <c r="AB352" s="274">
        <f t="shared" si="115"/>
        <v>0</v>
      </c>
      <c r="AC352" s="274">
        <f t="shared" si="116"/>
        <v>0</v>
      </c>
      <c r="AD352" s="274">
        <f t="shared" si="117"/>
        <v>0</v>
      </c>
      <c r="AE352" s="274">
        <f t="shared" si="118"/>
        <v>0</v>
      </c>
      <c r="AF352" s="274">
        <f t="shared" si="119"/>
        <v>0</v>
      </c>
      <c r="AG352" s="274">
        <f t="shared" si="120"/>
        <v>0</v>
      </c>
      <c r="AH352" s="274">
        <f t="shared" si="121"/>
        <v>0</v>
      </c>
      <c r="AI352" s="274">
        <f t="shared" si="122"/>
        <v>0</v>
      </c>
      <c r="AJ352" s="274">
        <f t="shared" si="123"/>
        <v>0</v>
      </c>
      <c r="AK352" s="235">
        <f t="shared" si="124"/>
        <v>0</v>
      </c>
      <c r="AL352" s="73">
        <f t="shared" si="126"/>
        <v>0</v>
      </c>
      <c r="AM352" s="16">
        <f t="shared" si="127"/>
        <v>0</v>
      </c>
    </row>
    <row r="353" spans="9:39" ht="15" hidden="1" outlineLevel="1">
      <c r="I353" s="269"/>
      <c r="J353" s="274">
        <v>0</v>
      </c>
      <c r="K353" s="277">
        <v>0</v>
      </c>
      <c r="L353" s="277">
        <v>0</v>
      </c>
      <c r="M353" s="277">
        <v>0</v>
      </c>
      <c r="N353" s="277">
        <v>0</v>
      </c>
      <c r="O353" s="277">
        <v>0</v>
      </c>
      <c r="P353" s="277">
        <v>0</v>
      </c>
      <c r="Q353" s="277">
        <v>0</v>
      </c>
      <c r="R353" s="277">
        <v>0</v>
      </c>
      <c r="S353" s="277">
        <v>0</v>
      </c>
      <c r="T353" s="277">
        <v>0</v>
      </c>
      <c r="U353" s="277">
        <v>0</v>
      </c>
      <c r="V353" s="235">
        <f t="shared" si="112"/>
        <v>0</v>
      </c>
      <c r="W353" s="73">
        <f t="shared" si="98"/>
        <v>0</v>
      </c>
      <c r="Y353" s="274">
        <f t="shared" si="125"/>
        <v>0</v>
      </c>
      <c r="Z353" s="274">
        <f t="shared" si="113"/>
        <v>0</v>
      </c>
      <c r="AA353" s="274">
        <f t="shared" si="114"/>
        <v>0</v>
      </c>
      <c r="AB353" s="274">
        <f t="shared" si="115"/>
        <v>0</v>
      </c>
      <c r="AC353" s="274">
        <f t="shared" si="116"/>
        <v>0</v>
      </c>
      <c r="AD353" s="274">
        <f t="shared" si="117"/>
        <v>0</v>
      </c>
      <c r="AE353" s="274">
        <f t="shared" si="118"/>
        <v>0</v>
      </c>
      <c r="AF353" s="274">
        <f t="shared" si="119"/>
        <v>0</v>
      </c>
      <c r="AG353" s="274">
        <f t="shared" si="120"/>
        <v>0</v>
      </c>
      <c r="AH353" s="274">
        <f t="shared" si="121"/>
        <v>0</v>
      </c>
      <c r="AI353" s="274">
        <f t="shared" si="122"/>
        <v>0</v>
      </c>
      <c r="AJ353" s="274">
        <f t="shared" si="123"/>
        <v>0</v>
      </c>
      <c r="AK353" s="235">
        <f t="shared" si="124"/>
        <v>0</v>
      </c>
      <c r="AL353" s="73">
        <f t="shared" si="126"/>
        <v>0</v>
      </c>
      <c r="AM353" s="16">
        <f t="shared" si="127"/>
        <v>0</v>
      </c>
    </row>
    <row r="354" spans="9:39" ht="15" hidden="1" outlineLevel="1">
      <c r="I354" s="269" t="s">
        <v>313</v>
      </c>
      <c r="J354" s="274">
        <v>0</v>
      </c>
      <c r="K354" s="277">
        <v>0</v>
      </c>
      <c r="L354" s="277">
        <v>0</v>
      </c>
      <c r="M354" s="277">
        <v>0</v>
      </c>
      <c r="N354" s="277">
        <v>0</v>
      </c>
      <c r="O354" s="277">
        <v>0</v>
      </c>
      <c r="P354" s="277">
        <v>0</v>
      </c>
      <c r="Q354" s="277">
        <v>0</v>
      </c>
      <c r="R354" s="277">
        <v>0</v>
      </c>
      <c r="S354" s="277">
        <v>0</v>
      </c>
      <c r="T354" s="277">
        <v>0</v>
      </c>
      <c r="U354" s="277">
        <v>0</v>
      </c>
      <c r="V354" s="235">
        <f t="shared" si="112"/>
        <v>0</v>
      </c>
      <c r="W354" s="73">
        <f t="shared" si="98"/>
        <v>0</v>
      </c>
      <c r="Y354" s="274">
        <f t="shared" si="125"/>
        <v>0</v>
      </c>
      <c r="Z354" s="274">
        <f t="shared" si="113"/>
        <v>0</v>
      </c>
      <c r="AA354" s="274">
        <f t="shared" si="114"/>
        <v>0</v>
      </c>
      <c r="AB354" s="274">
        <f t="shared" si="115"/>
        <v>0</v>
      </c>
      <c r="AC354" s="274">
        <f t="shared" si="116"/>
        <v>0</v>
      </c>
      <c r="AD354" s="274">
        <f t="shared" si="117"/>
        <v>0</v>
      </c>
      <c r="AE354" s="274">
        <f t="shared" si="118"/>
        <v>0</v>
      </c>
      <c r="AF354" s="274">
        <f t="shared" si="119"/>
        <v>0</v>
      </c>
      <c r="AG354" s="274">
        <f t="shared" si="120"/>
        <v>0</v>
      </c>
      <c r="AH354" s="274">
        <f t="shared" si="121"/>
        <v>0</v>
      </c>
      <c r="AI354" s="274">
        <f t="shared" si="122"/>
        <v>0</v>
      </c>
      <c r="AJ354" s="274">
        <f t="shared" si="123"/>
        <v>0</v>
      </c>
      <c r="AK354" s="235">
        <f t="shared" si="124"/>
        <v>0</v>
      </c>
      <c r="AL354" s="73">
        <f t="shared" si="126"/>
        <v>0</v>
      </c>
      <c r="AM354" s="16">
        <f t="shared" si="127"/>
        <v>0</v>
      </c>
    </row>
    <row r="355" spans="9:39" ht="15" hidden="1" outlineLevel="1">
      <c r="I355" s="269" t="s">
        <v>314</v>
      </c>
      <c r="J355" s="274">
        <v>0</v>
      </c>
      <c r="K355" s="277">
        <v>0</v>
      </c>
      <c r="L355" s="277">
        <v>0</v>
      </c>
      <c r="M355" s="277">
        <v>0</v>
      </c>
      <c r="N355" s="277">
        <v>0</v>
      </c>
      <c r="O355" s="277">
        <v>0</v>
      </c>
      <c r="P355" s="277">
        <v>0</v>
      </c>
      <c r="Q355" s="277">
        <v>0</v>
      </c>
      <c r="R355" s="277">
        <v>0</v>
      </c>
      <c r="S355" s="277">
        <v>0</v>
      </c>
      <c r="T355" s="277">
        <v>0</v>
      </c>
      <c r="U355" s="277">
        <v>0</v>
      </c>
      <c r="V355" s="235">
        <f t="shared" si="112"/>
        <v>0</v>
      </c>
      <c r="W355" s="73">
        <f t="shared" si="98"/>
        <v>0</v>
      </c>
      <c r="Y355" s="274">
        <f t="shared" si="125"/>
        <v>0</v>
      </c>
      <c r="Z355" s="274">
        <f t="shared" si="113"/>
        <v>0</v>
      </c>
      <c r="AA355" s="274">
        <f t="shared" si="114"/>
        <v>0</v>
      </c>
      <c r="AB355" s="274">
        <f t="shared" si="115"/>
        <v>0</v>
      </c>
      <c r="AC355" s="274">
        <f t="shared" si="116"/>
        <v>0</v>
      </c>
      <c r="AD355" s="274">
        <f t="shared" si="117"/>
        <v>0</v>
      </c>
      <c r="AE355" s="274">
        <f t="shared" si="118"/>
        <v>0</v>
      </c>
      <c r="AF355" s="274">
        <f t="shared" si="119"/>
        <v>0</v>
      </c>
      <c r="AG355" s="274">
        <f t="shared" si="120"/>
        <v>0</v>
      </c>
      <c r="AH355" s="274">
        <f t="shared" si="121"/>
        <v>0</v>
      </c>
      <c r="AI355" s="274">
        <f t="shared" si="122"/>
        <v>0</v>
      </c>
      <c r="AJ355" s="274">
        <f t="shared" si="123"/>
        <v>0</v>
      </c>
      <c r="AK355" s="235">
        <f t="shared" si="124"/>
        <v>0</v>
      </c>
      <c r="AL355" s="73">
        <f t="shared" si="126"/>
        <v>0</v>
      </c>
      <c r="AM355" s="16">
        <f t="shared" si="127"/>
        <v>0</v>
      </c>
    </row>
    <row r="356" spans="9:39" ht="15" hidden="1" outlineLevel="1">
      <c r="I356" s="269" t="s">
        <v>315</v>
      </c>
      <c r="J356" s="274">
        <v>0</v>
      </c>
      <c r="K356" s="277">
        <v>0</v>
      </c>
      <c r="L356" s="277">
        <v>0</v>
      </c>
      <c r="M356" s="277">
        <v>0</v>
      </c>
      <c r="N356" s="277">
        <v>0</v>
      </c>
      <c r="O356" s="277">
        <v>0</v>
      </c>
      <c r="P356" s="277">
        <v>0</v>
      </c>
      <c r="Q356" s="277">
        <v>0</v>
      </c>
      <c r="R356" s="277">
        <v>0</v>
      </c>
      <c r="S356" s="277">
        <v>0</v>
      </c>
      <c r="T356" s="277">
        <v>0</v>
      </c>
      <c r="U356" s="277">
        <v>0</v>
      </c>
      <c r="V356" s="235">
        <f t="shared" si="112"/>
        <v>0</v>
      </c>
      <c r="W356" s="73">
        <f t="shared" si="98"/>
        <v>0</v>
      </c>
      <c r="Y356" s="274">
        <f t="shared" si="125"/>
        <v>0</v>
      </c>
      <c r="Z356" s="274">
        <f t="shared" si="113"/>
        <v>0</v>
      </c>
      <c r="AA356" s="274">
        <f t="shared" si="114"/>
        <v>0</v>
      </c>
      <c r="AB356" s="274">
        <f t="shared" si="115"/>
        <v>0</v>
      </c>
      <c r="AC356" s="274">
        <f t="shared" si="116"/>
        <v>0</v>
      </c>
      <c r="AD356" s="274">
        <f t="shared" si="117"/>
        <v>0</v>
      </c>
      <c r="AE356" s="274">
        <f t="shared" si="118"/>
        <v>0</v>
      </c>
      <c r="AF356" s="274">
        <f t="shared" si="119"/>
        <v>0</v>
      </c>
      <c r="AG356" s="274">
        <f t="shared" si="120"/>
        <v>0</v>
      </c>
      <c r="AH356" s="274">
        <f t="shared" si="121"/>
        <v>0</v>
      </c>
      <c r="AI356" s="274">
        <f t="shared" si="122"/>
        <v>0</v>
      </c>
      <c r="AJ356" s="274">
        <f t="shared" si="123"/>
        <v>0</v>
      </c>
      <c r="AK356" s="235">
        <f t="shared" si="124"/>
        <v>0</v>
      </c>
      <c r="AL356" s="73">
        <f t="shared" si="126"/>
        <v>0</v>
      </c>
      <c r="AM356" s="16">
        <f t="shared" si="127"/>
        <v>0</v>
      </c>
    </row>
    <row r="357" spans="9:39" ht="15" hidden="1" outlineLevel="1">
      <c r="I357" s="269" t="s">
        <v>316</v>
      </c>
      <c r="J357" s="274">
        <v>0</v>
      </c>
      <c r="K357" s="277">
        <v>0</v>
      </c>
      <c r="L357" s="277">
        <v>0</v>
      </c>
      <c r="M357" s="277">
        <v>0</v>
      </c>
      <c r="N357" s="277">
        <v>0</v>
      </c>
      <c r="O357" s="277">
        <v>0</v>
      </c>
      <c r="P357" s="277">
        <v>0</v>
      </c>
      <c r="Q357" s="277">
        <v>0</v>
      </c>
      <c r="R357" s="277">
        <v>0</v>
      </c>
      <c r="S357" s="277">
        <v>0</v>
      </c>
      <c r="T357" s="277">
        <v>0</v>
      </c>
      <c r="U357" s="277">
        <v>0</v>
      </c>
      <c r="V357" s="235">
        <f t="shared" si="112"/>
        <v>0</v>
      </c>
      <c r="W357" s="73">
        <f t="shared" si="98"/>
        <v>0</v>
      </c>
      <c r="Y357" s="274">
        <f t="shared" si="125"/>
        <v>0</v>
      </c>
      <c r="Z357" s="274">
        <f t="shared" si="113"/>
        <v>0</v>
      </c>
      <c r="AA357" s="274">
        <f t="shared" si="114"/>
        <v>0</v>
      </c>
      <c r="AB357" s="274">
        <f t="shared" si="115"/>
        <v>0</v>
      </c>
      <c r="AC357" s="274">
        <f t="shared" si="116"/>
        <v>0</v>
      </c>
      <c r="AD357" s="274">
        <f t="shared" si="117"/>
        <v>0</v>
      </c>
      <c r="AE357" s="274">
        <f t="shared" si="118"/>
        <v>0</v>
      </c>
      <c r="AF357" s="274">
        <f t="shared" si="119"/>
        <v>0</v>
      </c>
      <c r="AG357" s="274">
        <f t="shared" si="120"/>
        <v>0</v>
      </c>
      <c r="AH357" s="274">
        <f t="shared" si="121"/>
        <v>0</v>
      </c>
      <c r="AI357" s="274">
        <f t="shared" si="122"/>
        <v>0</v>
      </c>
      <c r="AJ357" s="274">
        <f t="shared" si="123"/>
        <v>0</v>
      </c>
      <c r="AK357" s="235">
        <f t="shared" si="124"/>
        <v>0</v>
      </c>
      <c r="AL357" s="73">
        <f t="shared" si="126"/>
        <v>0</v>
      </c>
      <c r="AM357" s="16">
        <f t="shared" si="127"/>
        <v>0</v>
      </c>
    </row>
    <row r="358" spans="9:39" ht="15">
      <c r="I358" s="259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</row>
    <row r="359" spans="9:39" ht="15" collapsed="1">
      <c r="I359" s="270" t="s">
        <v>318</v>
      </c>
      <c r="J359" s="273">
        <v>71522</v>
      </c>
      <c r="K359" s="273">
        <v>71982</v>
      </c>
      <c r="L359" s="273">
        <v>77020</v>
      </c>
      <c r="M359" s="273">
        <v>93772</v>
      </c>
      <c r="N359" s="273">
        <v>83185</v>
      </c>
      <c r="O359" s="273">
        <v>79994</v>
      </c>
      <c r="P359" s="273">
        <v>89705</v>
      </c>
      <c r="Q359" s="273">
        <v>87333</v>
      </c>
      <c r="R359" s="273">
        <v>92726</v>
      </c>
      <c r="S359" s="273">
        <v>126121</v>
      </c>
      <c r="T359" s="273">
        <v>86264</v>
      </c>
      <c r="U359" s="273">
        <v>89691</v>
      </c>
      <c r="V359" s="231">
        <f>SUM(V360:V364)</f>
        <v>60016</v>
      </c>
      <c r="W359" s="72">
        <f t="shared" ref="W359:W360" si="128">V359/V$6</f>
        <v>1.8208064493282499E-4</v>
      </c>
      <c r="Y359" s="273">
        <v>71522</v>
      </c>
      <c r="Z359" s="273">
        <v>71982</v>
      </c>
      <c r="AA359" s="273">
        <v>77020</v>
      </c>
      <c r="AB359" s="273">
        <v>93772</v>
      </c>
      <c r="AC359" s="273">
        <v>83185</v>
      </c>
      <c r="AD359" s="273">
        <v>79994</v>
      </c>
      <c r="AE359" s="273">
        <v>89705</v>
      </c>
      <c r="AF359" s="273">
        <v>87333</v>
      </c>
      <c r="AG359" s="273">
        <v>92726</v>
      </c>
      <c r="AH359" s="273">
        <v>126121</v>
      </c>
      <c r="AI359" s="273">
        <v>86264</v>
      </c>
      <c r="AJ359" s="273">
        <v>89691</v>
      </c>
      <c r="AK359" s="231">
        <f>SUM(AK360:AK364)</f>
        <v>62266.6</v>
      </c>
      <c r="AL359" s="72">
        <f t="shared" ref="AL359:AL360" si="129">AK359/AK$6</f>
        <v>1.7354164603549475E-4</v>
      </c>
      <c r="AM359" s="10">
        <f>IFERROR(AK359/V359-1,0)</f>
        <v>3.7499999999999867E-2</v>
      </c>
    </row>
    <row r="360" spans="9:39" ht="15" hidden="1" outlineLevel="1">
      <c r="I360" s="259" t="s">
        <v>319</v>
      </c>
      <c r="J360" s="278">
        <v>1681</v>
      </c>
      <c r="K360" s="278">
        <v>1602</v>
      </c>
      <c r="L360" s="278">
        <v>5859</v>
      </c>
      <c r="M360" s="277">
        <v>0</v>
      </c>
      <c r="N360" s="277">
        <v>668</v>
      </c>
      <c r="O360" s="278">
        <v>3248</v>
      </c>
      <c r="P360" s="278">
        <v>1917</v>
      </c>
      <c r="Q360" s="277">
        <v>0</v>
      </c>
      <c r="R360" s="278">
        <v>3213</v>
      </c>
      <c r="S360" s="278">
        <v>12098</v>
      </c>
      <c r="T360" s="277">
        <v>0</v>
      </c>
      <c r="U360" s="278">
        <v>2271</v>
      </c>
      <c r="V360" s="235">
        <f t="shared" ref="V360:V364" si="130">SUM(J360:U360)</f>
        <v>32557</v>
      </c>
      <c r="W360" s="73">
        <f>V360/V$6</f>
        <v>9.877365297717248E-5</v>
      </c>
      <c r="Y360" s="278">
        <f>+J360*1.0375</f>
        <v>1744.0375000000001</v>
      </c>
      <c r="Z360" s="278">
        <f t="shared" ref="Z360:Z364" si="131">+K360*1.0375</f>
        <v>1662.075</v>
      </c>
      <c r="AA360" s="278">
        <f t="shared" ref="AA360:AA364" si="132">+L360*1.0375</f>
        <v>6078.7125000000005</v>
      </c>
      <c r="AB360" s="278">
        <f t="shared" ref="AB360:AB364" si="133">+M360*1.0375</f>
        <v>0</v>
      </c>
      <c r="AC360" s="278">
        <f t="shared" ref="AC360:AC364" si="134">+N360*1.0375</f>
        <v>693.05000000000007</v>
      </c>
      <c r="AD360" s="278">
        <f t="shared" ref="AD360:AD364" si="135">+O360*1.0375</f>
        <v>3369.8</v>
      </c>
      <c r="AE360" s="278">
        <f t="shared" ref="AE360:AE364" si="136">+P360*1.0375</f>
        <v>1988.8875000000003</v>
      </c>
      <c r="AF360" s="278">
        <f t="shared" ref="AF360:AF364" si="137">+Q360*1.0375</f>
        <v>0</v>
      </c>
      <c r="AG360" s="278">
        <f t="shared" ref="AG360:AG364" si="138">+R360*1.0375</f>
        <v>3333.4875000000002</v>
      </c>
      <c r="AH360" s="278">
        <f t="shared" ref="AH360:AH364" si="139">+S360*1.0375</f>
        <v>12551.675000000001</v>
      </c>
      <c r="AI360" s="278">
        <f t="shared" ref="AI360:AI364" si="140">+T360*1.0375</f>
        <v>0</v>
      </c>
      <c r="AJ360" s="278">
        <f t="shared" ref="AJ360:AJ364" si="141">+U360*1.0375</f>
        <v>2356.1625000000004</v>
      </c>
      <c r="AK360" s="235">
        <f t="shared" ref="AK360:AK364" si="142">SUM(Y360:AJ360)</f>
        <v>33777.887499999997</v>
      </c>
      <c r="AL360" s="73">
        <f>AK360/AK$6</f>
        <v>9.4141485103599074E-5</v>
      </c>
      <c r="AM360" s="16">
        <f>IFERROR(AK360/V360-1,0)</f>
        <v>3.7499999999999867E-2</v>
      </c>
    </row>
    <row r="361" spans="9:39" ht="15" hidden="1" outlineLevel="1">
      <c r="I361" s="259" t="s">
        <v>320</v>
      </c>
      <c r="J361" s="277">
        <v>0</v>
      </c>
      <c r="K361" s="277">
        <v>0</v>
      </c>
      <c r="L361" s="277">
        <v>0</v>
      </c>
      <c r="M361" s="277">
        <v>0</v>
      </c>
      <c r="N361" s="277">
        <v>0</v>
      </c>
      <c r="O361" s="277">
        <v>0</v>
      </c>
      <c r="P361" s="277">
        <v>0</v>
      </c>
      <c r="Q361" s="277">
        <v>0</v>
      </c>
      <c r="R361" s="277">
        <v>0</v>
      </c>
      <c r="S361" s="277">
        <v>0</v>
      </c>
      <c r="T361" s="277">
        <v>0</v>
      </c>
      <c r="U361" s="277">
        <v>0</v>
      </c>
      <c r="V361" s="235">
        <f t="shared" si="130"/>
        <v>0</v>
      </c>
      <c r="W361" s="73">
        <f t="shared" ref="W361:W364" si="143">V361/V$6</f>
        <v>0</v>
      </c>
      <c r="Y361" s="278">
        <f t="shared" ref="Y361:Y364" si="144">+J361*1.0375</f>
        <v>0</v>
      </c>
      <c r="Z361" s="278">
        <f t="shared" si="131"/>
        <v>0</v>
      </c>
      <c r="AA361" s="278">
        <f t="shared" si="132"/>
        <v>0</v>
      </c>
      <c r="AB361" s="278">
        <f t="shared" si="133"/>
        <v>0</v>
      </c>
      <c r="AC361" s="278">
        <f t="shared" si="134"/>
        <v>0</v>
      </c>
      <c r="AD361" s="278">
        <f t="shared" si="135"/>
        <v>0</v>
      </c>
      <c r="AE361" s="278">
        <f t="shared" si="136"/>
        <v>0</v>
      </c>
      <c r="AF361" s="278">
        <f t="shared" si="137"/>
        <v>0</v>
      </c>
      <c r="AG361" s="278">
        <f t="shared" si="138"/>
        <v>0</v>
      </c>
      <c r="AH361" s="278">
        <f t="shared" si="139"/>
        <v>0</v>
      </c>
      <c r="AI361" s="278">
        <f t="shared" si="140"/>
        <v>0</v>
      </c>
      <c r="AJ361" s="278">
        <f t="shared" si="141"/>
        <v>0</v>
      </c>
      <c r="AK361" s="235">
        <f t="shared" si="142"/>
        <v>0</v>
      </c>
      <c r="AL361" s="73">
        <f t="shared" ref="AL361:AL364" si="145">AK361/AK$6</f>
        <v>0</v>
      </c>
      <c r="AM361" s="16">
        <f t="shared" ref="AM361:AM364" si="146">IFERROR(AK361/V361-1,0)</f>
        <v>0</v>
      </c>
    </row>
    <row r="362" spans="9:39" ht="15" hidden="1" outlineLevel="1">
      <c r="I362" s="259" t="s">
        <v>437</v>
      </c>
      <c r="J362" s="277">
        <v>0</v>
      </c>
      <c r="K362" s="277">
        <v>0</v>
      </c>
      <c r="L362" s="277">
        <v>0</v>
      </c>
      <c r="M362" s="277">
        <v>0</v>
      </c>
      <c r="N362" s="277">
        <v>0</v>
      </c>
      <c r="O362" s="277">
        <v>0</v>
      </c>
      <c r="P362" s="277">
        <v>0</v>
      </c>
      <c r="Q362" s="277">
        <v>0</v>
      </c>
      <c r="R362" s="277">
        <v>0</v>
      </c>
      <c r="S362" s="278">
        <v>27456</v>
      </c>
      <c r="T362" s="277">
        <v>0</v>
      </c>
      <c r="U362" s="277">
        <v>3</v>
      </c>
      <c r="V362" s="235">
        <f t="shared" si="130"/>
        <v>27459</v>
      </c>
      <c r="W362" s="73">
        <f t="shared" si="143"/>
        <v>8.3306991955652525E-5</v>
      </c>
      <c r="Y362" s="278">
        <f t="shared" si="144"/>
        <v>0</v>
      </c>
      <c r="Z362" s="278">
        <f t="shared" si="131"/>
        <v>0</v>
      </c>
      <c r="AA362" s="278">
        <f t="shared" si="132"/>
        <v>0</v>
      </c>
      <c r="AB362" s="278">
        <f t="shared" si="133"/>
        <v>0</v>
      </c>
      <c r="AC362" s="278">
        <f t="shared" si="134"/>
        <v>0</v>
      </c>
      <c r="AD362" s="278">
        <f t="shared" si="135"/>
        <v>0</v>
      </c>
      <c r="AE362" s="278">
        <f t="shared" si="136"/>
        <v>0</v>
      </c>
      <c r="AF362" s="278">
        <f t="shared" si="137"/>
        <v>0</v>
      </c>
      <c r="AG362" s="278">
        <f t="shared" si="138"/>
        <v>0</v>
      </c>
      <c r="AH362" s="278">
        <f t="shared" si="139"/>
        <v>28485.600000000002</v>
      </c>
      <c r="AI362" s="278">
        <f t="shared" si="140"/>
        <v>0</v>
      </c>
      <c r="AJ362" s="278">
        <f t="shared" si="141"/>
        <v>3.1125000000000003</v>
      </c>
      <c r="AK362" s="235">
        <f t="shared" si="142"/>
        <v>28488.712500000001</v>
      </c>
      <c r="AL362" s="73">
        <f t="shared" si="145"/>
        <v>7.9400160931895677E-5</v>
      </c>
      <c r="AM362" s="16">
        <f t="shared" si="146"/>
        <v>3.7500000000000089E-2</v>
      </c>
    </row>
    <row r="363" spans="9:39" ht="15" hidden="1" outlineLevel="1">
      <c r="I363" s="259" t="s">
        <v>322</v>
      </c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35">
        <f t="shared" si="130"/>
        <v>0</v>
      </c>
      <c r="W363" s="73">
        <f t="shared" si="143"/>
        <v>0</v>
      </c>
      <c r="Y363" s="278"/>
      <c r="Z363" s="278"/>
      <c r="AA363" s="278"/>
      <c r="AB363" s="278"/>
      <c r="AC363" s="278"/>
      <c r="AD363" s="278"/>
      <c r="AE363" s="278"/>
      <c r="AF363" s="278"/>
      <c r="AG363" s="278"/>
      <c r="AH363" s="278"/>
      <c r="AI363" s="278"/>
      <c r="AJ363" s="278"/>
      <c r="AK363" s="235">
        <f t="shared" si="142"/>
        <v>0</v>
      </c>
      <c r="AL363" s="73">
        <f t="shared" si="145"/>
        <v>0</v>
      </c>
      <c r="AM363" s="16">
        <f t="shared" si="146"/>
        <v>0</v>
      </c>
    </row>
    <row r="364" spans="9:39" ht="15" hidden="1" outlineLevel="1">
      <c r="I364" s="259" t="s">
        <v>323</v>
      </c>
      <c r="J364" s="277">
        <v>0</v>
      </c>
      <c r="K364" s="277">
        <v>0</v>
      </c>
      <c r="L364" s="277">
        <v>0</v>
      </c>
      <c r="M364" s="277">
        <v>0</v>
      </c>
      <c r="N364" s="277">
        <v>0</v>
      </c>
      <c r="O364" s="277">
        <v>0</v>
      </c>
      <c r="P364" s="277">
        <v>0</v>
      </c>
      <c r="Q364" s="277">
        <v>0</v>
      </c>
      <c r="R364" s="277">
        <v>0</v>
      </c>
      <c r="S364" s="277">
        <v>0</v>
      </c>
      <c r="T364" s="277">
        <v>0</v>
      </c>
      <c r="U364" s="277">
        <v>0</v>
      </c>
      <c r="V364" s="235">
        <f t="shared" si="130"/>
        <v>0</v>
      </c>
      <c r="W364" s="73">
        <f t="shared" si="143"/>
        <v>0</v>
      </c>
      <c r="Y364" s="278">
        <f t="shared" si="144"/>
        <v>0</v>
      </c>
      <c r="Z364" s="278">
        <f t="shared" si="131"/>
        <v>0</v>
      </c>
      <c r="AA364" s="278">
        <f t="shared" si="132"/>
        <v>0</v>
      </c>
      <c r="AB364" s="278">
        <f t="shared" si="133"/>
        <v>0</v>
      </c>
      <c r="AC364" s="278">
        <f t="shared" si="134"/>
        <v>0</v>
      </c>
      <c r="AD364" s="278">
        <f t="shared" si="135"/>
        <v>0</v>
      </c>
      <c r="AE364" s="278">
        <f t="shared" si="136"/>
        <v>0</v>
      </c>
      <c r="AF364" s="278">
        <f t="shared" si="137"/>
        <v>0</v>
      </c>
      <c r="AG364" s="278">
        <f t="shared" si="138"/>
        <v>0</v>
      </c>
      <c r="AH364" s="278">
        <f t="shared" si="139"/>
        <v>0</v>
      </c>
      <c r="AI364" s="278">
        <f t="shared" si="140"/>
        <v>0</v>
      </c>
      <c r="AJ364" s="278">
        <f t="shared" si="141"/>
        <v>0</v>
      </c>
      <c r="AK364" s="235">
        <f t="shared" si="142"/>
        <v>0</v>
      </c>
      <c r="AL364" s="73">
        <f t="shared" si="145"/>
        <v>0</v>
      </c>
      <c r="AM364" s="16">
        <f t="shared" si="146"/>
        <v>0</v>
      </c>
    </row>
    <row r="365" spans="9:39" ht="15">
      <c r="I365" s="259"/>
      <c r="J365" s="276"/>
      <c r="K365" s="276"/>
      <c r="L365" s="276"/>
      <c r="M365" s="276"/>
      <c r="N365" s="276"/>
      <c r="O365" s="276"/>
      <c r="P365" s="276"/>
      <c r="Q365" s="276"/>
      <c r="R365" s="276"/>
      <c r="S365" s="276"/>
      <c r="T365" s="276"/>
      <c r="U365" s="276"/>
      <c r="Y365" s="276"/>
      <c r="Z365" s="276"/>
      <c r="AA365" s="276"/>
      <c r="AB365" s="276"/>
      <c r="AC365" s="276"/>
      <c r="AD365" s="276"/>
      <c r="AE365" s="276"/>
      <c r="AF365" s="276"/>
      <c r="AG365" s="276"/>
      <c r="AH365" s="276"/>
      <c r="AI365" s="276"/>
      <c r="AJ365" s="276"/>
    </row>
    <row r="366" spans="9:39" ht="15" collapsed="1">
      <c r="I366" s="270" t="s">
        <v>324</v>
      </c>
      <c r="J366" s="279">
        <v>278347</v>
      </c>
      <c r="K366" s="279">
        <v>278837</v>
      </c>
      <c r="L366" s="279">
        <v>278837</v>
      </c>
      <c r="M366" s="279">
        <v>278837</v>
      </c>
      <c r="N366" s="279">
        <v>278837</v>
      </c>
      <c r="O366" s="279">
        <v>278837</v>
      </c>
      <c r="P366" s="279">
        <v>278837</v>
      </c>
      <c r="Q366" s="279">
        <v>278837</v>
      </c>
      <c r="R366" s="279">
        <v>278837</v>
      </c>
      <c r="S366" s="279">
        <v>278837</v>
      </c>
      <c r="T366" s="279">
        <v>278837</v>
      </c>
      <c r="U366" s="279">
        <v>278837</v>
      </c>
      <c r="V366" s="231">
        <f>SUM(V367:V373)</f>
        <v>3345565</v>
      </c>
      <c r="W366" s="72">
        <f t="shared" ref="W366:W367" si="147">V366/V$6</f>
        <v>1.0150003880043433E-2</v>
      </c>
      <c r="Y366" s="279">
        <v>278347</v>
      </c>
      <c r="Z366" s="279">
        <v>278837</v>
      </c>
      <c r="AA366" s="279">
        <v>278837</v>
      </c>
      <c r="AB366" s="279">
        <v>278837</v>
      </c>
      <c r="AC366" s="279">
        <v>278837</v>
      </c>
      <c r="AD366" s="279">
        <v>278837</v>
      </c>
      <c r="AE366" s="279">
        <v>278837</v>
      </c>
      <c r="AF366" s="279">
        <v>278837</v>
      </c>
      <c r="AG366" s="279">
        <v>278837</v>
      </c>
      <c r="AH366" s="279">
        <v>278837</v>
      </c>
      <c r="AI366" s="279">
        <v>278837</v>
      </c>
      <c r="AJ366" s="279">
        <v>278837</v>
      </c>
      <c r="AK366" s="231">
        <f>SUM(AK367:AK373)</f>
        <v>3346056</v>
      </c>
      <c r="AL366" s="72">
        <f t="shared" ref="AL366:AL367" si="148">AK366/AK$6</f>
        <v>9.3257069756007786E-3</v>
      </c>
      <c r="AM366" s="10">
        <f>IFERROR(AK366/V366-1,0)</f>
        <v>1.4676145882686065E-4</v>
      </c>
    </row>
    <row r="367" spans="9:39" ht="15" hidden="1" outlineLevel="1">
      <c r="I367" s="259" t="s">
        <v>325</v>
      </c>
      <c r="J367" s="280">
        <v>0</v>
      </c>
      <c r="K367" s="280">
        <v>0</v>
      </c>
      <c r="L367" s="282">
        <v>0</v>
      </c>
      <c r="M367" s="282">
        <v>0</v>
      </c>
      <c r="N367" s="282">
        <v>0</v>
      </c>
      <c r="O367" s="282">
        <v>0</v>
      </c>
      <c r="P367" s="282">
        <v>0</v>
      </c>
      <c r="Q367" s="282">
        <v>0</v>
      </c>
      <c r="R367" s="282">
        <v>0</v>
      </c>
      <c r="S367" s="282">
        <v>0</v>
      </c>
      <c r="T367" s="282">
        <v>0</v>
      </c>
      <c r="U367" s="282">
        <v>0</v>
      </c>
      <c r="V367" s="235">
        <f t="shared" ref="V367:V373" si="149">SUM(J367:U367)</f>
        <v>0</v>
      </c>
      <c r="W367" s="73">
        <f>V367/V$6</f>
        <v>0</v>
      </c>
      <c r="Y367" s="282">
        <v>0</v>
      </c>
      <c r="Z367" s="282">
        <v>0</v>
      </c>
      <c r="AA367" s="282">
        <v>0</v>
      </c>
      <c r="AB367" s="282">
        <v>0</v>
      </c>
      <c r="AC367" s="282">
        <v>0</v>
      </c>
      <c r="AD367" s="282">
        <v>0</v>
      </c>
      <c r="AE367" s="282">
        <v>0</v>
      </c>
      <c r="AF367" s="282">
        <v>0</v>
      </c>
      <c r="AG367" s="282">
        <v>0</v>
      </c>
      <c r="AH367" s="282">
        <v>0</v>
      </c>
      <c r="AI367" s="282">
        <v>0</v>
      </c>
      <c r="AJ367" s="282">
        <v>0</v>
      </c>
      <c r="AK367" s="235">
        <f t="shared" ref="AK367:AK373" si="150">SUM(Y367:AJ367)</f>
        <v>0</v>
      </c>
      <c r="AL367" s="73">
        <f>AK367/AK$6</f>
        <v>0</v>
      </c>
      <c r="AM367" s="16">
        <f>IFERROR(AK367/V367-1,0)</f>
        <v>0</v>
      </c>
    </row>
    <row r="368" spans="9:39" ht="15" hidden="1" outlineLevel="1">
      <c r="I368" s="259" t="s">
        <v>326</v>
      </c>
      <c r="J368" s="277">
        <v>0</v>
      </c>
      <c r="K368" s="277">
        <v>0</v>
      </c>
      <c r="L368" s="274">
        <v>0</v>
      </c>
      <c r="M368" s="274">
        <v>0</v>
      </c>
      <c r="N368" s="274">
        <v>0</v>
      </c>
      <c r="O368" s="274">
        <v>0</v>
      </c>
      <c r="P368" s="274">
        <v>0</v>
      </c>
      <c r="Q368" s="274">
        <v>0</v>
      </c>
      <c r="R368" s="274">
        <v>0</v>
      </c>
      <c r="S368" s="274">
        <v>0</v>
      </c>
      <c r="T368" s="274">
        <v>0</v>
      </c>
      <c r="U368" s="274">
        <v>0</v>
      </c>
      <c r="V368" s="235">
        <f t="shared" si="149"/>
        <v>0</v>
      </c>
      <c r="W368" s="73">
        <f t="shared" ref="W368:W375" si="151">V368/V$6</f>
        <v>0</v>
      </c>
      <c r="Y368" s="274">
        <v>0</v>
      </c>
      <c r="Z368" s="274">
        <v>0</v>
      </c>
      <c r="AA368" s="274">
        <v>0</v>
      </c>
      <c r="AB368" s="274">
        <v>0</v>
      </c>
      <c r="AC368" s="274">
        <v>0</v>
      </c>
      <c r="AD368" s="274">
        <v>0</v>
      </c>
      <c r="AE368" s="274">
        <v>0</v>
      </c>
      <c r="AF368" s="274">
        <v>0</v>
      </c>
      <c r="AG368" s="274">
        <v>0</v>
      </c>
      <c r="AH368" s="274">
        <v>0</v>
      </c>
      <c r="AI368" s="274">
        <v>0</v>
      </c>
      <c r="AJ368" s="274">
        <v>0</v>
      </c>
      <c r="AK368" s="235">
        <f t="shared" si="150"/>
        <v>0</v>
      </c>
      <c r="AL368" s="73">
        <f t="shared" ref="AL368:AL375" si="152">AK368/AK$6</f>
        <v>0</v>
      </c>
      <c r="AM368" s="16">
        <f t="shared" ref="AM368:AM373" si="153">IFERROR(AK368/V368-1,0)</f>
        <v>0</v>
      </c>
    </row>
    <row r="369" spans="9:39" ht="15" hidden="1" outlineLevel="1">
      <c r="I369" s="259" t="s">
        <v>327</v>
      </c>
      <c r="J369" s="278">
        <v>235862</v>
      </c>
      <c r="K369" s="278">
        <v>235862</v>
      </c>
      <c r="L369" s="275">
        <v>235862</v>
      </c>
      <c r="M369" s="275">
        <v>235862</v>
      </c>
      <c r="N369" s="275">
        <v>235862</v>
      </c>
      <c r="O369" s="275">
        <v>235862</v>
      </c>
      <c r="P369" s="275">
        <v>235862</v>
      </c>
      <c r="Q369" s="275">
        <v>235862</v>
      </c>
      <c r="R369" s="275">
        <v>235862</v>
      </c>
      <c r="S369" s="275">
        <v>235862</v>
      </c>
      <c r="T369" s="275">
        <v>235862</v>
      </c>
      <c r="U369" s="275">
        <v>235862</v>
      </c>
      <c r="V369" s="235">
        <f t="shared" si="149"/>
        <v>2830344</v>
      </c>
      <c r="W369" s="73">
        <f t="shared" si="151"/>
        <v>8.5868911773818914E-3</v>
      </c>
      <c r="Y369" s="275">
        <v>235862</v>
      </c>
      <c r="Z369" s="275">
        <v>235862</v>
      </c>
      <c r="AA369" s="275">
        <v>235862</v>
      </c>
      <c r="AB369" s="275">
        <v>235862</v>
      </c>
      <c r="AC369" s="275">
        <v>235862</v>
      </c>
      <c r="AD369" s="275">
        <v>235862</v>
      </c>
      <c r="AE369" s="275">
        <v>235862</v>
      </c>
      <c r="AF369" s="275">
        <v>235862</v>
      </c>
      <c r="AG369" s="275">
        <v>235862</v>
      </c>
      <c r="AH369" s="275">
        <v>235862</v>
      </c>
      <c r="AI369" s="275">
        <v>235862</v>
      </c>
      <c r="AJ369" s="275">
        <v>235862</v>
      </c>
      <c r="AK369" s="235">
        <f t="shared" si="150"/>
        <v>2830344</v>
      </c>
      <c r="AL369" s="73">
        <f t="shared" si="152"/>
        <v>7.8883792692500693E-3</v>
      </c>
      <c r="AM369" s="16">
        <f t="shared" si="153"/>
        <v>0</v>
      </c>
    </row>
    <row r="370" spans="9:39" ht="15" hidden="1" outlineLevel="1">
      <c r="I370" s="259" t="s">
        <v>328</v>
      </c>
      <c r="J370" s="278">
        <v>42485</v>
      </c>
      <c r="K370" s="278">
        <v>42485</v>
      </c>
      <c r="L370" s="275">
        <v>42485</v>
      </c>
      <c r="M370" s="275">
        <v>42485</v>
      </c>
      <c r="N370" s="275">
        <v>42485</v>
      </c>
      <c r="O370" s="275">
        <v>42485</v>
      </c>
      <c r="P370" s="275">
        <v>42485</v>
      </c>
      <c r="Q370" s="275">
        <v>42485</v>
      </c>
      <c r="R370" s="275">
        <v>42485</v>
      </c>
      <c r="S370" s="275">
        <v>42485</v>
      </c>
      <c r="T370" s="275">
        <v>42485</v>
      </c>
      <c r="U370" s="275">
        <v>42485</v>
      </c>
      <c r="V370" s="235">
        <f t="shared" si="149"/>
        <v>509820</v>
      </c>
      <c r="W370" s="73">
        <f t="shared" si="151"/>
        <v>1.5467267795196754E-3</v>
      </c>
      <c r="Y370" s="275">
        <v>42485</v>
      </c>
      <c r="Z370" s="275">
        <v>42485</v>
      </c>
      <c r="AA370" s="275">
        <v>42485</v>
      </c>
      <c r="AB370" s="275">
        <v>42485</v>
      </c>
      <c r="AC370" s="275">
        <v>42485</v>
      </c>
      <c r="AD370" s="275">
        <v>42485</v>
      </c>
      <c r="AE370" s="275">
        <v>42485</v>
      </c>
      <c r="AF370" s="275">
        <v>42485</v>
      </c>
      <c r="AG370" s="275">
        <v>42485</v>
      </c>
      <c r="AH370" s="275">
        <v>42485</v>
      </c>
      <c r="AI370" s="275">
        <v>42485</v>
      </c>
      <c r="AJ370" s="275">
        <v>42485</v>
      </c>
      <c r="AK370" s="235">
        <f t="shared" si="150"/>
        <v>509820</v>
      </c>
      <c r="AL370" s="73">
        <f t="shared" si="152"/>
        <v>1.4209062640615664E-3</v>
      </c>
      <c r="AM370" s="16">
        <f t="shared" si="153"/>
        <v>0</v>
      </c>
    </row>
    <row r="371" spans="9:39" ht="15" hidden="1" outlineLevel="1">
      <c r="I371" s="259" t="s">
        <v>329</v>
      </c>
      <c r="J371" s="277">
        <v>0</v>
      </c>
      <c r="K371" s="277">
        <v>0</v>
      </c>
      <c r="L371" s="274">
        <v>0</v>
      </c>
      <c r="M371" s="274">
        <v>0</v>
      </c>
      <c r="N371" s="274">
        <v>0</v>
      </c>
      <c r="O371" s="274">
        <v>0</v>
      </c>
      <c r="P371" s="274">
        <v>0</v>
      </c>
      <c r="Q371" s="274">
        <v>0</v>
      </c>
      <c r="R371" s="274">
        <v>0</v>
      </c>
      <c r="S371" s="274">
        <v>0</v>
      </c>
      <c r="T371" s="274">
        <v>0</v>
      </c>
      <c r="U371" s="274">
        <v>0</v>
      </c>
      <c r="V371" s="235">
        <f t="shared" si="149"/>
        <v>0</v>
      </c>
      <c r="W371" s="73">
        <f t="shared" si="151"/>
        <v>0</v>
      </c>
      <c r="Y371" s="274">
        <v>0</v>
      </c>
      <c r="Z371" s="274">
        <v>0</v>
      </c>
      <c r="AA371" s="274">
        <v>0</v>
      </c>
      <c r="AB371" s="274">
        <v>0</v>
      </c>
      <c r="AC371" s="274">
        <v>0</v>
      </c>
      <c r="AD371" s="274">
        <v>0</v>
      </c>
      <c r="AE371" s="274">
        <v>0</v>
      </c>
      <c r="AF371" s="274">
        <v>0</v>
      </c>
      <c r="AG371" s="274">
        <v>0</v>
      </c>
      <c r="AH371" s="274">
        <v>0</v>
      </c>
      <c r="AI371" s="274">
        <v>0</v>
      </c>
      <c r="AJ371" s="274">
        <v>0</v>
      </c>
      <c r="AK371" s="235">
        <f t="shared" si="150"/>
        <v>0</v>
      </c>
      <c r="AL371" s="73">
        <f t="shared" si="152"/>
        <v>0</v>
      </c>
      <c r="AM371" s="16">
        <f t="shared" si="153"/>
        <v>0</v>
      </c>
    </row>
    <row r="372" spans="9:39" ht="15" hidden="1" outlineLevel="1">
      <c r="I372" s="259" t="s">
        <v>330</v>
      </c>
      <c r="J372" s="277">
        <v>0</v>
      </c>
      <c r="K372" s="277">
        <v>491</v>
      </c>
      <c r="L372" s="274">
        <v>491</v>
      </c>
      <c r="M372" s="274">
        <v>491</v>
      </c>
      <c r="N372" s="274">
        <v>491</v>
      </c>
      <c r="O372" s="274">
        <v>491</v>
      </c>
      <c r="P372" s="274">
        <v>491</v>
      </c>
      <c r="Q372" s="274">
        <v>491</v>
      </c>
      <c r="R372" s="274">
        <v>491</v>
      </c>
      <c r="S372" s="274">
        <v>491</v>
      </c>
      <c r="T372" s="274">
        <v>491</v>
      </c>
      <c r="U372" s="274">
        <v>491</v>
      </c>
      <c r="V372" s="235">
        <f t="shared" si="149"/>
        <v>5401</v>
      </c>
      <c r="W372" s="73">
        <f t="shared" si="151"/>
        <v>1.6385923141865298E-5</v>
      </c>
      <c r="Y372" s="274">
        <v>491</v>
      </c>
      <c r="Z372" s="274">
        <v>491</v>
      </c>
      <c r="AA372" s="274">
        <v>491</v>
      </c>
      <c r="AB372" s="274">
        <v>491</v>
      </c>
      <c r="AC372" s="274">
        <v>491</v>
      </c>
      <c r="AD372" s="274">
        <v>491</v>
      </c>
      <c r="AE372" s="274">
        <v>491</v>
      </c>
      <c r="AF372" s="274">
        <v>491</v>
      </c>
      <c r="AG372" s="274">
        <v>491</v>
      </c>
      <c r="AH372" s="274">
        <v>491</v>
      </c>
      <c r="AI372" s="274">
        <v>491</v>
      </c>
      <c r="AJ372" s="274">
        <v>491</v>
      </c>
      <c r="AK372" s="235">
        <f t="shared" si="150"/>
        <v>5892</v>
      </c>
      <c r="AL372" s="73">
        <f t="shared" si="152"/>
        <v>1.6421442289142736E-5</v>
      </c>
      <c r="AM372" s="16">
        <f t="shared" si="153"/>
        <v>9.0909090909090828E-2</v>
      </c>
    </row>
    <row r="373" spans="9:39" ht="15" hidden="1" outlineLevel="1">
      <c r="I373" s="271" t="s">
        <v>438</v>
      </c>
      <c r="J373" s="277">
        <v>0</v>
      </c>
      <c r="K373" s="277">
        <v>0</v>
      </c>
      <c r="L373" s="274">
        <v>0</v>
      </c>
      <c r="M373" s="274">
        <v>0</v>
      </c>
      <c r="N373" s="274">
        <v>0</v>
      </c>
      <c r="O373" s="274">
        <v>0</v>
      </c>
      <c r="P373" s="274">
        <v>0</v>
      </c>
      <c r="Q373" s="274">
        <v>0</v>
      </c>
      <c r="R373" s="274">
        <v>0</v>
      </c>
      <c r="S373" s="274">
        <v>0</v>
      </c>
      <c r="T373" s="274">
        <v>0</v>
      </c>
      <c r="U373" s="274">
        <v>0</v>
      </c>
      <c r="V373" s="235">
        <f t="shared" si="149"/>
        <v>0</v>
      </c>
      <c r="W373" s="73">
        <f t="shared" si="151"/>
        <v>0</v>
      </c>
      <c r="Y373" s="274">
        <v>0</v>
      </c>
      <c r="Z373" s="274">
        <v>0</v>
      </c>
      <c r="AA373" s="274">
        <v>0</v>
      </c>
      <c r="AB373" s="274">
        <v>0</v>
      </c>
      <c r="AC373" s="274">
        <v>0</v>
      </c>
      <c r="AD373" s="274">
        <v>0</v>
      </c>
      <c r="AE373" s="274">
        <v>0</v>
      </c>
      <c r="AF373" s="274">
        <v>0</v>
      </c>
      <c r="AG373" s="274">
        <v>0</v>
      </c>
      <c r="AH373" s="274">
        <v>0</v>
      </c>
      <c r="AI373" s="274">
        <v>0</v>
      </c>
      <c r="AJ373" s="274">
        <v>0</v>
      </c>
      <c r="AK373" s="235">
        <f t="shared" si="150"/>
        <v>0</v>
      </c>
      <c r="AL373" s="73">
        <f t="shared" si="152"/>
        <v>0</v>
      </c>
      <c r="AM373" s="16">
        <f t="shared" si="153"/>
        <v>0</v>
      </c>
    </row>
    <row r="374" spans="9:39" ht="15">
      <c r="I374" s="259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276"/>
      <c r="U374" s="276"/>
      <c r="Y374" s="276"/>
      <c r="Z374" s="276"/>
      <c r="AA374" s="276"/>
      <c r="AB374" s="276"/>
      <c r="AC374" s="276"/>
      <c r="AD374" s="276"/>
      <c r="AE374" s="276"/>
      <c r="AF374" s="276"/>
      <c r="AG374" s="276"/>
      <c r="AH374" s="276"/>
      <c r="AI374" s="276"/>
      <c r="AJ374" s="276"/>
    </row>
    <row r="375" spans="9:39" ht="15.75">
      <c r="I375" s="272" t="s">
        <v>331</v>
      </c>
      <c r="J375" s="281">
        <v>2194591</v>
      </c>
      <c r="K375" s="281">
        <v>1005851</v>
      </c>
      <c r="L375" s="281">
        <v>85024</v>
      </c>
      <c r="M375" s="283">
        <v>-99033</v>
      </c>
      <c r="N375" s="281">
        <v>887899</v>
      </c>
      <c r="O375" s="281">
        <v>755542</v>
      </c>
      <c r="P375" s="281">
        <v>460007</v>
      </c>
      <c r="Q375" s="281">
        <v>872480</v>
      </c>
      <c r="R375" s="281">
        <v>1461503</v>
      </c>
      <c r="S375" s="281">
        <v>1531937</v>
      </c>
      <c r="T375" s="281">
        <v>1221753</v>
      </c>
      <c r="U375" s="281">
        <v>1766313</v>
      </c>
      <c r="V375" s="281">
        <v>1766313</v>
      </c>
      <c r="W375" s="73">
        <f t="shared" si="151"/>
        <v>5.3587611669093727E-3</v>
      </c>
      <c r="Y375" s="281">
        <v>2194591</v>
      </c>
      <c r="Z375" s="281">
        <v>1005851</v>
      </c>
      <c r="AA375" s="281">
        <v>85024</v>
      </c>
      <c r="AB375" s="283">
        <v>-99033</v>
      </c>
      <c r="AC375" s="281">
        <v>887899</v>
      </c>
      <c r="AD375" s="281">
        <v>755542</v>
      </c>
      <c r="AE375" s="281">
        <v>460007</v>
      </c>
      <c r="AF375" s="281">
        <v>872480</v>
      </c>
      <c r="AG375" s="281">
        <v>1461503</v>
      </c>
      <c r="AH375" s="281">
        <v>1531937</v>
      </c>
      <c r="AI375" s="281">
        <v>1221753</v>
      </c>
      <c r="AJ375" s="281">
        <v>1766313</v>
      </c>
      <c r="AK375" s="281">
        <f>+AK259+AK343-AK359-AK366</f>
        <v>16910470.071777262</v>
      </c>
      <c r="AL375" s="73">
        <f t="shared" si="152"/>
        <v>4.7130738011874701E-2</v>
      </c>
      <c r="AM375" s="16">
        <f t="shared" ref="AM375" si="154">IFERROR(AK375/V375-1,0)</f>
        <v>8.5738807741194574</v>
      </c>
    </row>
    <row r="376" spans="9:39" ht="15"/>
    <row r="377" spans="9:39" ht="15"/>
    <row r="378" spans="9:39" ht="15"/>
    <row r="379" spans="9:39" ht="15"/>
  </sheetData>
  <mergeCells count="5">
    <mergeCell ref="J2:U2"/>
    <mergeCell ref="V2:W2"/>
    <mergeCell ref="Y2:AJ2"/>
    <mergeCell ref="AK2:AM2"/>
    <mergeCell ref="AO2:AQ2"/>
  </mergeCells>
  <conditionalFormatting sqref="AM1 AQ3:AQ1048576 AM212:AM1048576 AM3:AM162">
    <cfRule type="cellIs" dxfId="10" priority="86" operator="lessThan">
      <formula>0</formula>
    </cfRule>
  </conditionalFormatting>
  <conditionalFormatting sqref="AP32">
    <cfRule type="cellIs" dxfId="9" priority="56" operator="lessThan">
      <formula>0</formula>
    </cfRule>
  </conditionalFormatting>
  <conditionalFormatting sqref="AQ1">
    <cfRule type="cellIs" dxfId="8" priority="81" operator="lessThan">
      <formula>0</formula>
    </cfRule>
  </conditionalFormatting>
  <conditionalFormatting sqref="AM163:AM211">
    <cfRule type="cellIs" dxfId="7" priority="2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>
    <tabColor rgb="FFFFFF00"/>
    <outlinePr summaryBelow="0" summaryRight="0"/>
  </sheetPr>
  <dimension ref="A1:AQ161"/>
  <sheetViews>
    <sheetView showGridLines="0" zoomScale="70" zoomScaleNormal="70" workbookViewId="0">
      <pane xSplit="9" ySplit="3" topLeftCell="Y155" activePane="bottomRight" state="frozen"/>
      <selection pane="bottomRight" activeCell="Y155" sqref="Y155"/>
      <selection pane="bottomLeft" activeCell="W46" sqref="W46"/>
      <selection pane="topRight" activeCell="W46" sqref="W46"/>
    </sheetView>
  </sheetViews>
  <sheetFormatPr defaultColWidth="11.42578125" defaultRowHeight="14.45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46.140625" style="5" customWidth="1" collapsed="1"/>
    <col min="10" max="10" width="21.140625" style="4" hidden="1" customWidth="1" outlineLevel="1"/>
    <col min="11" max="12" width="21.5703125" style="4" hidden="1" customWidth="1" outlineLevel="1"/>
    <col min="13" max="14" width="21.5703125" style="3" hidden="1" customWidth="1" outlineLevel="1"/>
    <col min="15" max="15" width="36.140625" style="3" hidden="1" customWidth="1" outlineLevel="1"/>
    <col min="16" max="16" width="21.5703125" style="3" hidden="1" customWidth="1" outlineLevel="1"/>
    <col min="17" max="17" width="21.140625" style="4" hidden="1" customWidth="1" outlineLevel="1"/>
    <col min="18" max="19" width="20.5703125" style="3" hidden="1" customWidth="1" outlineLevel="1"/>
    <col min="20" max="20" width="21.140625" style="3" hidden="1" customWidth="1" outlineLevel="1"/>
    <col min="21" max="21" width="21.140625" style="4" hidden="1" customWidth="1" outlineLevel="1"/>
    <col min="22" max="22" width="12.5703125" style="4" customWidth="1"/>
    <col min="23" max="23" width="11.42578125" style="83" customWidth="1"/>
    <col min="24" max="24" width="2.140625" style="185" customWidth="1"/>
    <col min="25" max="25" width="19.140625" style="4" customWidth="1" outlineLevel="1"/>
    <col min="26" max="26" width="19.5703125" style="4" customWidth="1" outlineLevel="1"/>
    <col min="27" max="27" width="19.140625" style="4" customWidth="1" outlineLevel="1"/>
    <col min="28" max="29" width="19.5703125" style="3" customWidth="1" outlineLevel="1"/>
    <col min="30" max="30" width="19.140625" style="3" customWidth="1" outlineLevel="1"/>
    <col min="31" max="31" width="19.5703125" style="3" customWidth="1" outlineLevel="1"/>
    <col min="32" max="32" width="19.5703125" style="4" customWidth="1" outlineLevel="1"/>
    <col min="33" max="33" width="19.5703125" style="3" customWidth="1" outlineLevel="1"/>
    <col min="34" max="35" width="19.140625" style="3" customWidth="1" outlineLevel="1"/>
    <col min="36" max="36" width="19.85546875" style="4" customWidth="1" outlineLevel="1"/>
    <col min="37" max="37" width="15.5703125" style="4" customWidth="1"/>
    <col min="38" max="38" width="11.42578125" style="83" customWidth="1"/>
    <col min="39" max="39" width="11.42578125" style="2" customWidth="1"/>
    <col min="40" max="44" width="11.42578125" style="1" customWidth="1"/>
    <col min="45" max="16384" width="11.42578125" style="1"/>
  </cols>
  <sheetData>
    <row r="1" spans="1:41" s="57" customFormat="1" ht="6.75" customHeight="1">
      <c r="A1" s="6"/>
      <c r="B1" s="8"/>
      <c r="C1" s="8"/>
      <c r="D1" s="6"/>
      <c r="E1" s="7"/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1" s="52" customFormat="1" ht="18.75">
      <c r="A2" s="55"/>
      <c r="B2" s="55"/>
      <c r="C2" s="55"/>
      <c r="D2" s="55"/>
      <c r="E2" s="56"/>
      <c r="F2" s="55"/>
      <c r="G2" s="55"/>
      <c r="H2" s="55"/>
      <c r="I2" s="54"/>
      <c r="J2" s="300">
        <v>2025</v>
      </c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2"/>
      <c r="V2" s="303" t="s">
        <v>82</v>
      </c>
      <c r="W2" s="304"/>
      <c r="X2" s="85"/>
      <c r="Y2" s="300">
        <v>2026</v>
      </c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2"/>
      <c r="AK2" s="303" t="s">
        <v>82</v>
      </c>
      <c r="AL2" s="305"/>
      <c r="AM2" s="53"/>
    </row>
    <row r="3" spans="1:41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1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83</v>
      </c>
      <c r="X3" s="86"/>
      <c r="Y3" s="131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83</v>
      </c>
      <c r="AM3" s="45" t="s">
        <v>84</v>
      </c>
    </row>
    <row r="4" spans="1:41">
      <c r="I4" s="43" t="s">
        <v>85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1" collapsed="1">
      <c r="A6" s="12" t="s">
        <v>86</v>
      </c>
      <c r="B6" s="19"/>
      <c r="C6" s="19"/>
      <c r="D6" s="12"/>
      <c r="E6" s="7" t="s">
        <v>87</v>
      </c>
      <c r="I6" s="167" t="s">
        <v>88</v>
      </c>
      <c r="J6" s="15">
        <f t="shared" ref="J6:V6" si="1">SUM(J7:J11)</f>
        <v>26878636</v>
      </c>
      <c r="K6" s="15">
        <f t="shared" si="1"/>
        <v>25528487</v>
      </c>
      <c r="L6" s="15">
        <f t="shared" si="1"/>
        <v>28307270</v>
      </c>
      <c r="M6" s="15">
        <f t="shared" si="1"/>
        <v>26579702</v>
      </c>
      <c r="N6" s="15">
        <f t="shared" si="1"/>
        <v>27359376</v>
      </c>
      <c r="O6" s="15">
        <f t="shared" si="1"/>
        <v>26727235</v>
      </c>
      <c r="P6" s="15">
        <f t="shared" si="1"/>
        <v>27912533</v>
      </c>
      <c r="Q6" s="15">
        <f t="shared" si="1"/>
        <v>28233403</v>
      </c>
      <c r="R6" s="15">
        <f t="shared" si="1"/>
        <v>28896716</v>
      </c>
      <c r="S6" s="15">
        <f t="shared" si="1"/>
        <v>31096889</v>
      </c>
      <c r="T6" s="15">
        <f t="shared" si="1"/>
        <v>25608972.288003899</v>
      </c>
      <c r="U6" s="15">
        <f t="shared" si="1"/>
        <v>26482969.981985174</v>
      </c>
      <c r="V6" s="15">
        <f t="shared" si="1"/>
        <v>329612189.26998913</v>
      </c>
      <c r="W6" s="72">
        <f t="shared" ref="W6:W33" si="2">V6/V$6</f>
        <v>1</v>
      </c>
      <c r="X6" s="89"/>
      <c r="Y6" s="15">
        <f t="shared" ref="Y6:AK6" si="3">SUM(Y7:Y11)</f>
        <v>27944943.784482766</v>
      </c>
      <c r="Z6" s="15">
        <f t="shared" si="3"/>
        <v>26629774.468903452</v>
      </c>
      <c r="AA6" s="15">
        <f t="shared" si="3"/>
        <v>29599779.830645747</v>
      </c>
      <c r="AB6" s="15">
        <f t="shared" si="3"/>
        <v>28667280.231184464</v>
      </c>
      <c r="AC6" s="15">
        <f t="shared" si="3"/>
        <v>29293496.814772364</v>
      </c>
      <c r="AD6" s="15">
        <f t="shared" si="3"/>
        <v>28502875.097974893</v>
      </c>
      <c r="AE6" s="15">
        <f t="shared" si="3"/>
        <v>29846068.069378015</v>
      </c>
      <c r="AF6" s="15">
        <f t="shared" si="3"/>
        <v>30746357.800845094</v>
      </c>
      <c r="AG6" s="15">
        <f t="shared" si="3"/>
        <v>30978635.912390016</v>
      </c>
      <c r="AH6" s="15">
        <f t="shared" si="3"/>
        <v>32906043.853191301</v>
      </c>
      <c r="AI6" s="15">
        <f t="shared" si="3"/>
        <v>32116952.809232194</v>
      </c>
      <c r="AJ6" s="15">
        <f t="shared" si="3"/>
        <v>31566969.636421259</v>
      </c>
      <c r="AK6" s="15">
        <f>SUM(AK7:AK11)</f>
        <v>358799178.30942154</v>
      </c>
      <c r="AL6" s="72">
        <f t="shared" ref="AL6:AL33" si="4">AK6/AK$6</f>
        <v>1</v>
      </c>
      <c r="AM6" s="266">
        <f>IFERROR(AK6/V6-1,0)</f>
        <v>8.8549483270247142E-2</v>
      </c>
      <c r="AO6" s="286"/>
    </row>
    <row r="7" spans="1:41" ht="15" hidden="1" customHeight="1" outlineLevel="1">
      <c r="A7" s="12" t="s">
        <v>86</v>
      </c>
      <c r="B7" s="19" t="s">
        <v>89</v>
      </c>
      <c r="C7" s="19" t="s">
        <v>90</v>
      </c>
      <c r="D7" s="12" t="s">
        <v>91</v>
      </c>
      <c r="E7" s="20"/>
      <c r="F7" s="12"/>
      <c r="G7" s="12"/>
      <c r="H7" s="12"/>
      <c r="I7" s="117" t="s">
        <v>22</v>
      </c>
      <c r="J7" s="65">
        <f>SUM(A:B!J7)</f>
        <v>19095888</v>
      </c>
      <c r="K7" s="65">
        <f>SUM(A:B!K7)</f>
        <v>17878224</v>
      </c>
      <c r="L7" s="65">
        <f>SUM(A:B!L7)</f>
        <v>19531849</v>
      </c>
      <c r="M7" s="65">
        <f>SUM(A:B!M7)</f>
        <v>18128009</v>
      </c>
      <c r="N7" s="65">
        <f>SUM(A:B!N7)</f>
        <v>18229490</v>
      </c>
      <c r="O7" s="65">
        <f>SUM(A:B!O7)</f>
        <v>18404815</v>
      </c>
      <c r="P7" s="65">
        <f>SUM(A:B!P7)</f>
        <v>19054499</v>
      </c>
      <c r="Q7" s="65">
        <f>SUM(A:B!Q7)</f>
        <v>19328904</v>
      </c>
      <c r="R7" s="65">
        <f>SUM(A:B!R7)</f>
        <v>19768799</v>
      </c>
      <c r="S7" s="65">
        <f>SUM(A:B!S7)</f>
        <v>20781018</v>
      </c>
      <c r="T7" s="65">
        <f>SUM(A:B!T7)</f>
        <v>19201940.729243875</v>
      </c>
      <c r="U7" s="65">
        <f>SUM(A:B!U7)</f>
        <v>19683942.385109007</v>
      </c>
      <c r="V7" s="11">
        <f t="shared" ref="V7:V13" si="5">SUM(J7:U7)</f>
        <v>229087378.11435288</v>
      </c>
      <c r="W7" s="73">
        <f t="shared" si="2"/>
        <v>0.69502095362955396</v>
      </c>
      <c r="X7" s="89"/>
      <c r="Y7" s="65">
        <f>SUM(A:B!Y7)</f>
        <v>20069259.405172419</v>
      </c>
      <c r="Z7" s="65">
        <f>SUM(A:B!Z7)</f>
        <v>18878937.63367242</v>
      </c>
      <c r="AA7" s="65">
        <f>SUM(A:B!AA7)</f>
        <v>20696570.747474708</v>
      </c>
      <c r="AB7" s="65">
        <f>SUM(A:B!AB7)</f>
        <v>19985650.151457377</v>
      </c>
      <c r="AC7" s="65">
        <f>SUM(A:B!AC7)</f>
        <v>19971013.357358932</v>
      </c>
      <c r="AD7" s="65">
        <f>SUM(A:B!AD7)</f>
        <v>19987524.011715967</v>
      </c>
      <c r="AE7" s="65">
        <f>SUM(A:B!AE7)</f>
        <v>20742642.819482464</v>
      </c>
      <c r="AF7" s="65">
        <f>SUM(A:B!AF7)</f>
        <v>21382459.218557552</v>
      </c>
      <c r="AG7" s="65">
        <f>SUM(A:B!AG7)</f>
        <v>21527492.851641256</v>
      </c>
      <c r="AH7" s="65">
        <f>SUM(A:B!AH7)</f>
        <v>22911319.139472768</v>
      </c>
      <c r="AI7" s="65">
        <f>SUM(A:B!AI7)</f>
        <v>22618588.443316586</v>
      </c>
      <c r="AJ7" s="65">
        <f>SUM(A:B!AJ7)</f>
        <v>22296640.9507614</v>
      </c>
      <c r="AK7" s="65">
        <f t="shared" ref="AK7:AK32" si="6">SUM(Y7:AJ7)</f>
        <v>251068098.73008385</v>
      </c>
      <c r="AL7" s="73">
        <f t="shared" si="4"/>
        <v>0.69974546740340504</v>
      </c>
      <c r="AM7" s="14">
        <f t="shared" ref="AM7:AM93" si="7">IFERROR(AK7/V7-1,0)</f>
        <v>9.5949068851619135E-2</v>
      </c>
    </row>
    <row r="8" spans="1:41" ht="15" hidden="1" customHeight="1" outlineLevel="1">
      <c r="A8" s="12" t="s">
        <v>86</v>
      </c>
      <c r="B8" s="19" t="s">
        <v>89</v>
      </c>
      <c r="C8" s="19" t="s">
        <v>93</v>
      </c>
      <c r="D8" s="12" t="s">
        <v>94</v>
      </c>
      <c r="E8" s="20"/>
      <c r="F8" s="12"/>
      <c r="G8" s="12"/>
      <c r="H8" s="12"/>
      <c r="I8" s="117" t="s">
        <v>23</v>
      </c>
      <c r="J8" s="65">
        <f>SUM(A:B!J8)</f>
        <v>5623556</v>
      </c>
      <c r="K8" s="65">
        <f>SUM(A:B!K8)</f>
        <v>5345115</v>
      </c>
      <c r="L8" s="65">
        <f>SUM(A:B!L8)</f>
        <v>6151225</v>
      </c>
      <c r="M8" s="65">
        <f>SUM(A:B!M8)</f>
        <v>5648910</v>
      </c>
      <c r="N8" s="65">
        <f>SUM(A:B!N8)</f>
        <v>6559926</v>
      </c>
      <c r="O8" s="65">
        <f>SUM(A:B!O8)</f>
        <v>5655884</v>
      </c>
      <c r="P8" s="65">
        <f>SUM(A:B!P8)</f>
        <v>5857615</v>
      </c>
      <c r="Q8" s="65">
        <f>SUM(A:B!Q8)</f>
        <v>6197597</v>
      </c>
      <c r="R8" s="65">
        <f>SUM(A:B!R8)</f>
        <v>6224441</v>
      </c>
      <c r="S8" s="65">
        <f>SUM(A:B!S8)</f>
        <v>6776918</v>
      </c>
      <c r="T8" s="65">
        <f>SUM(A:B!T8)</f>
        <v>4910768.7896700054</v>
      </c>
      <c r="U8" s="65">
        <f>SUM(A:B!U8)</f>
        <v>4928022.3243014952</v>
      </c>
      <c r="V8" s="11">
        <f t="shared" si="5"/>
        <v>69879978.113971502</v>
      </c>
      <c r="W8" s="73">
        <f t="shared" si="2"/>
        <v>0.21200665627305429</v>
      </c>
      <c r="X8" s="89"/>
      <c r="Y8" s="65">
        <f>SUM(A:B!Y8)</f>
        <v>5721139.5517241377</v>
      </c>
      <c r="Z8" s="65">
        <f>SUM(A:B!Z8)</f>
        <v>5449896.9805836212</v>
      </c>
      <c r="AA8" s="65">
        <f>SUM(A:B!AA8)</f>
        <v>6281390.5843373723</v>
      </c>
      <c r="AB8" s="65">
        <f>SUM(A:B!AB8)</f>
        <v>5824968.4512621919</v>
      </c>
      <c r="AC8" s="65">
        <f>SUM(A:B!AC8)</f>
        <v>6759520.77216818</v>
      </c>
      <c r="AD8" s="65">
        <f>SUM(A:B!AD8)</f>
        <v>5854609.899900699</v>
      </c>
      <c r="AE8" s="65">
        <f>SUM(A:B!AE8)</f>
        <v>6129670.0403447207</v>
      </c>
      <c r="AF8" s="65">
        <f>SUM(A:B!AF8)</f>
        <v>6631650.4138332168</v>
      </c>
      <c r="AG8" s="65">
        <f>SUM(A:B!AG8)</f>
        <v>6560581.9298318401</v>
      </c>
      <c r="AH8" s="65">
        <f>SUM(A:B!AH8)</f>
        <v>6808979.6573401876</v>
      </c>
      <c r="AI8" s="65">
        <f>SUM(A:B!AI8)</f>
        <v>6719579.2565055508</v>
      </c>
      <c r="AJ8" s="65">
        <f>SUM(A:B!AJ8)</f>
        <v>6621310.5911245998</v>
      </c>
      <c r="AK8" s="65">
        <f t="shared" si="6"/>
        <v>75363298.128956303</v>
      </c>
      <c r="AL8" s="73">
        <f t="shared" si="4"/>
        <v>0.21004311794706632</v>
      </c>
      <c r="AM8" s="14">
        <f t="shared" si="7"/>
        <v>7.8467683633811625E-2</v>
      </c>
    </row>
    <row r="9" spans="1:41" ht="15" hidden="1" customHeight="1" outlineLevel="1">
      <c r="A9" s="12" t="s">
        <v>86</v>
      </c>
      <c r="B9" s="19" t="s">
        <v>89</v>
      </c>
      <c r="C9" s="19" t="s">
        <v>96</v>
      </c>
      <c r="D9" s="12" t="s">
        <v>97</v>
      </c>
      <c r="E9" s="20"/>
      <c r="F9" s="12"/>
      <c r="G9" s="12"/>
      <c r="H9" s="12"/>
      <c r="I9" s="117" t="s">
        <v>5</v>
      </c>
      <c r="J9" s="65">
        <f>SUM(A:B!J9)</f>
        <v>2090208</v>
      </c>
      <c r="K9" s="65">
        <f>SUM(A:B!K9)</f>
        <v>2235534</v>
      </c>
      <c r="L9" s="65">
        <f>SUM(A:B!L9)</f>
        <v>2555308</v>
      </c>
      <c r="M9" s="65">
        <f>SUM(A:B!M9)</f>
        <v>2773749</v>
      </c>
      <c r="N9" s="65">
        <f>SUM(A:B!N9)</f>
        <v>2487478</v>
      </c>
      <c r="O9" s="65">
        <f>SUM(A:B!O9)</f>
        <v>2589338</v>
      </c>
      <c r="P9" s="65">
        <f>SUM(A:B!P9)</f>
        <v>2919953</v>
      </c>
      <c r="Q9" s="65">
        <f>SUM(A:B!Q9)</f>
        <v>2619067</v>
      </c>
      <c r="R9" s="65">
        <f>SUM(A:B!R9)</f>
        <v>2812974</v>
      </c>
      <c r="S9" s="65">
        <f>SUM(A:B!S9)</f>
        <v>3453878</v>
      </c>
      <c r="T9" s="65">
        <f>SUM(A:B!T9)</f>
        <v>1438662.769090021</v>
      </c>
      <c r="U9" s="65">
        <f>SUM(A:B!U9)</f>
        <v>1813405.2725746711</v>
      </c>
      <c r="V9" s="11">
        <f t="shared" si="5"/>
        <v>29789555.04166469</v>
      </c>
      <c r="W9" s="73">
        <f t="shared" si="2"/>
        <v>9.037758921367961E-2</v>
      </c>
      <c r="X9" s="89"/>
      <c r="Y9" s="65">
        <f>SUM(A:B!Y9)</f>
        <v>2101264.8275862071</v>
      </c>
      <c r="Z9" s="65">
        <f>SUM(A:B!Z9)</f>
        <v>2246999.8546474143</v>
      </c>
      <c r="AA9" s="65">
        <f>SUM(A:B!AA9)</f>
        <v>2566198.498833667</v>
      </c>
      <c r="AB9" s="65">
        <f>SUM(A:B!AB9)</f>
        <v>2802661.6284648962</v>
      </c>
      <c r="AC9" s="65">
        <f>SUM(A:B!AC9)</f>
        <v>2506382.6852452508</v>
      </c>
      <c r="AD9" s="65">
        <f>SUM(A:B!AD9)</f>
        <v>2604761.186358226</v>
      </c>
      <c r="AE9" s="65">
        <f>SUM(A:B!AE9)</f>
        <v>2917835.2095508301</v>
      </c>
      <c r="AF9" s="65">
        <f>SUM(A:B!AF9)</f>
        <v>2674948.1684543253</v>
      </c>
      <c r="AG9" s="65">
        <f>SUM(A:B!AG9)</f>
        <v>2829661.1309169182</v>
      </c>
      <c r="AH9" s="65">
        <f>SUM(A:B!AH9)</f>
        <v>3128865.0563783464</v>
      </c>
      <c r="AI9" s="65">
        <f>SUM(A:B!AI9)</f>
        <v>2721425.1094100592</v>
      </c>
      <c r="AJ9" s="65">
        <f>SUM(A:B!AJ9)</f>
        <v>2589138.0945352563</v>
      </c>
      <c r="AK9" s="65">
        <f t="shared" si="6"/>
        <v>31690141.450381402</v>
      </c>
      <c r="AL9" s="73">
        <f t="shared" si="4"/>
        <v>8.8322781561814029E-2</v>
      </c>
      <c r="AM9" s="14">
        <f t="shared" si="7"/>
        <v>6.380042958206289E-2</v>
      </c>
    </row>
    <row r="10" spans="1:41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105</v>
      </c>
      <c r="J10" s="65">
        <f>SUM(A:B!J10)</f>
        <v>68984</v>
      </c>
      <c r="K10" s="65">
        <f>SUM(A:B!K10)</f>
        <v>69614</v>
      </c>
      <c r="L10" s="65">
        <f>SUM(A:B!L10)</f>
        <v>68888</v>
      </c>
      <c r="M10" s="65">
        <f>SUM(A:B!M10)</f>
        <v>29034</v>
      </c>
      <c r="N10" s="65">
        <f>SUM(A:B!N10)</f>
        <v>82482</v>
      </c>
      <c r="O10" s="65">
        <f>SUM(A:B!O10)</f>
        <v>77198</v>
      </c>
      <c r="P10" s="65">
        <f>SUM(A:B!P10)</f>
        <v>80466</v>
      </c>
      <c r="Q10" s="65">
        <f>SUM(A:B!Q10)</f>
        <v>87835</v>
      </c>
      <c r="R10" s="65">
        <f>SUM(A:B!R10)</f>
        <v>0</v>
      </c>
      <c r="S10" s="65">
        <f>SUM(A:B!S10)</f>
        <v>85075</v>
      </c>
      <c r="T10" s="65">
        <f>SUM(A:B!T10)</f>
        <v>57600</v>
      </c>
      <c r="U10" s="65">
        <f>SUM(A:B!U10)</f>
        <v>57600</v>
      </c>
      <c r="V10" s="11">
        <f t="shared" si="5"/>
        <v>764776</v>
      </c>
      <c r="W10" s="73">
        <f t="shared" si="2"/>
        <v>2.320229727225176E-3</v>
      </c>
      <c r="X10" s="89"/>
      <c r="Y10" s="65">
        <f>SUM(A:B!Y10)</f>
        <v>53280</v>
      </c>
      <c r="Z10" s="65">
        <f>SUM(A:B!Z10)</f>
        <v>53940</v>
      </c>
      <c r="AA10" s="65">
        <f>SUM(A:B!AA10)</f>
        <v>55620</v>
      </c>
      <c r="AB10" s="65">
        <f>SUM(A:B!AB10)</f>
        <v>54000</v>
      </c>
      <c r="AC10" s="65">
        <f>SUM(A:B!AC10)</f>
        <v>56580</v>
      </c>
      <c r="AD10" s="65">
        <f>SUM(A:B!AD10)</f>
        <v>55980</v>
      </c>
      <c r="AE10" s="65">
        <f>SUM(A:B!AE10)</f>
        <v>55920</v>
      </c>
      <c r="AF10" s="65">
        <f>SUM(A:B!AF10)</f>
        <v>57300</v>
      </c>
      <c r="AG10" s="65">
        <f>SUM(A:B!AG10)</f>
        <v>60900</v>
      </c>
      <c r="AH10" s="65">
        <f>SUM(A:B!AH10)</f>
        <v>56880</v>
      </c>
      <c r="AI10" s="65">
        <f>SUM(A:B!AI10)</f>
        <v>57360</v>
      </c>
      <c r="AJ10" s="65">
        <f>SUM(A:B!AJ10)</f>
        <v>59880</v>
      </c>
      <c r="AK10" s="65">
        <f t="shared" si="6"/>
        <v>677640</v>
      </c>
      <c r="AL10" s="73">
        <f t="shared" si="4"/>
        <v>1.8886330877146442E-3</v>
      </c>
      <c r="AM10" s="14">
        <f t="shared" si="7"/>
        <v>-0.11393662981055885</v>
      </c>
    </row>
    <row r="11" spans="1:41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225" t="s">
        <v>439</v>
      </c>
      <c r="J11" s="65">
        <f>SUM(A:B!J11)</f>
        <v>0</v>
      </c>
      <c r="K11" s="65">
        <f>SUM(A:B!K11)</f>
        <v>0</v>
      </c>
      <c r="L11" s="65">
        <f>SUM(A:B!L11)</f>
        <v>0</v>
      </c>
      <c r="M11" s="65">
        <f>SUM(A:B!M11)</f>
        <v>0</v>
      </c>
      <c r="N11" s="65">
        <f>SUM(A:B!N11)</f>
        <v>0</v>
      </c>
      <c r="O11" s="65">
        <f>SUM(A:B!O11)</f>
        <v>0</v>
      </c>
      <c r="P11" s="65">
        <f>SUM(A:B!P11)</f>
        <v>0</v>
      </c>
      <c r="Q11" s="65">
        <f>SUM(A:B!Q11)</f>
        <v>0</v>
      </c>
      <c r="R11" s="65">
        <f>SUM(A:B!R11)</f>
        <v>90502</v>
      </c>
      <c r="S11" s="65">
        <f>SUM(A:B!S11)</f>
        <v>0</v>
      </c>
      <c r="T11" s="65">
        <f>SUM(A:B!T11)</f>
        <v>0</v>
      </c>
      <c r="U11" s="65">
        <f>SUM(A:B!U11)</f>
        <v>0</v>
      </c>
      <c r="V11" s="11">
        <f t="shared" si="5"/>
        <v>90502</v>
      </c>
      <c r="W11" s="73">
        <f t="shared" si="2"/>
        <v>2.7457115648677898E-4</v>
      </c>
      <c r="X11" s="89"/>
      <c r="Y11" s="65">
        <f>SUM(A:B!Y11)</f>
        <v>0</v>
      </c>
      <c r="Z11" s="65">
        <f>SUM(A:B!Z11)</f>
        <v>0</v>
      </c>
      <c r="AA11" s="65">
        <f>SUM(A:B!AA11)</f>
        <v>0</v>
      </c>
      <c r="AB11" s="65">
        <f>SUM(A:B!AB11)</f>
        <v>0</v>
      </c>
      <c r="AC11" s="65">
        <f>SUM(A:B!AC11)</f>
        <v>0</v>
      </c>
      <c r="AD11" s="65">
        <f>SUM(A:B!AD11)</f>
        <v>0</v>
      </c>
      <c r="AE11" s="65">
        <f>SUM(A:B!AE11)</f>
        <v>0</v>
      </c>
      <c r="AF11" s="65">
        <f>SUM(A:B!AF11)</f>
        <v>0</v>
      </c>
      <c r="AG11" s="65">
        <f>SUM(A:B!AG11)</f>
        <v>0</v>
      </c>
      <c r="AH11" s="65">
        <f>SUM(A:B!AH11)</f>
        <v>0</v>
      </c>
      <c r="AI11" s="65">
        <f>SUM(A:B!AI11)</f>
        <v>0</v>
      </c>
      <c r="AJ11" s="65">
        <f>SUM(A:B!AJ11)</f>
        <v>0</v>
      </c>
      <c r="AK11" s="65">
        <f t="shared" si="6"/>
        <v>0</v>
      </c>
      <c r="AL11" s="73">
        <f t="shared" si="4"/>
        <v>0</v>
      </c>
      <c r="AM11" s="14">
        <f t="shared" si="7"/>
        <v>-1</v>
      </c>
    </row>
    <row r="12" spans="1:41" collapsed="1">
      <c r="A12" s="12" t="s">
        <v>107</v>
      </c>
      <c r="B12" s="19"/>
      <c r="E12" s="7" t="s">
        <v>108</v>
      </c>
      <c r="I12" s="167" t="s">
        <v>109</v>
      </c>
      <c r="J12" s="15">
        <f>SUM(J13:J32)</f>
        <v>24443667</v>
      </c>
      <c r="K12" s="15">
        <f t="shared" ref="K12:U12" si="8">SUM(K13:K32)</f>
        <v>22953018</v>
      </c>
      <c r="L12" s="15">
        <f t="shared" si="8"/>
        <v>25490800</v>
      </c>
      <c r="M12" s="15">
        <f t="shared" si="8"/>
        <v>23658529</v>
      </c>
      <c r="N12" s="15">
        <f t="shared" si="8"/>
        <v>24196460</v>
      </c>
      <c r="O12" s="15">
        <f t="shared" si="8"/>
        <v>23804842</v>
      </c>
      <c r="P12" s="15">
        <f t="shared" si="8"/>
        <v>25118023</v>
      </c>
      <c r="Q12" s="15">
        <f t="shared" si="8"/>
        <v>25414036</v>
      </c>
      <c r="R12" s="15">
        <f t="shared" si="8"/>
        <v>25979440</v>
      </c>
      <c r="S12" s="15">
        <f t="shared" si="8"/>
        <v>27953549</v>
      </c>
      <c r="T12" s="15">
        <f t="shared" si="8"/>
        <v>23062373.044591896</v>
      </c>
      <c r="U12" s="15">
        <f t="shared" si="8"/>
        <v>23870495.846187178</v>
      </c>
      <c r="V12" s="15">
        <f t="shared" ref="V12" si="9">SUM(V13:V29)</f>
        <v>295945232.89077908</v>
      </c>
      <c r="W12" s="72">
        <f t="shared" si="2"/>
        <v>0.8978588854563474</v>
      </c>
      <c r="X12" s="89"/>
      <c r="Y12" s="15">
        <f>SUM(Y13:Y32)</f>
        <v>25186024.421149429</v>
      </c>
      <c r="Z12" s="15">
        <f t="shared" ref="Z12:AJ12" si="10">SUM(Z13:Z32)</f>
        <v>24068620.242236789</v>
      </c>
      <c r="AA12" s="15">
        <f t="shared" si="10"/>
        <v>26544130.273979079</v>
      </c>
      <c r="AB12" s="15">
        <f t="shared" si="10"/>
        <v>25888493.4745178</v>
      </c>
      <c r="AC12" s="15">
        <f t="shared" si="10"/>
        <v>26362657.56143903</v>
      </c>
      <c r="AD12" s="15">
        <f t="shared" si="10"/>
        <v>25744521.877974894</v>
      </c>
      <c r="AE12" s="15">
        <f t="shared" si="10"/>
        <v>26850832.789378017</v>
      </c>
      <c r="AF12" s="15">
        <f t="shared" si="10"/>
        <v>27683500.787511762</v>
      </c>
      <c r="AG12" s="15">
        <f t="shared" si="10"/>
        <v>27925755.64572335</v>
      </c>
      <c r="AH12" s="15">
        <f t="shared" si="10"/>
        <v>29606386.7531913</v>
      </c>
      <c r="AI12" s="15">
        <f t="shared" si="10"/>
        <v>29007981.279232193</v>
      </c>
      <c r="AJ12" s="15">
        <f t="shared" si="10"/>
        <v>28510625.30642125</v>
      </c>
      <c r="AK12" s="15">
        <f>SUM(Y12:AJ12)</f>
        <v>323379530.41275489</v>
      </c>
      <c r="AL12" s="72">
        <f t="shared" si="4"/>
        <v>0.90128280654499882</v>
      </c>
      <c r="AM12" s="10">
        <f t="shared" si="7"/>
        <v>9.2700589409732581E-2</v>
      </c>
    </row>
    <row r="13" spans="1:41" hidden="1" outlineLevel="1">
      <c r="A13" s="37" t="s">
        <v>107</v>
      </c>
      <c r="B13" s="39"/>
      <c r="C13" s="39" t="s">
        <v>110</v>
      </c>
      <c r="D13" s="37" t="s">
        <v>111</v>
      </c>
      <c r="E13" s="38"/>
      <c r="F13" s="37"/>
      <c r="G13" s="37"/>
      <c r="H13" s="37"/>
      <c r="I13" s="171" t="s">
        <v>112</v>
      </c>
      <c r="J13" s="65">
        <f>SUM(A:B!J13)</f>
        <v>17491983</v>
      </c>
      <c r="K13" s="65">
        <f>SUM(A:B!K13)</f>
        <v>16105749</v>
      </c>
      <c r="L13" s="65">
        <f>SUM(A:B!L13)</f>
        <v>17633587</v>
      </c>
      <c r="M13" s="65">
        <f>SUM(A:B!M13)</f>
        <v>16414267</v>
      </c>
      <c r="N13" s="65">
        <f>SUM(A:B!N13)</f>
        <v>16550960</v>
      </c>
      <c r="O13" s="65">
        <f>SUM(A:B!O13)</f>
        <v>16752932</v>
      </c>
      <c r="P13" s="65">
        <f>SUM(A:B!P13)</f>
        <v>17303449</v>
      </c>
      <c r="Q13" s="65">
        <f>SUM(A:B!Q13)</f>
        <v>17528380</v>
      </c>
      <c r="R13" s="65">
        <f>SUM(A:B!R13)</f>
        <v>17923696</v>
      </c>
      <c r="S13" s="65">
        <f>SUM(A:B!S13)</f>
        <v>18840826</v>
      </c>
      <c r="T13" s="65">
        <f>SUM(A:B!T13)</f>
        <v>17335634.258343872</v>
      </c>
      <c r="U13" s="65">
        <f>SUM(A:B!U13)</f>
        <v>17748781.238209009</v>
      </c>
      <c r="V13" s="11">
        <f t="shared" si="5"/>
        <v>207630244.49655288</v>
      </c>
      <c r="W13" s="73">
        <f t="shared" si="2"/>
        <v>0.62992283433571861</v>
      </c>
      <c r="X13" s="89"/>
      <c r="Y13" s="65">
        <f>SUM(A:B!Y13)</f>
        <v>18268309.581839085</v>
      </c>
      <c r="Z13" s="65">
        <f>SUM(A:B!Z13)</f>
        <v>17247148.087005753</v>
      </c>
      <c r="AA13" s="65">
        <f>SUM(A:B!AA13)</f>
        <v>18765787.840808041</v>
      </c>
      <c r="AB13" s="65">
        <f>SUM(A:B!AB13)</f>
        <v>18233965.254790712</v>
      </c>
      <c r="AC13" s="65">
        <f>SUM(A:B!AC13)</f>
        <v>18195726.8640256</v>
      </c>
      <c r="AD13" s="65">
        <f>SUM(A:B!AD13)</f>
        <v>18213410.941715967</v>
      </c>
      <c r="AE13" s="65">
        <f>SUM(A:B!AE13)</f>
        <v>18857423.759482466</v>
      </c>
      <c r="AF13" s="65">
        <f>SUM(A:B!AF13)</f>
        <v>19454503.68522422</v>
      </c>
      <c r="AG13" s="65">
        <f>SUM(A:B!AG13)</f>
        <v>19608009.184974588</v>
      </c>
      <c r="AH13" s="65">
        <f>SUM(A:B!AH13)</f>
        <v>20816310.929472767</v>
      </c>
      <c r="AI13" s="65">
        <f>SUM(A:B!AI13)</f>
        <v>20632083.783316586</v>
      </c>
      <c r="AJ13" s="65">
        <f>SUM(A:B!AJ13)</f>
        <v>20340563.400761396</v>
      </c>
      <c r="AK13" s="65">
        <f t="shared" si="6"/>
        <v>228633243.3134172</v>
      </c>
      <c r="AL13" s="73">
        <f t="shared" si="4"/>
        <v>0.63721785649199081</v>
      </c>
      <c r="AM13" s="14">
        <f t="shared" si="7"/>
        <v>0.1011557775110794</v>
      </c>
    </row>
    <row r="14" spans="1:41" hidden="1" outlineLevel="1">
      <c r="A14" s="37" t="s">
        <v>107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172" t="s">
        <v>115</v>
      </c>
      <c r="J14" s="65">
        <f>SUM(A:B!J14)</f>
        <v>4933868</v>
      </c>
      <c r="K14" s="65">
        <f>SUM(A:B!K14)</f>
        <v>4692149</v>
      </c>
      <c r="L14" s="65">
        <f>SUM(A:B!L14)</f>
        <v>5366599</v>
      </c>
      <c r="M14" s="65">
        <f>SUM(A:B!M14)</f>
        <v>4909439</v>
      </c>
      <c r="N14" s="65">
        <f>SUM(A:B!N14)</f>
        <v>5542662</v>
      </c>
      <c r="O14" s="65">
        <f>SUM(A:B!O14)</f>
        <v>4823156</v>
      </c>
      <c r="P14" s="65">
        <f>SUM(A:B!P14)</f>
        <v>5160135</v>
      </c>
      <c r="Q14" s="65">
        <f>SUM(A:B!Q14)</f>
        <v>5519068</v>
      </c>
      <c r="R14" s="65">
        <f>SUM(A:B!R14)</f>
        <v>5541705</v>
      </c>
      <c r="S14" s="65">
        <f>SUM(A:B!S14)</f>
        <v>5997805</v>
      </c>
      <c r="T14" s="65">
        <f>SUM(A:B!T14)</f>
        <v>4383256.782270005</v>
      </c>
      <c r="U14" s="65">
        <f>SUM(A:B!U14)</f>
        <v>4424658.4403014956</v>
      </c>
      <c r="V14" s="11">
        <f t="shared" ref="V14:V18" si="11">SUM(J14:U14)</f>
        <v>61294501.2225715</v>
      </c>
      <c r="W14" s="73">
        <f t="shared" si="2"/>
        <v>0.18595944937086192</v>
      </c>
      <c r="X14" s="89"/>
      <c r="Y14" s="65">
        <f>SUM(A:B!Y14)</f>
        <v>4970410.0117241386</v>
      </c>
      <c r="Z14" s="65">
        <f>SUM(A:B!Z14)</f>
        <v>4748550.6305836216</v>
      </c>
      <c r="AA14" s="65">
        <f>SUM(A:B!AA14)</f>
        <v>5422697.3043373721</v>
      </c>
      <c r="AB14" s="65">
        <f>SUM(A:B!AB14)</f>
        <v>5082200.0512621924</v>
      </c>
      <c r="AC14" s="65">
        <f>SUM(A:B!AC14)</f>
        <v>5835553.4921681797</v>
      </c>
      <c r="AD14" s="65">
        <f>SUM(A:B!AD14)</f>
        <v>5129082.5499006994</v>
      </c>
      <c r="AE14" s="65">
        <f>SUM(A:B!AE14)</f>
        <v>5317297.6703447215</v>
      </c>
      <c r="AF14" s="65">
        <f>SUM(A:B!AF14)</f>
        <v>5746258.5138332173</v>
      </c>
      <c r="AG14" s="65">
        <f>SUM(A:B!AG14)</f>
        <v>5709886.4898318406</v>
      </c>
      <c r="AH14" s="65">
        <f>SUM(A:B!AH14)</f>
        <v>5913624.1173401885</v>
      </c>
      <c r="AI14" s="65">
        <f>SUM(A:B!AI14)</f>
        <v>5850009.7765055504</v>
      </c>
      <c r="AJ14" s="65">
        <f>SUM(A:B!AJ14)</f>
        <v>5766809.0111245997</v>
      </c>
      <c r="AK14" s="65">
        <f t="shared" si="6"/>
        <v>65492379.618956327</v>
      </c>
      <c r="AL14" s="73">
        <f t="shared" si="4"/>
        <v>0.18253213379010849</v>
      </c>
      <c r="AM14" s="14">
        <f t="shared" si="7"/>
        <v>6.8487030853576325E-2</v>
      </c>
    </row>
    <row r="15" spans="1:41" hidden="1" outlineLevel="1">
      <c r="A15" s="37" t="s">
        <v>107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167" t="s">
        <v>5</v>
      </c>
      <c r="J15" s="65">
        <f>SUM(A:B!J15)</f>
        <v>1953610</v>
      </c>
      <c r="K15" s="65">
        <f>SUM(A:B!K15)</f>
        <v>2086291</v>
      </c>
      <c r="L15" s="65">
        <f>SUM(A:B!L15)</f>
        <v>2425049</v>
      </c>
      <c r="M15" s="65">
        <f>SUM(A:B!M15)</f>
        <v>2457800</v>
      </c>
      <c r="N15" s="65">
        <f>SUM(A:B!N15)</f>
        <v>2174432</v>
      </c>
      <c r="O15" s="65">
        <f>SUM(A:B!O15)</f>
        <v>2274518</v>
      </c>
      <c r="P15" s="65">
        <f>SUM(A:B!P15)</f>
        <v>2653742</v>
      </c>
      <c r="Q15" s="65">
        <f>SUM(A:B!Q15)</f>
        <v>2343362</v>
      </c>
      <c r="R15" s="65">
        <f>SUM(A:B!R15)</f>
        <v>2508939</v>
      </c>
      <c r="S15" s="65">
        <f>SUM(A:B!S15)</f>
        <v>3094936</v>
      </c>
      <c r="T15" s="65">
        <f>SUM(A:B!T15)</f>
        <v>1294522.003978021</v>
      </c>
      <c r="U15" s="65">
        <f>SUM(A:B!U15)</f>
        <v>1648096.1676766712</v>
      </c>
      <c r="V15" s="11">
        <f t="shared" si="11"/>
        <v>26915297.171654694</v>
      </c>
      <c r="W15" s="73">
        <f t="shared" si="2"/>
        <v>8.1657469134456262E-2</v>
      </c>
      <c r="X15" s="89"/>
      <c r="Y15" s="65">
        <f>SUM(A:B!Y15)</f>
        <v>1902016.8275862071</v>
      </c>
      <c r="Z15" s="65">
        <f>SUM(A:B!Z15)</f>
        <v>2027072.5246474142</v>
      </c>
      <c r="AA15" s="65">
        <f>SUM(A:B!AA15)</f>
        <v>2308368.1288336669</v>
      </c>
      <c r="AB15" s="65">
        <f>SUM(A:B!AB15)</f>
        <v>2526428.1684648963</v>
      </c>
      <c r="AC15" s="65">
        <f>SUM(A:B!AC15)</f>
        <v>2283284.2052452508</v>
      </c>
      <c r="AD15" s="65">
        <f>SUM(A:B!AD15)</f>
        <v>2354445.3863582262</v>
      </c>
      <c r="AE15" s="65">
        <f>SUM(A:B!AE15)</f>
        <v>2628579.35955083</v>
      </c>
      <c r="AF15" s="65">
        <f>SUM(A:B!AF15)</f>
        <v>2434033.5884543252</v>
      </c>
      <c r="AG15" s="65">
        <f>SUM(A:B!AG15)</f>
        <v>2556094.970916918</v>
      </c>
      <c r="AH15" s="65">
        <f>SUM(A:B!AH15)</f>
        <v>2828103.7063783463</v>
      </c>
      <c r="AI15" s="65">
        <f>SUM(A:B!AI15)</f>
        <v>2477131.719410059</v>
      </c>
      <c r="AJ15" s="65">
        <f>SUM(A:B!AJ15)</f>
        <v>2352354.8945352561</v>
      </c>
      <c r="AK15" s="65">
        <f t="shared" si="6"/>
        <v>28677913.480381392</v>
      </c>
      <c r="AL15" s="73">
        <f t="shared" si="4"/>
        <v>7.9927478138342084E-2</v>
      </c>
      <c r="AM15" s="14">
        <f t="shared" si="7"/>
        <v>6.5487529172925552E-2</v>
      </c>
    </row>
    <row r="16" spans="1:41" hidden="1" outlineLevel="1">
      <c r="A16" s="37" t="s">
        <v>107</v>
      </c>
      <c r="B16" s="39"/>
      <c r="C16" s="39" t="s">
        <v>118</v>
      </c>
      <c r="D16" s="37"/>
      <c r="E16" s="38"/>
      <c r="F16" s="37"/>
      <c r="G16" s="37"/>
      <c r="H16" s="37"/>
      <c r="I16" s="171" t="s">
        <v>119</v>
      </c>
      <c r="J16" s="65">
        <f>SUM(A:B!J16)</f>
        <v>0</v>
      </c>
      <c r="K16" s="65">
        <f>SUM(A:B!K16)</f>
        <v>0</v>
      </c>
      <c r="L16" s="65">
        <f>SUM(A:B!L16)</f>
        <v>49100</v>
      </c>
      <c r="M16" s="65">
        <f>SUM(A:B!M16)</f>
        <v>0</v>
      </c>
      <c r="N16" s="65">
        <f>SUM(A:B!N16)</f>
        <v>0</v>
      </c>
      <c r="O16" s="65">
        <f>SUM(A:B!O16)</f>
        <v>0</v>
      </c>
      <c r="P16" s="65">
        <f>SUM(A:B!P16)</f>
        <v>0</v>
      </c>
      <c r="Q16" s="65">
        <f>SUM(A:B!Q16)</f>
        <v>0</v>
      </c>
      <c r="R16" s="65">
        <f>SUM(A:B!R16)</f>
        <v>0</v>
      </c>
      <c r="S16" s="65">
        <f>SUM(A:B!S16)</f>
        <v>0</v>
      </c>
      <c r="T16" s="65">
        <f>SUM(A:B!T16)</f>
        <v>0</v>
      </c>
      <c r="U16" s="65">
        <f>SUM(A:B!U16)</f>
        <v>0</v>
      </c>
      <c r="V16" s="11">
        <f t="shared" si="11"/>
        <v>49100</v>
      </c>
      <c r="W16" s="73">
        <f t="shared" si="2"/>
        <v>1.4896293765332091E-4</v>
      </c>
      <c r="X16" s="89"/>
      <c r="Y16" s="65">
        <f>SUM(A:B!Y16)</f>
        <v>0</v>
      </c>
      <c r="Z16" s="65">
        <f>SUM(A:B!Z16)</f>
        <v>0</v>
      </c>
      <c r="AA16" s="65">
        <f>SUM(A:B!AA16)</f>
        <v>0</v>
      </c>
      <c r="AB16" s="65">
        <f>SUM(A:B!AB16)</f>
        <v>0</v>
      </c>
      <c r="AC16" s="65">
        <f>SUM(A:B!AC16)</f>
        <v>0</v>
      </c>
      <c r="AD16" s="65">
        <f>SUM(A:B!AD16)</f>
        <v>0</v>
      </c>
      <c r="AE16" s="65">
        <f>SUM(A:B!AE16)</f>
        <v>0</v>
      </c>
      <c r="AF16" s="65">
        <f>SUM(A:B!AF16)</f>
        <v>0</v>
      </c>
      <c r="AG16" s="65">
        <f>SUM(A:B!AG16)</f>
        <v>0</v>
      </c>
      <c r="AH16" s="65">
        <f>SUM(A:B!AH16)</f>
        <v>0</v>
      </c>
      <c r="AI16" s="65">
        <f>SUM(A:B!AI16)</f>
        <v>0</v>
      </c>
      <c r="AJ16" s="65">
        <f>SUM(A:B!AJ16)</f>
        <v>0</v>
      </c>
      <c r="AK16" s="65">
        <f t="shared" si="6"/>
        <v>0</v>
      </c>
      <c r="AL16" s="73">
        <f t="shared" si="4"/>
        <v>0</v>
      </c>
      <c r="AM16" s="14">
        <f t="shared" si="7"/>
        <v>-1</v>
      </c>
    </row>
    <row r="17" spans="1:39" hidden="1" outlineLevel="1">
      <c r="A17" s="37" t="s">
        <v>107</v>
      </c>
      <c r="B17" s="39"/>
      <c r="C17" s="39" t="s">
        <v>120</v>
      </c>
      <c r="D17" s="37"/>
      <c r="E17" s="38"/>
      <c r="F17" s="37"/>
      <c r="G17" s="37"/>
      <c r="H17" s="37"/>
      <c r="I17" s="172" t="s">
        <v>121</v>
      </c>
      <c r="J17" s="65">
        <f>SUM(A:B!J17)</f>
        <v>7882</v>
      </c>
      <c r="K17" s="65">
        <f>SUM(A:B!K17)</f>
        <v>14264</v>
      </c>
      <c r="L17" s="65">
        <f>SUM(A:B!L17)</f>
        <v>0</v>
      </c>
      <c r="M17" s="65">
        <f>SUM(A:B!M17)</f>
        <v>0</v>
      </c>
      <c r="N17" s="65">
        <f>SUM(A:B!N17)</f>
        <v>16710</v>
      </c>
      <c r="O17" s="65">
        <f>SUM(A:B!O17)</f>
        <v>0</v>
      </c>
      <c r="P17" s="65">
        <f>SUM(A:B!P17)</f>
        <v>0</v>
      </c>
      <c r="Q17" s="65">
        <f>SUM(A:B!Q17)</f>
        <v>3686</v>
      </c>
      <c r="R17" s="65">
        <f>SUM(A:B!R17)</f>
        <v>0</v>
      </c>
      <c r="S17" s="65">
        <f>SUM(A:B!S17)</f>
        <v>0</v>
      </c>
      <c r="T17" s="65">
        <f>SUM(A:B!T17)</f>
        <v>0</v>
      </c>
      <c r="U17" s="65">
        <f>SUM(A:B!U17)</f>
        <v>0</v>
      </c>
      <c r="V17" s="11">
        <f t="shared" si="11"/>
        <v>42542</v>
      </c>
      <c r="W17" s="73">
        <f t="shared" si="2"/>
        <v>1.2906682879119304E-4</v>
      </c>
      <c r="X17" s="89"/>
      <c r="Y17" s="65">
        <f>SUM(A:B!Y17)</f>
        <v>0</v>
      </c>
      <c r="Z17" s="65">
        <f>SUM(A:B!Z17)</f>
        <v>0</v>
      </c>
      <c r="AA17" s="65">
        <f>SUM(A:B!AA17)</f>
        <v>0</v>
      </c>
      <c r="AB17" s="65">
        <f>SUM(A:B!AB17)</f>
        <v>0</v>
      </c>
      <c r="AC17" s="65">
        <f>SUM(A:B!AC17)</f>
        <v>0</v>
      </c>
      <c r="AD17" s="65">
        <f>SUM(A:B!AD17)</f>
        <v>0</v>
      </c>
      <c r="AE17" s="65">
        <f>SUM(A:B!AE17)</f>
        <v>0</v>
      </c>
      <c r="AF17" s="65">
        <f>SUM(A:B!AF17)</f>
        <v>0</v>
      </c>
      <c r="AG17" s="65">
        <f>SUM(A:B!AG17)</f>
        <v>0</v>
      </c>
      <c r="AH17" s="65">
        <f>SUM(A:B!AH17)</f>
        <v>0</v>
      </c>
      <c r="AI17" s="65">
        <f>SUM(A:B!AI17)</f>
        <v>0</v>
      </c>
      <c r="AJ17" s="65">
        <f>SUM(A:B!AJ17)</f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</row>
    <row r="18" spans="1:39" hidden="1" outlineLevel="1">
      <c r="A18" s="37" t="s">
        <v>107</v>
      </c>
      <c r="B18" s="39"/>
      <c r="C18" s="39" t="s">
        <v>122</v>
      </c>
      <c r="D18" s="37"/>
      <c r="E18" s="38"/>
      <c r="F18" s="37"/>
      <c r="G18" s="37"/>
      <c r="H18" s="37"/>
      <c r="I18" s="167" t="s">
        <v>123</v>
      </c>
      <c r="J18" s="65">
        <f>SUM(A:B!J18)</f>
        <v>0</v>
      </c>
      <c r="K18" s="65">
        <f>SUM(A:B!K18)</f>
        <v>0</v>
      </c>
      <c r="L18" s="65">
        <f>SUM(A:B!L18)</f>
        <v>0</v>
      </c>
      <c r="M18" s="65">
        <f>SUM(A:B!M18)</f>
        <v>0</v>
      </c>
      <c r="N18" s="65">
        <f>SUM(A:B!N18)</f>
        <v>0</v>
      </c>
      <c r="O18" s="65">
        <f>SUM(A:B!O18)</f>
        <v>0</v>
      </c>
      <c r="P18" s="65">
        <f>SUM(A:B!P18)</f>
        <v>0</v>
      </c>
      <c r="Q18" s="65">
        <f>SUM(A:B!Q18)</f>
        <v>0</v>
      </c>
      <c r="R18" s="65">
        <f>SUM(A:B!R18)</f>
        <v>33294</v>
      </c>
      <c r="S18" s="65">
        <f>SUM(A:B!S18)</f>
        <v>0</v>
      </c>
      <c r="T18" s="65">
        <f>SUM(A:B!T18)</f>
        <v>0</v>
      </c>
      <c r="U18" s="65">
        <f>SUM(A:B!U18)</f>
        <v>0</v>
      </c>
      <c r="V18" s="11">
        <f t="shared" si="11"/>
        <v>33294</v>
      </c>
      <c r="W18" s="73">
        <f t="shared" si="2"/>
        <v>1.0100961397616428E-4</v>
      </c>
      <c r="X18" s="89"/>
      <c r="Y18" s="65">
        <f>SUM(A:B!Y18)</f>
        <v>0</v>
      </c>
      <c r="Z18" s="65">
        <f>SUM(A:B!Z18)</f>
        <v>0</v>
      </c>
      <c r="AA18" s="65">
        <f>SUM(A:B!AA18)</f>
        <v>0</v>
      </c>
      <c r="AB18" s="65">
        <f>SUM(A:B!AB18)</f>
        <v>0</v>
      </c>
      <c r="AC18" s="65">
        <f>SUM(A:B!AC18)</f>
        <v>0</v>
      </c>
      <c r="AD18" s="65">
        <f>SUM(A:B!AD18)</f>
        <v>0</v>
      </c>
      <c r="AE18" s="65">
        <f>SUM(A:B!AE18)</f>
        <v>0</v>
      </c>
      <c r="AF18" s="65">
        <f>SUM(A:B!AF18)</f>
        <v>0</v>
      </c>
      <c r="AG18" s="65">
        <f>SUM(A:B!AG18)</f>
        <v>0</v>
      </c>
      <c r="AH18" s="65">
        <f>SUM(A:B!AH18)</f>
        <v>0</v>
      </c>
      <c r="AI18" s="65">
        <f>SUM(A:B!AI18)</f>
        <v>0</v>
      </c>
      <c r="AJ18" s="65">
        <f>SUM(A:B!AJ18)</f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</row>
    <row r="19" spans="1:39" hidden="1" outlineLevel="1">
      <c r="A19" s="37"/>
      <c r="B19" s="39"/>
      <c r="C19" s="39"/>
      <c r="D19" s="37"/>
      <c r="E19" s="38"/>
      <c r="F19" s="37"/>
      <c r="G19" s="37"/>
      <c r="H19" s="37"/>
      <c r="I19" s="167" t="s">
        <v>138</v>
      </c>
      <c r="J19" s="65">
        <f>SUM(A:B!J19)</f>
        <v>37098</v>
      </c>
      <c r="K19" s="65">
        <f>SUM(A:B!K19)</f>
        <v>30373</v>
      </c>
      <c r="L19" s="65">
        <f>SUM(A:B!L19)</f>
        <v>39778</v>
      </c>
      <c r="M19" s="65">
        <f>SUM(A:B!M19)</f>
        <v>31691</v>
      </c>
      <c r="N19" s="65">
        <f>SUM(A:B!N19)</f>
        <v>35405</v>
      </c>
      <c r="O19" s="65">
        <f>SUM(A:B!O19)</f>
        <v>33757</v>
      </c>
      <c r="P19" s="65">
        <f>SUM(A:B!P19)</f>
        <v>37244</v>
      </c>
      <c r="Q19" s="65">
        <f>SUM(A:B!Q19)</f>
        <v>38255</v>
      </c>
      <c r="R19" s="65">
        <f>SUM(A:B!R19)</f>
        <v>36441</v>
      </c>
      <c r="S19" s="65">
        <f>SUM(A:B!S19)</f>
        <v>39121</v>
      </c>
      <c r="T19" s="65">
        <f>SUM(A:B!T19)</f>
        <v>0</v>
      </c>
      <c r="U19" s="65">
        <f>SUM(A:B!U19)</f>
        <v>0</v>
      </c>
      <c r="V19" s="11">
        <f t="shared" ref="V19:V32" si="12">SUM(J19:U19)</f>
        <v>359163</v>
      </c>
      <c r="W19" s="73">
        <f t="shared" ref="W19:W32" si="13">V19/V$6</f>
        <v>1.0896532703946985E-3</v>
      </c>
      <c r="X19" s="89"/>
      <c r="Y19" s="65">
        <f>SUM(A:B!Y19)</f>
        <v>0</v>
      </c>
      <c r="Z19" s="65">
        <f>SUM(A:B!Z19)</f>
        <v>0</v>
      </c>
      <c r="AA19" s="65">
        <f>SUM(A:B!AA19)</f>
        <v>0</v>
      </c>
      <c r="AB19" s="65">
        <f>SUM(A:B!AB19)</f>
        <v>0</v>
      </c>
      <c r="AC19" s="65">
        <f>SUM(A:B!AC19)</f>
        <v>0</v>
      </c>
      <c r="AD19" s="65">
        <f>SUM(A:B!AD19)</f>
        <v>0</v>
      </c>
      <c r="AE19" s="65">
        <f>SUM(A:B!AE19)</f>
        <v>0</v>
      </c>
      <c r="AF19" s="65">
        <f>SUM(A:B!AF19)</f>
        <v>0</v>
      </c>
      <c r="AG19" s="65">
        <f>SUM(A:B!AG19)</f>
        <v>0</v>
      </c>
      <c r="AH19" s="65">
        <f>SUM(A:B!AH19)</f>
        <v>0</v>
      </c>
      <c r="AI19" s="65">
        <f>SUM(A:B!AI19)</f>
        <v>0</v>
      </c>
      <c r="AJ19" s="65">
        <f>SUM(A:B!AJ19)</f>
        <v>0</v>
      </c>
      <c r="AK19" s="65">
        <f t="shared" si="6"/>
        <v>0</v>
      </c>
      <c r="AL19" s="73">
        <f t="shared" ref="AL19:AL32" si="14">AK19/AK$6</f>
        <v>0</v>
      </c>
      <c r="AM19" s="14">
        <f t="shared" ref="AM19:AM32" si="15">IFERROR(AK19/V19-1,0)</f>
        <v>-1</v>
      </c>
    </row>
    <row r="20" spans="1:39" hidden="1" outlineLevel="1">
      <c r="A20" s="37"/>
      <c r="B20" s="39"/>
      <c r="C20" s="39"/>
      <c r="D20" s="37"/>
      <c r="E20" s="38"/>
      <c r="F20" s="37"/>
      <c r="G20" s="37"/>
      <c r="H20" s="37"/>
      <c r="I20" s="167" t="s">
        <v>139</v>
      </c>
      <c r="J20" s="65">
        <f>SUM(A:B!J20)</f>
        <v>10383</v>
      </c>
      <c r="K20" s="65">
        <f>SUM(A:B!K20)</f>
        <v>7510</v>
      </c>
      <c r="L20" s="65">
        <f>SUM(A:B!L20)</f>
        <v>11713</v>
      </c>
      <c r="M20" s="65">
        <f>SUM(A:B!M20)</f>
        <v>9665</v>
      </c>
      <c r="N20" s="65">
        <f>SUM(A:B!N20)</f>
        <v>10014</v>
      </c>
      <c r="O20" s="65">
        <f>SUM(A:B!O20)</f>
        <v>10264</v>
      </c>
      <c r="P20" s="65">
        <f>SUM(A:B!P20)</f>
        <v>11873</v>
      </c>
      <c r="Q20" s="65">
        <f>SUM(A:B!Q20)</f>
        <v>9035</v>
      </c>
      <c r="R20" s="65">
        <f>SUM(A:B!R20)</f>
        <v>10659</v>
      </c>
      <c r="S20" s="65">
        <f>SUM(A:B!S20)</f>
        <v>11765</v>
      </c>
      <c r="T20" s="65">
        <f>SUM(A:B!T20)</f>
        <v>0</v>
      </c>
      <c r="U20" s="65">
        <f>SUM(A:B!U20)</f>
        <v>0</v>
      </c>
      <c r="V20" s="11">
        <f t="shared" si="12"/>
        <v>102881</v>
      </c>
      <c r="W20" s="73">
        <f t="shared" si="13"/>
        <v>3.1212741321204291E-4</v>
      </c>
      <c r="X20" s="89"/>
      <c r="Y20" s="65">
        <f>SUM(A:B!Y20)</f>
        <v>0</v>
      </c>
      <c r="Z20" s="65">
        <f>SUM(A:B!Z20)</f>
        <v>0</v>
      </c>
      <c r="AA20" s="65">
        <f>SUM(A:B!AA20)</f>
        <v>0</v>
      </c>
      <c r="AB20" s="65">
        <f>SUM(A:B!AB20)</f>
        <v>0</v>
      </c>
      <c r="AC20" s="65">
        <f>SUM(A:B!AC20)</f>
        <v>0</v>
      </c>
      <c r="AD20" s="65">
        <f>SUM(A:B!AD20)</f>
        <v>0</v>
      </c>
      <c r="AE20" s="65">
        <f>SUM(A:B!AE20)</f>
        <v>0</v>
      </c>
      <c r="AF20" s="65">
        <f>SUM(A:B!AF20)</f>
        <v>0</v>
      </c>
      <c r="AG20" s="65">
        <f>SUM(A:B!AG20)</f>
        <v>0</v>
      </c>
      <c r="AH20" s="65">
        <f>SUM(A:B!AH20)</f>
        <v>0</v>
      </c>
      <c r="AI20" s="65">
        <f>SUM(A:B!AI20)</f>
        <v>0</v>
      </c>
      <c r="AJ20" s="65">
        <f>SUM(A:B!AJ20)</f>
        <v>0</v>
      </c>
      <c r="AK20" s="65">
        <f t="shared" si="6"/>
        <v>0</v>
      </c>
      <c r="AL20" s="73">
        <f t="shared" si="14"/>
        <v>0</v>
      </c>
      <c r="AM20" s="14">
        <f t="shared" si="15"/>
        <v>-1</v>
      </c>
    </row>
    <row r="21" spans="1:39" hidden="1" outlineLevel="1">
      <c r="A21" s="37"/>
      <c r="B21" s="39"/>
      <c r="C21" s="39"/>
      <c r="D21" s="37"/>
      <c r="E21" s="38"/>
      <c r="F21" s="37"/>
      <c r="G21" s="37"/>
      <c r="H21" s="37"/>
      <c r="I21" s="167" t="s">
        <v>140</v>
      </c>
      <c r="J21" s="65">
        <f>SUM(A:B!J21)</f>
        <v>0</v>
      </c>
      <c r="K21" s="65">
        <f>SUM(A:B!K21)</f>
        <v>0</v>
      </c>
      <c r="L21" s="65">
        <f>SUM(A:B!L21)</f>
        <v>0</v>
      </c>
      <c r="M21" s="65">
        <f>SUM(A:B!M21)</f>
        <v>0</v>
      </c>
      <c r="N21" s="65">
        <f>SUM(A:B!N21)</f>
        <v>0</v>
      </c>
      <c r="O21" s="65">
        <f>SUM(A:B!O21)</f>
        <v>0</v>
      </c>
      <c r="P21" s="65">
        <f>SUM(A:B!P21)</f>
        <v>0</v>
      </c>
      <c r="Q21" s="65">
        <f>SUM(A:B!Q21)</f>
        <v>0</v>
      </c>
      <c r="R21" s="65">
        <f>SUM(A:B!R21)</f>
        <v>0</v>
      </c>
      <c r="S21" s="65">
        <f>SUM(A:B!S21)</f>
        <v>0</v>
      </c>
      <c r="T21" s="65">
        <f>SUM(A:B!T21)</f>
        <v>0</v>
      </c>
      <c r="U21" s="65">
        <f>SUM(A:B!U21)</f>
        <v>0</v>
      </c>
      <c r="V21" s="11">
        <f t="shared" si="12"/>
        <v>0</v>
      </c>
      <c r="W21" s="73">
        <f t="shared" si="13"/>
        <v>0</v>
      </c>
      <c r="X21" s="89"/>
      <c r="Y21" s="65">
        <f>SUM(A:B!Y21)</f>
        <v>0</v>
      </c>
      <c r="Z21" s="65">
        <f>SUM(A:B!Z21)</f>
        <v>0</v>
      </c>
      <c r="AA21" s="65">
        <f>SUM(A:B!AA21)</f>
        <v>0</v>
      </c>
      <c r="AB21" s="65">
        <f>SUM(A:B!AB21)</f>
        <v>0</v>
      </c>
      <c r="AC21" s="65">
        <f>SUM(A:B!AC21)</f>
        <v>0</v>
      </c>
      <c r="AD21" s="65">
        <f>SUM(A:B!AD21)</f>
        <v>0</v>
      </c>
      <c r="AE21" s="65">
        <f>SUM(A:B!AE21)</f>
        <v>0</v>
      </c>
      <c r="AF21" s="65">
        <f>SUM(A:B!AF21)</f>
        <v>0</v>
      </c>
      <c r="AG21" s="65">
        <f>SUM(A:B!AG21)</f>
        <v>0</v>
      </c>
      <c r="AH21" s="65">
        <f>SUM(A:B!AH21)</f>
        <v>0</v>
      </c>
      <c r="AI21" s="65">
        <f>SUM(A:B!AI21)</f>
        <v>0</v>
      </c>
      <c r="AJ21" s="65">
        <f>SUM(A:B!AJ21)</f>
        <v>0</v>
      </c>
      <c r="AK21" s="65">
        <f t="shared" si="6"/>
        <v>0</v>
      </c>
      <c r="AL21" s="73">
        <f t="shared" si="14"/>
        <v>0</v>
      </c>
      <c r="AM21" s="14">
        <f t="shared" si="15"/>
        <v>0</v>
      </c>
    </row>
    <row r="22" spans="1:39" hidden="1" outlineLevel="1">
      <c r="A22" s="37" t="s">
        <v>107</v>
      </c>
      <c r="B22" s="39"/>
      <c r="C22" s="39" t="s">
        <v>124</v>
      </c>
      <c r="D22" s="37" t="s">
        <v>125</v>
      </c>
      <c r="E22" s="38"/>
      <c r="F22" s="37"/>
      <c r="G22" s="37"/>
      <c r="H22" s="37"/>
      <c r="I22" s="171" t="s">
        <v>126</v>
      </c>
      <c r="J22" s="65">
        <f>SUM(A:B!J22)</f>
        <v>0</v>
      </c>
      <c r="K22" s="65">
        <f>SUM(A:B!K22)</f>
        <v>0</v>
      </c>
      <c r="L22" s="65">
        <f>SUM(A:B!L22)</f>
        <v>0</v>
      </c>
      <c r="M22" s="65">
        <f>SUM(A:B!M22)</f>
        <v>0</v>
      </c>
      <c r="N22" s="65">
        <f>SUM(A:B!N22)</f>
        <v>0</v>
      </c>
      <c r="O22" s="65">
        <f>SUM(A:B!O22)</f>
        <v>0</v>
      </c>
      <c r="P22" s="65">
        <f>SUM(A:B!P22)</f>
        <v>0</v>
      </c>
      <c r="Q22" s="65">
        <f>SUM(A:B!Q22)</f>
        <v>0</v>
      </c>
      <c r="R22" s="65">
        <f>SUM(A:B!R22)</f>
        <v>0</v>
      </c>
      <c r="S22" s="65">
        <f>SUM(A:B!S22)</f>
        <v>0</v>
      </c>
      <c r="T22" s="65">
        <f>SUM(A:B!T22)</f>
        <v>0</v>
      </c>
      <c r="U22" s="65">
        <f>SUM(A:B!U22)</f>
        <v>0</v>
      </c>
      <c r="V22" s="11">
        <f t="shared" si="12"/>
        <v>0</v>
      </c>
      <c r="W22" s="73">
        <f t="shared" si="13"/>
        <v>0</v>
      </c>
      <c r="X22" s="89"/>
      <c r="Y22" s="65">
        <f>SUM(A:B!Y22)</f>
        <v>0</v>
      </c>
      <c r="Z22" s="65">
        <f>SUM(A:B!Z22)</f>
        <v>0</v>
      </c>
      <c r="AA22" s="65">
        <f>SUM(A:B!AA22)</f>
        <v>0</v>
      </c>
      <c r="AB22" s="65">
        <f>SUM(A:B!AB22)</f>
        <v>0</v>
      </c>
      <c r="AC22" s="65">
        <f>SUM(A:B!AC22)</f>
        <v>0</v>
      </c>
      <c r="AD22" s="65">
        <f>SUM(A:B!AD22)</f>
        <v>0</v>
      </c>
      <c r="AE22" s="65">
        <f>SUM(A:B!AE22)</f>
        <v>0</v>
      </c>
      <c r="AF22" s="65">
        <f>SUM(A:B!AF22)</f>
        <v>0</v>
      </c>
      <c r="AG22" s="65">
        <f>SUM(A:B!AG22)</f>
        <v>0</v>
      </c>
      <c r="AH22" s="65">
        <f>SUM(A:B!AH22)</f>
        <v>0</v>
      </c>
      <c r="AI22" s="65">
        <f>SUM(A:B!AI22)</f>
        <v>0</v>
      </c>
      <c r="AJ22" s="65">
        <f>SUM(A:B!AJ22)</f>
        <v>0</v>
      </c>
      <c r="AK22" s="65">
        <f t="shared" si="6"/>
        <v>0</v>
      </c>
      <c r="AL22" s="73">
        <f t="shared" si="14"/>
        <v>0</v>
      </c>
      <c r="AM22" s="14">
        <f t="shared" si="15"/>
        <v>0</v>
      </c>
    </row>
    <row r="23" spans="1:39" hidden="1" outlineLevel="1">
      <c r="A23" s="37" t="s">
        <v>107</v>
      </c>
      <c r="B23" s="39"/>
      <c r="C23" s="39" t="s">
        <v>127</v>
      </c>
      <c r="D23" s="37"/>
      <c r="E23" s="38"/>
      <c r="F23" s="37"/>
      <c r="G23" s="37"/>
      <c r="H23" s="37"/>
      <c r="I23" s="172" t="s">
        <v>128</v>
      </c>
      <c r="J23" s="65">
        <f>SUM(A:B!J23)</f>
        <v>0</v>
      </c>
      <c r="K23" s="65">
        <f>SUM(A:B!K23)</f>
        <v>0</v>
      </c>
      <c r="L23" s="65">
        <f>SUM(A:B!L23)</f>
        <v>0</v>
      </c>
      <c r="M23" s="65">
        <f>SUM(A:B!M23)</f>
        <v>0</v>
      </c>
      <c r="N23" s="65">
        <f>SUM(A:B!N23)</f>
        <v>0</v>
      </c>
      <c r="O23" s="65">
        <f>SUM(A:B!O23)</f>
        <v>0</v>
      </c>
      <c r="P23" s="65">
        <f>SUM(A:B!P23)</f>
        <v>0</v>
      </c>
      <c r="Q23" s="65">
        <f>SUM(A:B!Q23)</f>
        <v>0</v>
      </c>
      <c r="R23" s="65">
        <f>SUM(A:B!R23)</f>
        <v>0</v>
      </c>
      <c r="S23" s="65">
        <f>SUM(A:B!S23)</f>
        <v>0</v>
      </c>
      <c r="T23" s="65">
        <f>SUM(A:B!T23)</f>
        <v>0</v>
      </c>
      <c r="U23" s="65">
        <f>SUM(A:B!U23)</f>
        <v>0</v>
      </c>
      <c r="V23" s="11">
        <f t="shared" si="12"/>
        <v>0</v>
      </c>
      <c r="W23" s="73">
        <f t="shared" si="13"/>
        <v>0</v>
      </c>
      <c r="X23" s="89"/>
      <c r="Y23" s="65">
        <f>SUM(A:B!Y23)</f>
        <v>0</v>
      </c>
      <c r="Z23" s="65">
        <f>SUM(A:B!Z23)</f>
        <v>0</v>
      </c>
      <c r="AA23" s="65">
        <f>SUM(A:B!AA23)</f>
        <v>0</v>
      </c>
      <c r="AB23" s="65">
        <f>SUM(A:B!AB23)</f>
        <v>0</v>
      </c>
      <c r="AC23" s="65">
        <f>SUM(A:B!AC23)</f>
        <v>0</v>
      </c>
      <c r="AD23" s="65">
        <f>SUM(A:B!AD23)</f>
        <v>0</v>
      </c>
      <c r="AE23" s="65">
        <f>SUM(A:B!AE23)</f>
        <v>0</v>
      </c>
      <c r="AF23" s="65">
        <f>SUM(A:B!AF23)</f>
        <v>0</v>
      </c>
      <c r="AG23" s="65">
        <f>SUM(A:B!AG23)</f>
        <v>0</v>
      </c>
      <c r="AH23" s="65">
        <f>SUM(A:B!AH23)</f>
        <v>0</v>
      </c>
      <c r="AI23" s="65">
        <f>SUM(A:B!AI23)</f>
        <v>0</v>
      </c>
      <c r="AJ23" s="65">
        <f>SUM(A:B!AJ23)</f>
        <v>0</v>
      </c>
      <c r="AK23" s="65">
        <f t="shared" si="6"/>
        <v>0</v>
      </c>
      <c r="AL23" s="73">
        <f t="shared" si="14"/>
        <v>0</v>
      </c>
      <c r="AM23" s="14">
        <f t="shared" si="15"/>
        <v>0</v>
      </c>
    </row>
    <row r="24" spans="1:39" hidden="1" outlineLevel="1">
      <c r="A24" s="37" t="s">
        <v>107</v>
      </c>
      <c r="B24" s="39"/>
      <c r="C24" s="39" t="s">
        <v>129</v>
      </c>
      <c r="D24" s="37"/>
      <c r="E24" s="38"/>
      <c r="F24" s="37"/>
      <c r="G24" s="37"/>
      <c r="H24" s="37"/>
      <c r="I24" s="171" t="s">
        <v>130</v>
      </c>
      <c r="J24" s="65">
        <f>SUM(A:B!J24)</f>
        <v>0</v>
      </c>
      <c r="K24" s="65">
        <f>SUM(A:B!K24)</f>
        <v>0</v>
      </c>
      <c r="L24" s="65">
        <f>SUM(A:B!L24)</f>
        <v>267</v>
      </c>
      <c r="M24" s="65">
        <f>SUM(A:B!M24)</f>
        <v>0</v>
      </c>
      <c r="N24" s="65">
        <f>SUM(A:B!N24)</f>
        <v>0</v>
      </c>
      <c r="O24" s="65">
        <f>SUM(A:B!O24)</f>
        <v>0</v>
      </c>
      <c r="P24" s="65">
        <f>SUM(A:B!P24)</f>
        <v>0</v>
      </c>
      <c r="Q24" s="65">
        <f>SUM(A:B!Q24)</f>
        <v>0</v>
      </c>
      <c r="R24" s="65">
        <f>SUM(A:B!R24)</f>
        <v>0</v>
      </c>
      <c r="S24" s="65">
        <f>SUM(A:B!S24)</f>
        <v>0</v>
      </c>
      <c r="T24" s="65">
        <f>SUM(A:B!T24)</f>
        <v>0</v>
      </c>
      <c r="U24" s="65">
        <f>SUM(A:B!U24)</f>
        <v>0</v>
      </c>
      <c r="V24" s="11">
        <f t="shared" si="12"/>
        <v>267</v>
      </c>
      <c r="W24" s="73">
        <f t="shared" si="13"/>
        <v>8.1004285852213198E-7</v>
      </c>
      <c r="X24" s="89"/>
      <c r="Y24" s="65">
        <f>SUM(A:B!Y24)</f>
        <v>0</v>
      </c>
      <c r="Z24" s="65">
        <f>SUM(A:B!Z24)</f>
        <v>0</v>
      </c>
      <c r="AA24" s="65">
        <f>SUM(A:B!AA24)</f>
        <v>0</v>
      </c>
      <c r="AB24" s="65">
        <f>SUM(A:B!AB24)</f>
        <v>0</v>
      </c>
      <c r="AC24" s="65">
        <f>SUM(A:B!AC24)</f>
        <v>0</v>
      </c>
      <c r="AD24" s="65">
        <f>SUM(A:B!AD24)</f>
        <v>0</v>
      </c>
      <c r="AE24" s="65">
        <f>SUM(A:B!AE24)</f>
        <v>0</v>
      </c>
      <c r="AF24" s="65">
        <f>SUM(A:B!AF24)</f>
        <v>0</v>
      </c>
      <c r="AG24" s="65">
        <f>SUM(A:B!AG24)</f>
        <v>0</v>
      </c>
      <c r="AH24" s="65">
        <f>SUM(A:B!AH24)</f>
        <v>0</v>
      </c>
      <c r="AI24" s="65">
        <f>SUM(A:B!AI24)</f>
        <v>0</v>
      </c>
      <c r="AJ24" s="65">
        <f>SUM(A:B!AJ24)</f>
        <v>0</v>
      </c>
      <c r="AK24" s="65">
        <f t="shared" si="6"/>
        <v>0</v>
      </c>
      <c r="AL24" s="73">
        <f t="shared" si="14"/>
        <v>0</v>
      </c>
      <c r="AM24" s="14">
        <f t="shared" si="15"/>
        <v>-1</v>
      </c>
    </row>
    <row r="25" spans="1:39" hidden="1" outlineLevel="1">
      <c r="A25" s="37" t="s">
        <v>107</v>
      </c>
      <c r="B25" s="39"/>
      <c r="C25" s="39" t="s">
        <v>131</v>
      </c>
      <c r="D25" s="37"/>
      <c r="E25" s="38"/>
      <c r="F25" s="37"/>
      <c r="G25" s="37"/>
      <c r="H25" s="37"/>
      <c r="I25" s="172" t="s">
        <v>132</v>
      </c>
      <c r="J25" s="65">
        <f>SUM(A:B!J25)</f>
        <v>0</v>
      </c>
      <c r="K25" s="65">
        <f>SUM(A:B!K25)</f>
        <v>0</v>
      </c>
      <c r="L25" s="65">
        <f>SUM(A:B!L25)</f>
        <v>1204</v>
      </c>
      <c r="M25" s="65">
        <f>SUM(A:B!M25)</f>
        <v>2070</v>
      </c>
      <c r="N25" s="65">
        <f>SUM(A:B!N25)</f>
        <v>0</v>
      </c>
      <c r="O25" s="65">
        <f>SUM(A:B!O25)</f>
        <v>0</v>
      </c>
      <c r="P25" s="65">
        <f>SUM(A:B!P25)</f>
        <v>2068</v>
      </c>
      <c r="Q25" s="65">
        <f>SUM(A:B!Q25)</f>
        <v>0</v>
      </c>
      <c r="R25" s="65">
        <f>SUM(A:B!R25)</f>
        <v>0</v>
      </c>
      <c r="S25" s="65">
        <f>SUM(A:B!S25)</f>
        <v>0</v>
      </c>
      <c r="T25" s="65">
        <f>SUM(A:B!T25)</f>
        <v>0</v>
      </c>
      <c r="U25" s="65">
        <f>SUM(A:B!U25)</f>
        <v>0</v>
      </c>
      <c r="V25" s="11">
        <f t="shared" si="12"/>
        <v>5342</v>
      </c>
      <c r="W25" s="73">
        <f t="shared" si="13"/>
        <v>1.6206924907210597E-5</v>
      </c>
      <c r="X25" s="89"/>
      <c r="Y25" s="65">
        <f>SUM(A:B!Y25)</f>
        <v>0</v>
      </c>
      <c r="Z25" s="65">
        <f>SUM(A:B!Z25)</f>
        <v>0</v>
      </c>
      <c r="AA25" s="65">
        <f>SUM(A:B!AA25)</f>
        <v>0</v>
      </c>
      <c r="AB25" s="65">
        <f>SUM(A:B!AB25)</f>
        <v>0</v>
      </c>
      <c r="AC25" s="65">
        <f>SUM(A:B!AC25)</f>
        <v>0</v>
      </c>
      <c r="AD25" s="65">
        <f>SUM(A:B!AD25)</f>
        <v>0</v>
      </c>
      <c r="AE25" s="65">
        <f>SUM(A:B!AE25)</f>
        <v>0</v>
      </c>
      <c r="AF25" s="65">
        <f>SUM(A:B!AF25)</f>
        <v>0</v>
      </c>
      <c r="AG25" s="65">
        <f>SUM(A:B!AG25)</f>
        <v>0</v>
      </c>
      <c r="AH25" s="65">
        <f>SUM(A:B!AH25)</f>
        <v>0</v>
      </c>
      <c r="AI25" s="65">
        <f>SUM(A:B!AI25)</f>
        <v>0</v>
      </c>
      <c r="AJ25" s="65">
        <f>SUM(A:B!AJ25)</f>
        <v>0</v>
      </c>
      <c r="AK25" s="65">
        <f t="shared" si="6"/>
        <v>0</v>
      </c>
      <c r="AL25" s="73">
        <f t="shared" si="14"/>
        <v>0</v>
      </c>
      <c r="AM25" s="14">
        <f t="shared" si="15"/>
        <v>-1</v>
      </c>
    </row>
    <row r="26" spans="1:39" hidden="1" outlineLevel="1">
      <c r="A26" s="37" t="s">
        <v>107</v>
      </c>
      <c r="B26" s="39"/>
      <c r="C26" s="39" t="s">
        <v>133</v>
      </c>
      <c r="D26" s="37"/>
      <c r="E26" s="38"/>
      <c r="F26" s="37"/>
      <c r="G26" s="37"/>
      <c r="H26" s="37"/>
      <c r="I26" s="167" t="s">
        <v>133</v>
      </c>
      <c r="J26" s="65">
        <f>SUM(A:B!J26)</f>
        <v>-16996</v>
      </c>
      <c r="K26" s="65">
        <f>SUM(A:B!K26)</f>
        <v>-26879</v>
      </c>
      <c r="L26" s="65">
        <f>SUM(A:B!L26)</f>
        <v>-49360</v>
      </c>
      <c r="M26" s="65">
        <f>SUM(A:B!M26)</f>
        <v>-134972</v>
      </c>
      <c r="N26" s="65">
        <f>SUM(A:B!N26)</f>
        <v>-145599</v>
      </c>
      <c r="O26" s="65">
        <f>SUM(A:B!O26)</f>
        <v>-112171</v>
      </c>
      <c r="P26" s="65">
        <f>SUM(A:B!P26)</f>
        <v>-72748</v>
      </c>
      <c r="Q26" s="65">
        <f>SUM(A:B!Q26)</f>
        <v>-71093</v>
      </c>
      <c r="R26" s="65">
        <f>SUM(A:B!R26)</f>
        <v>-103796</v>
      </c>
      <c r="S26" s="65">
        <f>SUM(A:B!S26)</f>
        <v>-64111</v>
      </c>
      <c r="T26" s="65">
        <f>SUM(A:B!T26)</f>
        <v>0</v>
      </c>
      <c r="U26" s="65">
        <f>SUM(A:B!U26)</f>
        <v>0</v>
      </c>
      <c r="V26" s="11">
        <f t="shared" si="12"/>
        <v>-797725</v>
      </c>
      <c r="W26" s="73">
        <f t="shared" si="13"/>
        <v>-2.4201926566088678E-3</v>
      </c>
      <c r="X26" s="89"/>
      <c r="Y26" s="65">
        <f>SUM(A:B!Y26)</f>
        <v>0</v>
      </c>
      <c r="Z26" s="65">
        <f>SUM(A:B!Z26)</f>
        <v>0</v>
      </c>
      <c r="AA26" s="65">
        <f>SUM(A:B!AA26)</f>
        <v>0</v>
      </c>
      <c r="AB26" s="65">
        <f>SUM(A:B!AB26)</f>
        <v>0</v>
      </c>
      <c r="AC26" s="65">
        <f>SUM(A:B!AC26)</f>
        <v>0</v>
      </c>
      <c r="AD26" s="65">
        <f>SUM(A:B!AD26)</f>
        <v>0</v>
      </c>
      <c r="AE26" s="65">
        <f>SUM(A:B!AE26)</f>
        <v>0</v>
      </c>
      <c r="AF26" s="65">
        <f>SUM(A:B!AF26)</f>
        <v>0</v>
      </c>
      <c r="AG26" s="65">
        <f>SUM(A:B!AG26)</f>
        <v>0</v>
      </c>
      <c r="AH26" s="65">
        <f>SUM(A:B!AH26)</f>
        <v>0</v>
      </c>
      <c r="AI26" s="65">
        <f>SUM(A:B!AI26)</f>
        <v>0</v>
      </c>
      <c r="AJ26" s="65">
        <f>SUM(A:B!AJ26)</f>
        <v>0</v>
      </c>
      <c r="AK26" s="65">
        <f t="shared" si="6"/>
        <v>0</v>
      </c>
      <c r="AL26" s="73">
        <f t="shared" si="14"/>
        <v>0</v>
      </c>
      <c r="AM26" s="14">
        <f t="shared" si="15"/>
        <v>-1</v>
      </c>
    </row>
    <row r="27" spans="1:39" hidden="1" outlineLevel="1">
      <c r="A27" s="37" t="s">
        <v>107</v>
      </c>
      <c r="B27" s="39"/>
      <c r="C27" s="39" t="s">
        <v>134</v>
      </c>
      <c r="D27" s="37" t="s">
        <v>91</v>
      </c>
      <c r="E27" s="38"/>
      <c r="F27" s="37"/>
      <c r="G27" s="37"/>
      <c r="H27" s="37"/>
      <c r="I27" s="171" t="s">
        <v>135</v>
      </c>
      <c r="J27" s="65">
        <f>SUM(A:B!J27)</f>
        <v>-15808</v>
      </c>
      <c r="K27" s="65">
        <f>SUM(A:B!K27)</f>
        <v>-8530</v>
      </c>
      <c r="L27" s="65">
        <f>SUM(A:B!L27)</f>
        <v>-22247</v>
      </c>
      <c r="M27" s="65">
        <f>SUM(A:B!M27)</f>
        <v>-24612</v>
      </c>
      <c r="N27" s="65">
        <f>SUM(A:B!N27)</f>
        <v>-30658</v>
      </c>
      <c r="O27" s="65">
        <f>SUM(A:B!O27)</f>
        <v>-20889</v>
      </c>
      <c r="P27" s="65">
        <f>SUM(A:B!P27)</f>
        <v>-26813</v>
      </c>
      <c r="Q27" s="65">
        <f>SUM(A:B!Q27)</f>
        <v>-8260</v>
      </c>
      <c r="R27" s="65">
        <f>SUM(A:B!R27)</f>
        <v>-37857</v>
      </c>
      <c r="S27" s="65">
        <f>SUM(A:B!S27)</f>
        <v>-6897</v>
      </c>
      <c r="T27" s="65">
        <f>SUM(A:B!T27)</f>
        <v>0</v>
      </c>
      <c r="U27" s="65">
        <f>SUM(A:B!U27)</f>
        <v>0</v>
      </c>
      <c r="V27" s="11">
        <f t="shared" si="12"/>
        <v>-202571</v>
      </c>
      <c r="W27" s="73">
        <f t="shared" si="13"/>
        <v>-6.1457375241081203E-4</v>
      </c>
      <c r="X27" s="89"/>
      <c r="Y27" s="65">
        <f>SUM(A:B!Y27)</f>
        <v>0</v>
      </c>
      <c r="Z27" s="65">
        <f>SUM(A:B!Z27)</f>
        <v>0</v>
      </c>
      <c r="AA27" s="65">
        <f>SUM(A:B!AA27)</f>
        <v>0</v>
      </c>
      <c r="AB27" s="65">
        <f>SUM(A:B!AB27)</f>
        <v>0</v>
      </c>
      <c r="AC27" s="65">
        <f>SUM(A:B!AC27)</f>
        <v>0</v>
      </c>
      <c r="AD27" s="65">
        <f>SUM(A:B!AD27)</f>
        <v>0</v>
      </c>
      <c r="AE27" s="65">
        <f>SUM(A:B!AE27)</f>
        <v>0</v>
      </c>
      <c r="AF27" s="65">
        <f>SUM(A:B!AF27)</f>
        <v>0</v>
      </c>
      <c r="AG27" s="65">
        <f>SUM(A:B!AG27)</f>
        <v>0</v>
      </c>
      <c r="AH27" s="65">
        <f>SUM(A:B!AH27)</f>
        <v>0</v>
      </c>
      <c r="AI27" s="65">
        <f>SUM(A:B!AI27)</f>
        <v>0</v>
      </c>
      <c r="AJ27" s="65">
        <f>SUM(A:B!AJ27)</f>
        <v>0</v>
      </c>
      <c r="AK27" s="65">
        <f t="shared" si="6"/>
        <v>0</v>
      </c>
      <c r="AL27" s="73">
        <f t="shared" si="14"/>
        <v>0</v>
      </c>
      <c r="AM27" s="14">
        <f t="shared" si="15"/>
        <v>-1</v>
      </c>
    </row>
    <row r="28" spans="1:39" hidden="1" outlineLevel="1">
      <c r="A28" s="37" t="s">
        <v>107</v>
      </c>
      <c r="B28" s="39"/>
      <c r="C28" s="39" t="s">
        <v>136</v>
      </c>
      <c r="D28" s="37" t="s">
        <v>91</v>
      </c>
      <c r="E28" s="38"/>
      <c r="F28" s="37"/>
      <c r="G28" s="37"/>
      <c r="H28" s="37"/>
      <c r="I28" s="172" t="s">
        <v>137</v>
      </c>
      <c r="J28" s="65">
        <f>SUM(A:B!J28)</f>
        <v>-6436</v>
      </c>
      <c r="K28" s="65">
        <f>SUM(A:B!K28)</f>
        <v>0</v>
      </c>
      <c r="L28" s="65">
        <f>SUM(A:B!L28)</f>
        <v>-18941</v>
      </c>
      <c r="M28" s="65">
        <f>SUM(A:B!M28)</f>
        <v>-22943</v>
      </c>
      <c r="N28" s="65">
        <f>SUM(A:B!N28)</f>
        <v>-9722</v>
      </c>
      <c r="O28" s="65">
        <f>SUM(A:B!O28)</f>
        <v>-17371</v>
      </c>
      <c r="P28" s="65">
        <f>SUM(A:B!P28)</f>
        <v>-18629</v>
      </c>
      <c r="Q28" s="65">
        <f>SUM(A:B!Q28)</f>
        <v>-16467</v>
      </c>
      <c r="R28" s="65">
        <f>SUM(A:B!R28)</f>
        <v>0</v>
      </c>
      <c r="S28" s="65">
        <f>SUM(A:B!S28)</f>
        <v>-22768</v>
      </c>
      <c r="T28" s="65">
        <f>SUM(A:B!T28)</f>
        <v>0</v>
      </c>
      <c r="U28" s="65">
        <f>SUM(A:B!U28)</f>
        <v>0</v>
      </c>
      <c r="V28" s="11">
        <f t="shared" si="12"/>
        <v>-133277</v>
      </c>
      <c r="W28" s="73">
        <f t="shared" si="13"/>
        <v>-4.0434487661143888E-4</v>
      </c>
      <c r="X28" s="89"/>
      <c r="Y28" s="65">
        <f>SUM(A:B!Y28)</f>
        <v>0</v>
      </c>
      <c r="Z28" s="65">
        <f>SUM(A:B!Z28)</f>
        <v>0</v>
      </c>
      <c r="AA28" s="65">
        <f>SUM(A:B!AA28)</f>
        <v>0</v>
      </c>
      <c r="AB28" s="65">
        <f>SUM(A:B!AB28)</f>
        <v>0</v>
      </c>
      <c r="AC28" s="65">
        <f>SUM(A:B!AC28)</f>
        <v>0</v>
      </c>
      <c r="AD28" s="65">
        <f>SUM(A:B!AD28)</f>
        <v>0</v>
      </c>
      <c r="AE28" s="65">
        <f>SUM(A:B!AE28)</f>
        <v>0</v>
      </c>
      <c r="AF28" s="65">
        <f>SUM(A:B!AF28)</f>
        <v>0</v>
      </c>
      <c r="AG28" s="65">
        <f>SUM(A:B!AG28)</f>
        <v>0</v>
      </c>
      <c r="AH28" s="65">
        <f>SUM(A:B!AH28)</f>
        <v>0</v>
      </c>
      <c r="AI28" s="65">
        <f>SUM(A:B!AI28)</f>
        <v>0</v>
      </c>
      <c r="AJ28" s="65">
        <f>SUM(A:B!AJ28)</f>
        <v>0</v>
      </c>
      <c r="AK28" s="65">
        <f t="shared" si="6"/>
        <v>0</v>
      </c>
      <c r="AL28" s="73">
        <f t="shared" si="14"/>
        <v>0</v>
      </c>
      <c r="AM28" s="14">
        <f t="shared" si="15"/>
        <v>-1</v>
      </c>
    </row>
    <row r="29" spans="1:39" hidden="1" outlineLevel="1">
      <c r="A29" s="37"/>
      <c r="B29" s="39"/>
      <c r="C29" s="39"/>
      <c r="D29" s="37"/>
      <c r="E29" s="38"/>
      <c r="F29" s="37"/>
      <c r="G29" s="37"/>
      <c r="H29" s="37"/>
      <c r="I29" s="172" t="s">
        <v>141</v>
      </c>
      <c r="J29" s="65">
        <f>SUM(A:B!J29)</f>
        <v>48083</v>
      </c>
      <c r="K29" s="65">
        <f>SUM(A:B!K29)</f>
        <v>52091</v>
      </c>
      <c r="L29" s="65">
        <f>SUM(A:B!L29)</f>
        <v>54051</v>
      </c>
      <c r="M29" s="65">
        <f>SUM(A:B!M29)</f>
        <v>16124</v>
      </c>
      <c r="N29" s="65">
        <f>SUM(A:B!N29)</f>
        <v>52256</v>
      </c>
      <c r="O29" s="65">
        <f>SUM(A:B!O29)</f>
        <v>60646</v>
      </c>
      <c r="P29" s="65">
        <f>SUM(A:B!P29)</f>
        <v>67702</v>
      </c>
      <c r="Q29" s="65">
        <f>SUM(A:B!Q29)</f>
        <v>68070</v>
      </c>
      <c r="R29" s="65">
        <f>SUM(A:B!R29)</f>
        <v>66359</v>
      </c>
      <c r="S29" s="65">
        <f>SUM(A:B!S29)</f>
        <v>62872</v>
      </c>
      <c r="T29" s="65">
        <f>SUM(A:B!T29)</f>
        <v>48960</v>
      </c>
      <c r="U29" s="65">
        <f>SUM(A:B!U29)</f>
        <v>48960</v>
      </c>
      <c r="V29" s="11">
        <f t="shared" si="12"/>
        <v>646174</v>
      </c>
      <c r="W29" s="73">
        <f t="shared" si="13"/>
        <v>1.9604068691486147E-3</v>
      </c>
      <c r="X29" s="89"/>
      <c r="Y29" s="65">
        <f>SUM(A:B!Y29)</f>
        <v>45288</v>
      </c>
      <c r="Z29" s="65">
        <f>SUM(A:B!Z29)</f>
        <v>45849</v>
      </c>
      <c r="AA29" s="65">
        <f>SUM(A:B!AA29)</f>
        <v>47277</v>
      </c>
      <c r="AB29" s="65">
        <f>SUM(A:B!AB29)</f>
        <v>45900</v>
      </c>
      <c r="AC29" s="65">
        <f>SUM(A:B!AC29)</f>
        <v>48093</v>
      </c>
      <c r="AD29" s="65">
        <f>SUM(A:B!AD29)</f>
        <v>47583</v>
      </c>
      <c r="AE29" s="65">
        <f>SUM(A:B!AE29)</f>
        <v>47532</v>
      </c>
      <c r="AF29" s="65">
        <f>SUM(A:B!AF29)</f>
        <v>48705</v>
      </c>
      <c r="AG29" s="65">
        <f>SUM(A:B!AG29)</f>
        <v>51765</v>
      </c>
      <c r="AH29" s="65">
        <f>SUM(A:B!AH29)</f>
        <v>48348</v>
      </c>
      <c r="AI29" s="65">
        <f>SUM(A:B!AI29)</f>
        <v>48756</v>
      </c>
      <c r="AJ29" s="65">
        <f>SUM(A:B!AJ29)</f>
        <v>50898</v>
      </c>
      <c r="AK29" s="65">
        <f t="shared" si="6"/>
        <v>575994</v>
      </c>
      <c r="AL29" s="73">
        <f t="shared" si="14"/>
        <v>1.6053381245574477E-3</v>
      </c>
      <c r="AM29" s="14">
        <f t="shared" si="15"/>
        <v>-0.10860851721053466</v>
      </c>
    </row>
    <row r="30" spans="1:39" hidden="1" outlineLevel="1">
      <c r="A30" s="37"/>
      <c r="B30" s="39"/>
      <c r="C30" s="39"/>
      <c r="D30" s="37"/>
      <c r="E30" s="38"/>
      <c r="F30" s="37"/>
      <c r="G30" s="37"/>
      <c r="H30" s="37"/>
      <c r="I30" s="172" t="s">
        <v>142</v>
      </c>
      <c r="J30" s="65">
        <f>SUM(A:B!J30)</f>
        <v>0</v>
      </c>
      <c r="K30" s="65">
        <f>SUM(A:B!K30)</f>
        <v>0</v>
      </c>
      <c r="L30" s="65">
        <f>SUM(A:B!L30)</f>
        <v>0</v>
      </c>
      <c r="M30" s="65">
        <f>SUM(A:B!M30)</f>
        <v>0</v>
      </c>
      <c r="N30" s="65">
        <f>SUM(A:B!N30)</f>
        <v>0</v>
      </c>
      <c r="O30" s="65">
        <f>SUM(A:B!O30)</f>
        <v>0</v>
      </c>
      <c r="P30" s="65">
        <f>SUM(A:B!P30)</f>
        <v>0</v>
      </c>
      <c r="Q30" s="65">
        <f>SUM(A:B!Q30)</f>
        <v>0</v>
      </c>
      <c r="R30" s="65">
        <f>SUM(A:B!R30)</f>
        <v>0</v>
      </c>
      <c r="S30" s="65">
        <f>SUM(A:B!S30)</f>
        <v>0</v>
      </c>
      <c r="T30" s="65">
        <f>SUM(A:B!T30)</f>
        <v>0</v>
      </c>
      <c r="U30" s="65">
        <f>SUM(A:B!U30)</f>
        <v>0</v>
      </c>
      <c r="V30" s="11">
        <f t="shared" si="12"/>
        <v>0</v>
      </c>
      <c r="W30" s="73">
        <f t="shared" si="13"/>
        <v>0</v>
      </c>
      <c r="X30" s="89"/>
      <c r="Y30" s="65">
        <f>SUM(A:B!Y30)</f>
        <v>0</v>
      </c>
      <c r="Z30" s="65">
        <f>SUM(A:B!Z30)</f>
        <v>0</v>
      </c>
      <c r="AA30" s="65">
        <f>SUM(A:B!AA30)</f>
        <v>0</v>
      </c>
      <c r="AB30" s="65">
        <f>SUM(A:B!AB30)</f>
        <v>0</v>
      </c>
      <c r="AC30" s="65">
        <f>SUM(A:B!AC30)</f>
        <v>0</v>
      </c>
      <c r="AD30" s="65">
        <f>SUM(A:B!AD30)</f>
        <v>0</v>
      </c>
      <c r="AE30" s="65">
        <f>SUM(A:B!AE30)</f>
        <v>0</v>
      </c>
      <c r="AF30" s="65">
        <f>SUM(A:B!AF30)</f>
        <v>0</v>
      </c>
      <c r="AG30" s="65">
        <f>SUM(A:B!AG30)</f>
        <v>0</v>
      </c>
      <c r="AH30" s="65">
        <f>SUM(A:B!AH30)</f>
        <v>0</v>
      </c>
      <c r="AI30" s="65">
        <f>SUM(A:B!AI30)</f>
        <v>0</v>
      </c>
      <c r="AJ30" s="65">
        <f>SUM(A:B!AJ30)</f>
        <v>0</v>
      </c>
      <c r="AK30" s="65">
        <f t="shared" si="6"/>
        <v>0</v>
      </c>
      <c r="AL30" s="73">
        <f t="shared" si="14"/>
        <v>0</v>
      </c>
      <c r="AM30" s="14">
        <f t="shared" si="15"/>
        <v>0</v>
      </c>
    </row>
    <row r="31" spans="1:39" hidden="1" outlineLevel="1">
      <c r="A31" s="37"/>
      <c r="B31" s="39"/>
      <c r="C31" s="39"/>
      <c r="D31" s="37"/>
      <c r="E31" s="38"/>
      <c r="F31" s="37"/>
      <c r="G31" s="37"/>
      <c r="H31" s="37"/>
      <c r="I31" s="172" t="s">
        <v>143</v>
      </c>
      <c r="J31" s="65">
        <f>SUM(A:B!J31)</f>
        <v>0</v>
      </c>
      <c r="K31" s="65">
        <f>SUM(A:B!K31)</f>
        <v>0</v>
      </c>
      <c r="L31" s="65">
        <f>SUM(A:B!L31)</f>
        <v>0</v>
      </c>
      <c r="M31" s="65">
        <f>SUM(A:B!M31)</f>
        <v>0</v>
      </c>
      <c r="N31" s="65">
        <f>SUM(A:B!N31)</f>
        <v>0</v>
      </c>
      <c r="O31" s="65">
        <f>SUM(A:B!O31)</f>
        <v>0</v>
      </c>
      <c r="P31" s="65">
        <f>SUM(A:B!P31)</f>
        <v>0</v>
      </c>
      <c r="Q31" s="65">
        <f>SUM(A:B!Q31)</f>
        <v>0</v>
      </c>
      <c r="R31" s="65">
        <f>SUM(A:B!R31)</f>
        <v>0</v>
      </c>
      <c r="S31" s="65">
        <f>SUM(A:B!S31)</f>
        <v>0</v>
      </c>
      <c r="T31" s="65">
        <f>SUM(A:B!T31)</f>
        <v>0</v>
      </c>
      <c r="U31" s="65">
        <f>SUM(A:B!U31)</f>
        <v>0</v>
      </c>
      <c r="V31" s="11">
        <f t="shared" si="12"/>
        <v>0</v>
      </c>
      <c r="W31" s="73">
        <f t="shared" si="13"/>
        <v>0</v>
      </c>
      <c r="X31" s="89"/>
      <c r="Y31" s="65">
        <f>SUM(A:B!Y31)</f>
        <v>0</v>
      </c>
      <c r="Z31" s="65">
        <f>SUM(A:B!Z31)</f>
        <v>0</v>
      </c>
      <c r="AA31" s="65">
        <f>SUM(A:B!AA31)</f>
        <v>0</v>
      </c>
      <c r="AB31" s="65">
        <f>SUM(A:B!AB31)</f>
        <v>0</v>
      </c>
      <c r="AC31" s="65">
        <f>SUM(A:B!AC31)</f>
        <v>0</v>
      </c>
      <c r="AD31" s="65">
        <f>SUM(A:B!AD31)</f>
        <v>0</v>
      </c>
      <c r="AE31" s="65">
        <f>SUM(A:B!AE31)</f>
        <v>0</v>
      </c>
      <c r="AF31" s="65">
        <f>SUM(A:B!AF31)</f>
        <v>0</v>
      </c>
      <c r="AG31" s="65">
        <f>SUM(A:B!AG31)</f>
        <v>0</v>
      </c>
      <c r="AH31" s="65">
        <f>SUM(A:B!AH31)</f>
        <v>0</v>
      </c>
      <c r="AI31" s="65">
        <f>SUM(A:B!AI31)</f>
        <v>0</v>
      </c>
      <c r="AJ31" s="65">
        <f>SUM(A:B!AJ31)</f>
        <v>0</v>
      </c>
      <c r="AK31" s="65">
        <f t="shared" si="6"/>
        <v>0</v>
      </c>
      <c r="AL31" s="73">
        <f t="shared" si="14"/>
        <v>0</v>
      </c>
      <c r="AM31" s="14">
        <f t="shared" si="15"/>
        <v>0</v>
      </c>
    </row>
    <row r="32" spans="1:39" hidden="1" outlineLevel="1">
      <c r="A32" s="37"/>
      <c r="B32" s="39"/>
      <c r="C32" s="39"/>
      <c r="D32" s="37"/>
      <c r="E32" s="38"/>
      <c r="F32" s="37"/>
      <c r="G32" s="37"/>
      <c r="H32" s="37"/>
      <c r="I32" s="172" t="s">
        <v>144</v>
      </c>
      <c r="J32" s="65">
        <f>SUM(A:B!J32)</f>
        <v>0</v>
      </c>
      <c r="K32" s="65">
        <f>SUM(A:B!K32)</f>
        <v>0</v>
      </c>
      <c r="L32" s="65">
        <f>SUM(A:B!L32)</f>
        <v>0</v>
      </c>
      <c r="M32" s="65">
        <f>SUM(A:B!M32)</f>
        <v>0</v>
      </c>
      <c r="N32" s="65">
        <f>SUM(A:B!N32)</f>
        <v>0</v>
      </c>
      <c r="O32" s="65">
        <f>SUM(A:B!O32)</f>
        <v>0</v>
      </c>
      <c r="P32" s="65">
        <f>SUM(A:B!P32)</f>
        <v>0</v>
      </c>
      <c r="Q32" s="65">
        <f>SUM(A:B!Q32)</f>
        <v>0</v>
      </c>
      <c r="R32" s="65">
        <f>SUM(A:B!R32)</f>
        <v>0</v>
      </c>
      <c r="S32" s="65">
        <f>SUM(A:B!S32)</f>
        <v>0</v>
      </c>
      <c r="T32" s="65">
        <f>SUM(A:B!T32)</f>
        <v>0</v>
      </c>
      <c r="U32" s="65">
        <f>SUM(A:B!U32)</f>
        <v>0</v>
      </c>
      <c r="V32" s="11">
        <f t="shared" si="12"/>
        <v>0</v>
      </c>
      <c r="W32" s="73">
        <f t="shared" si="13"/>
        <v>0</v>
      </c>
      <c r="X32" s="89"/>
      <c r="Y32" s="65">
        <f>SUM(A:B!Y32)</f>
        <v>0</v>
      </c>
      <c r="Z32" s="65">
        <f>SUM(A:B!Z32)</f>
        <v>0</v>
      </c>
      <c r="AA32" s="65">
        <f>SUM(A:B!AA32)</f>
        <v>0</v>
      </c>
      <c r="AB32" s="65">
        <f>SUM(A:B!AB32)</f>
        <v>0</v>
      </c>
      <c r="AC32" s="65">
        <f>SUM(A:B!AC32)</f>
        <v>0</v>
      </c>
      <c r="AD32" s="65">
        <f>SUM(A:B!AD32)</f>
        <v>0</v>
      </c>
      <c r="AE32" s="65">
        <f>SUM(A:B!AE32)</f>
        <v>0</v>
      </c>
      <c r="AF32" s="65">
        <f>SUM(A:B!AF32)</f>
        <v>0</v>
      </c>
      <c r="AG32" s="65">
        <f>SUM(A:B!AG32)</f>
        <v>0</v>
      </c>
      <c r="AH32" s="65">
        <f>SUM(A:B!AH32)</f>
        <v>0</v>
      </c>
      <c r="AI32" s="65">
        <f>SUM(A:B!AI32)</f>
        <v>0</v>
      </c>
      <c r="AJ32" s="65">
        <f>SUM(A:B!AJ32)</f>
        <v>0</v>
      </c>
      <c r="AK32" s="65">
        <f t="shared" si="6"/>
        <v>0</v>
      </c>
      <c r="AL32" s="73">
        <f t="shared" si="14"/>
        <v>0</v>
      </c>
      <c r="AM32" s="14">
        <f t="shared" si="15"/>
        <v>0</v>
      </c>
    </row>
    <row r="33" spans="1:41" ht="15.6" collapsed="1">
      <c r="I33" s="36" t="s">
        <v>145</v>
      </c>
      <c r="J33" s="35">
        <f t="shared" ref="J33:V33" si="16">J6-J12</f>
        <v>2434969</v>
      </c>
      <c r="K33" s="35">
        <f t="shared" si="16"/>
        <v>2575469</v>
      </c>
      <c r="L33" s="35">
        <f t="shared" si="16"/>
        <v>2816470</v>
      </c>
      <c r="M33" s="35">
        <f t="shared" si="16"/>
        <v>2921173</v>
      </c>
      <c r="N33" s="35">
        <f t="shared" si="16"/>
        <v>3162916</v>
      </c>
      <c r="O33" s="35">
        <f t="shared" si="16"/>
        <v>2922393</v>
      </c>
      <c r="P33" s="35">
        <f t="shared" si="16"/>
        <v>2794510</v>
      </c>
      <c r="Q33" s="35">
        <f t="shared" si="16"/>
        <v>2819367</v>
      </c>
      <c r="R33" s="35">
        <f>SUM(R34:R38)</f>
        <v>2845425</v>
      </c>
      <c r="S33" s="35">
        <f>SUM(S34:S38)</f>
        <v>2819768</v>
      </c>
      <c r="T33" s="35">
        <f>SUM(T34:T38)</f>
        <v>2828187.6666666665</v>
      </c>
      <c r="U33" s="35">
        <f>SUM(U34:U38)</f>
        <v>2831126.8888888885</v>
      </c>
      <c r="V33" s="35">
        <f t="shared" si="16"/>
        <v>33666956.379210055</v>
      </c>
      <c r="W33" s="73">
        <f t="shared" si="2"/>
        <v>0.10214111454365259</v>
      </c>
      <c r="X33" s="89"/>
      <c r="Y33" s="35">
        <f t="shared" ref="Y33:AK33" si="17">Y6-Y12</f>
        <v>2758919.363333337</v>
      </c>
      <c r="Z33" s="35">
        <f t="shared" si="17"/>
        <v>2561154.2266666628</v>
      </c>
      <c r="AA33" s="35">
        <f t="shared" si="17"/>
        <v>3055649.5566666685</v>
      </c>
      <c r="AB33" s="35">
        <f t="shared" si="17"/>
        <v>2778786.756666664</v>
      </c>
      <c r="AC33" s="35">
        <f t="shared" si="17"/>
        <v>2930839.2533333339</v>
      </c>
      <c r="AD33" s="35">
        <f t="shared" si="17"/>
        <v>2758353.2199999988</v>
      </c>
      <c r="AE33" s="35">
        <f t="shared" si="17"/>
        <v>2995235.2799999975</v>
      </c>
      <c r="AF33" s="35">
        <f t="shared" si="17"/>
        <v>3062857.0133333318</v>
      </c>
      <c r="AG33" s="35">
        <f t="shared" si="17"/>
        <v>3052880.2666666657</v>
      </c>
      <c r="AH33" s="35">
        <f t="shared" si="17"/>
        <v>3299657.1000000015</v>
      </c>
      <c r="AI33" s="35">
        <f t="shared" si="17"/>
        <v>3108971.5300000012</v>
      </c>
      <c r="AJ33" s="35">
        <f t="shared" si="17"/>
        <v>3056344.3300000094</v>
      </c>
      <c r="AK33" s="35">
        <f t="shared" si="17"/>
        <v>35419647.896666646</v>
      </c>
      <c r="AL33" s="73">
        <f t="shared" si="4"/>
        <v>9.8717193455001226E-2</v>
      </c>
      <c r="AM33" s="34">
        <f t="shared" si="7"/>
        <v>5.205969609236516E-2</v>
      </c>
    </row>
    <row r="34" spans="1:41" hidden="1" outlineLevel="1">
      <c r="I34" s="31" t="s">
        <v>401</v>
      </c>
      <c r="J34" s="30">
        <f>SUM(A:B!J34)</f>
        <v>1583804</v>
      </c>
      <c r="K34" s="30">
        <f>SUM(A:B!K34)</f>
        <v>1768980</v>
      </c>
      <c r="L34" s="30">
        <f>SUM(A:B!L34)</f>
        <v>1858476</v>
      </c>
      <c r="M34" s="30">
        <f>SUM(A:B!M34)</f>
        <v>1817025</v>
      </c>
      <c r="N34" s="30">
        <f>SUM(A:B!N34)</f>
        <v>1788723</v>
      </c>
      <c r="O34" s="30">
        <f>SUM(A:B!O34)</f>
        <v>1730298</v>
      </c>
      <c r="P34" s="30">
        <f>SUM(A:B!P34)</f>
        <v>1786554</v>
      </c>
      <c r="Q34" s="30">
        <f>SUM(A:B!Q34)</f>
        <v>1833363</v>
      </c>
      <c r="R34" s="30">
        <f>+AVERAGE(O34:Q34)</f>
        <v>1783405</v>
      </c>
      <c r="S34" s="30">
        <f>+AVERAGE(P34:R34)</f>
        <v>1801107.3333333333</v>
      </c>
      <c r="T34" s="30">
        <f>+AVERAGE(Q34:S34)</f>
        <v>1805958.4444444443</v>
      </c>
      <c r="U34" s="30">
        <f>+AVERAGE(R34:T34)</f>
        <v>1796823.5925925924</v>
      </c>
      <c r="V34" s="32">
        <f t="shared" ref="V34:V42" si="18">SUM(J34:U34)</f>
        <v>21354517.370370369</v>
      </c>
      <c r="W34" s="74">
        <f>V34/V$39</f>
        <v>1.3654701946940657</v>
      </c>
      <c r="X34" s="90"/>
      <c r="Y34" s="30">
        <f>SUM(A:B!Y34)</f>
        <v>1800949.8233333332</v>
      </c>
      <c r="Z34" s="30">
        <f>SUM(A:B!Z34)</f>
        <v>1631789.5466666666</v>
      </c>
      <c r="AA34" s="30">
        <f>SUM(A:B!AA34)</f>
        <v>1930782.9066666672</v>
      </c>
      <c r="AB34" s="30">
        <f>SUM(A:B!AB34)</f>
        <v>1751684.8966666665</v>
      </c>
      <c r="AC34" s="30">
        <f>SUM(A:B!AC34)</f>
        <v>1775286.4933333332</v>
      </c>
      <c r="AD34" s="30">
        <f>SUM(A:B!AD34)</f>
        <v>1774113.0700000005</v>
      </c>
      <c r="AE34" s="30">
        <f>SUM(A:B!AE34)</f>
        <v>1885219.06</v>
      </c>
      <c r="AF34" s="30">
        <f>SUM(A:B!AF34)</f>
        <v>1927955.5333333332</v>
      </c>
      <c r="AG34" s="30">
        <f>SUM(A:B!AG34)</f>
        <v>1919483.6666666665</v>
      </c>
      <c r="AH34" s="30">
        <f>SUM(A:B!AH34)</f>
        <v>2095008.21</v>
      </c>
      <c r="AI34" s="30">
        <f>SUM(A:B!AI34)</f>
        <v>1986504.6599999997</v>
      </c>
      <c r="AJ34" s="30">
        <f>SUM(A:B!AJ34)</f>
        <v>1956077.5499999998</v>
      </c>
      <c r="AK34" s="30">
        <f t="shared" ref="AK34:AK42" si="19">SUM(Y34:AJ34)</f>
        <v>22434855.416666668</v>
      </c>
      <c r="AL34" s="74">
        <f>AK34/AK$39</f>
        <v>1.3680143569971974</v>
      </c>
      <c r="AM34" s="29">
        <f>IFERROR(AK34/V34-1,0)</f>
        <v>5.0590609357216376E-2</v>
      </c>
    </row>
    <row r="35" spans="1:41" hidden="1" outlineLevel="1">
      <c r="I35" s="31" t="s">
        <v>402</v>
      </c>
      <c r="J35" s="30">
        <f>SUM(A:B!J35)</f>
        <v>687232</v>
      </c>
      <c r="K35" s="30">
        <f>SUM(A:B!K35)</f>
        <v>639721</v>
      </c>
      <c r="L35" s="30">
        <f>SUM(A:B!L35)</f>
        <v>793954</v>
      </c>
      <c r="M35" s="30">
        <f>SUM(A:B!M35)</f>
        <v>752348</v>
      </c>
      <c r="N35" s="30">
        <f>SUM(A:B!N35)</f>
        <v>1021198</v>
      </c>
      <c r="O35" s="30">
        <f>SUM(A:B!O35)</f>
        <v>843354</v>
      </c>
      <c r="P35" s="30">
        <f>SUM(A:B!P35)</f>
        <v>710352</v>
      </c>
      <c r="Q35" s="30">
        <f>SUM(A:B!Q35)</f>
        <v>674069</v>
      </c>
      <c r="R35" s="30">
        <f>+AVERAGE(O35:Q35)</f>
        <v>742591.66666666663</v>
      </c>
      <c r="S35" s="30">
        <f>+AVERAGE(P35:R35)</f>
        <v>709004.22222222213</v>
      </c>
      <c r="T35" s="30">
        <f>+AVERAGE(Q35:S35)</f>
        <v>708554.9629629628</v>
      </c>
      <c r="U35" s="30">
        <f>+AVERAGE(R35:T35)</f>
        <v>720050.28395061719</v>
      </c>
      <c r="V35" s="32">
        <f t="shared" si="18"/>
        <v>9002429.1358024683</v>
      </c>
      <c r="W35" s="74">
        <f>V35/V$39</f>
        <v>0.57564160554805022</v>
      </c>
      <c r="X35" s="90"/>
      <c r="Y35" s="30">
        <f>SUM(A:B!Y35)</f>
        <v>750729.54</v>
      </c>
      <c r="Z35" s="30">
        <f>SUM(A:B!Z35)</f>
        <v>701346.35000000009</v>
      </c>
      <c r="AA35" s="30">
        <f>SUM(A:B!AA35)</f>
        <v>858693.28</v>
      </c>
      <c r="AB35" s="30">
        <f>SUM(A:B!AB35)</f>
        <v>742768.39999999991</v>
      </c>
      <c r="AC35" s="30">
        <f>SUM(A:B!AC35)</f>
        <v>923967.28</v>
      </c>
      <c r="AD35" s="30">
        <f>SUM(A:B!AD35)</f>
        <v>725527.35</v>
      </c>
      <c r="AE35" s="30">
        <f>SUM(A:B!AE35)</f>
        <v>812372.37</v>
      </c>
      <c r="AF35" s="30">
        <f>SUM(A:B!AF35)</f>
        <v>885391.9</v>
      </c>
      <c r="AG35" s="30">
        <f>SUM(A:B!AG35)</f>
        <v>850695.44</v>
      </c>
      <c r="AH35" s="30">
        <f>SUM(A:B!AH35)</f>
        <v>895355.54</v>
      </c>
      <c r="AI35" s="30">
        <f>SUM(A:B!AI35)</f>
        <v>869569.48</v>
      </c>
      <c r="AJ35" s="30">
        <f>SUM(A:B!AJ35)</f>
        <v>854501.58000000007</v>
      </c>
      <c r="AK35" s="30">
        <f t="shared" si="19"/>
        <v>9870918.5099999998</v>
      </c>
      <c r="AL35" s="74">
        <f>AK35/AK$39</f>
        <v>0.60190083633869562</v>
      </c>
      <c r="AM35" s="29">
        <f>IFERROR(AK35/V35-1,0)</f>
        <v>9.6472780967924221E-2</v>
      </c>
    </row>
    <row r="36" spans="1:41" hidden="1" outlineLevel="1">
      <c r="I36" s="31" t="s">
        <v>403</v>
      </c>
      <c r="J36" s="30">
        <f>SUM(A:B!J36)</f>
        <v>143034</v>
      </c>
      <c r="K36" s="30">
        <f>SUM(A:B!K36)</f>
        <v>149243</v>
      </c>
      <c r="L36" s="30">
        <f>SUM(A:B!L36)</f>
        <v>149199</v>
      </c>
      <c r="M36" s="30">
        <f>SUM(A:B!M36)</f>
        <v>338891</v>
      </c>
      <c r="N36" s="30">
        <f>SUM(A:B!N36)</f>
        <v>322767</v>
      </c>
      <c r="O36" s="30">
        <f>SUM(A:B!O36)</f>
        <v>332192</v>
      </c>
      <c r="P36" s="30">
        <f>SUM(A:B!P36)</f>
        <v>284840</v>
      </c>
      <c r="Q36" s="30">
        <f>SUM(A:B!Q36)</f>
        <v>292173</v>
      </c>
      <c r="R36" s="30">
        <f>+AVERAGE(O36:Q36)</f>
        <v>303068.33333333331</v>
      </c>
      <c r="S36" s="30">
        <f>+AVERAGE(P36:R36)</f>
        <v>293360.44444444444</v>
      </c>
      <c r="T36" s="30">
        <f>+AVERAGE(Q36:S36)</f>
        <v>296200.59259259258</v>
      </c>
      <c r="U36" s="30">
        <f>+AVERAGE(R36:T36)</f>
        <v>297543.12345679011</v>
      </c>
      <c r="V36" s="32">
        <f t="shared" si="18"/>
        <v>3202511.4938271604</v>
      </c>
      <c r="W36" s="74">
        <f>V36/V$39</f>
        <v>0.20477793607518616</v>
      </c>
      <c r="X36" s="90"/>
      <c r="Y36" s="30">
        <f>SUM(A:B!Y36)</f>
        <v>199248</v>
      </c>
      <c r="Z36" s="30">
        <f>SUM(A:B!Z36)</f>
        <v>219927.33</v>
      </c>
      <c r="AA36" s="30">
        <f>SUM(A:B!AA36)</f>
        <v>257830.37</v>
      </c>
      <c r="AB36" s="30">
        <f>SUM(A:B!AB36)</f>
        <v>276233.46000000002</v>
      </c>
      <c r="AC36" s="30">
        <f>SUM(A:B!AC36)</f>
        <v>223098.48</v>
      </c>
      <c r="AD36" s="30">
        <f>SUM(A:B!AD36)</f>
        <v>250315.80000000002</v>
      </c>
      <c r="AE36" s="30">
        <f>SUM(A:B!AE36)</f>
        <v>289255.84999999998</v>
      </c>
      <c r="AF36" s="30">
        <f>SUM(A:B!AF36)</f>
        <v>240914.58</v>
      </c>
      <c r="AG36" s="30">
        <f>SUM(A:B!AG36)</f>
        <v>273566.16000000003</v>
      </c>
      <c r="AH36" s="30">
        <f>SUM(A:B!AH36)</f>
        <v>300761.34999999998</v>
      </c>
      <c r="AI36" s="30">
        <f>SUM(A:B!AI36)</f>
        <v>244293.38999999998</v>
      </c>
      <c r="AJ36" s="30">
        <f>SUM(A:B!AJ36)</f>
        <v>236783.19999999998</v>
      </c>
      <c r="AK36" s="30">
        <f t="shared" si="19"/>
        <v>3012227.9700000007</v>
      </c>
      <c r="AL36" s="74">
        <f>AK36/AK$39</f>
        <v>0.18367718592236781</v>
      </c>
      <c r="AM36" s="29">
        <f>IFERROR(AK36/V36-1,0)</f>
        <v>-5.9416968274409343E-2</v>
      </c>
    </row>
    <row r="37" spans="1:41" ht="14.25" hidden="1" customHeight="1" outlineLevel="1">
      <c r="I37" s="31" t="s">
        <v>149</v>
      </c>
      <c r="J37" s="30">
        <f>SUM(A:B!J37)</f>
        <v>20901</v>
      </c>
      <c r="K37" s="30">
        <f>SUM(A:B!K37)</f>
        <v>17524</v>
      </c>
      <c r="L37" s="30">
        <f>SUM(A:B!L37)</f>
        <v>14837</v>
      </c>
      <c r="M37" s="30">
        <f>SUM(A:B!M37)</f>
        <v>12910</v>
      </c>
      <c r="N37" s="30">
        <f>SUM(A:B!N37)</f>
        <v>30226</v>
      </c>
      <c r="O37" s="30">
        <f>SUM(A:B!O37)</f>
        <v>16552</v>
      </c>
      <c r="P37" s="30">
        <f>SUM(A:B!P37)</f>
        <v>12763</v>
      </c>
      <c r="Q37" s="30">
        <f>SUM(A:B!Q37)</f>
        <v>19765</v>
      </c>
      <c r="R37" s="30">
        <f>+AVERAGE(O37:Q37)</f>
        <v>16360</v>
      </c>
      <c r="S37" s="30">
        <f>+AVERAGE(P37:R37)</f>
        <v>16296</v>
      </c>
      <c r="T37" s="30">
        <f>+AVERAGE(Q37:S37)</f>
        <v>17473.666666666668</v>
      </c>
      <c r="U37" s="30">
        <f>+AVERAGE(R37:T37)</f>
        <v>16709.888888888891</v>
      </c>
      <c r="V37" s="32">
        <f t="shared" si="18"/>
        <v>212317.55555555556</v>
      </c>
      <c r="W37" s="74">
        <f>V37/V$39</f>
        <v>1.3576204457969651E-2</v>
      </c>
      <c r="X37" s="90"/>
      <c r="Y37" s="30">
        <f>SUM(A:B!Y37)</f>
        <v>0</v>
      </c>
      <c r="Z37" s="30">
        <f>SUM(A:B!Z37)</f>
        <v>0</v>
      </c>
      <c r="AA37" s="30">
        <f>SUM(A:B!AA37)</f>
        <v>0</v>
      </c>
      <c r="AB37" s="30">
        <f>SUM(A:B!AB37)</f>
        <v>0</v>
      </c>
      <c r="AC37" s="30">
        <f>SUM(A:B!AC37)</f>
        <v>0</v>
      </c>
      <c r="AD37" s="30">
        <f>SUM(A:B!AD37)</f>
        <v>0</v>
      </c>
      <c r="AE37" s="30">
        <f>SUM(A:B!AE37)</f>
        <v>0</v>
      </c>
      <c r="AF37" s="30">
        <f>SUM(A:B!AF37)</f>
        <v>0</v>
      </c>
      <c r="AG37" s="30">
        <f>SUM(A:B!AG37)</f>
        <v>0</v>
      </c>
      <c r="AH37" s="30">
        <f>SUM(A:B!AH37)</f>
        <v>0</v>
      </c>
      <c r="AI37" s="30">
        <f>SUM(A:B!AI37)</f>
        <v>0</v>
      </c>
      <c r="AJ37" s="30">
        <f>SUM(A:B!AJ37)</f>
        <v>0</v>
      </c>
      <c r="AK37" s="30">
        <f t="shared" si="19"/>
        <v>0</v>
      </c>
      <c r="AL37" s="74">
        <f>AK37/AK$39</f>
        <v>0</v>
      </c>
      <c r="AM37" s="29">
        <f>IFERROR(AK37/V37-1,0)</f>
        <v>-1</v>
      </c>
    </row>
    <row r="38" spans="1:41" ht="14.25" hidden="1" customHeight="1" outlineLevel="1">
      <c r="I38" s="31" t="s">
        <v>150</v>
      </c>
      <c r="J38" s="30">
        <f>SUM(A:B!J38)</f>
        <v>0</v>
      </c>
      <c r="K38" s="30">
        <f>SUM(A:B!K38)</f>
        <v>0</v>
      </c>
      <c r="L38" s="30">
        <f>SUM(A:B!L38)</f>
        <v>0</v>
      </c>
      <c r="M38" s="30">
        <f>SUM(A:B!M38)</f>
        <v>0</v>
      </c>
      <c r="N38" s="30">
        <f>SUM(A:B!N38)</f>
        <v>0</v>
      </c>
      <c r="O38" s="30">
        <f>SUM(A:B!O38)</f>
        <v>0</v>
      </c>
      <c r="P38" s="30">
        <f>SUM(A:B!P38)</f>
        <v>0</v>
      </c>
      <c r="Q38" s="30">
        <f>SUM(A:B!Q38)</f>
        <v>0</v>
      </c>
      <c r="R38" s="30">
        <f>+AVERAGE(O38:Q38)</f>
        <v>0</v>
      </c>
      <c r="S38" s="30">
        <f>+AVERAGE(P38:R38)</f>
        <v>0</v>
      </c>
      <c r="T38" s="30">
        <f>+AVERAGE(Q38:S38)</f>
        <v>0</v>
      </c>
      <c r="U38" s="30">
        <f>+AVERAGE(R38:T38)</f>
        <v>0</v>
      </c>
      <c r="V38" s="32">
        <f>SUM(J38:U38)</f>
        <v>0</v>
      </c>
      <c r="W38" s="74">
        <f>V38/V$39</f>
        <v>0</v>
      </c>
      <c r="X38" s="90"/>
      <c r="Y38" s="30">
        <f>SUM(A:B!Y38)</f>
        <v>7992</v>
      </c>
      <c r="Z38" s="30">
        <f>SUM(A:B!Z38)</f>
        <v>8091</v>
      </c>
      <c r="AA38" s="30">
        <f>SUM(A:B!AA38)</f>
        <v>8343</v>
      </c>
      <c r="AB38" s="30">
        <f>SUM(A:B!AB38)</f>
        <v>8100</v>
      </c>
      <c r="AC38" s="30">
        <f>SUM(A:B!AC38)</f>
        <v>8487</v>
      </c>
      <c r="AD38" s="30">
        <f>SUM(A:B!AD38)</f>
        <v>8397</v>
      </c>
      <c r="AE38" s="30">
        <f>SUM(A:B!AE38)</f>
        <v>8388</v>
      </c>
      <c r="AF38" s="30">
        <f>SUM(A:B!AF38)</f>
        <v>8595</v>
      </c>
      <c r="AG38" s="30">
        <f>SUM(A:B!AG38)</f>
        <v>9135</v>
      </c>
      <c r="AH38" s="30">
        <f>SUM(A:B!AH38)</f>
        <v>8532</v>
      </c>
      <c r="AI38" s="30">
        <f>SUM(A:B!AI38)</f>
        <v>8604</v>
      </c>
      <c r="AJ38" s="30">
        <f>SUM(A:B!AJ38)</f>
        <v>8982</v>
      </c>
      <c r="AK38" s="30">
        <f>SUM(Y38:AJ38)</f>
        <v>101646</v>
      </c>
      <c r="AL38" s="74">
        <f>AK38/AK$39</f>
        <v>6.1980870724950461E-3</v>
      </c>
      <c r="AM38" s="29">
        <f>IFERROR(AK38/V38-1,0)</f>
        <v>0</v>
      </c>
    </row>
    <row r="39" spans="1:41" collapsed="1">
      <c r="I39" s="18" t="s">
        <v>151</v>
      </c>
      <c r="J39" s="33">
        <f>SUM(A:B!J39)</f>
        <v>1223164</v>
      </c>
      <c r="K39" s="33">
        <f>SUM(A:B!K39)</f>
        <v>1160892</v>
      </c>
      <c r="L39" s="33">
        <f>SUM(A:B!L39)</f>
        <v>1313320</v>
      </c>
      <c r="M39" s="33">
        <f>SUM(A:B!M39)</f>
        <v>1240762</v>
      </c>
      <c r="N39" s="33">
        <f>SUM(A:B!N39)</f>
        <v>1272351</v>
      </c>
      <c r="O39" s="33">
        <f>SUM(A:B!O39)</f>
        <v>1247404</v>
      </c>
      <c r="P39" s="33">
        <f>SUM(A:B!P39)</f>
        <v>1302246</v>
      </c>
      <c r="Q39" s="33">
        <f>SUM(A:B!Q39)</f>
        <v>1316933</v>
      </c>
      <c r="R39" s="33">
        <f>SUM(A:B!R39)</f>
        <v>1347758</v>
      </c>
      <c r="S39" s="33">
        <f>SUM(A:B!S39)</f>
        <v>1448553</v>
      </c>
      <c r="T39" s="33">
        <f>SUM(A:B!T39)</f>
        <v>1396419</v>
      </c>
      <c r="U39" s="33">
        <f>SUM(A:B!U39)</f>
        <v>1369146</v>
      </c>
      <c r="V39" s="33">
        <f t="shared" si="18"/>
        <v>15638948</v>
      </c>
      <c r="W39" s="74">
        <f>V39/V$39</f>
        <v>1</v>
      </c>
      <c r="X39" s="90"/>
      <c r="Y39" s="33">
        <f>SUM(A:B!Y39)</f>
        <v>1286437.6666666667</v>
      </c>
      <c r="Z39" s="33">
        <f>SUM(A:B!Z39)</f>
        <v>1223958.6666666667</v>
      </c>
      <c r="AA39" s="33">
        <f>SUM(A:B!AA39)</f>
        <v>1358263.666666667</v>
      </c>
      <c r="AB39" s="33">
        <f>SUM(A:B!AB39)</f>
        <v>1314350.6666666667</v>
      </c>
      <c r="AC39" s="33">
        <f>SUM(A:B!AC39)</f>
        <v>1339341.6666666667</v>
      </c>
      <c r="AD39" s="33">
        <f>SUM(A:B!AD39)</f>
        <v>1303945.666666667</v>
      </c>
      <c r="AE39" s="33">
        <f>SUM(A:B!AE39)</f>
        <v>1363676.6666666667</v>
      </c>
      <c r="AF39" s="33">
        <f>SUM(A:B!AF39)</f>
        <v>1402774.6666666667</v>
      </c>
      <c r="AG39" s="33">
        <f>SUM(A:B!AG39)</f>
        <v>1411850.6666666667</v>
      </c>
      <c r="AH39" s="33">
        <f>SUM(A:B!AH39)</f>
        <v>1498741.6666666665</v>
      </c>
      <c r="AI39" s="33">
        <f>SUM(A:B!AI39)</f>
        <v>1461452.6666666665</v>
      </c>
      <c r="AJ39" s="33">
        <f>SUM(A:B!AJ39)</f>
        <v>1434781.6666666665</v>
      </c>
      <c r="AK39" s="33">
        <f t="shared" si="19"/>
        <v>16399575.999999998</v>
      </c>
      <c r="AL39" s="74">
        <f>AK39/AK$39</f>
        <v>1</v>
      </c>
      <c r="AM39" s="16">
        <f>IFERROR(AK39/V39-1,0)</f>
        <v>4.8636775312508096E-2</v>
      </c>
      <c r="AN39" s="287"/>
    </row>
    <row r="40" spans="1:41" hidden="1" outlineLevel="1">
      <c r="E40" s="127"/>
      <c r="I40" s="31" t="s">
        <v>405</v>
      </c>
      <c r="J40" s="30">
        <f>SUM(A:B!J39)</f>
        <v>1223164</v>
      </c>
      <c r="K40" s="30">
        <f>SUM(A:B!K40)</f>
        <v>830539</v>
      </c>
      <c r="L40" s="30">
        <f>SUM(A:B!L40)</f>
        <v>933279</v>
      </c>
      <c r="M40" s="30">
        <f>SUM(A:B!M40)</f>
        <v>873321</v>
      </c>
      <c r="N40" s="30">
        <f>SUM(A:B!N40)</f>
        <v>878218</v>
      </c>
      <c r="O40" s="30">
        <f>SUM(A:B!O40)</f>
        <v>887806</v>
      </c>
      <c r="P40" s="30">
        <f>SUM(A:B!P40)</f>
        <v>918225</v>
      </c>
      <c r="Q40" s="30">
        <f>SUM(A:B!Q40)</f>
        <v>931120</v>
      </c>
      <c r="R40" s="30">
        <f>SUM(A:B!R40)</f>
        <v>952306</v>
      </c>
      <c r="S40" s="30">
        <f>SUM(A:B!S40)</f>
        <v>1001030</v>
      </c>
      <c r="T40" s="30">
        <f>SUM(A:B!T40)</f>
        <v>995817</v>
      </c>
      <c r="U40" s="30">
        <f>SUM(A:B!U40)</f>
        <v>979221</v>
      </c>
      <c r="V40" s="32">
        <f t="shared" si="18"/>
        <v>11404046</v>
      </c>
      <c r="W40" s="74">
        <f>V40/V$39</f>
        <v>0.72920800043583489</v>
      </c>
      <c r="X40" s="90"/>
      <c r="Y40" s="30">
        <f>SUM(A:B!Y40)</f>
        <v>942905.66666666674</v>
      </c>
      <c r="Z40" s="30">
        <f>SUM(A:B!Z40)</f>
        <v>886006.66666666674</v>
      </c>
      <c r="AA40" s="30">
        <f>SUM(A:B!AA40)</f>
        <v>970242.66666666698</v>
      </c>
      <c r="AB40" s="30">
        <f>SUM(A:B!AB40)</f>
        <v>935885.66666666674</v>
      </c>
      <c r="AC40" s="30">
        <f>SUM(A:B!AC40)</f>
        <v>934172.66666666674</v>
      </c>
      <c r="AD40" s="30">
        <f>SUM(A:B!AD40)</f>
        <v>933917.66666666698</v>
      </c>
      <c r="AE40" s="30">
        <f>SUM(A:B!AE40)</f>
        <v>968135.66666666674</v>
      </c>
      <c r="AF40" s="30">
        <f>SUM(A:B!AF40)</f>
        <v>996901.66666666674</v>
      </c>
      <c r="AG40" s="30">
        <f>SUM(A:B!AG40)</f>
        <v>1002560.6666666667</v>
      </c>
      <c r="AH40" s="30">
        <f>SUM(A:B!AH40)</f>
        <v>1065834.6666666665</v>
      </c>
      <c r="AI40" s="30">
        <f>SUM(A:B!AI40)</f>
        <v>1051060.6666666665</v>
      </c>
      <c r="AJ40" s="30">
        <f>SUM(A:B!AJ40)</f>
        <v>1034961.6666666666</v>
      </c>
      <c r="AK40" s="32">
        <f t="shared" si="19"/>
        <v>11722586</v>
      </c>
      <c r="AL40" s="74">
        <f>AK40/AK$39</f>
        <v>0.71481030972995896</v>
      </c>
      <c r="AM40" s="29">
        <f t="shared" si="7"/>
        <v>2.7932191785266403E-2</v>
      </c>
    </row>
    <row r="41" spans="1:41" hidden="1" outlineLevel="1">
      <c r="E41" s="127"/>
      <c r="I41" s="31" t="s">
        <v>406</v>
      </c>
      <c r="J41" s="30">
        <f>SUM(A:B!J40)</f>
        <v>887027</v>
      </c>
      <c r="K41" s="30">
        <f>SUM(A:B!K41)</f>
        <v>231283</v>
      </c>
      <c r="L41" s="30">
        <f>SUM(A:B!L41)</f>
        <v>266800</v>
      </c>
      <c r="M41" s="30">
        <f>SUM(A:B!M41)</f>
        <v>244981</v>
      </c>
      <c r="N41" s="30">
        <f>SUM(A:B!N41)</f>
        <v>284526</v>
      </c>
      <c r="O41" s="30">
        <f>SUM(A:B!O41)</f>
        <v>245926</v>
      </c>
      <c r="P41" s="30">
        <f>SUM(A:B!P41)</f>
        <v>256948</v>
      </c>
      <c r="Q41" s="30">
        <f>SUM(A:B!Q41)</f>
        <v>271880</v>
      </c>
      <c r="R41" s="30">
        <f>SUM(A:B!R41)</f>
        <v>273083</v>
      </c>
      <c r="S41" s="30">
        <f>SUM(A:B!S41)</f>
        <v>297273</v>
      </c>
      <c r="T41" s="30">
        <f>SUM(A:B!T41)</f>
        <v>280714</v>
      </c>
      <c r="U41" s="30">
        <f>SUM(A:B!U41)</f>
        <v>276035</v>
      </c>
      <c r="V41" s="32">
        <f t="shared" si="18"/>
        <v>3816476</v>
      </c>
      <c r="W41" s="74">
        <f>V41/V$39</f>
        <v>0.24403661934293791</v>
      </c>
      <c r="X41" s="90"/>
      <c r="Y41" s="30">
        <f>SUM(A:B!Y41)</f>
        <v>248652</v>
      </c>
      <c r="Z41" s="30">
        <f>SUM(A:B!Z41)</f>
        <v>236603</v>
      </c>
      <c r="AA41" s="30">
        <f>SUM(A:B!AA41)</f>
        <v>272402</v>
      </c>
      <c r="AB41" s="30">
        <f>SUM(A:B!AB41)</f>
        <v>252331</v>
      </c>
      <c r="AC41" s="30">
        <f>SUM(A:B!AC41)</f>
        <v>292493</v>
      </c>
      <c r="AD41" s="30">
        <f>SUM(A:B!AD41)</f>
        <v>253058</v>
      </c>
      <c r="AE41" s="30">
        <f>SUM(A:B!AE41)</f>
        <v>264656</v>
      </c>
      <c r="AF41" s="30">
        <f>SUM(A:B!AF41)</f>
        <v>286015</v>
      </c>
      <c r="AG41" s="30">
        <f>SUM(A:B!AG41)</f>
        <v>282639</v>
      </c>
      <c r="AH41" s="30">
        <f>SUM(A:B!AH41)</f>
        <v>293018</v>
      </c>
      <c r="AI41" s="30">
        <f>SUM(A:B!AI41)</f>
        <v>288853</v>
      </c>
      <c r="AJ41" s="30">
        <f>SUM(A:B!AJ41)</f>
        <v>284316</v>
      </c>
      <c r="AK41" s="32">
        <f t="shared" si="19"/>
        <v>3255036</v>
      </c>
      <c r="AL41" s="74">
        <f>AK41/AK$39</f>
        <v>0.19848293638811151</v>
      </c>
      <c r="AM41" s="29">
        <f t="shared" si="7"/>
        <v>-0.14710953245873948</v>
      </c>
    </row>
    <row r="42" spans="1:41" hidden="1" outlineLevel="1">
      <c r="E42" s="127"/>
      <c r="I42" s="31" t="s">
        <v>148</v>
      </c>
      <c r="J42" s="30">
        <f>SUM(A:B!J41)</f>
        <v>243300</v>
      </c>
      <c r="K42" s="30">
        <f>SUM(A:B!K42)</f>
        <v>99070</v>
      </c>
      <c r="L42" s="30">
        <f>SUM(A:B!L42)</f>
        <v>113241</v>
      </c>
      <c r="M42" s="30">
        <f>SUM(A:B!M42)</f>
        <v>122460</v>
      </c>
      <c r="N42" s="30">
        <f>SUM(A:B!N42)</f>
        <v>109607</v>
      </c>
      <c r="O42" s="30">
        <f>SUM(A:B!O42)</f>
        <v>113673</v>
      </c>
      <c r="P42" s="30">
        <f>SUM(A:B!P42)</f>
        <v>127073</v>
      </c>
      <c r="Q42" s="30">
        <f>SUM(A:B!Q42)</f>
        <v>113934</v>
      </c>
      <c r="R42" s="30">
        <f>SUM(A:B!R42)</f>
        <v>122369</v>
      </c>
      <c r="S42" s="30">
        <f>SUM(A:B!S42)</f>
        <v>150249</v>
      </c>
      <c r="T42" s="30">
        <f>SUM(A:B!T42)</f>
        <v>119888</v>
      </c>
      <c r="U42" s="30">
        <f>SUM(A:B!U42)</f>
        <v>113890</v>
      </c>
      <c r="V42" s="32">
        <f t="shared" si="18"/>
        <v>1548754</v>
      </c>
      <c r="W42" s="74">
        <f>V42/V$39</f>
        <v>9.903185303768515E-2</v>
      </c>
      <c r="X42" s="90"/>
      <c r="Y42" s="30">
        <f>SUM(A:B!Y42)</f>
        <v>94880</v>
      </c>
      <c r="Z42" s="30">
        <f>SUM(A:B!Z42)</f>
        <v>101349</v>
      </c>
      <c r="AA42" s="30">
        <f>SUM(A:B!AA42)</f>
        <v>115619</v>
      </c>
      <c r="AB42" s="30">
        <f>SUM(A:B!AB42)</f>
        <v>126134</v>
      </c>
      <c r="AC42" s="30">
        <f>SUM(A:B!AC42)</f>
        <v>112676</v>
      </c>
      <c r="AD42" s="30">
        <f>SUM(A:B!AD42)</f>
        <v>116970</v>
      </c>
      <c r="AE42" s="30">
        <f>SUM(A:B!AE42)</f>
        <v>130885</v>
      </c>
      <c r="AF42" s="30">
        <f>SUM(A:B!AF42)</f>
        <v>119858</v>
      </c>
      <c r="AG42" s="30">
        <f>SUM(A:B!AG42)</f>
        <v>126651</v>
      </c>
      <c r="AH42" s="30">
        <f>SUM(A:B!AH42)</f>
        <v>139889</v>
      </c>
      <c r="AI42" s="30">
        <f>SUM(A:B!AI42)</f>
        <v>121539</v>
      </c>
      <c r="AJ42" s="30">
        <f>SUM(A:B!AJ42)</f>
        <v>115504</v>
      </c>
      <c r="AK42" s="32">
        <f t="shared" si="19"/>
        <v>1421954</v>
      </c>
      <c r="AL42" s="74">
        <f>AK42/AK$39</f>
        <v>8.6706753881929638E-2</v>
      </c>
      <c r="AM42" s="29">
        <f t="shared" si="7"/>
        <v>-8.1872266350885958E-2</v>
      </c>
    </row>
    <row r="43" spans="1:41">
      <c r="I43" s="18" t="s">
        <v>407</v>
      </c>
      <c r="J43" s="17">
        <f t="shared" ref="J43:V46" si="20">J33/J39</f>
        <v>1.9907134284527668</v>
      </c>
      <c r="K43" s="17">
        <f t="shared" si="20"/>
        <v>2.218525926615051</v>
      </c>
      <c r="L43" s="17">
        <f t="shared" si="20"/>
        <v>2.1445420765693051</v>
      </c>
      <c r="M43" s="17">
        <f t="shared" si="20"/>
        <v>2.354337898807346</v>
      </c>
      <c r="N43" s="17">
        <f t="shared" si="20"/>
        <v>2.4858832193317726</v>
      </c>
      <c r="O43" s="17">
        <f t="shared" si="20"/>
        <v>2.34277988526572</v>
      </c>
      <c r="P43" s="17">
        <f t="shared" si="20"/>
        <v>2.1459155950565409</v>
      </c>
      <c r="Q43" s="17">
        <f t="shared" si="20"/>
        <v>2.1408583428314123</v>
      </c>
      <c r="R43" s="17">
        <f>R33/R39</f>
        <v>2.1112284252810967</v>
      </c>
      <c r="S43" s="17">
        <f>S33/S39</f>
        <v>1.9466101689064881</v>
      </c>
      <c r="T43" s="17">
        <f>T33/T39</f>
        <v>2.0253145128121766</v>
      </c>
      <c r="U43" s="17">
        <f>U33/U39</f>
        <v>2.0678049593607173</v>
      </c>
      <c r="V43" s="17">
        <f>V33/V39</f>
        <v>2.1527634965734301</v>
      </c>
      <c r="W43" s="74">
        <f>V43/V$39</f>
        <v>1.3765398392356252E-7</v>
      </c>
      <c r="X43" s="90"/>
      <c r="Y43" s="17">
        <f t="shared" ref="Y43:AK43" si="21">Y33/Y39</f>
        <v>2.1446195449811949</v>
      </c>
      <c r="Z43" s="17">
        <f t="shared" si="21"/>
        <v>2.0925169259528338</v>
      </c>
      <c r="AA43" s="17">
        <f t="shared" si="21"/>
        <v>2.2496733378472671</v>
      </c>
      <c r="AB43" s="17">
        <f t="shared" si="21"/>
        <v>2.1141897875047024</v>
      </c>
      <c r="AC43" s="17">
        <f t="shared" si="21"/>
        <v>2.1882685548248211</v>
      </c>
      <c r="AD43" s="17">
        <f t="shared" si="21"/>
        <v>2.1153896903168499</v>
      </c>
      <c r="AE43" s="17">
        <f t="shared" si="21"/>
        <v>2.1964409549673292</v>
      </c>
      <c r="AF43" s="17">
        <f t="shared" si="21"/>
        <v>2.18342766383957</v>
      </c>
      <c r="AG43" s="17">
        <f t="shared" si="21"/>
        <v>2.1623251939770771</v>
      </c>
      <c r="AH43" s="17">
        <f t="shared" si="21"/>
        <v>2.201618313140469</v>
      </c>
      <c r="AI43" s="17">
        <f t="shared" si="21"/>
        <v>2.1273159240189794</v>
      </c>
      <c r="AJ43" s="17">
        <f t="shared" si="21"/>
        <v>2.1301807801187009</v>
      </c>
      <c r="AK43" s="17">
        <f t="shared" si="21"/>
        <v>2.1597904663307546</v>
      </c>
      <c r="AL43" s="74">
        <f>AK43/AK$39</f>
        <v>1.3169794550363709E-7</v>
      </c>
      <c r="AM43" s="16">
        <f t="shared" si="7"/>
        <v>3.2641624444622597E-3</v>
      </c>
      <c r="AO43" s="288"/>
    </row>
    <row r="44" spans="1:41" outlineLevel="1">
      <c r="I44" s="31" t="s">
        <v>405</v>
      </c>
      <c r="J44" s="30">
        <f t="shared" ref="J44" si="22">IFERROR((J7+J11-(J13+J16+J22+J24+J27))/J40,0)</f>
        <v>1.3241993714661322</v>
      </c>
      <c r="K44" s="30">
        <f>IFERROR((K7+K11-(K13+K16+K22+K24+K27))/K40,0)</f>
        <v>2.14439659064776</v>
      </c>
      <c r="L44" s="30">
        <f>IFERROR((L7+L11-(L13+L16+L22+L24+L27))/L40,0)</f>
        <v>2.0049117145033799</v>
      </c>
      <c r="M44" s="30">
        <f>IFERROR((M7+M11-(M13+M16+M22+M24+M27))/M40,0)</f>
        <v>1.9905097896420674</v>
      </c>
      <c r="N44" s="30">
        <f>IFERROR((N7+N11-(N13+N16+N22+N24+N27))/N40,0)</f>
        <v>1.9462001462051564</v>
      </c>
      <c r="O44" s="30">
        <f>IFERROR((O7+O11-(O13+O16+O22+O24+O27))/O40,0)</f>
        <v>1.8841638826500384</v>
      </c>
      <c r="P44" s="30">
        <f>IFERROR((P7+P11-(P13+P16+P22+P24+P27))/P40,0)</f>
        <v>1.9361953769500939</v>
      </c>
      <c r="Q44" s="30">
        <f>IFERROR((Q7+Q11-(Q13+Q16+Q22+Q24+Q27))/Q40,0)</f>
        <v>1.9425895695506488</v>
      </c>
      <c r="R44" s="30">
        <f>R34/R40</f>
        <v>1.8727226332712386</v>
      </c>
      <c r="S44" s="30">
        <f>S34/S40</f>
        <v>1.7992541016086763</v>
      </c>
      <c r="T44" s="30">
        <f>T34/T40</f>
        <v>1.8135445010925142</v>
      </c>
      <c r="U44" s="30">
        <f>U34/U40</f>
        <v>1.8349520614780446</v>
      </c>
      <c r="V44" s="30">
        <f>V34/V40</f>
        <v>1.8725386911250945</v>
      </c>
      <c r="W44" s="74">
        <f>V44/V$39</f>
        <v>1.1973559162196169E-7</v>
      </c>
      <c r="X44" s="90"/>
      <c r="Y44" s="30">
        <f t="shared" ref="Y44:AK44" si="23">IFERROR((Y7+Y11-(Y13+Y16+Y22+Y24+Y27))/Y40,0)</f>
        <v>1.9100000000000008</v>
      </c>
      <c r="Z44" s="30">
        <f t="shared" ref="Z44:AK44" si="24">IFERROR((Z7+Z11-(Z13+Z16+Z22+Z24+Z27))/Z40,0)</f>
        <v>1.8417350659513474</v>
      </c>
      <c r="AA44" s="30">
        <f t="shared" si="24"/>
        <v>1.9899999999999989</v>
      </c>
      <c r="AB44" s="30">
        <f t="shared" si="24"/>
        <v>1.8716868513497174</v>
      </c>
      <c r="AC44" s="30">
        <f t="shared" si="24"/>
        <v>1.9003836835303096</v>
      </c>
      <c r="AD44" s="30">
        <f t="shared" si="24"/>
        <v>1.8996461179839905</v>
      </c>
      <c r="AE44" s="30">
        <f t="shared" si="24"/>
        <v>1.9472674387577207</v>
      </c>
      <c r="AF44" s="30">
        <f t="shared" si="24"/>
        <v>1.9339475474846211</v>
      </c>
      <c r="AG44" s="30">
        <f t="shared" si="24"/>
        <v>1.9145810627586306</v>
      </c>
      <c r="AH44" s="30">
        <f t="shared" si="24"/>
        <v>1.9656033675016524</v>
      </c>
      <c r="AI44" s="30">
        <f t="shared" si="24"/>
        <v>1.8900000000000003</v>
      </c>
      <c r="AJ44" s="30">
        <f t="shared" si="24"/>
        <v>1.8900000000000043</v>
      </c>
      <c r="AK44" s="30">
        <f t="shared" ref="AK44" si="25">AK34/AK40</f>
        <v>1.9138145300590388</v>
      </c>
      <c r="AL44" s="74">
        <f>AK44/AK$39</f>
        <v>1.1669902502717381E-7</v>
      </c>
      <c r="AM44" s="29">
        <f t="shared" si="7"/>
        <v>2.2042716195703305E-2</v>
      </c>
    </row>
    <row r="45" spans="1:41" outlineLevel="1">
      <c r="I45" s="31" t="s">
        <v>406</v>
      </c>
      <c r="J45" s="30">
        <f>IFERROR((J8+J11-(J14+J17+J23+J25+J28))/J41,0)</f>
        <v>0.77589746422600436</v>
      </c>
      <c r="K45" s="30">
        <f>IFERROR((K8+K11-(K14+K17+K23+K25+K28))/K41,0)</f>
        <v>2.7615605124457914</v>
      </c>
      <c r="L45" s="30">
        <f>IFERROR((L8+L11-(L14+L17+L23+L25+L28))/L41,0)</f>
        <v>3.007357571214393</v>
      </c>
      <c r="M45" s="30">
        <f>IFERROR((M8+M11-(M14+M17+M23+M25+M28))/M41,0)</f>
        <v>3.1036855919438651</v>
      </c>
      <c r="N45" s="30">
        <f>IFERROR((N8+N11-(N14+N17+N23+N25+N28))/N41,0)</f>
        <v>3.5507335006291165</v>
      </c>
      <c r="O45" s="30">
        <f>IFERROR((O8+O11-(O14+O17+O23+O25+O28))/O41,0)</f>
        <v>3.4567268202630062</v>
      </c>
      <c r="P45" s="30">
        <f>IFERROR((P8+P11-(P14+P17+P23+P25+P28))/P41,0)</f>
        <v>2.778931923969052</v>
      </c>
      <c r="Q45" s="30">
        <f>IFERROR((Q8+Q11-(Q14+Q17+Q23+Q25+Q28))/Q41,0)</f>
        <v>2.542702662939532</v>
      </c>
      <c r="R45" s="30">
        <f>R35/R41</f>
        <v>2.7192892514974076</v>
      </c>
      <c r="S45" s="30">
        <f>S35/S41</f>
        <v>2.3850273056154516</v>
      </c>
      <c r="T45" s="30">
        <f>T35/T41</f>
        <v>2.5241169409540061</v>
      </c>
      <c r="U45" s="30">
        <f>U35/U41</f>
        <v>2.6085470463912808</v>
      </c>
      <c r="V45" s="30">
        <f>V35/V41</f>
        <v>2.3588328960544933</v>
      </c>
      <c r="W45" s="74">
        <f>V45/V$39</f>
        <v>1.5083066303785224E-7</v>
      </c>
      <c r="X45" s="90"/>
      <c r="Y45" s="30">
        <f>IFERROR((Y8-(Y14+Y17+Y23+Y25+Y28))/Y41,0)</f>
        <v>3.0191976738574358</v>
      </c>
      <c r="Z45" s="30">
        <f t="shared" ref="Z45:AK45" si="26">IFERROR((Z8-(Z14+Z17+Z23+Z25+Z28))/Z41,0)</f>
        <v>2.9642327020367434</v>
      </c>
      <c r="AA45" s="30">
        <f t="shared" si="26"/>
        <v>3.1523016717938939</v>
      </c>
      <c r="AB45" s="30">
        <f t="shared" si="26"/>
        <v>2.9436272198025586</v>
      </c>
      <c r="AC45" s="30">
        <f t="shared" si="26"/>
        <v>3.1589380942449914</v>
      </c>
      <c r="AD45" s="30">
        <f t="shared" si="26"/>
        <v>2.8670397695389975</v>
      </c>
      <c r="AE45" s="30">
        <f t="shared" si="26"/>
        <v>3.0695407245632036</v>
      </c>
      <c r="AF45" s="30">
        <f t="shared" si="26"/>
        <v>3.0956135167735939</v>
      </c>
      <c r="AG45" s="30">
        <f t="shared" si="26"/>
        <v>3.0098303489610405</v>
      </c>
      <c r="AH45" s="30">
        <f t="shared" si="26"/>
        <v>3.0556332375485433</v>
      </c>
      <c r="AI45" s="30">
        <f t="shared" si="26"/>
        <v>3.0104221870640098</v>
      </c>
      <c r="AJ45" s="30">
        <f t="shared" si="26"/>
        <v>3.0054642721478921</v>
      </c>
      <c r="AK45" s="30">
        <f t="shared" ref="AK45" si="27">AK35/AK41</f>
        <v>3.0325067096032119</v>
      </c>
      <c r="AL45" s="74">
        <f>AK45/AK$39</f>
        <v>1.8491372640385411E-7</v>
      </c>
      <c r="AM45" s="29">
        <f t="shared" si="7"/>
        <v>0.28559624324196098</v>
      </c>
    </row>
    <row r="46" spans="1:41" outlineLevel="1">
      <c r="I46" s="31" t="s">
        <v>148</v>
      </c>
      <c r="J46" s="30">
        <f>IFERROR((J9-(J15+J18+J26))/J42,0)</f>
        <v>0.63129469790382242</v>
      </c>
      <c r="K46" s="30">
        <f>IFERROR((K9-(K15+K18+K26))/K42,0)</f>
        <v>1.7777531038659533</v>
      </c>
      <c r="L46" s="30">
        <f>IFERROR((L9-(L15+L18+L26))/L42,0)</f>
        <v>1.5861657880096431</v>
      </c>
      <c r="M46" s="30">
        <f>IFERROR((M9-(M15+M18+M26))/M42,0)</f>
        <v>3.6821901028907398</v>
      </c>
      <c r="N46" s="30">
        <f>IFERROR((N9-(N15+N18+N26))/N42,0)</f>
        <v>4.1844498982729208</v>
      </c>
      <c r="O46" s="30">
        <f>IFERROR((O9-(O15+O18+O26))/O42,0)</f>
        <v>3.7563097657315283</v>
      </c>
      <c r="P46" s="30">
        <f>IFERROR((P9-(P15+P18+P26))/P42,0)</f>
        <v>2.6674352537517803</v>
      </c>
      <c r="Q46" s="30">
        <f>IFERROR((Q9-(Q15+Q18+Q26))/Q42,0)</f>
        <v>3.0438499482156338</v>
      </c>
      <c r="R46" s="30">
        <f>R36/R42</f>
        <v>2.4766757375914921</v>
      </c>
      <c r="S46" s="30">
        <f>S36/S42</f>
        <v>1.9524951543400917</v>
      </c>
      <c r="T46" s="30">
        <f>T36/T42</f>
        <v>2.470644206197389</v>
      </c>
      <c r="U46" s="30">
        <f>U36/U42</f>
        <v>2.6125482786617797</v>
      </c>
      <c r="V46" s="30">
        <f>V36/V42</f>
        <v>2.0677986909652279</v>
      </c>
      <c r="W46" s="74">
        <f>V46/V$39</f>
        <v>1.3222108616034966E-7</v>
      </c>
      <c r="X46" s="90"/>
      <c r="Y46" s="30">
        <f>IFERROR((Y9-(Y15+Y18+Y26))/Y42,0)</f>
        <v>2.1</v>
      </c>
      <c r="Z46" s="30">
        <f t="shared" ref="Z46:AK46" si="28">IFERROR((Z9-(Z15+Z18+Z26))/Z42,0)</f>
        <v>2.1700000000000008</v>
      </c>
      <c r="AA46" s="30">
        <f t="shared" si="28"/>
        <v>2.2300000000000009</v>
      </c>
      <c r="AB46" s="30">
        <f t="shared" si="28"/>
        <v>2.1899999999999995</v>
      </c>
      <c r="AC46" s="30">
        <f t="shared" si="28"/>
        <v>1.9799999999999998</v>
      </c>
      <c r="AD46" s="30">
        <f t="shared" si="28"/>
        <v>2.1399999999999983</v>
      </c>
      <c r="AE46" s="30">
        <f t="shared" si="28"/>
        <v>2.2100000000000009</v>
      </c>
      <c r="AF46" s="30">
        <f t="shared" si="28"/>
        <v>2.0100000000000007</v>
      </c>
      <c r="AG46" s="30">
        <f t="shared" si="28"/>
        <v>2.160000000000001</v>
      </c>
      <c r="AH46" s="30">
        <f t="shared" si="28"/>
        <v>2.1500000000000008</v>
      </c>
      <c r="AI46" s="30">
        <f t="shared" si="28"/>
        <v>2.0100000000000011</v>
      </c>
      <c r="AJ46" s="30">
        <f t="shared" si="28"/>
        <v>2.0500000000000016</v>
      </c>
      <c r="AK46" s="30">
        <f t="shared" ref="AK46" si="29">AK36/AK42</f>
        <v>2.1183723031828037</v>
      </c>
      <c r="AL46" s="74">
        <f>AK46/AK$39</f>
        <v>1.291723824556686E-7</v>
      </c>
      <c r="AM46" s="29">
        <f t="shared" si="7"/>
        <v>2.4457705887205305E-2</v>
      </c>
    </row>
    <row r="47" spans="1:41"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</row>
    <row r="48" spans="1:41">
      <c r="A48" s="21"/>
      <c r="B48" s="21"/>
      <c r="C48" s="21"/>
      <c r="D48" s="21"/>
      <c r="E48" s="7" t="s">
        <v>108</v>
      </c>
      <c r="I48" s="138" t="s">
        <v>153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265"/>
      <c r="AL48" s="75"/>
      <c r="AM48" s="13"/>
    </row>
    <row r="49" spans="1:43">
      <c r="A49" s="21"/>
      <c r="B49" s="21"/>
      <c r="C49" s="21"/>
      <c r="D49" s="21"/>
      <c r="E49" s="22"/>
      <c r="F49" s="21"/>
      <c r="G49" s="21"/>
      <c r="H49" s="21"/>
      <c r="I49" s="138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</row>
    <row r="50" spans="1:43" collapsed="1">
      <c r="A50" s="12" t="s">
        <v>154</v>
      </c>
      <c r="B50" s="19" t="s">
        <v>89</v>
      </c>
      <c r="I50" s="166" t="s">
        <v>155</v>
      </c>
      <c r="J50" s="15">
        <f>SUM(J51:J89)</f>
        <v>149335</v>
      </c>
      <c r="K50" s="15">
        <f>SUM(K51:K89)</f>
        <v>140634</v>
      </c>
      <c r="L50" s="15">
        <f>SUM(L51:L89)</f>
        <v>144094</v>
      </c>
      <c r="M50" s="15">
        <f>SUM(M51:M89)</f>
        <v>146807</v>
      </c>
      <c r="N50" s="15">
        <f>SUM(N51:N89)</f>
        <v>133714</v>
      </c>
      <c r="O50" s="15">
        <f>SUM(O51:O89)</f>
        <v>211152</v>
      </c>
      <c r="P50" s="15">
        <f>SUM(P51:P89)</f>
        <v>171855</v>
      </c>
      <c r="Q50" s="15">
        <f>SUM(Q51:Q89)</f>
        <v>232162</v>
      </c>
      <c r="R50" s="15">
        <f>SUM(R51:R89)</f>
        <v>145137</v>
      </c>
      <c r="S50" s="15">
        <f>SUM(S51:S89)</f>
        <v>178465</v>
      </c>
      <c r="T50" s="15">
        <f>SUM(T51:T89)</f>
        <v>210122.88</v>
      </c>
      <c r="U50" s="15">
        <f>SUM(U51:U89)</f>
        <v>232659.595</v>
      </c>
      <c r="V50" s="15">
        <f>SUM(V51:V89)</f>
        <v>2096137.4749999999</v>
      </c>
      <c r="W50" s="72">
        <f t="shared" ref="W50:W158" si="30">V50/V$6</f>
        <v>6.3594052138740221E-3</v>
      </c>
      <c r="X50" s="89"/>
      <c r="Y50" s="15">
        <f>SUM(Y51:Y89)</f>
        <v>173323.12037130955</v>
      </c>
      <c r="Z50" s="15">
        <f>SUM(Z51:Z89)</f>
        <v>151901.52094310903</v>
      </c>
      <c r="AA50" s="15">
        <f>SUM(AA51:AA89)</f>
        <v>196710.11940125417</v>
      </c>
      <c r="AB50" s="15">
        <f>SUM(AB51:AB89)</f>
        <v>149019.89471643779</v>
      </c>
      <c r="AC50" s="15">
        <f>SUM(AC51:AC89)</f>
        <v>245649.71558135562</v>
      </c>
      <c r="AD50" s="15">
        <f>SUM(AD51:AD89)</f>
        <v>167657.55882178858</v>
      </c>
      <c r="AE50" s="15">
        <f>SUM(AE51:AE89)</f>
        <v>147464.02159945169</v>
      </c>
      <c r="AF50" s="15">
        <f>SUM(AF51:AF89)</f>
        <v>172216.7421055538</v>
      </c>
      <c r="AG50" s="15">
        <f>SUM(AG51:AG89)</f>
        <v>204223.32839206647</v>
      </c>
      <c r="AH50" s="15">
        <f>SUM(AH51:AH89)</f>
        <v>244659.66468107392</v>
      </c>
      <c r="AI50" s="15">
        <f>SUM(AI51:AI89)</f>
        <v>138385.35796632949</v>
      </c>
      <c r="AJ50" s="15">
        <f>SUM(AJ51:AJ89)</f>
        <v>246643.7201312668</v>
      </c>
      <c r="AK50" s="15">
        <f>SUM(AK51:AK89)</f>
        <v>2237854.7647109968</v>
      </c>
      <c r="AL50" s="72">
        <f t="shared" ref="AL50:AL158" si="31">AK50/AK$6</f>
        <v>6.2370676969084743E-3</v>
      </c>
      <c r="AM50" s="10">
        <f t="shared" si="7"/>
        <v>6.7608776333239806E-2</v>
      </c>
      <c r="AN50" s="289"/>
      <c r="AO50" s="290"/>
      <c r="AP50" s="286"/>
      <c r="AQ50" s="9"/>
    </row>
    <row r="51" spans="1:43" hidden="1" outlineLevel="1">
      <c r="A51" s="12" t="s">
        <v>154</v>
      </c>
      <c r="B51" s="8" t="s">
        <v>89</v>
      </c>
      <c r="C51" s="19" t="s">
        <v>156</v>
      </c>
      <c r="D51" s="12"/>
      <c r="E51" s="20"/>
      <c r="F51" s="12"/>
      <c r="G51" s="12"/>
      <c r="H51" s="12"/>
      <c r="I51" s="261" t="s">
        <v>157</v>
      </c>
      <c r="J51" s="65">
        <f>SUM(A:B!J51)</f>
        <v>71186</v>
      </c>
      <c r="K51" s="65">
        <f>SUM(A:B!K51)</f>
        <v>61124</v>
      </c>
      <c r="L51" s="65">
        <f>SUM(A:B!L51)</f>
        <v>62666</v>
      </c>
      <c r="M51" s="65">
        <f>SUM(A:B!M51)</f>
        <v>63208</v>
      </c>
      <c r="N51" s="65">
        <f>SUM(A:B!N51)</f>
        <v>60682</v>
      </c>
      <c r="O51" s="65">
        <f>SUM(A:B!O51)</f>
        <v>63108</v>
      </c>
      <c r="P51" s="65">
        <f>SUM(A:B!P51)</f>
        <v>63432</v>
      </c>
      <c r="Q51" s="65">
        <f>SUM(A:B!Q51)</f>
        <v>62303</v>
      </c>
      <c r="R51" s="65">
        <f>SUM(A:B!R51)</f>
        <v>71042</v>
      </c>
      <c r="S51" s="65">
        <f>SUM(A:B!S51)</f>
        <v>63056</v>
      </c>
      <c r="T51" s="65">
        <f>SUM(A:B!T51)</f>
        <v>64958.25</v>
      </c>
      <c r="U51" s="65">
        <f>SUM(A:B!U51)</f>
        <v>65339.8125</v>
      </c>
      <c r="V51" s="11">
        <f>SUM(J51:U51)</f>
        <v>772105.0625</v>
      </c>
      <c r="W51" s="73">
        <f t="shared" si="30"/>
        <v>2.3424651382281249E-3</v>
      </c>
      <c r="X51" s="89"/>
      <c r="Y51" s="65">
        <f>SUM(A:B!Y51)</f>
        <v>59657.676628734218</v>
      </c>
      <c r="Z51" s="65">
        <f>SUM(A:B!Z51)</f>
        <v>61089.918165338757</v>
      </c>
      <c r="AA51" s="65">
        <f>SUM(A:B!AA51)</f>
        <v>68165.222587524986</v>
      </c>
      <c r="AB51" s="65">
        <f>SUM(A:B!AB51)</f>
        <v>66689.400314848783</v>
      </c>
      <c r="AC51" s="65">
        <f>SUM(A:B!AC51)</f>
        <v>69755.166944780314</v>
      </c>
      <c r="AD51" s="65">
        <f>SUM(A:B!AD51)</f>
        <v>68382.835332199538</v>
      </c>
      <c r="AE51" s="65">
        <f>SUM(A:B!AE51)</f>
        <v>70447.400462876351</v>
      </c>
      <c r="AF51" s="65">
        <f>SUM(A:B!AF51)</f>
        <v>71160.917164978513</v>
      </c>
      <c r="AG51" s="65">
        <f>SUM(A:B!AG51)</f>
        <v>70699.87258847749</v>
      </c>
      <c r="AH51" s="65">
        <f>SUM(A:B!AH51)</f>
        <v>73539.514794498624</v>
      </c>
      <c r="AI51" s="65">
        <f>SUM(A:B!AI51)</f>
        <v>72018.092956740467</v>
      </c>
      <c r="AJ51" s="65">
        <f>SUM(A:B!AJ51)</f>
        <v>70588.419200691511</v>
      </c>
      <c r="AK51" s="123">
        <f>SUM(Y51:AJ51)</f>
        <v>822194.43714168936</v>
      </c>
      <c r="AL51" s="73">
        <f t="shared" si="31"/>
        <v>2.291517057022479E-3</v>
      </c>
      <c r="AM51" s="14">
        <f t="shared" si="7"/>
        <v>6.4873780880939869E-2</v>
      </c>
    </row>
    <row r="52" spans="1:43" hidden="1" outlineLevel="1">
      <c r="A52" s="12" t="s">
        <v>154</v>
      </c>
      <c r="B52" s="8" t="s">
        <v>89</v>
      </c>
      <c r="I52" s="261" t="s">
        <v>156</v>
      </c>
      <c r="J52" s="65">
        <f>SUM(A:B!J52)</f>
        <v>4000</v>
      </c>
      <c r="K52" s="65">
        <f>SUM(A:B!K52)</f>
        <v>5000</v>
      </c>
      <c r="L52" s="65">
        <f>SUM(A:B!L52)</f>
        <v>4000</v>
      </c>
      <c r="M52" s="65">
        <f>SUM(A:B!M52)</f>
        <v>4000</v>
      </c>
      <c r="N52" s="65">
        <f>SUM(A:B!N52)</f>
        <v>5000</v>
      </c>
      <c r="O52" s="65">
        <f>SUM(A:B!O52)</f>
        <v>4000</v>
      </c>
      <c r="P52" s="65">
        <f>SUM(A:B!P52)</f>
        <v>4000</v>
      </c>
      <c r="Q52" s="65">
        <f>SUM(A:B!Q52)</f>
        <v>5000</v>
      </c>
      <c r="R52" s="65">
        <f>SUM(A:B!R52)</f>
        <v>4000</v>
      </c>
      <c r="S52" s="65">
        <f>SUM(A:B!S52)</f>
        <v>5000</v>
      </c>
      <c r="T52" s="65">
        <f>SUM(A:B!T52)</f>
        <v>4500</v>
      </c>
      <c r="U52" s="65">
        <f>SUM(A:B!U52)</f>
        <v>4625</v>
      </c>
      <c r="V52" s="11">
        <f t="shared" ref="V52:V89" si="32">SUM(J52:U52)</f>
        <v>53125</v>
      </c>
      <c r="W52" s="73">
        <f t="shared" si="30"/>
        <v>1.6117425789883243E-4</v>
      </c>
      <c r="X52" s="89"/>
      <c r="Y52" s="65">
        <f>SUM(A:B!Y52)</f>
        <v>4200</v>
      </c>
      <c r="Z52" s="65">
        <f>SUM(A:B!Z52)</f>
        <v>4200</v>
      </c>
      <c r="AA52" s="65">
        <f>SUM(A:B!AA52)</f>
        <v>4200</v>
      </c>
      <c r="AB52" s="65">
        <f>SUM(A:B!AB52)</f>
        <v>4200</v>
      </c>
      <c r="AC52" s="65">
        <f>SUM(A:B!AC52)</f>
        <v>4200</v>
      </c>
      <c r="AD52" s="65">
        <f>SUM(A:B!AD52)</f>
        <v>4200</v>
      </c>
      <c r="AE52" s="65">
        <f>SUM(A:B!AE52)</f>
        <v>4200</v>
      </c>
      <c r="AF52" s="65">
        <f>SUM(A:B!AF52)</f>
        <v>4200</v>
      </c>
      <c r="AG52" s="65">
        <f>SUM(A:B!AG52)</f>
        <v>4200</v>
      </c>
      <c r="AH52" s="65">
        <f>SUM(A:B!AH52)</f>
        <v>4200</v>
      </c>
      <c r="AI52" s="65">
        <f>SUM(A:B!AI52)</f>
        <v>4200</v>
      </c>
      <c r="AJ52" s="65">
        <f>SUM(A:B!AJ52)</f>
        <v>4200</v>
      </c>
      <c r="AK52" s="123">
        <f t="shared" ref="AK52:AK74" si="33">SUM(Y52:AJ52)</f>
        <v>50400</v>
      </c>
      <c r="AL52" s="73">
        <f t="shared" si="31"/>
        <v>1.4046854911282992E-4</v>
      </c>
      <c r="AM52" s="14">
        <f t="shared" si="7"/>
        <v>-5.1294117647058823E-2</v>
      </c>
    </row>
    <row r="53" spans="1:43" hidden="1" outlineLevel="1">
      <c r="A53" s="12" t="s">
        <v>154</v>
      </c>
      <c r="B53" s="8" t="s">
        <v>89</v>
      </c>
      <c r="I53" s="261" t="s">
        <v>158</v>
      </c>
      <c r="J53" s="65">
        <f>SUM(A:B!J53)</f>
        <v>386</v>
      </c>
      <c r="K53" s="65">
        <f>SUM(A:B!K53)</f>
        <v>0</v>
      </c>
      <c r="L53" s="65">
        <f>SUM(A:B!L53)</f>
        <v>0</v>
      </c>
      <c r="M53" s="65">
        <f>SUM(A:B!M53)</f>
        <v>0</v>
      </c>
      <c r="N53" s="65">
        <f>SUM(A:B!N53)</f>
        <v>0</v>
      </c>
      <c r="O53" s="65">
        <f>SUM(A:B!O53)</f>
        <v>0</v>
      </c>
      <c r="P53" s="65">
        <f>SUM(A:B!P53)</f>
        <v>4841</v>
      </c>
      <c r="Q53" s="65">
        <f>SUM(A:B!Q53)</f>
        <v>0</v>
      </c>
      <c r="R53" s="65">
        <f>SUM(A:B!R53)</f>
        <v>0</v>
      </c>
      <c r="S53" s="65">
        <f>SUM(A:B!S53)</f>
        <v>817</v>
      </c>
      <c r="T53" s="65">
        <f>SUM(A:B!T53)</f>
        <v>1414.5</v>
      </c>
      <c r="U53" s="65">
        <f>2400+557</f>
        <v>2957</v>
      </c>
      <c r="V53" s="11">
        <f t="shared" si="32"/>
        <v>10415.5</v>
      </c>
      <c r="W53" s="73">
        <f t="shared" si="30"/>
        <v>3.1599256153323094E-5</v>
      </c>
      <c r="X53" s="89"/>
      <c r="Y53" s="65">
        <f>SUM(A:B!Y53)</f>
        <v>1040</v>
      </c>
      <c r="Z53" s="65">
        <f>SUM(A:B!Z53)</f>
        <v>1040</v>
      </c>
      <c r="AA53" s="65">
        <f>SUM(A:B!AA53)</f>
        <v>1040</v>
      </c>
      <c r="AB53" s="65">
        <f>SUM(A:B!AB53)</f>
        <v>1040</v>
      </c>
      <c r="AC53" s="65">
        <f>SUM(A:B!AC53)</f>
        <v>1040</v>
      </c>
      <c r="AD53" s="65">
        <f>SUM(A:B!AD53)</f>
        <v>1040</v>
      </c>
      <c r="AE53" s="65">
        <f>SUM(A:B!AE53)</f>
        <v>1040</v>
      </c>
      <c r="AF53" s="65">
        <f>SUM(A:B!AF53)</f>
        <v>1040</v>
      </c>
      <c r="AG53" s="65">
        <f>SUM(A:B!AG53)</f>
        <v>1040</v>
      </c>
      <c r="AH53" s="65">
        <f>SUM(A:B!AH53)</f>
        <v>1040</v>
      </c>
      <c r="AI53" s="65">
        <f>SUM(A:B!AI53)</f>
        <v>1040</v>
      </c>
      <c r="AJ53" s="65">
        <f>SUM(A:B!AJ53)</f>
        <v>3536</v>
      </c>
      <c r="AK53" s="123">
        <f t="shared" si="33"/>
        <v>14976</v>
      </c>
      <c r="AL53" s="73">
        <f t="shared" si="31"/>
        <v>4.1739226022098032E-5</v>
      </c>
      <c r="AM53" s="14">
        <f t="shared" si="7"/>
        <v>0.43785703998847869</v>
      </c>
    </row>
    <row r="54" spans="1:43" hidden="1" outlineLevel="1">
      <c r="A54" s="12" t="s">
        <v>154</v>
      </c>
      <c r="B54" s="8" t="s">
        <v>89</v>
      </c>
      <c r="I54" s="261" t="s">
        <v>159</v>
      </c>
      <c r="J54" s="65">
        <f>SUM(A:B!J54)</f>
        <v>0</v>
      </c>
      <c r="K54" s="65">
        <f>SUM(A:B!K54)</f>
        <v>0</v>
      </c>
      <c r="L54" s="65">
        <f>SUM(A:B!L54)</f>
        <v>0</v>
      </c>
      <c r="M54" s="65">
        <f>SUM(A:B!M54)</f>
        <v>0</v>
      </c>
      <c r="N54" s="65">
        <f>SUM(A:B!N54)</f>
        <v>0</v>
      </c>
      <c r="O54" s="65">
        <f>SUM(A:B!O54)</f>
        <v>0</v>
      </c>
      <c r="P54" s="65">
        <f>SUM(A:B!P54)</f>
        <v>0</v>
      </c>
      <c r="Q54" s="65">
        <f>SUM(A:B!Q54)</f>
        <v>0</v>
      </c>
      <c r="R54" s="65">
        <f>SUM(A:B!R54)</f>
        <v>0</v>
      </c>
      <c r="S54" s="65">
        <f>SUM(A:B!S54)</f>
        <v>0</v>
      </c>
      <c r="T54" s="65">
        <f>SUM(A:B!T54)</f>
        <v>0</v>
      </c>
      <c r="U54" s="65">
        <f>SUM(A:B!U54)</f>
        <v>0</v>
      </c>
      <c r="V54" s="11">
        <f t="shared" si="32"/>
        <v>0</v>
      </c>
      <c r="W54" s="73">
        <f t="shared" si="30"/>
        <v>0</v>
      </c>
      <c r="X54" s="89"/>
      <c r="Y54" s="65">
        <f>SUM(A:B!Y54)</f>
        <v>0</v>
      </c>
      <c r="Z54" s="65">
        <f>SUM(A:B!Z54)</f>
        <v>0</v>
      </c>
      <c r="AA54" s="65">
        <f>SUM(A:B!AA54)</f>
        <v>0</v>
      </c>
      <c r="AB54" s="65">
        <f>SUM(A:B!AB54)</f>
        <v>0</v>
      </c>
      <c r="AC54" s="65">
        <f>SUM(A:B!AC54)</f>
        <v>0</v>
      </c>
      <c r="AD54" s="65">
        <f>SUM(A:B!AD54)</f>
        <v>23897.120000000003</v>
      </c>
      <c r="AE54" s="65">
        <f>SUM(A:B!AE54)</f>
        <v>0</v>
      </c>
      <c r="AF54" s="65">
        <f>SUM(A:B!AF54)</f>
        <v>0</v>
      </c>
      <c r="AG54" s="65">
        <f>SUM(A:B!AG54)</f>
        <v>0</v>
      </c>
      <c r="AH54" s="65">
        <f>SUM(A:B!AH54)</f>
        <v>0</v>
      </c>
      <c r="AI54" s="65">
        <f>SUM(A:B!AI54)</f>
        <v>0</v>
      </c>
      <c r="AJ54" s="65">
        <f>SUM(A:B!AJ54)</f>
        <v>0</v>
      </c>
      <c r="AK54" s="123">
        <f t="shared" si="33"/>
        <v>23897.120000000003</v>
      </c>
      <c r="AL54" s="73">
        <f t="shared" si="31"/>
        <v>6.6603051078872834E-5</v>
      </c>
      <c r="AM54" s="14">
        <f t="shared" si="7"/>
        <v>0</v>
      </c>
    </row>
    <row r="55" spans="1:43" ht="15" hidden="1" outlineLevel="1">
      <c r="A55" s="12" t="s">
        <v>154</v>
      </c>
      <c r="B55" s="8" t="s">
        <v>89</v>
      </c>
      <c r="C55" s="8" t="s">
        <v>160</v>
      </c>
      <c r="I55" s="261" t="s">
        <v>161</v>
      </c>
      <c r="J55" s="65">
        <f>SUM(A:B!J55)</f>
        <v>7403</v>
      </c>
      <c r="K55" s="65">
        <f>SUM(A:B!K55)</f>
        <v>4200</v>
      </c>
      <c r="L55" s="65">
        <f>SUM(A:B!L55)</f>
        <v>0</v>
      </c>
      <c r="M55" s="65">
        <f>SUM(A:B!M55)</f>
        <v>6021</v>
      </c>
      <c r="N55" s="65">
        <f>SUM(A:B!N55)</f>
        <v>5080</v>
      </c>
      <c r="O55" s="65">
        <f>SUM(A:B!O55)</f>
        <v>4579</v>
      </c>
      <c r="P55" s="65">
        <f>SUM(A:B!P55)</f>
        <v>1996</v>
      </c>
      <c r="Q55" s="65">
        <f>SUM(A:B!Q55)</f>
        <v>8097</v>
      </c>
      <c r="R55" s="65">
        <f>SUM(A:B!R55)</f>
        <v>4947</v>
      </c>
      <c r="S55" s="65">
        <f>SUM(A:B!S55)</f>
        <v>4305</v>
      </c>
      <c r="T55" s="65">
        <f>SUM(A:B!T55)</f>
        <v>4836.25</v>
      </c>
      <c r="U55" s="65">
        <f>SUM(A:B!U55)</f>
        <v>5546.3125</v>
      </c>
      <c r="V55" s="11">
        <f t="shared" si="32"/>
        <v>57010.5625</v>
      </c>
      <c r="W55" s="73">
        <f t="shared" si="30"/>
        <v>1.7296254312155305E-4</v>
      </c>
      <c r="X55" s="89"/>
      <c r="Y55" s="65">
        <f>SUM(A:B!Y55)</f>
        <v>5749.9804999999997</v>
      </c>
      <c r="Z55" s="65">
        <f>SUM(A:B!Z55)</f>
        <v>5749.9804999999997</v>
      </c>
      <c r="AA55" s="65">
        <f>SUM(A:B!AA55)</f>
        <v>5749.9804999999997</v>
      </c>
      <c r="AB55" s="65">
        <f>SUM(A:B!AB55)</f>
        <v>5749.9804999999997</v>
      </c>
      <c r="AC55" s="65">
        <f>SUM(A:B!AC55)</f>
        <v>5749.9804999999997</v>
      </c>
      <c r="AD55" s="65">
        <f>SUM(A:B!AD55)</f>
        <v>5749.9804999999997</v>
      </c>
      <c r="AE55" s="65">
        <f>SUM(A:B!AE55)</f>
        <v>5749.9804999999997</v>
      </c>
      <c r="AF55" s="65">
        <f>SUM(A:B!AF55)</f>
        <v>5749.9804999999997</v>
      </c>
      <c r="AG55" s="65">
        <f>SUM(A:B!AG55)</f>
        <v>5749.9804999999997</v>
      </c>
      <c r="AH55" s="65">
        <f>SUM(A:B!AH55)</f>
        <v>5749.9804999999997</v>
      </c>
      <c r="AI55" s="65">
        <f>SUM(A:B!AI55)</f>
        <v>5749.9804999999997</v>
      </c>
      <c r="AJ55" s="65">
        <f>SUM(A:B!AJ55)</f>
        <v>5749.9804999999997</v>
      </c>
      <c r="AK55" s="123">
        <f t="shared" si="33"/>
        <v>68999.765999999989</v>
      </c>
      <c r="AL55" s="73">
        <f t="shared" si="31"/>
        <v>1.9230748053858672E-4</v>
      </c>
      <c r="AM55" s="14">
        <f t="shared" si="7"/>
        <v>0.21029793382585882</v>
      </c>
      <c r="AP55" s="291"/>
    </row>
    <row r="56" spans="1:43" ht="13.15" hidden="1" customHeight="1" outlineLevel="1">
      <c r="A56" s="12" t="s">
        <v>154</v>
      </c>
      <c r="B56" s="8" t="s">
        <v>89</v>
      </c>
      <c r="E56" s="7" t="s">
        <v>440</v>
      </c>
      <c r="I56" s="261" t="s">
        <v>162</v>
      </c>
      <c r="J56" s="65">
        <f>SUM(A:B!J56)</f>
        <v>28950</v>
      </c>
      <c r="K56" s="65">
        <f>SUM(A:B!K56)</f>
        <v>43277</v>
      </c>
      <c r="L56" s="65">
        <f>SUM(A:B!L56)</f>
        <v>55400</v>
      </c>
      <c r="M56" s="65">
        <f>SUM(A:B!M56)</f>
        <v>46508</v>
      </c>
      <c r="N56" s="65">
        <f>SUM(A:B!N56)</f>
        <v>28961</v>
      </c>
      <c r="O56" s="65">
        <f>SUM(A:B!O56)</f>
        <v>56934</v>
      </c>
      <c r="P56" s="65">
        <f>SUM(A:B!P56)</f>
        <v>58133</v>
      </c>
      <c r="Q56" s="65">
        <f>SUM(A:B!Q56)</f>
        <v>116238</v>
      </c>
      <c r="R56" s="65">
        <f>SUM(A:B!R56)</f>
        <v>44011</v>
      </c>
      <c r="S56" s="65">
        <f>SUM(A:B!S56)</f>
        <v>39270</v>
      </c>
      <c r="T56" s="65">
        <f>SUM(A:B!T56)</f>
        <v>50000</v>
      </c>
      <c r="U56" s="65">
        <f>SUM(A:B!U56)</f>
        <v>50000</v>
      </c>
      <c r="V56" s="11">
        <f t="shared" si="32"/>
        <v>617682</v>
      </c>
      <c r="W56" s="73">
        <f t="shared" si="30"/>
        <v>1.8739658911523128E-3</v>
      </c>
      <c r="X56" s="89"/>
      <c r="Y56" s="65">
        <f>SUM(A:B!Y56)</f>
        <v>49560.587999999996</v>
      </c>
      <c r="Z56" s="65">
        <f>SUM(A:B!Z56)</f>
        <v>44592.107999999993</v>
      </c>
      <c r="AA56" s="65">
        <f>SUM(A:B!AA56)</f>
        <v>87341.737999999998</v>
      </c>
      <c r="AB56" s="65">
        <f>SUM(A:B!AB56)</f>
        <v>35690.248</v>
      </c>
      <c r="AC56" s="65">
        <f>SUM(A:B!AC56)</f>
        <v>121707.05799999999</v>
      </c>
      <c r="AD56" s="65">
        <f>SUM(A:B!AD56)</f>
        <v>5258.3079999999991</v>
      </c>
      <c r="AE56" s="65">
        <f>SUM(A:B!AE56)</f>
        <v>27409.447999999997</v>
      </c>
      <c r="AF56" s="65">
        <f>SUM(A:B!AF56)</f>
        <v>49250.057999999997</v>
      </c>
      <c r="AG56" s="65">
        <f>SUM(A:B!AG56)</f>
        <v>51630.787999999993</v>
      </c>
      <c r="AH56" s="65">
        <f>SUM(A:B!AH56)</f>
        <v>79785.507999999987</v>
      </c>
      <c r="AI56" s="65">
        <f>SUM(A:B!AI56)</f>
        <v>30514.748</v>
      </c>
      <c r="AJ56" s="65">
        <f>SUM(A:B!AJ56)</f>
        <v>58358.937999999995</v>
      </c>
      <c r="AK56" s="123">
        <f t="shared" si="33"/>
        <v>641099.53599999996</v>
      </c>
      <c r="AL56" s="73">
        <f t="shared" si="31"/>
        <v>1.7867920964053268E-3</v>
      </c>
      <c r="AM56" s="14">
        <f t="shared" si="7"/>
        <v>3.7911961170958408E-2</v>
      </c>
    </row>
    <row r="57" spans="1:43" ht="16.149999999999999" hidden="1" customHeight="1" outlineLevel="1">
      <c r="A57" s="12" t="s">
        <v>154</v>
      </c>
      <c r="B57" s="8" t="s">
        <v>89</v>
      </c>
      <c r="E57" s="7" t="s">
        <v>440</v>
      </c>
      <c r="I57" s="261" t="s">
        <v>163</v>
      </c>
      <c r="J57" s="65">
        <f>SUM(A:B!J57)</f>
        <v>0</v>
      </c>
      <c r="K57" s="65">
        <f>SUM(A:B!K57)</f>
        <v>0</v>
      </c>
      <c r="L57" s="65">
        <f>SUM(A:B!L57)</f>
        <v>0</v>
      </c>
      <c r="M57" s="65">
        <f>SUM(A:B!M57)</f>
        <v>0</v>
      </c>
      <c r="N57" s="65">
        <f>SUM(A:B!N57)</f>
        <v>0</v>
      </c>
      <c r="O57" s="65">
        <f>SUM(A:B!O57)</f>
        <v>0</v>
      </c>
      <c r="P57" s="65">
        <f>SUM(A:B!P57)</f>
        <v>0</v>
      </c>
      <c r="Q57" s="65">
        <f>SUM(A:B!Q57)</f>
        <v>0</v>
      </c>
      <c r="R57" s="65">
        <f>SUM(A:B!R57)</f>
        <v>0</v>
      </c>
      <c r="S57" s="65">
        <f>SUM(A:B!S57)</f>
        <v>0</v>
      </c>
      <c r="T57" s="65">
        <f>SUM(A:B!T57)</f>
        <v>3640</v>
      </c>
      <c r="U57" s="65">
        <f>SUM(A:B!U57)</f>
        <v>0</v>
      </c>
      <c r="V57" s="11">
        <f t="shared" si="32"/>
        <v>3640</v>
      </c>
      <c r="W57" s="73">
        <f t="shared" si="30"/>
        <v>1.1043280917680001E-5</v>
      </c>
      <c r="X57" s="89"/>
      <c r="Y57" s="65">
        <f>SUM(A:B!Y57)</f>
        <v>0</v>
      </c>
      <c r="Z57" s="65">
        <f>SUM(A:B!Z57)</f>
        <v>6568.9038461538457</v>
      </c>
      <c r="AA57" s="65">
        <f>SUM(A:B!AA57)</f>
        <v>1231.669471153846</v>
      </c>
      <c r="AB57" s="65">
        <f>SUM(A:B!AB57)</f>
        <v>0</v>
      </c>
      <c r="AC57" s="65">
        <f>SUM(A:B!AC57)</f>
        <v>0</v>
      </c>
      <c r="AD57" s="65">
        <f>SUM(A:B!AD57)</f>
        <v>0</v>
      </c>
      <c r="AE57" s="65">
        <f>SUM(A:B!AE57)</f>
        <v>0</v>
      </c>
      <c r="AF57" s="65">
        <f>SUM(A:B!AF57)</f>
        <v>0</v>
      </c>
      <c r="AG57" s="65">
        <f>SUM(A:B!AG57)</f>
        <v>0</v>
      </c>
      <c r="AH57" s="65">
        <f>SUM(A:B!AH57)</f>
        <v>0</v>
      </c>
      <c r="AI57" s="65">
        <f>SUM(A:B!AI57)</f>
        <v>0</v>
      </c>
      <c r="AJ57" s="65">
        <f>SUM(A:B!AJ57)</f>
        <v>0</v>
      </c>
      <c r="AK57" s="123">
        <f t="shared" si="33"/>
        <v>7800.5733173076915</v>
      </c>
      <c r="AL57" s="73">
        <f t="shared" si="31"/>
        <v>2.1740778097826708E-5</v>
      </c>
      <c r="AM57" s="14">
        <f t="shared" si="7"/>
        <v>1.1430146476120031</v>
      </c>
      <c r="AN57" s="292"/>
      <c r="AO57" s="293"/>
    </row>
    <row r="58" spans="1:43" hidden="1" outlineLevel="1">
      <c r="A58" s="12" t="s">
        <v>154</v>
      </c>
      <c r="B58" s="8" t="s">
        <v>89</v>
      </c>
      <c r="I58" s="261" t="s">
        <v>164</v>
      </c>
      <c r="J58" s="65">
        <f>SUM(A:B!J58)</f>
        <v>0</v>
      </c>
      <c r="K58" s="65">
        <f>SUM(A:B!K58)</f>
        <v>0</v>
      </c>
      <c r="L58" s="65">
        <f>SUM(A:B!L58)</f>
        <v>0</v>
      </c>
      <c r="M58" s="65">
        <f>SUM(A:B!M58)</f>
        <v>0</v>
      </c>
      <c r="N58" s="65">
        <f>SUM(A:B!N58)</f>
        <v>0</v>
      </c>
      <c r="O58" s="65">
        <f>SUM(A:B!O58)</f>
        <v>0</v>
      </c>
      <c r="P58" s="65">
        <f>SUM(A:B!P58)</f>
        <v>0</v>
      </c>
      <c r="Q58" s="65">
        <f>SUM(A:B!Q58)</f>
        <v>0</v>
      </c>
      <c r="R58" s="65">
        <f>SUM(A:B!R58)</f>
        <v>0</v>
      </c>
      <c r="S58" s="65">
        <f>SUM(A:B!S58)</f>
        <v>0</v>
      </c>
      <c r="T58" s="65">
        <f>SUM(A:B!T58)</f>
        <v>0</v>
      </c>
      <c r="U58" s="65">
        <f>SUM(A:B!U58)</f>
        <v>0</v>
      </c>
      <c r="V58" s="11">
        <f t="shared" si="32"/>
        <v>0</v>
      </c>
      <c r="W58" s="73">
        <f t="shared" si="30"/>
        <v>0</v>
      </c>
      <c r="X58" s="89"/>
      <c r="Y58" s="65">
        <f>SUM(A:B!Y58)</f>
        <v>0</v>
      </c>
      <c r="Z58" s="65">
        <f>SUM(A:B!Z58)</f>
        <v>0</v>
      </c>
      <c r="AA58" s="65">
        <f>SUM(A:B!AA58)</f>
        <v>0</v>
      </c>
      <c r="AB58" s="65">
        <f>SUM(A:B!AB58)</f>
        <v>0</v>
      </c>
      <c r="AC58" s="65">
        <f>SUM(A:B!AC58)</f>
        <v>0</v>
      </c>
      <c r="AD58" s="65">
        <f>SUM(A:B!AD58)</f>
        <v>0</v>
      </c>
      <c r="AE58" s="65">
        <f>SUM(A:B!AE58)</f>
        <v>0</v>
      </c>
      <c r="AF58" s="65">
        <f>SUM(A:B!AF58)</f>
        <v>0</v>
      </c>
      <c r="AG58" s="65">
        <f>SUM(A:B!AG58)</f>
        <v>0</v>
      </c>
      <c r="AH58" s="65">
        <f>SUM(A:B!AH58)</f>
        <v>0</v>
      </c>
      <c r="AI58" s="65">
        <f>SUM(A:B!AI58)</f>
        <v>0</v>
      </c>
      <c r="AJ58" s="65">
        <f>SUM(A:B!AJ58)</f>
        <v>0</v>
      </c>
      <c r="AK58" s="123">
        <f t="shared" si="33"/>
        <v>0</v>
      </c>
      <c r="AL58" s="73">
        <f t="shared" si="31"/>
        <v>0</v>
      </c>
      <c r="AM58" s="14">
        <f t="shared" si="7"/>
        <v>0</v>
      </c>
    </row>
    <row r="59" spans="1:43" ht="15" hidden="1" outlineLevel="1">
      <c r="A59" s="12" t="s">
        <v>154</v>
      </c>
      <c r="B59" s="8" t="s">
        <v>89</v>
      </c>
      <c r="I59" s="261" t="s">
        <v>165</v>
      </c>
      <c r="J59" s="65">
        <f>SUM(A:B!J59)</f>
        <v>0</v>
      </c>
      <c r="K59" s="65">
        <f>SUM(A:B!K59)</f>
        <v>0</v>
      </c>
      <c r="L59" s="65">
        <f>SUM(A:B!L59)</f>
        <v>0</v>
      </c>
      <c r="M59" s="65">
        <f>SUM(A:B!M59)</f>
        <v>0</v>
      </c>
      <c r="N59" s="65">
        <f>SUM(A:B!N59)</f>
        <v>0</v>
      </c>
      <c r="O59" s="65">
        <f>SUM(A:B!O59)</f>
        <v>0</v>
      </c>
      <c r="P59" s="65">
        <f>SUM(A:B!P59)</f>
        <v>0</v>
      </c>
      <c r="Q59" s="65">
        <f>SUM(A:B!Q59)</f>
        <v>0</v>
      </c>
      <c r="R59" s="65">
        <f>SUM(A:B!R59)</f>
        <v>0</v>
      </c>
      <c r="S59" s="65">
        <f>SUM(A:B!S59)</f>
        <v>0</v>
      </c>
      <c r="T59" s="65">
        <f>SUM(A:B!T59)</f>
        <v>0</v>
      </c>
      <c r="U59" s="65">
        <f>SUM(A:B!U59)</f>
        <v>0</v>
      </c>
      <c r="V59" s="11">
        <f t="shared" si="32"/>
        <v>0</v>
      </c>
      <c r="W59" s="73">
        <f t="shared" si="30"/>
        <v>0</v>
      </c>
      <c r="X59" s="89"/>
      <c r="Y59" s="65">
        <f>SUM(A:B!Y59)</f>
        <v>0</v>
      </c>
      <c r="Z59" s="65">
        <f>SUM(A:B!Z59)</f>
        <v>0</v>
      </c>
      <c r="AA59" s="65">
        <f>SUM(A:B!AA59)</f>
        <v>0</v>
      </c>
      <c r="AB59" s="65">
        <f>SUM(A:B!AB59)</f>
        <v>0</v>
      </c>
      <c r="AC59" s="65">
        <f>SUM(A:B!AC59)</f>
        <v>0</v>
      </c>
      <c r="AD59" s="65">
        <f>SUM(A:B!AD59)</f>
        <v>0</v>
      </c>
      <c r="AE59" s="65">
        <f>SUM(A:B!AE59)</f>
        <v>0</v>
      </c>
      <c r="AF59" s="65">
        <f>SUM(A:B!AF59)</f>
        <v>0</v>
      </c>
      <c r="AG59" s="65">
        <f>SUM(A:B!AG59)</f>
        <v>0</v>
      </c>
      <c r="AH59" s="65">
        <f>SUM(A:B!AH59)</f>
        <v>0</v>
      </c>
      <c r="AI59" s="65">
        <f>SUM(A:B!AI59)</f>
        <v>0</v>
      </c>
      <c r="AJ59" s="65">
        <f>SUM(A:B!AJ59)</f>
        <v>0</v>
      </c>
      <c r="AK59" s="123">
        <f t="shared" si="33"/>
        <v>0</v>
      </c>
      <c r="AL59" s="73">
        <f t="shared" si="31"/>
        <v>0</v>
      </c>
      <c r="AM59" s="14">
        <f t="shared" si="7"/>
        <v>0</v>
      </c>
    </row>
    <row r="60" spans="1:43" hidden="1" outlineLevel="1">
      <c r="A60" s="12" t="s">
        <v>154</v>
      </c>
      <c r="B60" s="8" t="s">
        <v>89</v>
      </c>
      <c r="I60" s="261" t="s">
        <v>166</v>
      </c>
      <c r="J60" s="65">
        <f>SUM(A:B!J60)</f>
        <v>0</v>
      </c>
      <c r="K60" s="65">
        <f>SUM(A:B!K60)</f>
        <v>0</v>
      </c>
      <c r="L60" s="65">
        <f>SUM(A:B!L60)</f>
        <v>0</v>
      </c>
      <c r="M60" s="65">
        <f>SUM(A:B!M60)</f>
        <v>0</v>
      </c>
      <c r="N60" s="65">
        <f>SUM(A:B!N60)</f>
        <v>0</v>
      </c>
      <c r="O60" s="65">
        <f>SUM(A:B!O60)</f>
        <v>0</v>
      </c>
      <c r="P60" s="65">
        <f>SUM(A:B!P60)</f>
        <v>0</v>
      </c>
      <c r="Q60" s="65">
        <f>SUM(A:B!Q60)</f>
        <v>0</v>
      </c>
      <c r="R60" s="65">
        <f>SUM(A:B!R60)</f>
        <v>0</v>
      </c>
      <c r="S60" s="65">
        <f>SUM(A:B!S60)</f>
        <v>0</v>
      </c>
      <c r="T60" s="65">
        <f>SUM(A:B!T60)</f>
        <v>0</v>
      </c>
      <c r="U60" s="65">
        <f>SUM(A:B!U60)</f>
        <v>0</v>
      </c>
      <c r="V60" s="11">
        <f t="shared" si="32"/>
        <v>0</v>
      </c>
      <c r="W60" s="73">
        <f t="shared" si="30"/>
        <v>0</v>
      </c>
      <c r="X60" s="89"/>
      <c r="Y60" s="65">
        <f>SUM(A:B!Y60)</f>
        <v>0</v>
      </c>
      <c r="Z60" s="65">
        <f>SUM(A:B!Z60)</f>
        <v>0</v>
      </c>
      <c r="AA60" s="65">
        <f>SUM(A:B!AA60)</f>
        <v>0</v>
      </c>
      <c r="AB60" s="65">
        <f>SUM(A:B!AB60)</f>
        <v>0</v>
      </c>
      <c r="AC60" s="65">
        <f>SUM(A:B!AC60)</f>
        <v>0</v>
      </c>
      <c r="AD60" s="65">
        <f>SUM(A:B!AD60)</f>
        <v>0</v>
      </c>
      <c r="AE60" s="65">
        <f>SUM(A:B!AE60)</f>
        <v>0</v>
      </c>
      <c r="AF60" s="65">
        <f>SUM(A:B!AF60)</f>
        <v>0</v>
      </c>
      <c r="AG60" s="65">
        <f>SUM(A:B!AG60)</f>
        <v>0</v>
      </c>
      <c r="AH60" s="65">
        <f>SUM(A:B!AH60)</f>
        <v>0</v>
      </c>
      <c r="AI60" s="65">
        <f>SUM(A:B!AI60)</f>
        <v>0</v>
      </c>
      <c r="AJ60" s="65">
        <f>SUM(A:B!AJ60)</f>
        <v>0</v>
      </c>
      <c r="AK60" s="123">
        <f t="shared" si="33"/>
        <v>0</v>
      </c>
      <c r="AL60" s="73">
        <f t="shared" si="31"/>
        <v>0</v>
      </c>
      <c r="AM60" s="14">
        <f t="shared" si="7"/>
        <v>0</v>
      </c>
    </row>
    <row r="61" spans="1:43" hidden="1" outlineLevel="1">
      <c r="A61" s="12" t="s">
        <v>154</v>
      </c>
      <c r="B61" s="8" t="s">
        <v>89</v>
      </c>
      <c r="I61" s="261" t="s">
        <v>167</v>
      </c>
      <c r="J61" s="65">
        <f>SUM(A:B!J61)</f>
        <v>1500</v>
      </c>
      <c r="K61" s="65">
        <f>SUM(A:B!K61)</f>
        <v>554</v>
      </c>
      <c r="L61" s="65">
        <f>SUM(A:B!L61)</f>
        <v>-555</v>
      </c>
      <c r="M61" s="65">
        <f>SUM(A:B!M61)</f>
        <v>169</v>
      </c>
      <c r="N61" s="65">
        <f>SUM(A:B!N61)</f>
        <v>1200</v>
      </c>
      <c r="O61" s="65">
        <f>SUM(A:B!O61)</f>
        <v>-2719</v>
      </c>
      <c r="P61" s="65">
        <f>SUM(A:B!P61)</f>
        <v>4319</v>
      </c>
      <c r="Q61" s="65">
        <f>SUM(A:B!Q61)</f>
        <v>783</v>
      </c>
      <c r="R61" s="65">
        <f>SUM(A:B!R61)</f>
        <v>2301</v>
      </c>
      <c r="S61" s="65">
        <f>SUM(A:B!S61)</f>
        <v>1</v>
      </c>
      <c r="T61" s="65">
        <f>SUM(A:B!T61)</f>
        <v>0</v>
      </c>
      <c r="U61" s="65">
        <f>SUM(A:B!U61)</f>
        <v>0</v>
      </c>
      <c r="V61" s="11">
        <f t="shared" si="32"/>
        <v>7553</v>
      </c>
      <c r="W61" s="73">
        <f t="shared" si="30"/>
        <v>2.2914807904186003E-5</v>
      </c>
      <c r="X61" s="89"/>
      <c r="Y61" s="65">
        <f>SUM(A:B!Y61)</f>
        <v>0</v>
      </c>
      <c r="Z61" s="65">
        <f>SUM(A:B!Z61)</f>
        <v>0</v>
      </c>
      <c r="AA61" s="65">
        <f>SUM(A:B!AA61)</f>
        <v>0</v>
      </c>
      <c r="AB61" s="65">
        <f>SUM(A:B!AB61)</f>
        <v>0</v>
      </c>
      <c r="AC61" s="65">
        <f>SUM(A:B!AC61)</f>
        <v>0</v>
      </c>
      <c r="AD61" s="65">
        <f>SUM(A:B!AD61)</f>
        <v>0</v>
      </c>
      <c r="AE61" s="65">
        <f>SUM(A:B!AE61)</f>
        <v>0</v>
      </c>
      <c r="AF61" s="65">
        <f>SUM(A:B!AF61)</f>
        <v>0</v>
      </c>
      <c r="AG61" s="65">
        <f>SUM(A:B!AG61)</f>
        <v>0</v>
      </c>
      <c r="AH61" s="65">
        <f>SUM(A:B!AH61)</f>
        <v>0</v>
      </c>
      <c r="AI61" s="65">
        <f>SUM(A:B!AI61)</f>
        <v>0</v>
      </c>
      <c r="AJ61" s="65">
        <f>SUM(A:B!AJ61)</f>
        <v>0</v>
      </c>
      <c r="AK61" s="123">
        <f t="shared" si="33"/>
        <v>0</v>
      </c>
      <c r="AL61" s="73">
        <f t="shared" si="31"/>
        <v>0</v>
      </c>
      <c r="AM61" s="14">
        <f t="shared" si="7"/>
        <v>-1</v>
      </c>
    </row>
    <row r="62" spans="1:43" hidden="1" outlineLevel="1">
      <c r="A62" s="12" t="s">
        <v>154</v>
      </c>
      <c r="B62" s="8" t="s">
        <v>89</v>
      </c>
      <c r="I62" s="261" t="s">
        <v>168</v>
      </c>
      <c r="J62" s="65">
        <f>SUM(A:B!J62)</f>
        <v>4603</v>
      </c>
      <c r="K62" s="65">
        <f>SUM(A:B!K62)</f>
        <v>2640</v>
      </c>
      <c r="L62" s="65">
        <f>SUM(A:B!L62)</f>
        <v>1962</v>
      </c>
      <c r="M62" s="65">
        <f>SUM(A:B!M62)</f>
        <v>3960</v>
      </c>
      <c r="N62" s="65">
        <f>SUM(A:B!N62)</f>
        <v>3161</v>
      </c>
      <c r="O62" s="65">
        <f>SUM(A:B!O62)</f>
        <v>3802</v>
      </c>
      <c r="P62" s="65">
        <f>SUM(A:B!P62)</f>
        <v>3025</v>
      </c>
      <c r="Q62" s="65">
        <f>SUM(A:B!Q62)</f>
        <v>5693</v>
      </c>
      <c r="R62" s="65">
        <f>SUM(A:B!R62)</f>
        <v>2916</v>
      </c>
      <c r="S62" s="65">
        <f>SUM(A:B!S62)</f>
        <v>2380</v>
      </c>
      <c r="T62" s="65">
        <f>SUM(A:B!T62)</f>
        <v>3503.5</v>
      </c>
      <c r="U62" s="65">
        <f>SUM(A:B!U62)</f>
        <v>3623.125</v>
      </c>
      <c r="V62" s="11">
        <f t="shared" si="32"/>
        <v>41268.625</v>
      </c>
      <c r="W62" s="73">
        <f t="shared" si="30"/>
        <v>1.2520357663774501E-4</v>
      </c>
      <c r="X62" s="89"/>
      <c r="Y62" s="65">
        <f>SUM(A:B!Y62)</f>
        <v>3622.85</v>
      </c>
      <c r="Z62" s="65">
        <f>SUM(A:B!Z62)</f>
        <v>3622.85</v>
      </c>
      <c r="AA62" s="65">
        <f>SUM(A:B!AA62)</f>
        <v>3622.85</v>
      </c>
      <c r="AB62" s="65">
        <f>SUM(A:B!AB62)</f>
        <v>3622.85</v>
      </c>
      <c r="AC62" s="65">
        <f>SUM(A:B!AC62)</f>
        <v>3622.85</v>
      </c>
      <c r="AD62" s="65">
        <f>SUM(A:B!AD62)</f>
        <v>3622.85</v>
      </c>
      <c r="AE62" s="65">
        <f>SUM(A:B!AE62)</f>
        <v>3622.85</v>
      </c>
      <c r="AF62" s="65">
        <f>SUM(A:B!AF62)</f>
        <v>3622.85</v>
      </c>
      <c r="AG62" s="65">
        <f>SUM(A:B!AG62)</f>
        <v>3622.85</v>
      </c>
      <c r="AH62" s="65">
        <f>SUM(A:B!AH62)</f>
        <v>3622.85</v>
      </c>
      <c r="AI62" s="65">
        <f>SUM(A:B!AI62)</f>
        <v>3622.85</v>
      </c>
      <c r="AJ62" s="65">
        <f>SUM(A:B!AJ62)</f>
        <v>3622.85</v>
      </c>
      <c r="AK62" s="123">
        <f t="shared" si="33"/>
        <v>43474.19999999999</v>
      </c>
      <c r="AL62" s="73">
        <f t="shared" si="31"/>
        <v>1.2116582932224184E-4</v>
      </c>
      <c r="AM62" s="14">
        <f t="shared" si="7"/>
        <v>5.3444353912929898E-2</v>
      </c>
    </row>
    <row r="63" spans="1:43" hidden="1" outlineLevel="1">
      <c r="A63" s="12" t="s">
        <v>154</v>
      </c>
      <c r="B63" s="8" t="s">
        <v>89</v>
      </c>
      <c r="I63" s="261" t="s">
        <v>169</v>
      </c>
      <c r="J63" s="65">
        <f>SUM(A:B!J63)</f>
        <v>0</v>
      </c>
      <c r="K63" s="65">
        <f>SUM(A:B!K63)</f>
        <v>0</v>
      </c>
      <c r="L63" s="65">
        <f>SUM(A:B!L63)</f>
        <v>0</v>
      </c>
      <c r="M63" s="65">
        <f>SUM(A:B!M63)</f>
        <v>0</v>
      </c>
      <c r="N63" s="65">
        <f>SUM(A:B!N63)</f>
        <v>0</v>
      </c>
      <c r="O63" s="65">
        <f>SUM(A:B!O63)</f>
        <v>0</v>
      </c>
      <c r="P63" s="65">
        <f>SUM(A:B!P63)</f>
        <v>0</v>
      </c>
      <c r="Q63" s="65">
        <f>SUM(A:B!Q63)</f>
        <v>0</v>
      </c>
      <c r="R63" s="65">
        <f>SUM(A:B!R63)</f>
        <v>0</v>
      </c>
      <c r="S63" s="65">
        <f>SUM(A:B!S63)</f>
        <v>0</v>
      </c>
      <c r="T63" s="65">
        <f>SUM(A:B!T63)</f>
        <v>0</v>
      </c>
      <c r="U63" s="65">
        <f>SUM(A:B!U63)</f>
        <v>0</v>
      </c>
      <c r="V63" s="11">
        <f t="shared" si="32"/>
        <v>0</v>
      </c>
      <c r="W63" s="73">
        <f t="shared" si="30"/>
        <v>0</v>
      </c>
      <c r="X63" s="89"/>
      <c r="Y63" s="65">
        <f>SUM(A:B!Y63)</f>
        <v>0</v>
      </c>
      <c r="Z63" s="65">
        <f>SUM(A:B!Z63)</f>
        <v>0</v>
      </c>
      <c r="AA63" s="65">
        <f>SUM(A:B!AA63)</f>
        <v>0</v>
      </c>
      <c r="AB63" s="65">
        <f>SUM(A:B!AB63)</f>
        <v>0</v>
      </c>
      <c r="AC63" s="65">
        <f>SUM(A:B!AC63)</f>
        <v>0</v>
      </c>
      <c r="AD63" s="65">
        <f>SUM(A:B!AD63)</f>
        <v>0</v>
      </c>
      <c r="AE63" s="65">
        <f>SUM(A:B!AE63)</f>
        <v>0</v>
      </c>
      <c r="AF63" s="65">
        <f>SUM(A:B!AF63)</f>
        <v>0</v>
      </c>
      <c r="AG63" s="65">
        <f>SUM(A:B!AG63)</f>
        <v>0</v>
      </c>
      <c r="AH63" s="65">
        <f>SUM(A:B!AH63)</f>
        <v>0</v>
      </c>
      <c r="AI63" s="65">
        <f>SUM(A:B!AI63)</f>
        <v>0</v>
      </c>
      <c r="AJ63" s="65">
        <f>SUM(A:B!AJ63)</f>
        <v>0</v>
      </c>
      <c r="AK63" s="123">
        <f t="shared" si="33"/>
        <v>0</v>
      </c>
      <c r="AL63" s="73">
        <f t="shared" si="31"/>
        <v>0</v>
      </c>
      <c r="AM63" s="14">
        <f t="shared" si="7"/>
        <v>0</v>
      </c>
    </row>
    <row r="64" spans="1:43" hidden="1" outlineLevel="1">
      <c r="A64" s="12" t="s">
        <v>154</v>
      </c>
      <c r="B64" s="8" t="s">
        <v>89</v>
      </c>
      <c r="I64" s="261" t="s">
        <v>170</v>
      </c>
      <c r="J64" s="65">
        <f>SUM(A:B!J64)</f>
        <v>0</v>
      </c>
      <c r="K64" s="65">
        <f>SUM(A:B!K64)</f>
        <v>0</v>
      </c>
      <c r="L64" s="65">
        <f>SUM(A:B!L64)</f>
        <v>0</v>
      </c>
      <c r="M64" s="65">
        <f>SUM(A:B!M64)</f>
        <v>0</v>
      </c>
      <c r="N64" s="65">
        <f>SUM(A:B!N64)</f>
        <v>0</v>
      </c>
      <c r="O64" s="65">
        <f>SUM(A:B!O64)</f>
        <v>0</v>
      </c>
      <c r="P64" s="65">
        <f>SUM(A:B!P64)</f>
        <v>0</v>
      </c>
      <c r="Q64" s="65">
        <f>SUM(A:B!Q64)</f>
        <v>0</v>
      </c>
      <c r="R64" s="65">
        <f>SUM(A:B!R64)</f>
        <v>0</v>
      </c>
      <c r="S64" s="65">
        <f>SUM(A:B!S64)</f>
        <v>0</v>
      </c>
      <c r="T64" s="65">
        <f>SUM(A:B!T64)</f>
        <v>0</v>
      </c>
      <c r="U64" s="65">
        <f>SUM(A:B!U64)</f>
        <v>0</v>
      </c>
      <c r="V64" s="11">
        <f t="shared" si="32"/>
        <v>0</v>
      </c>
      <c r="W64" s="73">
        <f t="shared" si="30"/>
        <v>0</v>
      </c>
      <c r="X64" s="89"/>
      <c r="Y64" s="65">
        <f>SUM(A:B!Y64)</f>
        <v>0</v>
      </c>
      <c r="Z64" s="65">
        <f>SUM(A:B!Z64)</f>
        <v>0</v>
      </c>
      <c r="AA64" s="65">
        <f>SUM(A:B!AA64)</f>
        <v>0</v>
      </c>
      <c r="AB64" s="65">
        <f>SUM(A:B!AB64)</f>
        <v>0</v>
      </c>
      <c r="AC64" s="65">
        <f>SUM(A:B!AC64)</f>
        <v>0</v>
      </c>
      <c r="AD64" s="65">
        <f>SUM(A:B!AD64)</f>
        <v>0</v>
      </c>
      <c r="AE64" s="65">
        <f>SUM(A:B!AE64)</f>
        <v>0</v>
      </c>
      <c r="AF64" s="65">
        <f>SUM(A:B!AF64)</f>
        <v>0</v>
      </c>
      <c r="AG64" s="65">
        <f>SUM(A:B!AG64)</f>
        <v>0</v>
      </c>
      <c r="AH64" s="65">
        <f>SUM(A:B!AH64)</f>
        <v>0</v>
      </c>
      <c r="AI64" s="65">
        <f>SUM(A:B!AI64)</f>
        <v>0</v>
      </c>
      <c r="AJ64" s="65">
        <f>SUM(A:B!AJ64)</f>
        <v>0</v>
      </c>
      <c r="AK64" s="123">
        <f t="shared" si="33"/>
        <v>0</v>
      </c>
      <c r="AL64" s="73">
        <f t="shared" si="31"/>
        <v>0</v>
      </c>
      <c r="AM64" s="14">
        <f t="shared" si="7"/>
        <v>0</v>
      </c>
    </row>
    <row r="65" spans="1:41" hidden="1" outlineLevel="1">
      <c r="A65" s="12" t="s">
        <v>154</v>
      </c>
      <c r="B65" s="8" t="s">
        <v>89</v>
      </c>
      <c r="I65" s="261" t="s">
        <v>171</v>
      </c>
      <c r="J65" s="65">
        <f>SUM(A:B!J65)</f>
        <v>7256</v>
      </c>
      <c r="K65" s="65">
        <f>SUM(A:B!K65)</f>
        <v>7256</v>
      </c>
      <c r="L65" s="65">
        <f>SUM(A:B!L65)</f>
        <v>7256</v>
      </c>
      <c r="M65" s="65">
        <f>SUM(A:B!M65)</f>
        <v>7256</v>
      </c>
      <c r="N65" s="65">
        <f>SUM(A:B!N65)</f>
        <v>7256</v>
      </c>
      <c r="O65" s="65">
        <f>SUM(A:B!O65)</f>
        <v>7256</v>
      </c>
      <c r="P65" s="65">
        <f>SUM(A:B!P65)</f>
        <v>7256</v>
      </c>
      <c r="Q65" s="65">
        <f>SUM(A:B!Q65)</f>
        <v>7256</v>
      </c>
      <c r="R65" s="65">
        <f>SUM(A:B!R65)</f>
        <v>7256</v>
      </c>
      <c r="S65" s="65">
        <f>SUM(A:B!S65)</f>
        <v>7256</v>
      </c>
      <c r="T65" s="65">
        <f>SUM(A:B!T65)</f>
        <v>7256</v>
      </c>
      <c r="U65" s="65">
        <f>SUM(A:B!U65)</f>
        <v>7256</v>
      </c>
      <c r="V65" s="11">
        <f t="shared" si="32"/>
        <v>87072</v>
      </c>
      <c r="W65" s="73">
        <f t="shared" si="30"/>
        <v>2.6416498792973438E-4</v>
      </c>
      <c r="X65" s="89"/>
      <c r="Y65" s="65">
        <f>SUM(A:B!Y65)</f>
        <v>11669.7174</v>
      </c>
      <c r="Z65" s="65">
        <f>SUM(A:B!Z65)</f>
        <v>11669.7174</v>
      </c>
      <c r="AA65" s="65">
        <f>SUM(A:B!AA65)</f>
        <v>11669.7174</v>
      </c>
      <c r="AB65" s="65">
        <f>SUM(A:B!AB65)</f>
        <v>11669.7174</v>
      </c>
      <c r="AC65" s="65">
        <f>SUM(A:B!AC65)</f>
        <v>11669.7174</v>
      </c>
      <c r="AD65" s="65">
        <f>SUM(A:B!AD65)</f>
        <v>11669.7174</v>
      </c>
      <c r="AE65" s="65">
        <f>SUM(A:B!AE65)</f>
        <v>11669.7174</v>
      </c>
      <c r="AF65" s="65">
        <f>SUM(A:B!AF65)</f>
        <v>11669.7174</v>
      </c>
      <c r="AG65" s="65">
        <f>SUM(A:B!AG65)</f>
        <v>11669.7174</v>
      </c>
      <c r="AH65" s="65">
        <f>SUM(A:B!AH65)</f>
        <v>11669.7174</v>
      </c>
      <c r="AI65" s="65">
        <f>SUM(A:B!AI65)</f>
        <v>11669.7174</v>
      </c>
      <c r="AJ65" s="65">
        <f>SUM(A:B!AJ65)</f>
        <v>11669.7174</v>
      </c>
      <c r="AK65" s="123">
        <f t="shared" si="33"/>
        <v>140036.60879999996</v>
      </c>
      <c r="AL65" s="73">
        <f t="shared" si="31"/>
        <v>3.9029244565112986E-4</v>
      </c>
      <c r="AM65" s="14">
        <f t="shared" si="7"/>
        <v>0.60828519845644946</v>
      </c>
    </row>
    <row r="66" spans="1:41" hidden="1" outlineLevel="1">
      <c r="A66" s="12" t="s">
        <v>154</v>
      </c>
      <c r="B66" s="8" t="s">
        <v>89</v>
      </c>
      <c r="I66" s="261" t="s">
        <v>172</v>
      </c>
      <c r="J66" s="65">
        <f>SUM(A:B!J66)</f>
        <v>0</v>
      </c>
      <c r="K66" s="65">
        <f>SUM(A:B!K66)</f>
        <v>0</v>
      </c>
      <c r="L66" s="65">
        <f>SUM(A:B!L66)</f>
        <v>0</v>
      </c>
      <c r="M66" s="65">
        <f>SUM(A:B!M66)</f>
        <v>0</v>
      </c>
      <c r="N66" s="65">
        <f>SUM(A:B!N66)</f>
        <v>0</v>
      </c>
      <c r="O66" s="65">
        <f>SUM(A:B!O66)</f>
        <v>0</v>
      </c>
      <c r="P66" s="65">
        <f>SUM(A:B!P66)</f>
        <v>0</v>
      </c>
      <c r="Q66" s="65">
        <f>SUM(A:B!Q66)</f>
        <v>0</v>
      </c>
      <c r="R66" s="65">
        <f>SUM(A:B!R66)</f>
        <v>0</v>
      </c>
      <c r="S66" s="65">
        <f>SUM(A:B!S66)</f>
        <v>0</v>
      </c>
      <c r="T66" s="65">
        <f>SUM(A:B!T66)</f>
        <v>0</v>
      </c>
      <c r="U66" s="65">
        <f>SUM(A:B!U66)</f>
        <v>0</v>
      </c>
      <c r="V66" s="11">
        <f t="shared" si="32"/>
        <v>0</v>
      </c>
      <c r="W66" s="73">
        <f t="shared" si="30"/>
        <v>0</v>
      </c>
      <c r="X66" s="89"/>
      <c r="Y66" s="65">
        <f>SUM(A:B!Y66)</f>
        <v>0</v>
      </c>
      <c r="Z66" s="65">
        <f>SUM(A:B!Z66)</f>
        <v>0</v>
      </c>
      <c r="AA66" s="65">
        <f>SUM(A:B!AA66)</f>
        <v>0</v>
      </c>
      <c r="AB66" s="65">
        <f>SUM(A:B!AB66)</f>
        <v>0</v>
      </c>
      <c r="AC66" s="65">
        <f>SUM(A:B!AC66)</f>
        <v>0</v>
      </c>
      <c r="AD66" s="65">
        <f>SUM(A:B!AD66)</f>
        <v>0</v>
      </c>
      <c r="AE66" s="65">
        <f>SUM(A:B!AE66)</f>
        <v>0</v>
      </c>
      <c r="AF66" s="65">
        <f>SUM(A:B!AF66)</f>
        <v>0</v>
      </c>
      <c r="AG66" s="65">
        <f>SUM(A:B!AG66)</f>
        <v>0</v>
      </c>
      <c r="AH66" s="65">
        <f>SUM(A:B!AH66)</f>
        <v>0</v>
      </c>
      <c r="AI66" s="65">
        <f>SUM(A:B!AI66)</f>
        <v>0</v>
      </c>
      <c r="AJ66" s="65">
        <f>SUM(A:B!AJ66)</f>
        <v>0</v>
      </c>
      <c r="AK66" s="123">
        <f t="shared" si="33"/>
        <v>0</v>
      </c>
      <c r="AL66" s="73">
        <f t="shared" si="31"/>
        <v>0</v>
      </c>
      <c r="AM66" s="14">
        <f t="shared" si="7"/>
        <v>0</v>
      </c>
    </row>
    <row r="67" spans="1:41" hidden="1" outlineLevel="1">
      <c r="A67" s="12" t="s">
        <v>154</v>
      </c>
      <c r="B67" s="8" t="s">
        <v>89</v>
      </c>
      <c r="I67" s="261" t="s">
        <v>173</v>
      </c>
      <c r="J67" s="65">
        <f>SUM(A:B!J67)</f>
        <v>0</v>
      </c>
      <c r="K67" s="65">
        <f>SUM(A:B!K67)</f>
        <v>0</v>
      </c>
      <c r="L67" s="65">
        <f>SUM(A:B!L67)</f>
        <v>0</v>
      </c>
      <c r="M67" s="65">
        <f>SUM(A:B!M67)</f>
        <v>3048</v>
      </c>
      <c r="N67" s="65">
        <f>SUM(A:B!N67)</f>
        <v>2097</v>
      </c>
      <c r="O67" s="65">
        <f>SUM(A:B!O67)</f>
        <v>2669</v>
      </c>
      <c r="P67" s="65">
        <f>SUM(A:B!P67)</f>
        <v>2793</v>
      </c>
      <c r="Q67" s="65">
        <f>SUM(A:B!Q67)</f>
        <v>0</v>
      </c>
      <c r="R67" s="65">
        <f>SUM(A:B!R67)</f>
        <v>0</v>
      </c>
      <c r="S67" s="65">
        <f>SUM(A:B!S67)</f>
        <v>243</v>
      </c>
      <c r="T67" s="65">
        <f>SUM(A:B!T67)</f>
        <v>0</v>
      </c>
      <c r="U67" s="65">
        <f>SUM(A:B!U67)</f>
        <v>0</v>
      </c>
      <c r="V67" s="11">
        <f t="shared" si="32"/>
        <v>10850</v>
      </c>
      <c r="W67" s="73">
        <f t="shared" si="30"/>
        <v>3.2917471966161543E-5</v>
      </c>
      <c r="X67" s="89"/>
      <c r="Y67" s="65">
        <f>SUM(A:B!Y67)</f>
        <v>0</v>
      </c>
      <c r="Z67" s="65">
        <f>SUM(A:B!Z67)</f>
        <v>0</v>
      </c>
      <c r="AA67" s="65">
        <f>SUM(A:B!AA67)</f>
        <v>0</v>
      </c>
      <c r="AB67" s="65">
        <f>SUM(A:B!AB67)</f>
        <v>0</v>
      </c>
      <c r="AC67" s="65">
        <f>SUM(A:B!AC67)</f>
        <v>0</v>
      </c>
      <c r="AD67" s="65">
        <f>SUM(A:B!AD67)</f>
        <v>0</v>
      </c>
      <c r="AE67" s="65">
        <f>SUM(A:B!AE67)</f>
        <v>0</v>
      </c>
      <c r="AF67" s="65">
        <f>SUM(A:B!AF67)</f>
        <v>0</v>
      </c>
      <c r="AG67" s="65">
        <f>SUM(A:B!AG67)</f>
        <v>0</v>
      </c>
      <c r="AH67" s="65">
        <f>SUM(A:B!AH67)</f>
        <v>0</v>
      </c>
      <c r="AI67" s="65">
        <f>SUM(A:B!AI67)</f>
        <v>0</v>
      </c>
      <c r="AJ67" s="65">
        <f>SUM(A:B!AJ67)</f>
        <v>0</v>
      </c>
      <c r="AK67" s="123">
        <f t="shared" si="33"/>
        <v>0</v>
      </c>
      <c r="AL67" s="73">
        <f t="shared" si="31"/>
        <v>0</v>
      </c>
      <c r="AM67" s="14">
        <f t="shared" si="7"/>
        <v>-1</v>
      </c>
    </row>
    <row r="68" spans="1:41" hidden="1" outlineLevel="1">
      <c r="A68" s="12" t="s">
        <v>154</v>
      </c>
      <c r="B68" s="8" t="s">
        <v>89</v>
      </c>
      <c r="I68" s="261" t="s">
        <v>174</v>
      </c>
      <c r="J68" s="65">
        <f>SUM(A:B!J68)</f>
        <v>1664</v>
      </c>
      <c r="K68" s="65">
        <f>SUM(A:B!K68)</f>
        <v>1664</v>
      </c>
      <c r="L68" s="65">
        <f>SUM(A:B!L68)</f>
        <v>1664</v>
      </c>
      <c r="M68" s="65">
        <f>SUM(A:B!M68)</f>
        <v>1664</v>
      </c>
      <c r="N68" s="65">
        <f>SUM(A:B!N68)</f>
        <v>1664</v>
      </c>
      <c r="O68" s="65">
        <f>SUM(A:B!O68)</f>
        <v>1664</v>
      </c>
      <c r="P68" s="65">
        <f>SUM(A:B!P68)</f>
        <v>3328</v>
      </c>
      <c r="Q68" s="65">
        <f>SUM(A:B!Q68)</f>
        <v>1664</v>
      </c>
      <c r="R68" s="65">
        <f>SUM(A:B!R68)</f>
        <v>0</v>
      </c>
      <c r="S68" s="65">
        <f>SUM(A:B!S68)</f>
        <v>3328</v>
      </c>
      <c r="T68" s="65">
        <f>SUM(A:B!T68)</f>
        <v>1664</v>
      </c>
      <c r="U68" s="65">
        <f>SUM(A:B!U68)</f>
        <v>1664</v>
      </c>
      <c r="V68" s="11">
        <f t="shared" si="32"/>
        <v>21632</v>
      </c>
      <c r="W68" s="73">
        <f t="shared" si="30"/>
        <v>6.5628640882212577E-5</v>
      </c>
      <c r="X68" s="89"/>
      <c r="Y68" s="65">
        <f>SUM(A:B!Y68)</f>
        <v>1730.56</v>
      </c>
      <c r="Z68" s="65">
        <f>SUM(A:B!Z68)</f>
        <v>1730.56</v>
      </c>
      <c r="AA68" s="65">
        <f>SUM(A:B!AA68)</f>
        <v>1730.56</v>
      </c>
      <c r="AB68" s="65">
        <f>SUM(A:B!AB68)</f>
        <v>1730.56</v>
      </c>
      <c r="AC68" s="65">
        <f>SUM(A:B!AC68)</f>
        <v>1730.56</v>
      </c>
      <c r="AD68" s="65">
        <f>SUM(A:B!AD68)</f>
        <v>1730.56</v>
      </c>
      <c r="AE68" s="65">
        <f>SUM(A:B!AE68)</f>
        <v>1730.56</v>
      </c>
      <c r="AF68" s="65">
        <f>SUM(A:B!AF68)</f>
        <v>1730.56</v>
      </c>
      <c r="AG68" s="65">
        <f>SUM(A:B!AG68)</f>
        <v>1730.56</v>
      </c>
      <c r="AH68" s="65">
        <f>SUM(A:B!AH68)</f>
        <v>1730.56</v>
      </c>
      <c r="AI68" s="65">
        <f>SUM(A:B!AI68)</f>
        <v>1730.56</v>
      </c>
      <c r="AJ68" s="65">
        <f>SUM(A:B!AJ68)</f>
        <v>1730.56</v>
      </c>
      <c r="AK68" s="123">
        <f t="shared" si="33"/>
        <v>20766.72</v>
      </c>
      <c r="AL68" s="73">
        <f t="shared" si="31"/>
        <v>5.787839341730928E-5</v>
      </c>
      <c r="AM68" s="14">
        <f t="shared" si="7"/>
        <v>-3.9999999999999925E-2</v>
      </c>
    </row>
    <row r="69" spans="1:41" hidden="1" outlineLevel="1">
      <c r="A69" s="12" t="s">
        <v>154</v>
      </c>
      <c r="B69" s="8" t="s">
        <v>89</v>
      </c>
      <c r="I69" s="261" t="s">
        <v>175</v>
      </c>
      <c r="J69" s="65">
        <f>SUM(A:B!J69)</f>
        <v>0</v>
      </c>
      <c r="K69" s="65">
        <f>SUM(A:B!K69)</f>
        <v>0</v>
      </c>
      <c r="L69" s="65">
        <f>SUM(A:B!L69)</f>
        <v>0</v>
      </c>
      <c r="M69" s="65">
        <f>SUM(A:B!M69)</f>
        <v>0</v>
      </c>
      <c r="N69" s="65">
        <f>SUM(A:B!N69)</f>
        <v>0</v>
      </c>
      <c r="O69" s="65">
        <f>SUM(A:B!O69)</f>
        <v>0</v>
      </c>
      <c r="P69" s="65">
        <f>SUM(A:B!P69)</f>
        <v>0</v>
      </c>
      <c r="Q69" s="65">
        <f>SUM(A:B!Q69)</f>
        <v>0</v>
      </c>
      <c r="R69" s="65">
        <f>SUM(A:B!R69)</f>
        <v>0</v>
      </c>
      <c r="S69" s="65">
        <f>SUM(A:B!S69)</f>
        <v>0</v>
      </c>
      <c r="T69" s="65">
        <f>SUM(A:B!T69)</f>
        <v>0</v>
      </c>
      <c r="U69" s="65">
        <f>SUM(A:B!U69)</f>
        <v>0</v>
      </c>
      <c r="V69" s="11">
        <f t="shared" si="32"/>
        <v>0</v>
      </c>
      <c r="W69" s="73">
        <f t="shared" si="30"/>
        <v>0</v>
      </c>
      <c r="X69" s="89"/>
      <c r="Y69" s="65">
        <f>SUM(A:B!Y69)</f>
        <v>0</v>
      </c>
      <c r="Z69" s="65">
        <f>SUM(A:B!Z69)</f>
        <v>0</v>
      </c>
      <c r="AA69" s="65">
        <f>SUM(A:B!AA69)</f>
        <v>0</v>
      </c>
      <c r="AB69" s="65">
        <f>SUM(A:B!AB69)</f>
        <v>0</v>
      </c>
      <c r="AC69" s="65">
        <f>SUM(A:B!AC69)</f>
        <v>0</v>
      </c>
      <c r="AD69" s="65">
        <f>SUM(A:B!AD69)</f>
        <v>0</v>
      </c>
      <c r="AE69" s="65">
        <f>SUM(A:B!AE69)</f>
        <v>0</v>
      </c>
      <c r="AF69" s="65">
        <f>SUM(A:B!AF69)</f>
        <v>0</v>
      </c>
      <c r="AG69" s="65">
        <f>SUM(A:B!AG69)</f>
        <v>0</v>
      </c>
      <c r="AH69" s="65">
        <f>SUM(A:B!AH69)</f>
        <v>0</v>
      </c>
      <c r="AI69" s="65">
        <f>SUM(A:B!AI69)</f>
        <v>0</v>
      </c>
      <c r="AJ69" s="65">
        <f>SUM(A:B!AJ69)</f>
        <v>0</v>
      </c>
      <c r="AK69" s="123">
        <f t="shared" si="33"/>
        <v>0</v>
      </c>
      <c r="AL69" s="73">
        <f t="shared" si="31"/>
        <v>0</v>
      </c>
      <c r="AM69" s="14">
        <f t="shared" si="7"/>
        <v>0</v>
      </c>
    </row>
    <row r="70" spans="1:41" hidden="1" outlineLevel="1">
      <c r="A70" s="12" t="s">
        <v>154</v>
      </c>
      <c r="B70" s="8" t="s">
        <v>89</v>
      </c>
      <c r="I70" s="261" t="s">
        <v>176</v>
      </c>
      <c r="J70" s="65">
        <f>SUM(A:B!J70)</f>
        <v>0</v>
      </c>
      <c r="K70" s="65">
        <f>SUM(A:B!K70)</f>
        <v>0</v>
      </c>
      <c r="L70" s="65">
        <f>SUM(A:B!L70)</f>
        <v>0</v>
      </c>
      <c r="M70" s="65">
        <f>SUM(A:B!M70)</f>
        <v>0</v>
      </c>
      <c r="N70" s="65">
        <f>SUM(A:B!N70)</f>
        <v>0</v>
      </c>
      <c r="O70" s="65">
        <f>SUM(A:B!O70)</f>
        <v>0</v>
      </c>
      <c r="P70" s="65">
        <f>SUM(A:B!P70)</f>
        <v>0</v>
      </c>
      <c r="Q70" s="65">
        <f>SUM(A:B!Q70)</f>
        <v>0</v>
      </c>
      <c r="R70" s="65">
        <f>SUM(A:B!R70)</f>
        <v>0</v>
      </c>
      <c r="S70" s="65">
        <f>SUM(A:B!S70)</f>
        <v>0</v>
      </c>
      <c r="T70" s="65">
        <f>SUM(A:B!T70)</f>
        <v>0</v>
      </c>
      <c r="U70" s="65">
        <f>SUM(A:B!U70)</f>
        <v>0</v>
      </c>
      <c r="V70" s="11">
        <f t="shared" si="32"/>
        <v>0</v>
      </c>
      <c r="W70" s="73">
        <f t="shared" si="30"/>
        <v>0</v>
      </c>
      <c r="X70" s="89"/>
      <c r="Y70" s="65">
        <f>SUM(A:B!Y70)</f>
        <v>748.80000000000007</v>
      </c>
      <c r="Z70" s="65">
        <f>SUM(A:B!Z70)</f>
        <v>748.80000000000007</v>
      </c>
      <c r="AA70" s="65">
        <f>SUM(A:B!AA70)</f>
        <v>748.80000000000007</v>
      </c>
      <c r="AB70" s="65">
        <f>SUM(A:B!AB70)</f>
        <v>748.80000000000007</v>
      </c>
      <c r="AC70" s="65">
        <f>SUM(A:B!AC70)</f>
        <v>748.80000000000007</v>
      </c>
      <c r="AD70" s="65">
        <f>SUM(A:B!AD70)</f>
        <v>748.80000000000007</v>
      </c>
      <c r="AE70" s="65">
        <f>SUM(A:B!AE70)</f>
        <v>748.80000000000007</v>
      </c>
      <c r="AF70" s="65">
        <f>SUM(A:B!AF70)</f>
        <v>748.80000000000007</v>
      </c>
      <c r="AG70" s="65">
        <f>SUM(A:B!AG70)</f>
        <v>748.80000000000007</v>
      </c>
      <c r="AH70" s="65">
        <f>SUM(A:B!AH70)</f>
        <v>748.80000000000007</v>
      </c>
      <c r="AI70" s="65">
        <f>SUM(A:B!AI70)</f>
        <v>748.80000000000007</v>
      </c>
      <c r="AJ70" s="65">
        <f>SUM(A:B!AJ70)</f>
        <v>748.80000000000007</v>
      </c>
      <c r="AK70" s="123">
        <f t="shared" si="33"/>
        <v>8985.6</v>
      </c>
      <c r="AL70" s="73">
        <f t="shared" si="31"/>
        <v>2.5043535613258821E-5</v>
      </c>
      <c r="AM70" s="14">
        <f t="shared" si="7"/>
        <v>0</v>
      </c>
    </row>
    <row r="71" spans="1:41" hidden="1" outlineLevel="1">
      <c r="A71" s="12" t="s">
        <v>154</v>
      </c>
      <c r="B71" s="8" t="s">
        <v>89</v>
      </c>
      <c r="I71" s="261" t="s">
        <v>177</v>
      </c>
      <c r="J71" s="65">
        <f>SUM(A:B!J71)</f>
        <v>0</v>
      </c>
      <c r="K71" s="65">
        <f>SUM(A:B!K71)</f>
        <v>0</v>
      </c>
      <c r="L71" s="65">
        <f>SUM(A:B!L71)</f>
        <v>0</v>
      </c>
      <c r="M71" s="65">
        <f>SUM(A:B!M71)</f>
        <v>0</v>
      </c>
      <c r="N71" s="65">
        <f>SUM(A:B!N71)</f>
        <v>0</v>
      </c>
      <c r="O71" s="65">
        <f>SUM(A:B!O71)</f>
        <v>0</v>
      </c>
      <c r="P71" s="65">
        <f>SUM(A:B!P71)</f>
        <v>0</v>
      </c>
      <c r="Q71" s="65">
        <f>SUM(A:B!Q71)</f>
        <v>0</v>
      </c>
      <c r="R71" s="65">
        <f>SUM(A:B!R71)</f>
        <v>0</v>
      </c>
      <c r="S71" s="65">
        <f>SUM(A:B!S71)</f>
        <v>0</v>
      </c>
      <c r="T71" s="65">
        <f>SUM(A:B!T71)</f>
        <v>0</v>
      </c>
      <c r="U71" s="65">
        <f>SUM(A:B!U71)</f>
        <v>0</v>
      </c>
      <c r="V71" s="11">
        <f t="shared" si="32"/>
        <v>0</v>
      </c>
      <c r="W71" s="73">
        <f t="shared" si="30"/>
        <v>0</v>
      </c>
      <c r="X71" s="89"/>
      <c r="Y71" s="65">
        <f>SUM(A:B!Y71)</f>
        <v>0</v>
      </c>
      <c r="Z71" s="65">
        <f>SUM(A:B!Z71)</f>
        <v>0</v>
      </c>
      <c r="AA71" s="65">
        <f>SUM(A:B!AA71)</f>
        <v>0</v>
      </c>
      <c r="AB71" s="65">
        <f>SUM(A:B!AB71)</f>
        <v>0</v>
      </c>
      <c r="AC71" s="65">
        <f>SUM(A:B!AC71)</f>
        <v>0</v>
      </c>
      <c r="AD71" s="65">
        <f>SUM(A:B!AD71)</f>
        <v>0</v>
      </c>
      <c r="AE71" s="65">
        <f>SUM(A:B!AE71)</f>
        <v>0</v>
      </c>
      <c r="AF71" s="65">
        <f>SUM(A:B!AF71)</f>
        <v>0</v>
      </c>
      <c r="AG71" s="65">
        <f>SUM(A:B!AG71)</f>
        <v>0</v>
      </c>
      <c r="AH71" s="65">
        <f>SUM(A:B!AH71)</f>
        <v>0</v>
      </c>
      <c r="AI71" s="65">
        <f>SUM(A:B!AI71)</f>
        <v>0</v>
      </c>
      <c r="AJ71" s="65">
        <f>SUM(A:B!AJ71)</f>
        <v>0</v>
      </c>
      <c r="AK71" s="123">
        <f t="shared" si="33"/>
        <v>0</v>
      </c>
      <c r="AL71" s="73">
        <f t="shared" si="31"/>
        <v>0</v>
      </c>
      <c r="AM71" s="14">
        <f t="shared" si="7"/>
        <v>0</v>
      </c>
    </row>
    <row r="72" spans="1:41" hidden="1" outlineLevel="1">
      <c r="A72" s="12"/>
      <c r="I72" s="261" t="s">
        <v>178</v>
      </c>
      <c r="J72" s="65">
        <f>SUM(A:B!J72)</f>
        <v>0</v>
      </c>
      <c r="K72" s="65">
        <f>SUM(A:B!K72)</f>
        <v>0</v>
      </c>
      <c r="L72" s="65">
        <f>SUM(A:B!L72)</f>
        <v>0</v>
      </c>
      <c r="M72" s="65">
        <f>SUM(A:B!M72)</f>
        <v>0</v>
      </c>
      <c r="N72" s="65">
        <f>SUM(A:B!N72)</f>
        <v>0</v>
      </c>
      <c r="O72" s="65">
        <f>SUM(A:B!O72)</f>
        <v>0</v>
      </c>
      <c r="P72" s="65">
        <f>SUM(A:B!P72)</f>
        <v>0</v>
      </c>
      <c r="Q72" s="65">
        <f>SUM(A:B!Q72)</f>
        <v>0</v>
      </c>
      <c r="R72" s="65">
        <f>SUM(A:B!R72)</f>
        <v>0</v>
      </c>
      <c r="S72" s="65">
        <f>SUM(A:B!S72)</f>
        <v>0</v>
      </c>
      <c r="T72" s="65">
        <f>SUM(A:B!T72)</f>
        <v>0</v>
      </c>
      <c r="U72" s="65">
        <f>SUM(A:B!U72)</f>
        <v>0</v>
      </c>
      <c r="V72" s="11">
        <f t="shared" si="32"/>
        <v>0</v>
      </c>
      <c r="W72" s="73">
        <f t="shared" si="30"/>
        <v>0</v>
      </c>
      <c r="X72" s="89"/>
      <c r="Y72" s="65">
        <f>SUM(A:B!Y72)</f>
        <v>0</v>
      </c>
      <c r="Z72" s="65">
        <f>SUM(A:B!Z72)</f>
        <v>0</v>
      </c>
      <c r="AA72" s="65">
        <f>SUM(A:B!AA72)</f>
        <v>0</v>
      </c>
      <c r="AB72" s="65">
        <f>SUM(A:B!AB72)</f>
        <v>0</v>
      </c>
      <c r="AC72" s="65">
        <f>SUM(A:B!AC72)</f>
        <v>0</v>
      </c>
      <c r="AD72" s="65">
        <f>SUM(A:B!AD72)</f>
        <v>0</v>
      </c>
      <c r="AE72" s="65">
        <f>SUM(A:B!AE72)</f>
        <v>0</v>
      </c>
      <c r="AF72" s="65">
        <f>SUM(A:B!AF72)</f>
        <v>0</v>
      </c>
      <c r="AG72" s="65">
        <f>SUM(A:B!AG72)</f>
        <v>0</v>
      </c>
      <c r="AH72" s="65">
        <f>SUM(A:B!AH72)</f>
        <v>0</v>
      </c>
      <c r="AI72" s="65">
        <f>SUM(A:B!AI72)</f>
        <v>0</v>
      </c>
      <c r="AJ72" s="65">
        <f>SUM(A:B!AJ72)</f>
        <v>0</v>
      </c>
      <c r="AK72" s="123">
        <f t="shared" si="33"/>
        <v>0</v>
      </c>
      <c r="AL72" s="73">
        <f t="shared" si="31"/>
        <v>0</v>
      </c>
      <c r="AM72" s="14">
        <f t="shared" si="7"/>
        <v>0</v>
      </c>
    </row>
    <row r="73" spans="1:41" hidden="1" outlineLevel="1">
      <c r="A73" s="12"/>
      <c r="I73" s="261" t="s">
        <v>179</v>
      </c>
      <c r="J73" s="65">
        <f>SUM(A:B!J73)</f>
        <v>0</v>
      </c>
      <c r="K73" s="65">
        <f>SUM(A:B!K73)</f>
        <v>5215</v>
      </c>
      <c r="L73" s="65">
        <f>SUM(A:B!L73)</f>
        <v>2103</v>
      </c>
      <c r="M73" s="65">
        <f>SUM(A:B!M73)</f>
        <v>1656</v>
      </c>
      <c r="N73" s="65">
        <f>SUM(A:B!N73)</f>
        <v>1812</v>
      </c>
      <c r="O73" s="65">
        <f>SUM(A:B!O73)</f>
        <v>1949</v>
      </c>
      <c r="P73" s="65">
        <f>SUM(A:B!P73)</f>
        <v>2020</v>
      </c>
      <c r="Q73" s="65">
        <f>SUM(A:B!Q73)</f>
        <v>725</v>
      </c>
      <c r="R73" s="65">
        <f>SUM(A:B!R73)</f>
        <v>695</v>
      </c>
      <c r="S73" s="65">
        <f>SUM(A:B!S73)</f>
        <v>0</v>
      </c>
      <c r="T73" s="65">
        <f>SUM(A:B!T73)</f>
        <v>0</v>
      </c>
      <c r="U73" s="65">
        <f>SUM(A:B!U73)</f>
        <v>0</v>
      </c>
      <c r="V73" s="11">
        <f t="shared" si="32"/>
        <v>16175</v>
      </c>
      <c r="W73" s="73">
        <f t="shared" si="30"/>
        <v>4.9072821110844513E-5</v>
      </c>
      <c r="X73" s="89"/>
      <c r="Y73" s="65">
        <f>SUM(A:B!Y73)</f>
        <v>0</v>
      </c>
      <c r="Z73" s="65">
        <f>SUM(A:B!Z73)</f>
        <v>0</v>
      </c>
      <c r="AA73" s="65">
        <f>SUM(A:B!AA73)</f>
        <v>0</v>
      </c>
      <c r="AB73" s="65">
        <f>SUM(A:B!AB73)</f>
        <v>0</v>
      </c>
      <c r="AC73" s="65">
        <f>SUM(A:B!AC73)</f>
        <v>0</v>
      </c>
      <c r="AD73" s="65">
        <f>SUM(A:B!AD73)</f>
        <v>0</v>
      </c>
      <c r="AE73" s="65">
        <f>SUM(A:B!AE73)</f>
        <v>0</v>
      </c>
      <c r="AF73" s="65">
        <f>SUM(A:B!AF73)</f>
        <v>0</v>
      </c>
      <c r="AG73" s="65">
        <f>SUM(A:B!AG73)</f>
        <v>0</v>
      </c>
      <c r="AH73" s="65">
        <f>SUM(A:B!AH73)</f>
        <v>0</v>
      </c>
      <c r="AI73" s="65">
        <f>SUM(A:B!AI73)</f>
        <v>0</v>
      </c>
      <c r="AJ73" s="65">
        <f>SUM(A:B!AJ73)</f>
        <v>0</v>
      </c>
      <c r="AK73" s="123">
        <f t="shared" si="33"/>
        <v>0</v>
      </c>
      <c r="AL73" s="73">
        <f t="shared" si="31"/>
        <v>0</v>
      </c>
      <c r="AM73" s="14">
        <f t="shared" si="7"/>
        <v>-1</v>
      </c>
    </row>
    <row r="74" spans="1:41" hidden="1" outlineLevel="1">
      <c r="A74" s="12"/>
      <c r="I74" s="261" t="s">
        <v>180</v>
      </c>
      <c r="J74" s="65">
        <f>SUM(A:B!J74)</f>
        <v>1620</v>
      </c>
      <c r="K74" s="65">
        <f>SUM(A:B!K74)</f>
        <v>1867</v>
      </c>
      <c r="L74" s="65">
        <f>SUM(A:B!L74)</f>
        <v>1554</v>
      </c>
      <c r="M74" s="65">
        <f>SUM(A:B!M74)</f>
        <v>1597</v>
      </c>
      <c r="N74" s="65">
        <f>SUM(A:B!N74)</f>
        <v>1515</v>
      </c>
      <c r="O74" s="65">
        <f>SUM(A:B!O74)</f>
        <v>1645</v>
      </c>
      <c r="P74" s="65">
        <f>SUM(A:B!P74)</f>
        <v>1654</v>
      </c>
      <c r="Q74" s="65">
        <f>SUM(A:B!Q74)</f>
        <v>1616</v>
      </c>
      <c r="R74" s="65">
        <f>SUM(A:B!R74)</f>
        <v>1643</v>
      </c>
      <c r="S74" s="65">
        <f>SUM(A:B!S74)</f>
        <v>1554</v>
      </c>
      <c r="T74" s="65">
        <f>SUM(A:B!T74)</f>
        <v>1616.75</v>
      </c>
      <c r="U74" s="65">
        <f>SUM(A:B!U74)</f>
        <v>1607.4375</v>
      </c>
      <c r="V74" s="11">
        <f t="shared" si="32"/>
        <v>19489.1875</v>
      </c>
      <c r="W74" s="73">
        <f t="shared" si="30"/>
        <v>5.9127629785669678E-5</v>
      </c>
      <c r="X74" s="89"/>
      <c r="Y74" s="65">
        <f>SUM(A:B!Y74)</f>
        <v>2173.71</v>
      </c>
      <c r="Z74" s="65">
        <f>SUM(A:B!Z74)</f>
        <v>2173.71</v>
      </c>
      <c r="AA74" s="65">
        <f>SUM(A:B!AA74)</f>
        <v>2173.71</v>
      </c>
      <c r="AB74" s="65">
        <f>SUM(A:B!AB74)</f>
        <v>2173.71</v>
      </c>
      <c r="AC74" s="65">
        <f>SUM(A:B!AC74)</f>
        <v>2173.71</v>
      </c>
      <c r="AD74" s="65">
        <f>SUM(A:B!AD74)</f>
        <v>2173.71</v>
      </c>
      <c r="AE74" s="65">
        <f>SUM(A:B!AE74)</f>
        <v>2173.71</v>
      </c>
      <c r="AF74" s="65">
        <f>SUM(A:B!AF74)</f>
        <v>2173.71</v>
      </c>
      <c r="AG74" s="65">
        <f>SUM(A:B!AG74)</f>
        <v>2173.71</v>
      </c>
      <c r="AH74" s="65">
        <f>SUM(A:B!AH74)</f>
        <v>2173.71</v>
      </c>
      <c r="AI74" s="65">
        <f>SUM(A:B!AI74)</f>
        <v>2173.71</v>
      </c>
      <c r="AJ74" s="65">
        <f>SUM(A:B!AJ74)</f>
        <v>2173.71</v>
      </c>
      <c r="AK74" s="123">
        <f t="shared" si="33"/>
        <v>26084.519999999993</v>
      </c>
      <c r="AL74" s="73">
        <f t="shared" si="31"/>
        <v>7.2699497593345112E-5</v>
      </c>
      <c r="AM74" s="14">
        <f t="shared" si="7"/>
        <v>0.3384098233956645</v>
      </c>
    </row>
    <row r="75" spans="1:41" hidden="1" outlineLevel="1">
      <c r="A75" s="12"/>
      <c r="I75" s="261" t="s">
        <v>181</v>
      </c>
      <c r="J75" s="65">
        <f>SUM(A:B!J75)</f>
        <v>3272</v>
      </c>
      <c r="K75" s="65">
        <f>SUM(A:B!K75)</f>
        <v>5065</v>
      </c>
      <c r="L75" s="65">
        <f>SUM(A:B!L75)</f>
        <v>3231</v>
      </c>
      <c r="M75" s="65">
        <f>SUM(A:B!M75)</f>
        <v>3598</v>
      </c>
      <c r="N75" s="65">
        <f>SUM(A:B!N75)</f>
        <v>3473</v>
      </c>
      <c r="O75" s="65">
        <f>SUM(A:B!O75)</f>
        <v>5434</v>
      </c>
      <c r="P75" s="65">
        <f>SUM(A:B!P75)</f>
        <v>4665</v>
      </c>
      <c r="Q75" s="65">
        <f>SUM(A:B!Q75)</f>
        <v>4760</v>
      </c>
      <c r="R75" s="65">
        <f>SUM(A:B!R75)</f>
        <v>3554</v>
      </c>
      <c r="S75" s="65">
        <f>SUM(A:B!S75)</f>
        <v>1768</v>
      </c>
      <c r="T75" s="65">
        <f>SUM(A:B!T75)</f>
        <v>3686.75</v>
      </c>
      <c r="U75" s="65">
        <f>SUM(A:B!U75)</f>
        <v>3442.1875</v>
      </c>
      <c r="V75" s="11">
        <f t="shared" si="32"/>
        <v>45948.9375</v>
      </c>
      <c r="W75" s="73">
        <f t="shared" si="30"/>
        <v>1.3940302875863216E-4</v>
      </c>
      <c r="X75" s="89"/>
      <c r="Y75" s="65">
        <f>SUM(A:B!Y75)</f>
        <v>3315.9502465753426</v>
      </c>
      <c r="Z75" s="65">
        <f>SUM(A:B!Z75)</f>
        <v>2995.0518356164384</v>
      </c>
      <c r="AA75" s="65">
        <f>SUM(A:B!AA75)</f>
        <v>3315.9502465753426</v>
      </c>
      <c r="AB75" s="65">
        <f>SUM(A:B!AB75)</f>
        <v>3208.9841095890411</v>
      </c>
      <c r="AC75" s="65">
        <f>SUM(A:B!AC75)</f>
        <v>3315.9502465753426</v>
      </c>
      <c r="AD75" s="65">
        <f>SUM(A:B!AD75)</f>
        <v>3208.9841095890411</v>
      </c>
      <c r="AE75" s="65">
        <f>SUM(A:B!AE75)</f>
        <v>3315.9502465753426</v>
      </c>
      <c r="AF75" s="65">
        <f>SUM(A:B!AF75)</f>
        <v>3315.9502465753426</v>
      </c>
      <c r="AG75" s="65">
        <f>SUM(A:B!AG75)</f>
        <v>3208.9841095890411</v>
      </c>
      <c r="AH75" s="65">
        <f>SUM(A:B!AH75)</f>
        <v>3315.9502465753426</v>
      </c>
      <c r="AI75" s="65">
        <f>SUM(A:B!AI75)</f>
        <v>3208.9841095890411</v>
      </c>
      <c r="AJ75" s="65">
        <f>SUM(A:B!AJ75)</f>
        <v>3315.9502465753426</v>
      </c>
      <c r="AK75" s="123">
        <f t="shared" ref="AK75:AK89" si="34">SUM(Y75:AJ75)</f>
        <v>39042.639999999999</v>
      </c>
      <c r="AL75" s="73">
        <f t="shared" ref="AL75:AL89" si="35">AK75/AK$6</f>
        <v>1.0881474195108211E-4</v>
      </c>
      <c r="AM75" s="14">
        <f t="shared" ref="AM75:AM89" si="36">IFERROR(AK75/V75-1,0)</f>
        <v>-0.15030374750232256</v>
      </c>
    </row>
    <row r="76" spans="1:41" ht="15" hidden="1" outlineLevel="1">
      <c r="A76" s="12"/>
      <c r="E76" s="7" t="s">
        <v>440</v>
      </c>
      <c r="I76" s="261" t="s">
        <v>182</v>
      </c>
      <c r="J76" s="65">
        <f>SUM(A:B!J76)</f>
        <v>13204</v>
      </c>
      <c r="K76" s="65">
        <f>SUM(A:B!K76)</f>
        <v>0</v>
      </c>
      <c r="L76" s="65">
        <f>SUM(A:B!L76)</f>
        <v>2041</v>
      </c>
      <c r="M76" s="65">
        <f>SUM(A:B!M76)</f>
        <v>620</v>
      </c>
      <c r="N76" s="65">
        <f>SUM(A:B!N76)</f>
        <v>2676</v>
      </c>
      <c r="O76" s="65">
        <f>SUM(A:B!O76)</f>
        <v>58059</v>
      </c>
      <c r="P76" s="65">
        <f>SUM(A:B!P76)</f>
        <v>9140</v>
      </c>
      <c r="Q76" s="65">
        <f>SUM(A:B!Q76)</f>
        <v>6869</v>
      </c>
      <c r="R76" s="65">
        <f>SUM(A:B!R76)</f>
        <v>0</v>
      </c>
      <c r="S76" s="65">
        <f>SUM(A:B!S76)</f>
        <v>8235</v>
      </c>
      <c r="T76" s="65">
        <f>SUM(A:B!T76)</f>
        <v>57790.720000000001</v>
      </c>
      <c r="U76" s="65">
        <f>SUM(A:B!U76)</f>
        <v>15358.720000000001</v>
      </c>
      <c r="V76" s="11">
        <f t="shared" si="32"/>
        <v>173993.44</v>
      </c>
      <c r="W76" s="73">
        <f t="shared" si="30"/>
        <v>5.2787319663557706E-4</v>
      </c>
      <c r="X76" s="89"/>
      <c r="Y76" s="65">
        <f>SUM(A:B!Y76)</f>
        <v>5719.9211959999993</v>
      </c>
      <c r="Z76" s="65">
        <f>SUM(A:B!Z76)</f>
        <v>5719.9211959999993</v>
      </c>
      <c r="AA76" s="65">
        <f>SUM(A:B!AA76)</f>
        <v>5719.9211959999993</v>
      </c>
      <c r="AB76" s="65">
        <f>SUM(A:B!AB76)</f>
        <v>11439.842391999999</v>
      </c>
      <c r="AC76" s="65">
        <f>SUM(A:B!AC76)</f>
        <v>14299.802989999996</v>
      </c>
      <c r="AD76" s="65">
        <f>SUM(A:B!AD76)</f>
        <v>28599.605979999997</v>
      </c>
      <c r="AE76" s="65">
        <f>SUM(A:B!AE76)</f>
        <v>14299.802989999998</v>
      </c>
      <c r="AF76" s="65">
        <f>SUM(A:B!AF76)</f>
        <v>8579.8817939999972</v>
      </c>
      <c r="AG76" s="65">
        <f>SUM(A:B!AG76)</f>
        <v>8579.881793999999</v>
      </c>
      <c r="AH76" s="65">
        <f>SUM(A:B!AH76)</f>
        <v>54350.409739999988</v>
      </c>
      <c r="AI76" s="65">
        <f>SUM(A:B!AI76)</f>
        <v>0</v>
      </c>
      <c r="AJ76" s="65">
        <f>SUM(A:B!AJ76)</f>
        <v>22879.684783999997</v>
      </c>
      <c r="AK76" s="123">
        <f t="shared" si="34"/>
        <v>180188.67605199997</v>
      </c>
      <c r="AL76" s="73">
        <f t="shared" si="35"/>
        <v>5.0219924388067775E-4</v>
      </c>
      <c r="AM76" s="14">
        <f t="shared" si="36"/>
        <v>3.5606147289230838E-2</v>
      </c>
      <c r="AN76" s="292"/>
      <c r="AO76" s="293"/>
    </row>
    <row r="77" spans="1:41" ht="15" hidden="1" outlineLevel="1">
      <c r="A77" s="12"/>
      <c r="E77" s="7" t="s">
        <v>440</v>
      </c>
      <c r="I77" s="261" t="s">
        <v>183</v>
      </c>
      <c r="J77" s="65">
        <f>SUM(A:B!J77)</f>
        <v>0</v>
      </c>
      <c r="K77" s="65">
        <f>SUM(A:B!K77)</f>
        <v>0</v>
      </c>
      <c r="L77" s="65">
        <f>SUM(A:B!L77)</f>
        <v>0</v>
      </c>
      <c r="M77" s="65">
        <f>SUM(A:B!M77)</f>
        <v>730</v>
      </c>
      <c r="N77" s="65">
        <f>SUM(A:B!N77)</f>
        <v>0</v>
      </c>
      <c r="O77" s="65">
        <f>SUM(A:B!O77)</f>
        <v>0</v>
      </c>
      <c r="P77" s="65">
        <f>SUM(A:B!P77)</f>
        <v>0</v>
      </c>
      <c r="Q77" s="65">
        <f>SUM(A:B!Q77)</f>
        <v>1460</v>
      </c>
      <c r="R77" s="65">
        <f>SUM(A:B!R77)</f>
        <v>0</v>
      </c>
      <c r="S77" s="65">
        <f>SUM(A:B!S77)</f>
        <v>0</v>
      </c>
      <c r="T77" s="65">
        <f>SUM(A:B!T77)</f>
        <v>520</v>
      </c>
      <c r="U77" s="65">
        <f>SUM(A:B!U77)</f>
        <v>520</v>
      </c>
      <c r="V77" s="11">
        <f t="shared" si="32"/>
        <v>3230</v>
      </c>
      <c r="W77" s="73">
        <f t="shared" si="30"/>
        <v>9.7993948802490122E-6</v>
      </c>
      <c r="X77" s="89"/>
      <c r="Y77" s="65">
        <f>SUM(A:B!Y77)</f>
        <v>0</v>
      </c>
      <c r="Z77" s="65">
        <f>SUM(A:B!Z77)</f>
        <v>0</v>
      </c>
      <c r="AA77" s="65">
        <f>SUM(A:B!AA77)</f>
        <v>0</v>
      </c>
      <c r="AB77" s="65">
        <f>SUM(A:B!AB77)</f>
        <v>1055.8019999999999</v>
      </c>
      <c r="AC77" s="65">
        <f>SUM(A:B!AC77)</f>
        <v>0</v>
      </c>
      <c r="AD77" s="65">
        <f>SUM(A:B!AD77)</f>
        <v>1055.8019999999999</v>
      </c>
      <c r="AE77" s="65">
        <f>SUM(A:B!AE77)</f>
        <v>1055.8019999999999</v>
      </c>
      <c r="AF77" s="65">
        <f>SUM(A:B!AF77)</f>
        <v>3167.4059999999999</v>
      </c>
      <c r="AG77" s="65">
        <f>SUM(A:B!AG77)</f>
        <v>2111.6039999999998</v>
      </c>
      <c r="AH77" s="65">
        <f>SUM(A:B!AH77)</f>
        <v>0</v>
      </c>
      <c r="AI77" s="65">
        <f>SUM(A:B!AI77)</f>
        <v>0</v>
      </c>
      <c r="AJ77" s="65">
        <f>SUM(A:B!AJ77)</f>
        <v>0</v>
      </c>
      <c r="AK77" s="123">
        <f t="shared" si="34"/>
        <v>8446.4159999999993</v>
      </c>
      <c r="AL77" s="73">
        <f t="shared" si="35"/>
        <v>2.3540789696892705E-5</v>
      </c>
      <c r="AM77" s="14">
        <f t="shared" si="36"/>
        <v>1.6149894736842101</v>
      </c>
      <c r="AN77" s="292"/>
      <c r="AO77" s="293"/>
    </row>
    <row r="78" spans="1:41" hidden="1" outlineLevel="1">
      <c r="A78" s="12"/>
      <c r="I78" s="261" t="s">
        <v>184</v>
      </c>
      <c r="J78" s="65">
        <f>SUM(A:B!J78)</f>
        <v>4291</v>
      </c>
      <c r="K78" s="65">
        <f>SUM(A:B!K78)</f>
        <v>2772</v>
      </c>
      <c r="L78" s="65">
        <f>SUM(A:B!L78)</f>
        <v>2772</v>
      </c>
      <c r="M78" s="65">
        <f>SUM(A:B!M78)</f>
        <v>2772</v>
      </c>
      <c r="N78" s="65">
        <f>SUM(A:B!N78)</f>
        <v>2772</v>
      </c>
      <c r="O78" s="65">
        <f>SUM(A:B!O78)</f>
        <v>2772</v>
      </c>
      <c r="P78" s="65">
        <f>SUM(A:B!P78)</f>
        <v>1253</v>
      </c>
      <c r="Q78" s="65">
        <f>SUM(A:B!Q78)</f>
        <v>2772</v>
      </c>
      <c r="R78" s="65">
        <f>SUM(A:B!R78)</f>
        <v>2772</v>
      </c>
      <c r="S78" s="65">
        <f>SUM(A:B!S78)</f>
        <v>2772</v>
      </c>
      <c r="T78" s="65">
        <f>SUM(A:B!T78)</f>
        <v>0</v>
      </c>
      <c r="U78" s="65">
        <f>SUM(A:B!U78)</f>
        <v>0</v>
      </c>
      <c r="V78" s="11">
        <f t="shared" si="32"/>
        <v>27720</v>
      </c>
      <c r="W78" s="73">
        <f t="shared" si="30"/>
        <v>8.4098831603870788E-5</v>
      </c>
      <c r="X78" s="89"/>
      <c r="Y78" s="65">
        <f>SUM(A:B!Y78)</f>
        <v>1881.5264000000002</v>
      </c>
      <c r="Z78" s="65">
        <f>SUM(A:B!Z78)</f>
        <v>0</v>
      </c>
      <c r="AA78" s="65">
        <f>SUM(A:B!AA78)</f>
        <v>0</v>
      </c>
      <c r="AB78" s="65">
        <f>SUM(A:B!AB78)</f>
        <v>0</v>
      </c>
      <c r="AC78" s="65">
        <f>SUM(A:B!AC78)</f>
        <v>0</v>
      </c>
      <c r="AD78" s="65">
        <f>SUM(A:B!AD78)</f>
        <v>0</v>
      </c>
      <c r="AE78" s="65">
        <f>SUM(A:B!AE78)</f>
        <v>0</v>
      </c>
      <c r="AF78" s="65">
        <f>SUM(A:B!AF78)</f>
        <v>0</v>
      </c>
      <c r="AG78" s="65">
        <f>SUM(A:B!AG78)</f>
        <v>0</v>
      </c>
      <c r="AH78" s="65">
        <f>SUM(A:B!AH78)</f>
        <v>0</v>
      </c>
      <c r="AI78" s="65">
        <f>SUM(A:B!AI78)</f>
        <v>0</v>
      </c>
      <c r="AJ78" s="65">
        <f>SUM(A:B!AJ78)</f>
        <v>0</v>
      </c>
      <c r="AK78" s="123">
        <f t="shared" si="34"/>
        <v>1881.5264000000002</v>
      </c>
      <c r="AL78" s="73">
        <f t="shared" si="35"/>
        <v>5.2439540382040897E-6</v>
      </c>
      <c r="AM78" s="14">
        <f t="shared" si="36"/>
        <v>-0.9321238672438672</v>
      </c>
    </row>
    <row r="79" spans="1:41" hidden="1" outlineLevel="1">
      <c r="A79" s="12"/>
      <c r="I79" s="261" t="s">
        <v>185</v>
      </c>
      <c r="J79" s="65">
        <f>SUM(A:B!J79)</f>
        <v>0</v>
      </c>
      <c r="K79" s="65">
        <f>SUM(A:B!K79)</f>
        <v>0</v>
      </c>
      <c r="L79" s="65">
        <f>SUM(A:B!L79)</f>
        <v>0</v>
      </c>
      <c r="M79" s="65">
        <f>SUM(A:B!M79)</f>
        <v>0</v>
      </c>
      <c r="N79" s="65">
        <f>SUM(A:B!N79)</f>
        <v>0</v>
      </c>
      <c r="O79" s="65">
        <f>SUM(A:B!O79)</f>
        <v>0</v>
      </c>
      <c r="P79" s="65">
        <f>SUM(A:B!P79)</f>
        <v>0</v>
      </c>
      <c r="Q79" s="65">
        <f>SUM(A:B!Q79)</f>
        <v>0</v>
      </c>
      <c r="R79" s="65">
        <f>SUM(A:B!R79)</f>
        <v>0</v>
      </c>
      <c r="S79" s="65">
        <f>SUM(A:B!S79)</f>
        <v>0</v>
      </c>
      <c r="T79" s="65">
        <f>SUM(A:B!T79)</f>
        <v>0</v>
      </c>
      <c r="U79" s="65">
        <f>SUM(A:B!U79)</f>
        <v>0</v>
      </c>
      <c r="V79" s="11">
        <f t="shared" si="32"/>
        <v>0</v>
      </c>
      <c r="W79" s="73">
        <f t="shared" si="30"/>
        <v>0</v>
      </c>
      <c r="X79" s="89"/>
      <c r="Y79" s="65">
        <f>SUM(A:B!Y79)</f>
        <v>0</v>
      </c>
      <c r="Z79" s="65">
        <f>SUM(A:B!Z79)</f>
        <v>0</v>
      </c>
      <c r="AA79" s="65">
        <f>SUM(A:B!AA79)</f>
        <v>0</v>
      </c>
      <c r="AB79" s="65">
        <f>SUM(A:B!AB79)</f>
        <v>0</v>
      </c>
      <c r="AC79" s="65">
        <f>SUM(A:B!AC79)</f>
        <v>0</v>
      </c>
      <c r="AD79" s="65">
        <f>SUM(A:B!AD79)</f>
        <v>0</v>
      </c>
      <c r="AE79" s="65">
        <f>SUM(A:B!AE79)</f>
        <v>0</v>
      </c>
      <c r="AF79" s="65">
        <f>SUM(A:B!AF79)</f>
        <v>0</v>
      </c>
      <c r="AG79" s="65">
        <f>SUM(A:B!AG79)</f>
        <v>0</v>
      </c>
      <c r="AH79" s="65">
        <f>SUM(A:B!AH79)</f>
        <v>0</v>
      </c>
      <c r="AI79" s="65">
        <f>SUM(A:B!AI79)</f>
        <v>0</v>
      </c>
      <c r="AJ79" s="65">
        <f>SUM(A:B!AJ79)</f>
        <v>0</v>
      </c>
      <c r="AK79" s="123">
        <f t="shared" si="34"/>
        <v>0</v>
      </c>
      <c r="AL79" s="73">
        <f t="shared" si="35"/>
        <v>0</v>
      </c>
      <c r="AM79" s="14">
        <f t="shared" si="36"/>
        <v>0</v>
      </c>
    </row>
    <row r="80" spans="1:41" hidden="1" outlineLevel="1">
      <c r="A80" s="12"/>
      <c r="I80" s="261" t="s">
        <v>186</v>
      </c>
      <c r="J80" s="65">
        <f>SUM(A:B!J80)</f>
        <v>0</v>
      </c>
      <c r="K80" s="65">
        <f>SUM(A:B!K80)</f>
        <v>0</v>
      </c>
      <c r="L80" s="65">
        <f>SUM(A:B!L80)</f>
        <v>0</v>
      </c>
      <c r="M80" s="65">
        <f>SUM(A:B!M80)</f>
        <v>0</v>
      </c>
      <c r="N80" s="65">
        <f>SUM(A:B!N80)</f>
        <v>0</v>
      </c>
      <c r="O80" s="65">
        <f>SUM(A:B!O80)</f>
        <v>0</v>
      </c>
      <c r="P80" s="65">
        <f>SUM(A:B!P80)</f>
        <v>0</v>
      </c>
      <c r="Q80" s="65">
        <f>SUM(A:B!Q80)</f>
        <v>0</v>
      </c>
      <c r="R80" s="65">
        <f>SUM(A:B!R80)</f>
        <v>0</v>
      </c>
      <c r="S80" s="65">
        <f>SUM(A:B!S80)</f>
        <v>0</v>
      </c>
      <c r="T80" s="65">
        <f>SUM(A:B!T80)</f>
        <v>0</v>
      </c>
      <c r="U80" s="65">
        <f>SUM(A:B!U80)</f>
        <v>0</v>
      </c>
      <c r="V80" s="11">
        <f t="shared" si="32"/>
        <v>0</v>
      </c>
      <c r="W80" s="73">
        <f t="shared" si="30"/>
        <v>0</v>
      </c>
      <c r="X80" s="89"/>
      <c r="Y80" s="65">
        <f>SUM(A:B!Y80)</f>
        <v>22251.84</v>
      </c>
      <c r="Z80" s="65">
        <f>SUM(A:B!Z80)</f>
        <v>0</v>
      </c>
      <c r="AA80" s="65">
        <f>SUM(A:B!AA80)</f>
        <v>0</v>
      </c>
      <c r="AB80" s="65">
        <f>SUM(A:B!AB80)</f>
        <v>0</v>
      </c>
      <c r="AC80" s="65">
        <f>SUM(A:B!AC80)</f>
        <v>0</v>
      </c>
      <c r="AD80" s="65">
        <f>SUM(A:B!AD80)</f>
        <v>0</v>
      </c>
      <c r="AE80" s="65">
        <f>SUM(A:B!AE80)</f>
        <v>0</v>
      </c>
      <c r="AF80" s="65">
        <f>SUM(A:B!AF80)</f>
        <v>0</v>
      </c>
      <c r="AG80" s="65">
        <f>SUM(A:B!AG80)</f>
        <v>0</v>
      </c>
      <c r="AH80" s="65">
        <f>SUM(A:B!AH80)</f>
        <v>0</v>
      </c>
      <c r="AI80" s="65">
        <f>SUM(A:B!AI80)</f>
        <v>0</v>
      </c>
      <c r="AJ80" s="65">
        <f>SUM(A:B!AJ80)</f>
        <v>0</v>
      </c>
      <c r="AK80" s="123">
        <f t="shared" si="34"/>
        <v>22251.84</v>
      </c>
      <c r="AL80" s="73">
        <f t="shared" si="35"/>
        <v>6.2017533331167328E-5</v>
      </c>
      <c r="AM80" s="14">
        <f>IFERROR(AK80/V80-1,0)</f>
        <v>0</v>
      </c>
    </row>
    <row r="81" spans="1:43" hidden="1" outlineLevel="1">
      <c r="A81" s="12"/>
      <c r="I81" s="261" t="s">
        <v>187</v>
      </c>
      <c r="J81" s="65">
        <f>SUM(A:B!J81)</f>
        <v>0</v>
      </c>
      <c r="K81" s="65">
        <f>SUM(A:B!K81)</f>
        <v>0</v>
      </c>
      <c r="L81" s="65">
        <f>SUM(A:B!L81)</f>
        <v>0</v>
      </c>
      <c r="M81" s="65">
        <f>SUM(A:B!M81)</f>
        <v>0</v>
      </c>
      <c r="N81" s="65">
        <f>SUM(A:B!N81)</f>
        <v>0</v>
      </c>
      <c r="O81" s="65">
        <f>SUM(A:B!O81)</f>
        <v>0</v>
      </c>
      <c r="P81" s="65">
        <f>SUM(A:B!P81)</f>
        <v>0</v>
      </c>
      <c r="Q81" s="65">
        <f>SUM(A:B!Q81)</f>
        <v>0</v>
      </c>
      <c r="R81" s="65">
        <f>SUM(A:B!R81)</f>
        <v>0</v>
      </c>
      <c r="S81" s="65">
        <f>SUM(A:B!S81)</f>
        <v>38480</v>
      </c>
      <c r="T81" s="65">
        <f>SUM(A:B!T81)</f>
        <v>0</v>
      </c>
      <c r="U81" s="65">
        <f>SUM(A:B!U81)</f>
        <v>0</v>
      </c>
      <c r="V81" s="11">
        <f>SUM(J81:U81)</f>
        <v>38480</v>
      </c>
      <c r="W81" s="73">
        <f t="shared" si="30"/>
        <v>1.1674325541547431E-4</v>
      </c>
      <c r="X81" s="89"/>
      <c r="Y81" s="65">
        <f>SUM(A:B!Y81)</f>
        <v>0</v>
      </c>
      <c r="Z81" s="65">
        <f>SUM(A:B!Z81)</f>
        <v>0</v>
      </c>
      <c r="AA81" s="65">
        <f>SUM(A:B!AA81)</f>
        <v>0</v>
      </c>
      <c r="AB81" s="65">
        <f>SUM(A:B!AB81)</f>
        <v>0</v>
      </c>
      <c r="AC81" s="65">
        <f>SUM(A:B!AC81)</f>
        <v>0</v>
      </c>
      <c r="AD81" s="65">
        <f>SUM(A:B!AD81)</f>
        <v>0</v>
      </c>
      <c r="AE81" s="65">
        <f>SUM(A:B!AE81)</f>
        <v>0</v>
      </c>
      <c r="AF81" s="65">
        <f>SUM(A:B!AF81)</f>
        <v>0</v>
      </c>
      <c r="AG81" s="65">
        <f>SUM(A:B!AG81)</f>
        <v>37056.579999999994</v>
      </c>
      <c r="AH81" s="65">
        <f>SUM(A:B!AH81)</f>
        <v>0</v>
      </c>
      <c r="AI81" s="65">
        <f>SUM(A:B!AI81)</f>
        <v>0</v>
      </c>
      <c r="AJ81" s="65">
        <f>SUM(A:B!AJ81)</f>
        <v>0</v>
      </c>
      <c r="AK81" s="123">
        <f t="shared" si="34"/>
        <v>37056.579999999994</v>
      </c>
      <c r="AL81" s="73">
        <f t="shared" si="35"/>
        <v>1.0327944499372045E-4</v>
      </c>
      <c r="AM81" s="14">
        <f>IFERROR(AK81/V81-1,0)</f>
        <v>-3.6991164241164332E-2</v>
      </c>
      <c r="AN81" s="290"/>
    </row>
    <row r="82" spans="1:43" hidden="1" outlineLevel="1">
      <c r="A82" s="12"/>
      <c r="I82" s="261" t="s">
        <v>188</v>
      </c>
      <c r="J82" s="65">
        <f>SUM(A:B!J82)</f>
        <v>0</v>
      </c>
      <c r="K82" s="65">
        <f>SUM(A:B!K82)</f>
        <v>0</v>
      </c>
      <c r="L82" s="65">
        <f>SUM(A:B!L82)</f>
        <v>0</v>
      </c>
      <c r="M82" s="65">
        <f>SUM(A:B!M82)</f>
        <v>0</v>
      </c>
      <c r="N82" s="65">
        <f>SUM(A:B!N82)</f>
        <v>0</v>
      </c>
      <c r="O82" s="65">
        <f>SUM(A:B!O82)</f>
        <v>0</v>
      </c>
      <c r="P82" s="65">
        <f>SUM(A:B!P82)</f>
        <v>0</v>
      </c>
      <c r="Q82" s="65">
        <f>SUM(A:B!Q82)</f>
        <v>0</v>
      </c>
      <c r="R82" s="65">
        <f>SUM(A:B!R82)</f>
        <v>0</v>
      </c>
      <c r="S82" s="65">
        <f>SUM(A:B!S82)</f>
        <v>0</v>
      </c>
      <c r="T82" s="65">
        <f>SUM(A:B!T82)</f>
        <v>0</v>
      </c>
      <c r="U82" s="65">
        <f>SUM(A:B!U82)</f>
        <v>0</v>
      </c>
      <c r="V82" s="11">
        <f>SUM(J82:U82)</f>
        <v>0</v>
      </c>
      <c r="W82" s="73">
        <f t="shared" si="30"/>
        <v>0</v>
      </c>
      <c r="X82" s="89"/>
      <c r="Y82" s="65">
        <f>SUM(A:B!Y82)</f>
        <v>0</v>
      </c>
      <c r="Z82" s="65">
        <f>SUM(A:B!Z82)</f>
        <v>0</v>
      </c>
      <c r="AA82" s="65">
        <f>SUM(A:B!AA82)</f>
        <v>0</v>
      </c>
      <c r="AB82" s="65">
        <f>SUM(A:B!AB82)</f>
        <v>0</v>
      </c>
      <c r="AC82" s="65">
        <f>SUM(A:B!AC82)</f>
        <v>0</v>
      </c>
      <c r="AD82" s="65">
        <f>SUM(A:B!AD82)</f>
        <v>0</v>
      </c>
      <c r="AE82" s="65">
        <f>SUM(A:B!AE82)</f>
        <v>0</v>
      </c>
      <c r="AF82" s="65">
        <f>SUM(A:B!AF82)</f>
        <v>0</v>
      </c>
      <c r="AG82" s="65">
        <f>SUM(A:B!AG82)</f>
        <v>0</v>
      </c>
      <c r="AH82" s="65">
        <f>SUM(A:B!AH82)</f>
        <v>0</v>
      </c>
      <c r="AI82" s="65">
        <f>SUM(A:B!AI82)</f>
        <v>0</v>
      </c>
      <c r="AJ82" s="65">
        <f>SUM(A:B!AJ82)</f>
        <v>0</v>
      </c>
      <c r="AK82" s="123">
        <f t="shared" si="34"/>
        <v>0</v>
      </c>
      <c r="AL82" s="73">
        <f t="shared" si="35"/>
        <v>0</v>
      </c>
      <c r="AM82" s="14">
        <f>IFERROR(AK82/V82-1,0)</f>
        <v>0</v>
      </c>
    </row>
    <row r="83" spans="1:43" hidden="1" outlineLevel="1">
      <c r="A83" s="12"/>
      <c r="I83" s="261" t="s">
        <v>189</v>
      </c>
      <c r="J83" s="65">
        <f>SUM(A:B!J83)</f>
        <v>0</v>
      </c>
      <c r="K83" s="65">
        <f>SUM(A:B!K83)</f>
        <v>0</v>
      </c>
      <c r="L83" s="65">
        <f>SUM(A:B!L83)</f>
        <v>0</v>
      </c>
      <c r="M83" s="65">
        <f>SUM(A:B!M83)</f>
        <v>0</v>
      </c>
      <c r="N83" s="65">
        <f>SUM(A:B!N83)</f>
        <v>0</v>
      </c>
      <c r="O83" s="65">
        <f>SUM(A:B!O83)</f>
        <v>0</v>
      </c>
      <c r="P83" s="65">
        <f>SUM(A:B!P83)</f>
        <v>0</v>
      </c>
      <c r="Q83" s="65">
        <f>SUM(A:B!Q83)</f>
        <v>0</v>
      </c>
      <c r="R83" s="65">
        <f>SUM(A:B!R83)</f>
        <v>0</v>
      </c>
      <c r="S83" s="65">
        <f>SUM(A:B!S83)</f>
        <v>0</v>
      </c>
      <c r="T83" s="65">
        <f>SUM(A:B!T83)</f>
        <v>0</v>
      </c>
      <c r="U83" s="65">
        <f>SUM(A:B!U83)</f>
        <v>0</v>
      </c>
      <c r="V83" s="11">
        <f>SUM(J83:U83)</f>
        <v>0</v>
      </c>
      <c r="W83" s="73">
        <f t="shared" si="30"/>
        <v>0</v>
      </c>
      <c r="X83" s="89"/>
      <c r="Y83" s="65">
        <f>SUM(A:B!Y83)</f>
        <v>0</v>
      </c>
      <c r="Z83" s="65">
        <f>SUM(A:B!Z83)</f>
        <v>0</v>
      </c>
      <c r="AA83" s="65">
        <f>SUM(A:B!AA83)</f>
        <v>0</v>
      </c>
      <c r="AB83" s="65">
        <f>SUM(A:B!AB83)</f>
        <v>0</v>
      </c>
      <c r="AC83" s="65">
        <f>SUM(A:B!AC83)</f>
        <v>0</v>
      </c>
      <c r="AD83" s="65">
        <f>SUM(A:B!AD83)</f>
        <v>0</v>
      </c>
      <c r="AE83" s="65">
        <f>SUM(A:B!AE83)</f>
        <v>0</v>
      </c>
      <c r="AF83" s="65">
        <f>SUM(A:B!AF83)</f>
        <v>0</v>
      </c>
      <c r="AG83" s="65">
        <f>SUM(A:B!AG83)</f>
        <v>0</v>
      </c>
      <c r="AH83" s="65">
        <f>SUM(A:B!AH83)</f>
        <v>0</v>
      </c>
      <c r="AI83" s="65">
        <f>SUM(A:B!AI83)</f>
        <v>0</v>
      </c>
      <c r="AJ83" s="65">
        <f>SUM(A:B!AJ83)</f>
        <v>0</v>
      </c>
      <c r="AK83" s="123">
        <f t="shared" si="34"/>
        <v>0</v>
      </c>
      <c r="AL83" s="73">
        <f t="shared" si="35"/>
        <v>0</v>
      </c>
      <c r="AM83" s="14">
        <f>IFERROR(AK83/V83-1,0)</f>
        <v>0</v>
      </c>
    </row>
    <row r="84" spans="1:43" hidden="1" outlineLevel="1">
      <c r="A84" s="12"/>
      <c r="I84" s="261" t="s">
        <v>190</v>
      </c>
      <c r="J84" s="65">
        <f>SUM(A:B!J84)</f>
        <v>0</v>
      </c>
      <c r="K84" s="65">
        <f>SUM(A:B!K84)</f>
        <v>0</v>
      </c>
      <c r="L84" s="65">
        <f>SUM(A:B!L84)</f>
        <v>0</v>
      </c>
      <c r="M84" s="65">
        <f>SUM(A:B!M84)</f>
        <v>0</v>
      </c>
      <c r="N84" s="65">
        <f>SUM(A:B!N84)</f>
        <v>0</v>
      </c>
      <c r="O84" s="65">
        <f>SUM(A:B!O84)</f>
        <v>0</v>
      </c>
      <c r="P84" s="65">
        <f>SUM(A:B!P84)</f>
        <v>0</v>
      </c>
      <c r="Q84" s="65">
        <f>SUM(A:B!Q84)</f>
        <v>0</v>
      </c>
      <c r="R84" s="65">
        <f>SUM(A:B!R84)</f>
        <v>0</v>
      </c>
      <c r="S84" s="65">
        <f>SUM(A:B!S84)</f>
        <v>0</v>
      </c>
      <c r="T84" s="65">
        <f>SUM(A:B!T84)</f>
        <v>0</v>
      </c>
      <c r="U84" s="65">
        <f>SUM(A:B!U84)</f>
        <v>0</v>
      </c>
      <c r="V84" s="11">
        <f>SUM(J84:U84)</f>
        <v>0</v>
      </c>
      <c r="W84" s="73">
        <f t="shared" si="30"/>
        <v>0</v>
      </c>
      <c r="X84" s="89"/>
      <c r="Y84" s="65">
        <f>SUM(A:B!Y84)</f>
        <v>0</v>
      </c>
      <c r="Z84" s="65">
        <f>SUM(A:B!Z84)</f>
        <v>0</v>
      </c>
      <c r="AA84" s="65">
        <f>SUM(A:B!AA84)</f>
        <v>0</v>
      </c>
      <c r="AB84" s="65">
        <f>SUM(A:B!AB84)</f>
        <v>0</v>
      </c>
      <c r="AC84" s="65">
        <f>SUM(A:B!AC84)</f>
        <v>0</v>
      </c>
      <c r="AD84" s="65">
        <f>SUM(A:B!AD84)</f>
        <v>0</v>
      </c>
      <c r="AE84" s="65">
        <f>SUM(A:B!AE84)</f>
        <v>0</v>
      </c>
      <c r="AF84" s="65">
        <f>SUM(A:B!AF84)</f>
        <v>0</v>
      </c>
      <c r="AG84" s="65">
        <f>SUM(A:B!AG84)</f>
        <v>0</v>
      </c>
      <c r="AH84" s="65">
        <f>SUM(A:B!AH84)</f>
        <v>0</v>
      </c>
      <c r="AI84" s="65">
        <f>SUM(A:B!AI84)</f>
        <v>0</v>
      </c>
      <c r="AJ84" s="65">
        <f>SUM(A:B!AJ84)</f>
        <v>0</v>
      </c>
      <c r="AK84" s="123">
        <f t="shared" si="34"/>
        <v>0</v>
      </c>
      <c r="AL84" s="73">
        <f t="shared" si="35"/>
        <v>0</v>
      </c>
      <c r="AM84" s="14">
        <f>IFERROR(AK84/V84-1,0)</f>
        <v>0</v>
      </c>
    </row>
    <row r="85" spans="1:43" hidden="1" outlineLevel="1">
      <c r="A85" s="12"/>
      <c r="I85" s="261" t="s">
        <v>191</v>
      </c>
      <c r="J85" s="65">
        <f>SUM(A:B!J85)</f>
        <v>0</v>
      </c>
      <c r="K85" s="65">
        <f>SUM(A:B!K85)</f>
        <v>0</v>
      </c>
      <c r="L85" s="65">
        <f>SUM(A:B!L85)</f>
        <v>0</v>
      </c>
      <c r="M85" s="65">
        <f>SUM(A:B!M85)</f>
        <v>0</v>
      </c>
      <c r="N85" s="65">
        <f>SUM(A:B!N85)</f>
        <v>0</v>
      </c>
      <c r="O85" s="65">
        <f>SUM(A:B!O85)</f>
        <v>0</v>
      </c>
      <c r="P85" s="65">
        <f>SUM(A:B!P85)</f>
        <v>0</v>
      </c>
      <c r="Q85" s="65">
        <f>SUM(A:B!Q85)</f>
        <v>0</v>
      </c>
      <c r="R85" s="65">
        <f>SUM(A:B!R85)</f>
        <v>0</v>
      </c>
      <c r="S85" s="65">
        <f>SUM(A:B!S85)</f>
        <v>0</v>
      </c>
      <c r="T85" s="65">
        <f>SUM(A:B!T85)</f>
        <v>0</v>
      </c>
      <c r="U85" s="65">
        <f>SUM(A:B!U85)</f>
        <v>0</v>
      </c>
      <c r="V85" s="11">
        <f>SUM(J85:U85)</f>
        <v>0</v>
      </c>
      <c r="W85" s="73">
        <f t="shared" si="30"/>
        <v>0</v>
      </c>
      <c r="X85" s="89"/>
      <c r="Y85" s="65">
        <f>SUM(A:B!Y85)</f>
        <v>0</v>
      </c>
      <c r="Z85" s="65">
        <f>SUM(A:B!Z85)</f>
        <v>0</v>
      </c>
      <c r="AA85" s="65">
        <f>SUM(A:B!AA85)</f>
        <v>0</v>
      </c>
      <c r="AB85" s="65">
        <f>SUM(A:B!AB85)</f>
        <v>0</v>
      </c>
      <c r="AC85" s="65">
        <f>SUM(A:B!AC85)</f>
        <v>0</v>
      </c>
      <c r="AD85" s="65">
        <f>SUM(A:B!AD85)</f>
        <v>0</v>
      </c>
      <c r="AE85" s="65">
        <f>SUM(A:B!AE85)</f>
        <v>0</v>
      </c>
      <c r="AF85" s="65">
        <f>SUM(A:B!AF85)</f>
        <v>0</v>
      </c>
      <c r="AG85" s="65">
        <f>SUM(A:B!AG85)</f>
        <v>0</v>
      </c>
      <c r="AH85" s="65">
        <f>SUM(A:B!AH85)</f>
        <v>0</v>
      </c>
      <c r="AI85" s="65">
        <f>SUM(A:B!AI85)</f>
        <v>0</v>
      </c>
      <c r="AJ85" s="65">
        <f>SUM(A:B!AJ85)</f>
        <v>0</v>
      </c>
      <c r="AK85" s="123">
        <f t="shared" si="34"/>
        <v>0</v>
      </c>
      <c r="AL85" s="73">
        <f t="shared" si="35"/>
        <v>0</v>
      </c>
      <c r="AM85" s="14">
        <f>IFERROR(AK85/V85-1,0)</f>
        <v>0</v>
      </c>
    </row>
    <row r="86" spans="1:43" hidden="1" outlineLevel="1">
      <c r="A86" s="12"/>
      <c r="I86" s="261" t="s">
        <v>192</v>
      </c>
      <c r="J86" s="65">
        <f>SUM(A:B!J86)</f>
        <v>0</v>
      </c>
      <c r="K86" s="65">
        <f>SUM(A:B!K86)</f>
        <v>0</v>
      </c>
      <c r="L86" s="65">
        <f>SUM(A:B!L86)</f>
        <v>0</v>
      </c>
      <c r="M86" s="65">
        <f>SUM(A:B!M86)</f>
        <v>0</v>
      </c>
      <c r="N86" s="65">
        <f>SUM(A:B!N86)</f>
        <v>0</v>
      </c>
      <c r="O86" s="65">
        <f>SUM(A:B!O86)</f>
        <v>0</v>
      </c>
      <c r="P86" s="65">
        <f>SUM(A:B!P86)</f>
        <v>0</v>
      </c>
      <c r="Q86" s="65">
        <f>SUM(A:B!Q86)</f>
        <v>0</v>
      </c>
      <c r="R86" s="65">
        <f>SUM(A:B!R86)</f>
        <v>0</v>
      </c>
      <c r="S86" s="65">
        <f>SUM(A:B!S86)</f>
        <v>0</v>
      </c>
      <c r="T86" s="65">
        <f>SUM(A:B!T86)</f>
        <v>3640</v>
      </c>
      <c r="U86" s="65">
        <f>SUM(A:B!U86)</f>
        <v>0</v>
      </c>
      <c r="V86" s="11">
        <f>SUM(J86:U86)</f>
        <v>3640</v>
      </c>
      <c r="W86" s="73">
        <f t="shared" si="30"/>
        <v>1.1043280917680001E-5</v>
      </c>
      <c r="X86" s="89"/>
      <c r="Y86" s="65">
        <f>SUM(A:B!Y86)</f>
        <v>0</v>
      </c>
      <c r="Z86" s="65">
        <f>SUM(A:B!Z86)</f>
        <v>0</v>
      </c>
      <c r="AA86" s="65">
        <f>SUM(A:B!AA86)</f>
        <v>0</v>
      </c>
      <c r="AB86" s="65">
        <f>SUM(A:B!AB86)</f>
        <v>0</v>
      </c>
      <c r="AC86" s="65">
        <f>SUM(A:B!AC86)</f>
        <v>0</v>
      </c>
      <c r="AD86" s="65">
        <f>SUM(A:B!AD86)</f>
        <v>0</v>
      </c>
      <c r="AE86" s="65">
        <f>SUM(A:B!AE86)</f>
        <v>0</v>
      </c>
      <c r="AF86" s="65">
        <f>SUM(A:B!AF86)</f>
        <v>0</v>
      </c>
      <c r="AG86" s="65">
        <f>SUM(A:B!AG86)</f>
        <v>0</v>
      </c>
      <c r="AH86" s="65">
        <f>SUM(A:B!AH86)</f>
        <v>0</v>
      </c>
      <c r="AI86" s="65">
        <f>SUM(A:B!AI86)</f>
        <v>0</v>
      </c>
      <c r="AJ86" s="65">
        <f>SUM(A:B!AJ86)</f>
        <v>0</v>
      </c>
      <c r="AK86" s="123">
        <f t="shared" si="34"/>
        <v>0</v>
      </c>
      <c r="AL86" s="73">
        <f t="shared" si="35"/>
        <v>0</v>
      </c>
      <c r="AM86" s="14">
        <f>IFERROR(AK86/V86-1,0)</f>
        <v>-1</v>
      </c>
    </row>
    <row r="87" spans="1:43" hidden="1" outlineLevel="1">
      <c r="A87" s="12"/>
      <c r="I87" s="261" t="s">
        <v>193</v>
      </c>
      <c r="J87" s="65">
        <f>SUM(A:B!J87)</f>
        <v>0</v>
      </c>
      <c r="K87" s="65">
        <f>SUM(A:B!K87)</f>
        <v>0</v>
      </c>
      <c r="L87" s="65">
        <f>SUM(A:B!L87)</f>
        <v>0</v>
      </c>
      <c r="M87" s="65">
        <f>SUM(A:B!M87)</f>
        <v>0</v>
      </c>
      <c r="N87" s="65">
        <f>SUM(A:B!N87)</f>
        <v>0</v>
      </c>
      <c r="O87" s="65">
        <f>SUM(A:B!O87)</f>
        <v>0</v>
      </c>
      <c r="P87" s="65">
        <f>SUM(A:B!P87)</f>
        <v>0</v>
      </c>
      <c r="Q87" s="65">
        <f>SUM(A:B!Q87)</f>
        <v>0</v>
      </c>
      <c r="R87" s="65">
        <f>SUM(A:B!R87)</f>
        <v>0</v>
      </c>
      <c r="S87" s="65">
        <f>SUM(A:B!S87)</f>
        <v>0</v>
      </c>
      <c r="T87" s="65">
        <f>SUM(A:B!T87)</f>
        <v>0</v>
      </c>
      <c r="U87" s="65">
        <f>SUM(A:B!U87)</f>
        <v>0</v>
      </c>
      <c r="V87" s="11">
        <f>SUM(J87:U87)</f>
        <v>0</v>
      </c>
      <c r="W87" s="73">
        <f t="shared" si="30"/>
        <v>0</v>
      </c>
      <c r="X87" s="89"/>
      <c r="Y87" s="65">
        <f>SUM(A:B!Y87)</f>
        <v>0</v>
      </c>
      <c r="Z87" s="65">
        <f>SUM(A:B!Z87)</f>
        <v>0</v>
      </c>
      <c r="AA87" s="65">
        <f>SUM(A:B!AA87)</f>
        <v>0</v>
      </c>
      <c r="AB87" s="65">
        <f>SUM(A:B!AB87)</f>
        <v>0</v>
      </c>
      <c r="AC87" s="65">
        <f>SUM(A:B!AC87)</f>
        <v>0</v>
      </c>
      <c r="AD87" s="65">
        <f>SUM(A:B!AD87)</f>
        <v>0</v>
      </c>
      <c r="AE87" s="65">
        <f>SUM(A:B!AE87)</f>
        <v>0</v>
      </c>
      <c r="AF87" s="65">
        <f>SUM(A:B!AF87)</f>
        <v>0</v>
      </c>
      <c r="AG87" s="65">
        <f>SUM(A:B!AG87)</f>
        <v>0</v>
      </c>
      <c r="AH87" s="65">
        <f>SUM(A:B!AH87)</f>
        <v>0</v>
      </c>
      <c r="AI87" s="65">
        <f>SUM(A:B!AI87)</f>
        <v>0</v>
      </c>
      <c r="AJ87" s="65">
        <f>SUM(A:B!AJ87)</f>
        <v>0</v>
      </c>
      <c r="AK87" s="123">
        <f t="shared" si="34"/>
        <v>0</v>
      </c>
      <c r="AL87" s="73">
        <f t="shared" si="35"/>
        <v>0</v>
      </c>
      <c r="AM87" s="14">
        <f>IFERROR(AK87/V87-1,0)</f>
        <v>0</v>
      </c>
    </row>
    <row r="88" spans="1:43" hidden="1" outlineLevel="1">
      <c r="A88" s="12"/>
      <c r="E88" s="7" t="s">
        <v>440</v>
      </c>
      <c r="I88" s="261" t="s">
        <v>194</v>
      </c>
      <c r="J88" s="65">
        <f>SUM(A:B!J88)</f>
        <v>0</v>
      </c>
      <c r="K88" s="65">
        <f>SUM(A:B!K88)</f>
        <v>0</v>
      </c>
      <c r="L88" s="65">
        <f>SUM(A:B!L88)</f>
        <v>0</v>
      </c>
      <c r="M88" s="65">
        <f>SUM(A:B!M88)</f>
        <v>0</v>
      </c>
      <c r="N88" s="65">
        <f>SUM(A:B!N88)</f>
        <v>6365</v>
      </c>
      <c r="O88" s="65">
        <f>SUM(A:B!O88)</f>
        <v>0</v>
      </c>
      <c r="P88" s="65">
        <f>SUM(A:B!P88)</f>
        <v>0</v>
      </c>
      <c r="Q88" s="65">
        <f>SUM(A:B!Q88)</f>
        <v>6926</v>
      </c>
      <c r="R88" s="65">
        <f>SUM(A:B!R88)</f>
        <v>0</v>
      </c>
      <c r="S88" s="65">
        <f>SUM(A:B!S88)</f>
        <v>0</v>
      </c>
      <c r="T88" s="65">
        <f>SUM(A:B!T88)</f>
        <v>1096.1600000000001</v>
      </c>
      <c r="U88" s="65">
        <f>SUM(A:B!U88)</f>
        <v>70720</v>
      </c>
      <c r="V88" s="11">
        <f>SUM(J88:U88)</f>
        <v>85107.16</v>
      </c>
      <c r="W88" s="73">
        <f t="shared" si="30"/>
        <v>2.58203921974159E-4</v>
      </c>
      <c r="X88" s="89"/>
      <c r="Y88" s="65">
        <f>SUM(A:B!Y88)</f>
        <v>0</v>
      </c>
      <c r="Z88" s="65">
        <f>SUM(A:B!Z88)</f>
        <v>0</v>
      </c>
      <c r="AA88" s="65">
        <f>SUM(A:B!AA88)</f>
        <v>0</v>
      </c>
      <c r="AB88" s="65">
        <f>SUM(A:B!AB88)</f>
        <v>0</v>
      </c>
      <c r="AC88" s="65">
        <f>SUM(A:B!AC88)</f>
        <v>5636.1194999999989</v>
      </c>
      <c r="AD88" s="65">
        <f>SUM(A:B!AD88)</f>
        <v>6319.2855</v>
      </c>
      <c r="AE88" s="65">
        <f>SUM(A:B!AE88)</f>
        <v>0</v>
      </c>
      <c r="AF88" s="65">
        <f>SUM(A:B!AF88)</f>
        <v>5806.9110000000001</v>
      </c>
      <c r="AG88" s="65">
        <f>SUM(A:B!AG88)</f>
        <v>0</v>
      </c>
      <c r="AH88" s="65">
        <f>SUM(A:B!AH88)</f>
        <v>2732.6639999999998</v>
      </c>
      <c r="AI88" s="65">
        <f>SUM(A:B!AI88)</f>
        <v>1707.915</v>
      </c>
      <c r="AJ88" s="65">
        <f>SUM(A:B!AJ88)</f>
        <v>58069.109999999993</v>
      </c>
      <c r="AK88" s="123">
        <f t="shared" si="34"/>
        <v>80272.00499999999</v>
      </c>
      <c r="AL88" s="73">
        <f t="shared" si="35"/>
        <v>2.2372404914142516E-4</v>
      </c>
      <c r="AM88" s="14">
        <f>IFERROR(AK88/V88-1,0)</f>
        <v>-5.681255255139539E-2</v>
      </c>
    </row>
    <row r="89" spans="1:43" hidden="1" outlineLevel="1">
      <c r="A89" s="12" t="s">
        <v>154</v>
      </c>
      <c r="B89" s="8" t="s">
        <v>89</v>
      </c>
      <c r="I89" s="261" t="s">
        <v>195</v>
      </c>
      <c r="J89" s="65">
        <f>SUM(A:B!J89)</f>
        <v>0</v>
      </c>
      <c r="K89" s="65">
        <f>SUM(A:B!K89)</f>
        <v>0</v>
      </c>
      <c r="L89" s="65">
        <f>SUM(A:B!L89)</f>
        <v>0</v>
      </c>
      <c r="M89" s="65">
        <f>SUM(A:B!M89)</f>
        <v>0</v>
      </c>
      <c r="N89" s="65">
        <f>SUM(A:B!N89)</f>
        <v>0</v>
      </c>
      <c r="O89" s="65">
        <f>SUM(A:B!O89)</f>
        <v>0</v>
      </c>
      <c r="P89" s="65">
        <f>SUM(A:B!P89)</f>
        <v>0</v>
      </c>
      <c r="Q89" s="65">
        <f>SUM(A:B!Q89)</f>
        <v>0</v>
      </c>
      <c r="R89" s="65">
        <f>SUM(A:B!R89)</f>
        <v>0</v>
      </c>
      <c r="S89" s="65">
        <f>SUM(A:B!S89)</f>
        <v>0</v>
      </c>
      <c r="T89" s="65">
        <f>SUM(A:B!T89)</f>
        <v>0</v>
      </c>
      <c r="U89" s="65">
        <f>SUM(A:B!U89)</f>
        <v>0</v>
      </c>
      <c r="V89" s="11">
        <f>SUM(J89:U89)</f>
        <v>0</v>
      </c>
      <c r="W89" s="73">
        <f t="shared" si="30"/>
        <v>0</v>
      </c>
      <c r="X89" s="89"/>
      <c r="Y89" s="65">
        <f>SUM(A:B!Y89)</f>
        <v>0</v>
      </c>
      <c r="Z89" s="65">
        <f>SUM(A:B!Z89)</f>
        <v>0</v>
      </c>
      <c r="AA89" s="65">
        <f>SUM(A:B!AA89)</f>
        <v>0</v>
      </c>
      <c r="AB89" s="65">
        <f>SUM(A:B!AB89)</f>
        <v>0</v>
      </c>
      <c r="AC89" s="65">
        <f>SUM(A:B!AC89)</f>
        <v>0</v>
      </c>
      <c r="AD89" s="65">
        <f>SUM(A:B!AD89)</f>
        <v>0</v>
      </c>
      <c r="AE89" s="65">
        <f>SUM(A:B!AE89)</f>
        <v>0</v>
      </c>
      <c r="AF89" s="65">
        <f>SUM(A:B!AF89)</f>
        <v>0</v>
      </c>
      <c r="AG89" s="65">
        <f>SUM(A:B!AG89)</f>
        <v>0</v>
      </c>
      <c r="AH89" s="65">
        <f>SUM(A:B!AH89)</f>
        <v>0</v>
      </c>
      <c r="AI89" s="65">
        <f>SUM(A:B!AI89)</f>
        <v>0</v>
      </c>
      <c r="AJ89" s="65">
        <f>SUM(A:B!AJ89)</f>
        <v>0</v>
      </c>
      <c r="AK89" s="123">
        <f t="shared" si="34"/>
        <v>0</v>
      </c>
      <c r="AL89" s="73">
        <f t="shared" si="35"/>
        <v>0</v>
      </c>
      <c r="AM89" s="14">
        <f>IFERROR(AK89/V89-1,0)</f>
        <v>0</v>
      </c>
    </row>
    <row r="90" spans="1:43" collapsed="1">
      <c r="A90" s="12" t="s">
        <v>196</v>
      </c>
      <c r="B90" s="8" t="s">
        <v>89</v>
      </c>
      <c r="I90" s="167" t="s">
        <v>197</v>
      </c>
      <c r="J90" s="15">
        <f t="shared" ref="J90:V90" si="37">SUM(J91:J105)</f>
        <v>455748</v>
      </c>
      <c r="K90" s="15">
        <f t="shared" si="37"/>
        <v>395847</v>
      </c>
      <c r="L90" s="15">
        <f t="shared" si="37"/>
        <v>458006</v>
      </c>
      <c r="M90" s="15">
        <f t="shared" si="37"/>
        <v>395986</v>
      </c>
      <c r="N90" s="15">
        <f t="shared" si="37"/>
        <v>442702</v>
      </c>
      <c r="O90" s="15">
        <f t="shared" si="37"/>
        <v>446225</v>
      </c>
      <c r="P90" s="15">
        <f t="shared" si="37"/>
        <v>415847</v>
      </c>
      <c r="Q90" s="15">
        <f t="shared" si="37"/>
        <v>423349</v>
      </c>
      <c r="R90" s="15">
        <f t="shared" si="37"/>
        <v>470832</v>
      </c>
      <c r="S90" s="15">
        <f t="shared" si="37"/>
        <v>452067</v>
      </c>
      <c r="T90" s="15">
        <f t="shared" si="37"/>
        <v>445185.66666666663</v>
      </c>
      <c r="U90" s="15">
        <f t="shared" si="37"/>
        <v>454074.30555555556</v>
      </c>
      <c r="V90" s="15">
        <f t="shared" si="37"/>
        <v>5255868.972222222</v>
      </c>
      <c r="W90" s="72">
        <f t="shared" si="30"/>
        <v>1.5945614705156062E-2</v>
      </c>
      <c r="X90" s="89"/>
      <c r="Y90" s="15">
        <f t="shared" ref="Y90:AK90" si="38">SUM(Y91:Y105)</f>
        <v>510267.02805836796</v>
      </c>
      <c r="Z90" s="15">
        <f t="shared" si="38"/>
        <v>466687.91116998391</v>
      </c>
      <c r="AA90" s="15">
        <f t="shared" si="38"/>
        <v>510267.02805836796</v>
      </c>
      <c r="AB90" s="15">
        <f t="shared" si="38"/>
        <v>482170.84782383998</v>
      </c>
      <c r="AC90" s="15">
        <f t="shared" si="38"/>
        <v>510267.02805836796</v>
      </c>
      <c r="AD90" s="15">
        <f t="shared" si="38"/>
        <v>482170.84782383998</v>
      </c>
      <c r="AE90" s="15">
        <f t="shared" si="38"/>
        <v>496697.22011996794</v>
      </c>
      <c r="AF90" s="15">
        <f t="shared" si="38"/>
        <v>496697.22011996794</v>
      </c>
      <c r="AG90" s="15">
        <f t="shared" si="38"/>
        <v>495740.65576223994</v>
      </c>
      <c r="AH90" s="15">
        <f t="shared" si="38"/>
        <v>496697.22011996794</v>
      </c>
      <c r="AI90" s="15">
        <f t="shared" si="38"/>
        <v>495740.65576223994</v>
      </c>
      <c r="AJ90" s="15">
        <f t="shared" si="38"/>
        <v>510267.02805836796</v>
      </c>
      <c r="AK90" s="15">
        <f t="shared" si="38"/>
        <v>5953670.6909355195</v>
      </c>
      <c r="AL90" s="72">
        <f t="shared" si="31"/>
        <v>1.6593323092287542E-2</v>
      </c>
      <c r="AM90" s="10">
        <f t="shared" si="7"/>
        <v>0.13276619383041077</v>
      </c>
      <c r="AN90" s="291"/>
      <c r="AQ90" s="9"/>
    </row>
    <row r="91" spans="1:43" hidden="1" outlineLevel="1">
      <c r="A91" s="12" t="s">
        <v>196</v>
      </c>
      <c r="B91" s="8" t="s">
        <v>89</v>
      </c>
      <c r="I91" s="223" t="s">
        <v>198</v>
      </c>
      <c r="J91" s="65">
        <f>SUM(A:B!J91)</f>
        <v>13172</v>
      </c>
      <c r="K91" s="65">
        <f>SUM(A:B!K91)</f>
        <v>10989</v>
      </c>
      <c r="L91" s="65">
        <f>SUM(A:B!L91)</f>
        <v>12027</v>
      </c>
      <c r="M91" s="65">
        <f>SUM(A:B!M91)</f>
        <v>11867</v>
      </c>
      <c r="N91" s="65">
        <f>SUM(A:B!N91)</f>
        <v>12419</v>
      </c>
      <c r="O91" s="65">
        <f>SUM(A:B!O91)</f>
        <v>11699</v>
      </c>
      <c r="P91" s="65">
        <f>SUM(A:B!P91)</f>
        <v>11918</v>
      </c>
      <c r="Q91" s="65">
        <f>SUM(A:B!Q91)</f>
        <v>12155</v>
      </c>
      <c r="R91" s="65">
        <f>SUM(A:B!R91)</f>
        <v>12558</v>
      </c>
      <c r="S91" s="65">
        <f>SUM(A:B!S91)</f>
        <v>13050</v>
      </c>
      <c r="T91" s="65">
        <f>SUM(A:B!T91)</f>
        <v>12420.25</v>
      </c>
      <c r="U91" s="65">
        <f>SUM(A:B!U91)</f>
        <v>12545.8125</v>
      </c>
      <c r="V91" s="11">
        <f>SUM(J91:U91)</f>
        <v>146820.0625</v>
      </c>
      <c r="W91" s="73">
        <f t="shared" si="30"/>
        <v>4.4543274575242726E-4</v>
      </c>
      <c r="X91" s="89"/>
      <c r="Y91" s="65">
        <f>SUM(A:B!Y91)</f>
        <v>14406.302948301367</v>
      </c>
      <c r="Z91" s="65">
        <f>SUM(A:B!Z91)</f>
        <v>13012.144598465751</v>
      </c>
      <c r="AA91" s="65">
        <f>SUM(A:B!AA91)</f>
        <v>14406.302948301367</v>
      </c>
      <c r="AB91" s="65">
        <f>SUM(A:B!AB91)</f>
        <v>13941.583498356162</v>
      </c>
      <c r="AC91" s="65">
        <f>SUM(A:B!AC91)</f>
        <v>14406.302948301367</v>
      </c>
      <c r="AD91" s="65">
        <f>SUM(A:B!AD91)</f>
        <v>13941.583498356162</v>
      </c>
      <c r="AE91" s="65">
        <f>SUM(A:B!AE91)</f>
        <v>14406.302948301367</v>
      </c>
      <c r="AF91" s="65">
        <f>SUM(A:B!AF91)</f>
        <v>14406.302948301367</v>
      </c>
      <c r="AG91" s="65">
        <f>SUM(A:B!AG91)</f>
        <v>13941.583498356162</v>
      </c>
      <c r="AH91" s="65">
        <f>SUM(A:B!AH91)</f>
        <v>14406.302948301367</v>
      </c>
      <c r="AI91" s="65">
        <f>SUM(A:B!AI91)</f>
        <v>13941.583498356162</v>
      </c>
      <c r="AJ91" s="65">
        <f>SUM(A:B!AJ91)</f>
        <v>14406.302948301367</v>
      </c>
      <c r="AK91" s="65">
        <f>SUM(Y91:AJ91)</f>
        <v>169622.59922999999</v>
      </c>
      <c r="AL91" s="73">
        <f t="shared" si="31"/>
        <v>4.7275080179732382E-4</v>
      </c>
      <c r="AM91" s="14">
        <f t="shared" si="7"/>
        <v>0.15530940623322498</v>
      </c>
      <c r="AN91" s="9"/>
    </row>
    <row r="92" spans="1:43" hidden="1" outlineLevel="1">
      <c r="A92" s="12" t="s">
        <v>196</v>
      </c>
      <c r="B92" s="8" t="s">
        <v>89</v>
      </c>
      <c r="I92" s="223" t="s">
        <v>199</v>
      </c>
      <c r="J92" s="65">
        <f>SUM(A:B!J92)</f>
        <v>49863</v>
      </c>
      <c r="K92" s="65">
        <f>SUM(A:B!K92)</f>
        <v>36134</v>
      </c>
      <c r="L92" s="65">
        <f>SUM(A:B!L92)</f>
        <v>48036</v>
      </c>
      <c r="M92" s="65">
        <f>SUM(A:B!M92)</f>
        <v>27064</v>
      </c>
      <c r="N92" s="65">
        <f>SUM(A:B!N92)</f>
        <v>44098</v>
      </c>
      <c r="O92" s="65">
        <f>SUM(A:B!O92)</f>
        <v>59674</v>
      </c>
      <c r="P92" s="65">
        <f>SUM(A:B!P92)</f>
        <v>41327</v>
      </c>
      <c r="Q92" s="65">
        <f>SUM(A:B!Q92)</f>
        <v>0</v>
      </c>
      <c r="R92" s="65">
        <f>SUM(A:B!R92)</f>
        <v>73896</v>
      </c>
      <c r="S92" s="65">
        <f>SUM(A:B!S92)</f>
        <v>58961</v>
      </c>
      <c r="T92" s="65">
        <f>SUM(A:B!T92)</f>
        <v>43546</v>
      </c>
      <c r="U92" s="65">
        <f>SUM(A:B!U92)</f>
        <v>44100.75</v>
      </c>
      <c r="V92" s="11">
        <f t="shared" ref="V92:V105" si="39">SUM(J92:U92)</f>
        <v>526699.75</v>
      </c>
      <c r="W92" s="73">
        <f t="shared" si="30"/>
        <v>1.5979377193741284E-3</v>
      </c>
      <c r="X92" s="89"/>
      <c r="Y92" s="65">
        <f>SUM(A:B!Y92)</f>
        <v>46379.678939999998</v>
      </c>
      <c r="Z92" s="65">
        <f>SUM(A:B!Z92)</f>
        <v>46379.678939999998</v>
      </c>
      <c r="AA92" s="65">
        <f>SUM(A:B!AA92)</f>
        <v>46379.678939999998</v>
      </c>
      <c r="AB92" s="65">
        <f>SUM(A:B!AB92)</f>
        <v>46379.678939999998</v>
      </c>
      <c r="AC92" s="65">
        <f>SUM(A:B!AC92)</f>
        <v>46379.678939999998</v>
      </c>
      <c r="AD92" s="65">
        <f>SUM(A:B!AD92)</f>
        <v>46379.678939999998</v>
      </c>
      <c r="AE92" s="65">
        <f>SUM(A:B!AE92)</f>
        <v>46379.678939999998</v>
      </c>
      <c r="AF92" s="65">
        <f>SUM(A:B!AF92)</f>
        <v>46379.678939999998</v>
      </c>
      <c r="AG92" s="65">
        <f>SUM(A:B!AG92)</f>
        <v>46379.678939999998</v>
      </c>
      <c r="AH92" s="65">
        <f>SUM(A:B!AH92)</f>
        <v>46379.678939999998</v>
      </c>
      <c r="AI92" s="65">
        <f>SUM(A:B!AI92)</f>
        <v>46379.678939999998</v>
      </c>
      <c r="AJ92" s="65">
        <f>SUM(A:B!AJ92)</f>
        <v>46379.678939999998</v>
      </c>
      <c r="AK92" s="65">
        <f t="shared" ref="AK92:AK146" si="40">SUM(Y92:AJ92)</f>
        <v>556556.14728000003</v>
      </c>
      <c r="AL92" s="73">
        <f t="shared" si="31"/>
        <v>1.5511633831001605E-3</v>
      </c>
      <c r="AM92" s="14">
        <f t="shared" si="7"/>
        <v>5.6685801122935864E-2</v>
      </c>
      <c r="AN92" s="9"/>
    </row>
    <row r="93" spans="1:43" hidden="1" outlineLevel="1">
      <c r="A93" s="12" t="s">
        <v>196</v>
      </c>
      <c r="B93" s="8" t="s">
        <v>89</v>
      </c>
      <c r="I93" s="223" t="s">
        <v>200</v>
      </c>
      <c r="J93" s="65">
        <f>SUM(A:B!J93)</f>
        <v>11896</v>
      </c>
      <c r="K93" s="65">
        <f>SUM(A:B!K93)</f>
        <v>12287</v>
      </c>
      <c r="L93" s="65">
        <f>SUM(A:B!L93)</f>
        <v>12044</v>
      </c>
      <c r="M93" s="65">
        <f>SUM(A:B!M93)</f>
        <v>0</v>
      </c>
      <c r="N93" s="65">
        <f>SUM(A:B!N93)</f>
        <v>12287</v>
      </c>
      <c r="O93" s="65">
        <f>SUM(A:B!O93)</f>
        <v>0</v>
      </c>
      <c r="P93" s="65">
        <f>SUM(A:B!P93)</f>
        <v>0</v>
      </c>
      <c r="Q93" s="65">
        <f>SUM(A:B!Q93)</f>
        <v>0</v>
      </c>
      <c r="R93" s="65">
        <f>SUM(A:B!R93)</f>
        <v>12865</v>
      </c>
      <c r="S93" s="65">
        <f>SUM(A:B!S93)</f>
        <v>0</v>
      </c>
      <c r="T93" s="65">
        <f>SUM(A:B!T93)</f>
        <v>3216.25</v>
      </c>
      <c r="U93" s="65">
        <f>SUM(A:B!U93)</f>
        <v>4020.3125</v>
      </c>
      <c r="V93" s="11">
        <f t="shared" si="39"/>
        <v>68615.5625</v>
      </c>
      <c r="W93" s="73">
        <f t="shared" si="30"/>
        <v>2.08170585717618E-4</v>
      </c>
      <c r="X93" s="89"/>
      <c r="Y93" s="65">
        <f>SUM(A:B!Y93)</f>
        <v>13569.807938399998</v>
      </c>
      <c r="Z93" s="65">
        <f>SUM(A:B!Z93)</f>
        <v>13569.807938399998</v>
      </c>
      <c r="AA93" s="65">
        <f>SUM(A:B!AA93)</f>
        <v>13569.807938399998</v>
      </c>
      <c r="AB93" s="65">
        <f>SUM(A:B!AB93)</f>
        <v>0</v>
      </c>
      <c r="AC93" s="65">
        <f>SUM(A:B!AC93)</f>
        <v>13569.807938399998</v>
      </c>
      <c r="AD93" s="65">
        <f>SUM(A:B!AD93)</f>
        <v>0</v>
      </c>
      <c r="AE93" s="65">
        <f>SUM(A:B!AE93)</f>
        <v>0</v>
      </c>
      <c r="AF93" s="65">
        <f>SUM(A:B!AF93)</f>
        <v>0</v>
      </c>
      <c r="AG93" s="65">
        <f>SUM(A:B!AG93)</f>
        <v>13569.807938399998</v>
      </c>
      <c r="AH93" s="65">
        <f>SUM(A:B!AH93)</f>
        <v>0</v>
      </c>
      <c r="AI93" s="65">
        <f>SUM(A:B!AI93)</f>
        <v>13569.807938399998</v>
      </c>
      <c r="AJ93" s="65">
        <f>SUM(A:B!AJ93)</f>
        <v>13569.807938399998</v>
      </c>
      <c r="AK93" s="65">
        <f t="shared" si="40"/>
        <v>94988.655568799993</v>
      </c>
      <c r="AL93" s="73">
        <f t="shared" si="31"/>
        <v>2.6474044900650132E-4</v>
      </c>
      <c r="AM93" s="14">
        <f t="shared" si="7"/>
        <v>0.38436022540513304</v>
      </c>
      <c r="AN93" s="9"/>
    </row>
    <row r="94" spans="1:43" hidden="1" outlineLevel="1">
      <c r="A94" s="12" t="s">
        <v>196</v>
      </c>
      <c r="B94" s="8" t="s">
        <v>89</v>
      </c>
      <c r="I94" s="223" t="s">
        <v>201</v>
      </c>
      <c r="J94" s="65">
        <f>SUM(A:B!J94)</f>
        <v>17158</v>
      </c>
      <c r="K94" s="65">
        <f>SUM(A:B!K94)</f>
        <v>15186</v>
      </c>
      <c r="L94" s="65">
        <f>SUM(A:B!L94)</f>
        <v>17183</v>
      </c>
      <c r="M94" s="65">
        <f>SUM(A:B!M94)</f>
        <v>16371</v>
      </c>
      <c r="N94" s="65">
        <f>SUM(A:B!N94)</f>
        <v>16875</v>
      </c>
      <c r="O94" s="65">
        <f>SUM(A:B!O94)</f>
        <v>16430</v>
      </c>
      <c r="P94" s="65">
        <f>SUM(A:B!P94)</f>
        <v>16396</v>
      </c>
      <c r="Q94" s="65">
        <f>SUM(A:B!Q94)</f>
        <v>15630</v>
      </c>
      <c r="R94" s="65">
        <f>SUM(A:B!R94)</f>
        <v>16874</v>
      </c>
      <c r="S94" s="65">
        <f>SUM(A:B!S94)</f>
        <v>17059</v>
      </c>
      <c r="T94" s="65">
        <f>SUM(A:B!T94)</f>
        <v>16489.75</v>
      </c>
      <c r="U94" s="65">
        <f>SUM(A:B!U94)</f>
        <v>16513.1875</v>
      </c>
      <c r="V94" s="11">
        <f t="shared" si="39"/>
        <v>198164.9375</v>
      </c>
      <c r="W94" s="73">
        <f t="shared" si="30"/>
        <v>6.0120633869423083E-4</v>
      </c>
      <c r="X94" s="89"/>
      <c r="Y94" s="65">
        <f>SUM(A:B!Y94)</f>
        <v>18929.882074067998</v>
      </c>
      <c r="Z94" s="65">
        <f>SUM(A:B!Z94)</f>
        <v>17097.958002383999</v>
      </c>
      <c r="AA94" s="65">
        <f>SUM(A:B!AA94)</f>
        <v>18929.882074067998</v>
      </c>
      <c r="AB94" s="65">
        <f>SUM(A:B!AB94)</f>
        <v>18319.240716840002</v>
      </c>
      <c r="AC94" s="65">
        <f>SUM(A:B!AC94)</f>
        <v>18929.882074067998</v>
      </c>
      <c r="AD94" s="65">
        <f>SUM(A:B!AD94)</f>
        <v>18319.240716840002</v>
      </c>
      <c r="AE94" s="65">
        <f>SUM(A:B!AE94)</f>
        <v>18929.882074067998</v>
      </c>
      <c r="AF94" s="65">
        <f>SUM(A:B!AF94)</f>
        <v>18929.882074067998</v>
      </c>
      <c r="AG94" s="65">
        <f>SUM(A:B!AG94)</f>
        <v>18319.240716840002</v>
      </c>
      <c r="AH94" s="65">
        <f>SUM(A:B!AH94)</f>
        <v>18929.882074067998</v>
      </c>
      <c r="AI94" s="65">
        <f>SUM(A:B!AI94)</f>
        <v>18319.240716840002</v>
      </c>
      <c r="AJ94" s="65">
        <f>SUM(A:B!AJ94)</f>
        <v>18929.882074067998</v>
      </c>
      <c r="AK94" s="65">
        <f t="shared" si="40"/>
        <v>222884.09538822001</v>
      </c>
      <c r="AL94" s="73">
        <f t="shared" si="31"/>
        <v>6.2119455356168362E-4</v>
      </c>
      <c r="AM94" s="14">
        <f t="shared" ref="AM94:AM158" si="41">IFERROR(AK94/V94-1,0)</f>
        <v>0.12474032086639952</v>
      </c>
      <c r="AN94" s="9"/>
    </row>
    <row r="95" spans="1:43" hidden="1" outlineLevel="1">
      <c r="A95" s="12" t="s">
        <v>196</v>
      </c>
      <c r="B95" s="8" t="s">
        <v>89</v>
      </c>
      <c r="I95" s="223" t="s">
        <v>202</v>
      </c>
      <c r="J95" s="65">
        <f>SUM(A:B!J95)</f>
        <v>0</v>
      </c>
      <c r="K95" s="65">
        <f>SUM(A:B!K95)</f>
        <v>0</v>
      </c>
      <c r="L95" s="65">
        <f>SUM(A:B!L95)</f>
        <v>0</v>
      </c>
      <c r="M95" s="65">
        <f>SUM(A:B!M95)</f>
        <v>0</v>
      </c>
      <c r="N95" s="65">
        <f>SUM(A:B!N95)</f>
        <v>0</v>
      </c>
      <c r="O95" s="65">
        <f>SUM(A:B!O95)</f>
        <v>0</v>
      </c>
      <c r="P95" s="65">
        <f>SUM(A:B!P95)</f>
        <v>0</v>
      </c>
      <c r="Q95" s="65">
        <f>SUM(A:B!Q95)</f>
        <v>55943</v>
      </c>
      <c r="R95" s="65">
        <f>SUM(A:B!R95)</f>
        <v>0</v>
      </c>
      <c r="S95" s="65">
        <f>SUM(A:B!S95)</f>
        <v>0</v>
      </c>
      <c r="T95" s="65">
        <f>SUM(A:B!T95)</f>
        <v>18647.666666666664</v>
      </c>
      <c r="U95" s="65">
        <f>SUM(A:B!U95)</f>
        <v>24863.555555555555</v>
      </c>
      <c r="V95" s="11">
        <f t="shared" si="39"/>
        <v>99454.222222222219</v>
      </c>
      <c r="W95" s="73">
        <f t="shared" si="30"/>
        <v>3.0173102045312445E-4</v>
      </c>
      <c r="X95" s="89"/>
      <c r="Y95" s="65">
        <f>SUM(A:B!Y95)</f>
        <v>0</v>
      </c>
      <c r="Z95" s="65">
        <f>SUM(A:B!Z95)</f>
        <v>0</v>
      </c>
      <c r="AA95" s="65">
        <f>SUM(A:B!AA95)</f>
        <v>0</v>
      </c>
      <c r="AB95" s="65">
        <f>SUM(A:B!AB95)</f>
        <v>0</v>
      </c>
      <c r="AC95" s="65">
        <f>SUM(A:B!AC95)</f>
        <v>0</v>
      </c>
      <c r="AD95" s="65">
        <f>SUM(A:B!AD95)</f>
        <v>0</v>
      </c>
      <c r="AE95" s="65">
        <f>SUM(A:B!AE95)</f>
        <v>0</v>
      </c>
      <c r="AF95" s="65">
        <f>SUM(A:B!AF95)</f>
        <v>0</v>
      </c>
      <c r="AG95" s="65">
        <f>SUM(A:B!AG95)</f>
        <v>0</v>
      </c>
      <c r="AH95" s="65">
        <f>SUM(A:B!AH95)</f>
        <v>0</v>
      </c>
      <c r="AI95" s="65">
        <f>SUM(A:B!AI95)</f>
        <v>0</v>
      </c>
      <c r="AJ95" s="65">
        <f>SUM(A:B!AJ95)</f>
        <v>0</v>
      </c>
      <c r="AK95" s="65">
        <f t="shared" si="40"/>
        <v>0</v>
      </c>
      <c r="AL95" s="73">
        <f t="shared" si="31"/>
        <v>0</v>
      </c>
      <c r="AM95" s="14">
        <f t="shared" si="41"/>
        <v>-1</v>
      </c>
      <c r="AN95" s="9"/>
    </row>
    <row r="96" spans="1:43" hidden="1" outlineLevel="1">
      <c r="A96" s="12" t="s">
        <v>196</v>
      </c>
      <c r="B96" s="8" t="s">
        <v>89</v>
      </c>
      <c r="I96" s="223" t="s">
        <v>203</v>
      </c>
      <c r="J96" s="65">
        <f>SUM(A:B!J96)</f>
        <v>28662</v>
      </c>
      <c r="K96" s="65">
        <f>SUM(A:B!K96)</f>
        <v>26477</v>
      </c>
      <c r="L96" s="65">
        <f>SUM(A:B!L96)</f>
        <v>30215</v>
      </c>
      <c r="M96" s="65">
        <f>SUM(A:B!M96)</f>
        <v>26182</v>
      </c>
      <c r="N96" s="65">
        <f>SUM(A:B!N96)</f>
        <v>29569</v>
      </c>
      <c r="O96" s="65">
        <f>SUM(A:B!O96)</f>
        <v>29292</v>
      </c>
      <c r="P96" s="65">
        <f>SUM(A:B!P96)</f>
        <v>26945</v>
      </c>
      <c r="Q96" s="65">
        <f>SUM(A:B!Q96)</f>
        <v>27036</v>
      </c>
      <c r="R96" s="65">
        <f>SUM(A:B!R96)</f>
        <v>29731</v>
      </c>
      <c r="S96" s="65">
        <f>SUM(A:B!S96)</f>
        <v>29729</v>
      </c>
      <c r="T96" s="65">
        <f>SUM(A:B!T96)</f>
        <v>28360.25</v>
      </c>
      <c r="U96" s="65">
        <f>SUM(A:B!U96)</f>
        <v>28714.0625</v>
      </c>
      <c r="V96" s="11">
        <f t="shared" si="39"/>
        <v>340912.3125</v>
      </c>
      <c r="W96" s="73">
        <f t="shared" si="30"/>
        <v>1.0342830866025856E-3</v>
      </c>
      <c r="X96" s="89"/>
      <c r="Y96" s="65">
        <f>SUM(A:B!Y96)</f>
        <v>29417.962119999997</v>
      </c>
      <c r="Z96" s="65">
        <f>SUM(A:B!Z96)</f>
        <v>26571.062559999991</v>
      </c>
      <c r="AA96" s="65">
        <f>SUM(A:B!AA96)</f>
        <v>29417.962119999997</v>
      </c>
      <c r="AB96" s="65">
        <f>SUM(A:B!AB96)</f>
        <v>28468.995599999995</v>
      </c>
      <c r="AC96" s="65">
        <f>SUM(A:B!AC96)</f>
        <v>29417.962119999997</v>
      </c>
      <c r="AD96" s="65">
        <f>SUM(A:B!AD96)</f>
        <v>28468.995599999995</v>
      </c>
      <c r="AE96" s="65">
        <f>SUM(A:B!AE96)</f>
        <v>29417.962119999997</v>
      </c>
      <c r="AF96" s="65">
        <f>SUM(A:B!AF96)</f>
        <v>29417.962119999997</v>
      </c>
      <c r="AG96" s="65">
        <f>SUM(A:B!AG96)</f>
        <v>28468.995599999995</v>
      </c>
      <c r="AH96" s="65">
        <f>SUM(A:B!AH96)</f>
        <v>29417.962119999997</v>
      </c>
      <c r="AI96" s="65">
        <f>SUM(A:B!AI96)</f>
        <v>28468.995599999995</v>
      </c>
      <c r="AJ96" s="65">
        <f>SUM(A:B!AJ96)</f>
        <v>29417.962119999997</v>
      </c>
      <c r="AK96" s="65">
        <f t="shared" si="40"/>
        <v>346372.77979999996</v>
      </c>
      <c r="AL96" s="73">
        <f t="shared" si="31"/>
        <v>9.653667029897563E-4</v>
      </c>
      <c r="AM96" s="14">
        <f t="shared" si="41"/>
        <v>1.6017219383943404E-2</v>
      </c>
      <c r="AN96" s="9"/>
    </row>
    <row r="97" spans="1:42" hidden="1" outlineLevel="1">
      <c r="A97" s="12" t="s">
        <v>196</v>
      </c>
      <c r="B97" s="8" t="s">
        <v>89</v>
      </c>
      <c r="I97" s="223" t="s">
        <v>204</v>
      </c>
      <c r="J97" s="65">
        <f>SUM(A:B!J97)</f>
        <v>23699</v>
      </c>
      <c r="K97" s="65">
        <f>SUM(A:B!K97)</f>
        <v>22711</v>
      </c>
      <c r="L97" s="65">
        <f>SUM(A:B!L97)</f>
        <v>25639</v>
      </c>
      <c r="M97" s="65">
        <f>SUM(A:B!M97)</f>
        <v>21887</v>
      </c>
      <c r="N97" s="65">
        <f>SUM(A:B!N97)</f>
        <v>25914</v>
      </c>
      <c r="O97" s="65">
        <f>SUM(A:B!O97)</f>
        <v>25554</v>
      </c>
      <c r="P97" s="65">
        <f>SUM(A:B!P97)</f>
        <v>24027</v>
      </c>
      <c r="Q97" s="65">
        <f>SUM(A:B!Q97)</f>
        <v>23205</v>
      </c>
      <c r="R97" s="65">
        <f>SUM(A:B!R97)</f>
        <v>26819</v>
      </c>
      <c r="S97" s="65">
        <f>SUM(A:B!S97)</f>
        <v>27430</v>
      </c>
      <c r="T97" s="65">
        <f>SUM(A:B!T97)</f>
        <v>25370.25</v>
      </c>
      <c r="U97" s="65">
        <f>SUM(A:B!U97)</f>
        <v>25706.0625</v>
      </c>
      <c r="V97" s="11">
        <f t="shared" si="39"/>
        <v>297961.3125</v>
      </c>
      <c r="W97" s="73">
        <f t="shared" si="30"/>
        <v>9.0397540564234556E-4</v>
      </c>
      <c r="X97" s="89"/>
      <c r="Y97" s="65">
        <f>SUM(A:B!Y97)</f>
        <v>26061.30816</v>
      </c>
      <c r="Z97" s="65">
        <f>SUM(A:B!Z97)</f>
        <v>23539.246079999997</v>
      </c>
      <c r="AA97" s="65">
        <f>SUM(A:B!AA97)</f>
        <v>26061.30816</v>
      </c>
      <c r="AB97" s="65">
        <f>SUM(A:B!AB97)</f>
        <v>25220.620800000004</v>
      </c>
      <c r="AC97" s="65">
        <f>SUM(A:B!AC97)</f>
        <v>26061.30816</v>
      </c>
      <c r="AD97" s="65">
        <f>SUM(A:B!AD97)</f>
        <v>25220.620800000004</v>
      </c>
      <c r="AE97" s="65">
        <f>SUM(A:B!AE97)</f>
        <v>26061.30816</v>
      </c>
      <c r="AF97" s="65">
        <f>SUM(A:B!AF97)</f>
        <v>26061.30816</v>
      </c>
      <c r="AG97" s="65">
        <f>SUM(A:B!AG97)</f>
        <v>25220.620800000004</v>
      </c>
      <c r="AH97" s="65">
        <f>SUM(A:B!AH97)</f>
        <v>26061.30816</v>
      </c>
      <c r="AI97" s="65">
        <f>SUM(A:B!AI97)</f>
        <v>25220.620800000004</v>
      </c>
      <c r="AJ97" s="65">
        <f>SUM(A:B!AJ97)</f>
        <v>26061.30816</v>
      </c>
      <c r="AK97" s="65">
        <f t="shared" si="40"/>
        <v>306850.88640000008</v>
      </c>
      <c r="AL97" s="73">
        <f t="shared" si="31"/>
        <v>8.5521624616257546E-4</v>
      </c>
      <c r="AM97" s="14">
        <f t="shared" si="41"/>
        <v>2.98346581487825E-2</v>
      </c>
      <c r="AN97" s="9"/>
    </row>
    <row r="98" spans="1:42" hidden="1" outlineLevel="1">
      <c r="A98" s="12" t="s">
        <v>196</v>
      </c>
      <c r="B98" s="8" t="s">
        <v>89</v>
      </c>
      <c r="I98" s="226" t="s">
        <v>205</v>
      </c>
      <c r="J98" s="65">
        <f>SUM(A:B!J98)</f>
        <v>0</v>
      </c>
      <c r="K98" s="65">
        <f>SUM(A:B!K98)</f>
        <v>0</v>
      </c>
      <c r="L98" s="65">
        <f>SUM(A:B!L98)</f>
        <v>0</v>
      </c>
      <c r="M98" s="65">
        <f>SUM(A:B!M98)</f>
        <v>0</v>
      </c>
      <c r="N98" s="65">
        <f>SUM(A:B!N98)</f>
        <v>0</v>
      </c>
      <c r="O98" s="65">
        <f>SUM(A:B!O98)</f>
        <v>0</v>
      </c>
      <c r="P98" s="65">
        <f>SUM(A:B!P98)</f>
        <v>0</v>
      </c>
      <c r="Q98" s="65">
        <f>SUM(A:B!Q98)</f>
        <v>0</v>
      </c>
      <c r="R98" s="65">
        <f>SUM(A:B!R98)</f>
        <v>0</v>
      </c>
      <c r="S98" s="65">
        <f>SUM(A:B!S98)</f>
        <v>0</v>
      </c>
      <c r="T98" s="65">
        <f>SUM(A:B!T98)</f>
        <v>0</v>
      </c>
      <c r="U98" s="65">
        <f>SUM(A:B!U98)</f>
        <v>0</v>
      </c>
      <c r="V98" s="11">
        <f t="shared" si="39"/>
        <v>0</v>
      </c>
      <c r="W98" s="73">
        <f t="shared" si="30"/>
        <v>0</v>
      </c>
      <c r="X98" s="89"/>
      <c r="Y98" s="65">
        <f>SUM(A:B!Y98)</f>
        <v>0</v>
      </c>
      <c r="Z98" s="65">
        <f>SUM(A:B!Z98)</f>
        <v>0</v>
      </c>
      <c r="AA98" s="65">
        <f>SUM(A:B!AA98)</f>
        <v>0</v>
      </c>
      <c r="AB98" s="65">
        <f>SUM(A:B!AB98)</f>
        <v>0</v>
      </c>
      <c r="AC98" s="65">
        <f>SUM(A:B!AC98)</f>
        <v>0</v>
      </c>
      <c r="AD98" s="65">
        <f>SUM(A:B!AD98)</f>
        <v>0</v>
      </c>
      <c r="AE98" s="65">
        <f>SUM(A:B!AE98)</f>
        <v>0</v>
      </c>
      <c r="AF98" s="65">
        <f>SUM(A:B!AF98)</f>
        <v>0</v>
      </c>
      <c r="AG98" s="65">
        <f>SUM(A:B!AG98)</f>
        <v>0</v>
      </c>
      <c r="AH98" s="65">
        <f>SUM(A:B!AH98)</f>
        <v>0</v>
      </c>
      <c r="AI98" s="65">
        <f>SUM(A:B!AI98)</f>
        <v>0</v>
      </c>
      <c r="AJ98" s="65">
        <f>SUM(A:B!AJ98)</f>
        <v>0</v>
      </c>
      <c r="AK98" s="65">
        <f t="shared" si="40"/>
        <v>0</v>
      </c>
      <c r="AL98" s="73">
        <f t="shared" si="31"/>
        <v>0</v>
      </c>
      <c r="AM98" s="14">
        <f t="shared" si="41"/>
        <v>0</v>
      </c>
      <c r="AN98" s="9"/>
    </row>
    <row r="99" spans="1:42" hidden="1" outlineLevel="1">
      <c r="A99" s="12" t="s">
        <v>196</v>
      </c>
      <c r="B99" s="8" t="s">
        <v>89</v>
      </c>
      <c r="I99" s="223" t="s">
        <v>206</v>
      </c>
      <c r="J99" s="65">
        <f>SUM(A:B!J99)</f>
        <v>7488</v>
      </c>
      <c r="K99" s="65">
        <f>SUM(A:B!K99)</f>
        <v>6640</v>
      </c>
      <c r="L99" s="65">
        <f>SUM(A:B!L99)</f>
        <v>6918</v>
      </c>
      <c r="M99" s="65">
        <f>SUM(A:B!M99)</f>
        <v>6659</v>
      </c>
      <c r="N99" s="65">
        <f>SUM(A:B!N99)</f>
        <v>6578</v>
      </c>
      <c r="O99" s="65">
        <f>SUM(A:B!O99)</f>
        <v>6602</v>
      </c>
      <c r="P99" s="65">
        <f>SUM(A:B!P99)</f>
        <v>6671</v>
      </c>
      <c r="Q99" s="65">
        <f>SUM(A:B!Q99)</f>
        <v>6439</v>
      </c>
      <c r="R99" s="65">
        <f>SUM(A:B!R99)</f>
        <v>6846</v>
      </c>
      <c r="S99" s="65">
        <f>SUM(A:B!S99)</f>
        <v>6455</v>
      </c>
      <c r="T99" s="65">
        <f>SUM(A:B!T99)</f>
        <v>6602.75</v>
      </c>
      <c r="U99" s="65">
        <f>SUM(A:B!U99)</f>
        <v>6585.6875</v>
      </c>
      <c r="V99" s="11">
        <f t="shared" si="39"/>
        <v>80484.4375</v>
      </c>
      <c r="W99" s="73">
        <f t="shared" si="30"/>
        <v>2.4417919033350516E-4</v>
      </c>
      <c r="X99" s="89"/>
      <c r="Y99" s="65">
        <f>SUM(A:B!Y99)</f>
        <v>7827.3484967999993</v>
      </c>
      <c r="Z99" s="65">
        <f>SUM(A:B!Z99)</f>
        <v>7069.8631583999986</v>
      </c>
      <c r="AA99" s="65">
        <f>SUM(A:B!AA99)</f>
        <v>7827.3484967999993</v>
      </c>
      <c r="AB99" s="65">
        <f>SUM(A:B!AB99)</f>
        <v>7574.8533839999982</v>
      </c>
      <c r="AC99" s="65">
        <f>SUM(A:B!AC99)</f>
        <v>7827.3484967999993</v>
      </c>
      <c r="AD99" s="65">
        <f>SUM(A:B!AD99)</f>
        <v>7574.8533839999982</v>
      </c>
      <c r="AE99" s="65">
        <f>SUM(A:B!AE99)</f>
        <v>7827.3484967999993</v>
      </c>
      <c r="AF99" s="65">
        <f>SUM(A:B!AF99)</f>
        <v>7827.3484967999993</v>
      </c>
      <c r="AG99" s="65">
        <f>SUM(A:B!AG99)</f>
        <v>7574.8533839999982</v>
      </c>
      <c r="AH99" s="65">
        <f>SUM(A:B!AH99)</f>
        <v>7827.3484967999993</v>
      </c>
      <c r="AI99" s="65">
        <f>SUM(A:B!AI99)</f>
        <v>7574.8533839999982</v>
      </c>
      <c r="AJ99" s="65">
        <f>SUM(A:B!AJ99)</f>
        <v>7827.3484967999993</v>
      </c>
      <c r="AK99" s="65">
        <f t="shared" si="40"/>
        <v>92160.716171999986</v>
      </c>
      <c r="AL99" s="73">
        <f t="shared" si="31"/>
        <v>2.5685877154524127E-4</v>
      </c>
      <c r="AM99" s="14">
        <f t="shared" si="41"/>
        <v>0.14507498635372817</v>
      </c>
      <c r="AN99" s="9"/>
    </row>
    <row r="100" spans="1:42" hidden="1" outlineLevel="1">
      <c r="A100" s="12" t="s">
        <v>196</v>
      </c>
      <c r="B100" s="8" t="s">
        <v>89</v>
      </c>
      <c r="I100" s="223" t="s">
        <v>207</v>
      </c>
      <c r="J100" s="65">
        <f>SUM(A:B!J100)</f>
        <v>2923</v>
      </c>
      <c r="K100" s="65">
        <f>SUM(A:B!K100)</f>
        <v>2385</v>
      </c>
      <c r="L100" s="65">
        <f>SUM(A:B!L100)</f>
        <v>2660</v>
      </c>
      <c r="M100" s="65">
        <f>SUM(A:B!M100)</f>
        <v>2620</v>
      </c>
      <c r="N100" s="65">
        <f>SUM(A:B!N100)</f>
        <v>2743</v>
      </c>
      <c r="O100" s="65">
        <f>SUM(A:B!O100)</f>
        <v>2625</v>
      </c>
      <c r="P100" s="65">
        <f>SUM(A:B!P100)</f>
        <v>2682</v>
      </c>
      <c r="Q100" s="65">
        <f>SUM(A:B!Q100)</f>
        <v>2809</v>
      </c>
      <c r="R100" s="65">
        <f>SUM(A:B!R100)</f>
        <v>2879</v>
      </c>
      <c r="S100" s="65">
        <f>SUM(A:B!S100)</f>
        <v>3013</v>
      </c>
      <c r="T100" s="65">
        <f>SUM(A:B!T100)</f>
        <v>2845.75</v>
      </c>
      <c r="U100" s="65">
        <f>SUM(A:B!U100)</f>
        <v>2886.6875</v>
      </c>
      <c r="V100" s="11">
        <f t="shared" si="39"/>
        <v>33071.4375</v>
      </c>
      <c r="W100" s="73">
        <f t="shared" si="30"/>
        <v>1.0033438864395517E-4</v>
      </c>
      <c r="X100" s="89"/>
      <c r="Y100" s="65">
        <f>SUM(A:B!Y100)</f>
        <v>3121.3656387986302</v>
      </c>
      <c r="Z100" s="65">
        <f>SUM(A:B!Z100)</f>
        <v>2819.2979963342468</v>
      </c>
      <c r="AA100" s="65">
        <f>SUM(A:B!AA100)</f>
        <v>3121.3656387986302</v>
      </c>
      <c r="AB100" s="65">
        <f>SUM(A:B!AB100)</f>
        <v>3020.6764246438356</v>
      </c>
      <c r="AC100" s="65">
        <f>SUM(A:B!AC100)</f>
        <v>3121.3656387986302</v>
      </c>
      <c r="AD100" s="65">
        <f>SUM(A:B!AD100)</f>
        <v>3020.6764246438356</v>
      </c>
      <c r="AE100" s="65">
        <f>SUM(A:B!AE100)</f>
        <v>3121.3656387986302</v>
      </c>
      <c r="AF100" s="65">
        <f>SUM(A:B!AF100)</f>
        <v>3121.3656387986302</v>
      </c>
      <c r="AG100" s="65">
        <f>SUM(A:B!AG100)</f>
        <v>3020.6764246438356</v>
      </c>
      <c r="AH100" s="65">
        <f>SUM(A:B!AH100)</f>
        <v>3121.3656387986302</v>
      </c>
      <c r="AI100" s="65">
        <f>SUM(A:B!AI100)</f>
        <v>3020.6764246438356</v>
      </c>
      <c r="AJ100" s="65">
        <f>SUM(A:B!AJ100)</f>
        <v>3121.3656387986302</v>
      </c>
      <c r="AK100" s="65">
        <f t="shared" si="40"/>
        <v>36751.563166499996</v>
      </c>
      <c r="AL100" s="73">
        <f t="shared" si="31"/>
        <v>1.0242934038942016E-4</v>
      </c>
      <c r="AM100" s="14">
        <f t="shared" si="41"/>
        <v>0.11127806786445249</v>
      </c>
      <c r="AN100" s="9"/>
    </row>
    <row r="101" spans="1:42" hidden="1" outlineLevel="1">
      <c r="A101" s="12" t="s">
        <v>196</v>
      </c>
      <c r="B101" s="8" t="s">
        <v>89</v>
      </c>
      <c r="I101" s="223" t="s">
        <v>208</v>
      </c>
      <c r="J101" s="65">
        <f>SUM(A:B!J101)</f>
        <v>0</v>
      </c>
      <c r="K101" s="65">
        <f>SUM(A:B!K101)</f>
        <v>0</v>
      </c>
      <c r="L101" s="65">
        <f>SUM(A:B!L101)</f>
        <v>5586</v>
      </c>
      <c r="M101" s="65">
        <f>SUM(A:B!M101)</f>
        <v>0</v>
      </c>
      <c r="N101" s="65">
        <f>SUM(A:B!N101)</f>
        <v>0</v>
      </c>
      <c r="O101" s="65">
        <f>SUM(A:B!O101)</f>
        <v>9444</v>
      </c>
      <c r="P101" s="65">
        <f>SUM(A:B!P101)</f>
        <v>0</v>
      </c>
      <c r="Q101" s="65">
        <f>SUM(A:B!Q101)</f>
        <v>6080</v>
      </c>
      <c r="R101" s="65">
        <f>SUM(A:B!R101)</f>
        <v>0</v>
      </c>
      <c r="S101" s="65">
        <f>SUM(A:B!S101)</f>
        <v>0</v>
      </c>
      <c r="T101" s="65">
        <f>SUM(A:B!T101)</f>
        <v>1520</v>
      </c>
      <c r="U101" s="65">
        <f>SUM(A:B!U101)</f>
        <v>1900</v>
      </c>
      <c r="V101" s="11">
        <f t="shared" si="39"/>
        <v>24530</v>
      </c>
      <c r="W101" s="73">
        <f t="shared" si="30"/>
        <v>7.4420791458980896E-5</v>
      </c>
      <c r="X101" s="89"/>
      <c r="Y101" s="65">
        <f>SUM(A:B!Y101)</f>
        <v>0</v>
      </c>
      <c r="Z101" s="65">
        <f>SUM(A:B!Z101)</f>
        <v>0</v>
      </c>
      <c r="AA101" s="65">
        <f>SUM(A:B!AA101)</f>
        <v>0</v>
      </c>
      <c r="AB101" s="65">
        <f>SUM(A:B!AB101)</f>
        <v>0</v>
      </c>
      <c r="AC101" s="65">
        <f>SUM(A:B!AC101)</f>
        <v>0</v>
      </c>
      <c r="AD101" s="65">
        <f>SUM(A:B!AD101)</f>
        <v>0</v>
      </c>
      <c r="AE101" s="65">
        <f>SUM(A:B!AE101)</f>
        <v>0</v>
      </c>
      <c r="AF101" s="65">
        <f>SUM(A:B!AF101)</f>
        <v>0</v>
      </c>
      <c r="AG101" s="65">
        <f>SUM(A:B!AG101)</f>
        <v>0</v>
      </c>
      <c r="AH101" s="65">
        <f>SUM(A:B!AH101)</f>
        <v>0</v>
      </c>
      <c r="AI101" s="65">
        <f>SUM(A:B!AI101)</f>
        <v>0</v>
      </c>
      <c r="AJ101" s="65">
        <f>SUM(A:B!AJ101)</f>
        <v>0</v>
      </c>
      <c r="AK101" s="65">
        <f t="shared" si="40"/>
        <v>0</v>
      </c>
      <c r="AL101" s="73">
        <f t="shared" si="31"/>
        <v>0</v>
      </c>
      <c r="AM101" s="14">
        <f t="shared" si="41"/>
        <v>-1</v>
      </c>
      <c r="AN101" s="9"/>
    </row>
    <row r="102" spans="1:42" hidden="1" outlineLevel="1">
      <c r="A102" s="12" t="s">
        <v>196</v>
      </c>
      <c r="B102" s="8" t="s">
        <v>89</v>
      </c>
      <c r="I102" s="223" t="s">
        <v>209</v>
      </c>
      <c r="J102" s="65">
        <f>SUM(A:B!J102)</f>
        <v>0</v>
      </c>
      <c r="K102" s="65">
        <f>SUM(A:B!K102)</f>
        <v>0</v>
      </c>
      <c r="L102" s="65">
        <f>SUM(A:B!L102)</f>
        <v>0</v>
      </c>
      <c r="M102" s="65">
        <f>SUM(A:B!M102)</f>
        <v>0</v>
      </c>
      <c r="N102" s="65">
        <f>SUM(A:B!N102)</f>
        <v>0</v>
      </c>
      <c r="O102" s="65">
        <f>SUM(A:B!O102)</f>
        <v>0</v>
      </c>
      <c r="P102" s="65">
        <f>SUM(A:B!P102)</f>
        <v>0</v>
      </c>
      <c r="Q102" s="65">
        <f>SUM(A:B!Q102)</f>
        <v>0</v>
      </c>
      <c r="R102" s="65">
        <f>SUM(A:B!R102)</f>
        <v>0</v>
      </c>
      <c r="S102" s="65">
        <f>SUM(A:B!S102)</f>
        <v>0</v>
      </c>
      <c r="T102" s="65">
        <f>SUM(A:B!T102)</f>
        <v>0</v>
      </c>
      <c r="U102" s="65">
        <f>SUM(A:B!U102)</f>
        <v>0</v>
      </c>
      <c r="V102" s="11">
        <f t="shared" si="39"/>
        <v>0</v>
      </c>
      <c r="W102" s="73">
        <f t="shared" si="30"/>
        <v>0</v>
      </c>
      <c r="X102" s="89"/>
      <c r="Y102" s="65">
        <f>SUM(A:B!Y102)</f>
        <v>0</v>
      </c>
      <c r="Z102" s="65">
        <f>SUM(A:B!Z102)</f>
        <v>0</v>
      </c>
      <c r="AA102" s="65">
        <f>SUM(A:B!AA102)</f>
        <v>0</v>
      </c>
      <c r="AB102" s="65">
        <f>SUM(A:B!AB102)</f>
        <v>0</v>
      </c>
      <c r="AC102" s="65">
        <f>SUM(A:B!AC102)</f>
        <v>0</v>
      </c>
      <c r="AD102" s="65">
        <f>SUM(A:B!AD102)</f>
        <v>0</v>
      </c>
      <c r="AE102" s="65">
        <f>SUM(A:B!AE102)</f>
        <v>0</v>
      </c>
      <c r="AF102" s="65">
        <f>SUM(A:B!AF102)</f>
        <v>0</v>
      </c>
      <c r="AG102" s="65">
        <f>SUM(A:B!AG102)</f>
        <v>0</v>
      </c>
      <c r="AH102" s="65">
        <f>SUM(A:B!AH102)</f>
        <v>0</v>
      </c>
      <c r="AI102" s="65">
        <f>SUM(A:B!AI102)</f>
        <v>0</v>
      </c>
      <c r="AJ102" s="65">
        <f>SUM(A:B!AJ102)</f>
        <v>0</v>
      </c>
      <c r="AK102" s="65">
        <f t="shared" si="40"/>
        <v>0</v>
      </c>
      <c r="AL102" s="73">
        <f t="shared" si="31"/>
        <v>0</v>
      </c>
      <c r="AM102" s="14">
        <f t="shared" si="41"/>
        <v>0</v>
      </c>
      <c r="AN102" s="9"/>
    </row>
    <row r="103" spans="1:42" hidden="1" outlineLevel="1">
      <c r="A103" s="12" t="s">
        <v>196</v>
      </c>
      <c r="B103" s="8" t="s">
        <v>89</v>
      </c>
      <c r="I103" s="223" t="s">
        <v>210</v>
      </c>
      <c r="J103" s="65">
        <f>SUM(A:B!J103)</f>
        <v>288978</v>
      </c>
      <c r="K103" s="65">
        <f>SUM(A:B!K103)</f>
        <v>253090</v>
      </c>
      <c r="L103" s="65">
        <f>SUM(A:B!L103)</f>
        <v>297698</v>
      </c>
      <c r="M103" s="65">
        <f>SUM(A:B!M103)</f>
        <v>272857</v>
      </c>
      <c r="N103" s="65">
        <f>SUM(A:B!N103)</f>
        <v>281249</v>
      </c>
      <c r="O103" s="65">
        <f>SUM(A:B!O103)</f>
        <v>274404</v>
      </c>
      <c r="P103" s="65">
        <f>SUM(A:B!P103)</f>
        <v>273278</v>
      </c>
      <c r="Q103" s="65">
        <f>SUM(A:B!Q103)</f>
        <v>260504</v>
      </c>
      <c r="R103" s="65">
        <f>SUM(A:B!R103)</f>
        <v>281238</v>
      </c>
      <c r="S103" s="65">
        <f>SUM(A:B!S103)</f>
        <v>284317</v>
      </c>
      <c r="T103" s="65">
        <f>SUM(A:B!T103)</f>
        <v>274834.25</v>
      </c>
      <c r="U103" s="65">
        <f>SUM(A:B!U103)</f>
        <v>275223.3125</v>
      </c>
      <c r="V103" s="11">
        <f t="shared" si="39"/>
        <v>3317670.5625</v>
      </c>
      <c r="W103" s="73">
        <f t="shared" si="30"/>
        <v>1.0065375828023332E-2</v>
      </c>
      <c r="X103" s="89"/>
      <c r="Y103" s="65">
        <f>SUM(A:B!Y103)</f>
        <v>350553.37174199999</v>
      </c>
      <c r="Z103" s="65">
        <f>SUM(A:B!Z103)</f>
        <v>316628.85189599998</v>
      </c>
      <c r="AA103" s="65">
        <f>SUM(A:B!AA103)</f>
        <v>350553.37174199999</v>
      </c>
      <c r="AB103" s="65">
        <f>SUM(A:B!AB103)</f>
        <v>339245.19845999999</v>
      </c>
      <c r="AC103" s="65">
        <f>SUM(A:B!AC103)</f>
        <v>350553.37174199999</v>
      </c>
      <c r="AD103" s="65">
        <f>SUM(A:B!AD103)</f>
        <v>339245.19845999999</v>
      </c>
      <c r="AE103" s="65">
        <f>SUM(A:B!AE103)</f>
        <v>350553.37174199999</v>
      </c>
      <c r="AF103" s="65">
        <f>SUM(A:B!AF103)</f>
        <v>350553.37174199999</v>
      </c>
      <c r="AG103" s="65">
        <f>SUM(A:B!AG103)</f>
        <v>339245.19845999999</v>
      </c>
      <c r="AH103" s="65">
        <f>SUM(A:B!AH103)</f>
        <v>350553.37174199999</v>
      </c>
      <c r="AI103" s="65">
        <f>SUM(A:B!AI103)</f>
        <v>339245.19845999999</v>
      </c>
      <c r="AJ103" s="65">
        <f>SUM(A:B!AJ103)</f>
        <v>350553.37174199999</v>
      </c>
      <c r="AK103" s="65">
        <f t="shared" si="40"/>
        <v>4127483.2479299996</v>
      </c>
      <c r="AL103" s="73">
        <f t="shared" si="31"/>
        <v>1.1503602843734879E-2</v>
      </c>
      <c r="AM103" s="14">
        <f t="shared" si="41"/>
        <v>0.244090746858173</v>
      </c>
      <c r="AN103" s="9"/>
      <c r="AO103" s="9"/>
    </row>
    <row r="104" spans="1:42" hidden="1" outlineLevel="1">
      <c r="A104" s="12" t="s">
        <v>196</v>
      </c>
      <c r="B104" s="8" t="s">
        <v>89</v>
      </c>
      <c r="I104" s="223" t="s">
        <v>211</v>
      </c>
      <c r="J104" s="65">
        <f>SUM(A:B!J104)</f>
        <v>216</v>
      </c>
      <c r="K104" s="65">
        <f>SUM(A:B!K104)</f>
        <v>410</v>
      </c>
      <c r="L104" s="65">
        <f>SUM(A:B!L104)</f>
        <v>0</v>
      </c>
      <c r="M104" s="65">
        <f>SUM(A:B!M104)</f>
        <v>0</v>
      </c>
      <c r="N104" s="65">
        <f>SUM(A:B!N104)</f>
        <v>0</v>
      </c>
      <c r="O104" s="65">
        <f>SUM(A:B!O104)</f>
        <v>0</v>
      </c>
      <c r="P104" s="65">
        <f>SUM(A:B!P104)</f>
        <v>1878</v>
      </c>
      <c r="Q104" s="65">
        <f>SUM(A:B!Q104)</f>
        <v>2312</v>
      </c>
      <c r="R104" s="65">
        <f>SUM(A:B!R104)</f>
        <v>1156</v>
      </c>
      <c r="S104" s="65">
        <f>SUM(A:B!S104)</f>
        <v>0</v>
      </c>
      <c r="T104" s="65">
        <f>SUM(A:B!T104)</f>
        <v>1336.5</v>
      </c>
      <c r="U104" s="65">
        <f>SUM(A:B!U104)</f>
        <v>1201.125</v>
      </c>
      <c r="V104" s="11">
        <f t="shared" si="39"/>
        <v>8509.625</v>
      </c>
      <c r="W104" s="73">
        <f t="shared" si="30"/>
        <v>2.5817082247008978E-5</v>
      </c>
      <c r="X104" s="89"/>
      <c r="Y104" s="65">
        <f>SUM(A:B!Y104)</f>
        <v>0</v>
      </c>
      <c r="Z104" s="65">
        <f>SUM(A:B!Z104)</f>
        <v>0</v>
      </c>
      <c r="AA104" s="65">
        <f>SUM(A:B!AA104)</f>
        <v>0</v>
      </c>
      <c r="AB104" s="65">
        <f>SUM(A:B!AB104)</f>
        <v>0</v>
      </c>
      <c r="AC104" s="65">
        <f>SUM(A:B!AC104)</f>
        <v>0</v>
      </c>
      <c r="AD104" s="65">
        <f>SUM(A:B!AD104)</f>
        <v>0</v>
      </c>
      <c r="AE104" s="65">
        <f>SUM(A:B!AE104)</f>
        <v>0</v>
      </c>
      <c r="AF104" s="65">
        <f>SUM(A:B!AF104)</f>
        <v>0</v>
      </c>
      <c r="AG104" s="65">
        <f>SUM(A:B!AG104)</f>
        <v>0</v>
      </c>
      <c r="AH104" s="65">
        <f>SUM(A:B!AH104)</f>
        <v>0</v>
      </c>
      <c r="AI104" s="65">
        <f>SUM(A:B!AI104)</f>
        <v>0</v>
      </c>
      <c r="AJ104" s="65">
        <f>SUM(A:B!AJ104)</f>
        <v>0</v>
      </c>
      <c r="AK104" s="65">
        <f t="shared" si="40"/>
        <v>0</v>
      </c>
      <c r="AL104" s="73">
        <f t="shared" si="31"/>
        <v>0</v>
      </c>
      <c r="AM104" s="14">
        <f t="shared" si="41"/>
        <v>-1</v>
      </c>
      <c r="AN104" s="9"/>
      <c r="AO104" s="291"/>
      <c r="AP104" s="291"/>
    </row>
    <row r="105" spans="1:42" hidden="1" outlineLevel="1">
      <c r="A105" s="12" t="s">
        <v>196</v>
      </c>
      <c r="B105" s="8" t="s">
        <v>89</v>
      </c>
      <c r="I105" s="223" t="s">
        <v>212</v>
      </c>
      <c r="J105" s="65">
        <f>SUM(A:B!J105)</f>
        <v>11693</v>
      </c>
      <c r="K105" s="65">
        <f>SUM(A:B!K105)</f>
        <v>9538</v>
      </c>
      <c r="L105" s="65">
        <f>SUM(A:B!L105)</f>
        <v>0</v>
      </c>
      <c r="M105" s="65">
        <f>SUM(A:B!M105)</f>
        <v>10479</v>
      </c>
      <c r="N105" s="65">
        <f>SUM(A:B!N105)</f>
        <v>10970</v>
      </c>
      <c r="O105" s="65">
        <f>SUM(A:B!O105)</f>
        <v>10501</v>
      </c>
      <c r="P105" s="65">
        <f>SUM(A:B!P105)</f>
        <v>10725</v>
      </c>
      <c r="Q105" s="65">
        <f>SUM(A:B!Q105)</f>
        <v>11236</v>
      </c>
      <c r="R105" s="65">
        <f>SUM(A:B!R105)</f>
        <v>5970</v>
      </c>
      <c r="S105" s="65">
        <f>SUM(A:B!S105)</f>
        <v>12053</v>
      </c>
      <c r="T105" s="65">
        <f>SUM(A:B!T105)</f>
        <v>9996</v>
      </c>
      <c r="U105" s="65">
        <f>SUM(A:B!U105)</f>
        <v>9813.75</v>
      </c>
      <c r="V105" s="11">
        <f t="shared" si="39"/>
        <v>112974.75</v>
      </c>
      <c r="W105" s="73">
        <f t="shared" si="30"/>
        <v>3.4275052221282106E-4</v>
      </c>
      <c r="X105" s="89"/>
      <c r="Y105" s="65">
        <f>SUM(A:B!Y105)</f>
        <v>0</v>
      </c>
      <c r="Z105" s="65">
        <f>SUM(A:B!Z105)</f>
        <v>0</v>
      </c>
      <c r="AA105" s="65">
        <f>SUM(A:B!AA105)</f>
        <v>0</v>
      </c>
      <c r="AB105" s="65">
        <f>SUM(A:B!AB105)</f>
        <v>0</v>
      </c>
      <c r="AC105" s="65">
        <f>SUM(A:B!AC105)</f>
        <v>0</v>
      </c>
      <c r="AD105" s="65">
        <f>SUM(A:B!AD105)</f>
        <v>0</v>
      </c>
      <c r="AE105" s="65">
        <f>SUM(A:B!AE105)</f>
        <v>0</v>
      </c>
      <c r="AF105" s="65">
        <f>SUM(A:B!AF105)</f>
        <v>0</v>
      </c>
      <c r="AG105" s="65">
        <f>SUM(A:B!AG105)</f>
        <v>0</v>
      </c>
      <c r="AH105" s="65">
        <f>SUM(A:B!AH105)</f>
        <v>0</v>
      </c>
      <c r="AI105" s="65">
        <f>SUM(A:B!AI105)</f>
        <v>0</v>
      </c>
      <c r="AJ105" s="65">
        <f>SUM(A:B!AJ105)</f>
        <v>0</v>
      </c>
      <c r="AK105" s="65">
        <f t="shared" si="40"/>
        <v>0</v>
      </c>
      <c r="AL105" s="73">
        <f t="shared" si="31"/>
        <v>0</v>
      </c>
      <c r="AM105" s="14">
        <f t="shared" si="41"/>
        <v>-1</v>
      </c>
      <c r="AN105" s="9"/>
    </row>
    <row r="106" spans="1:42" collapsed="1">
      <c r="A106" s="12" t="s">
        <v>213</v>
      </c>
      <c r="B106" s="8" t="s">
        <v>89</v>
      </c>
      <c r="I106" s="167" t="s">
        <v>214</v>
      </c>
      <c r="J106" s="15">
        <f>SUM(J107:J110)</f>
        <v>100893</v>
      </c>
      <c r="K106" s="15">
        <f t="shared" ref="K106:U106" si="42">SUM(K107:K110)</f>
        <v>87728</v>
      </c>
      <c r="L106" s="15">
        <f t="shared" si="42"/>
        <v>99171</v>
      </c>
      <c r="M106" s="15">
        <f t="shared" si="42"/>
        <v>93480</v>
      </c>
      <c r="N106" s="15">
        <f t="shared" si="42"/>
        <v>95318</v>
      </c>
      <c r="O106" s="15">
        <f t="shared" si="42"/>
        <v>94570</v>
      </c>
      <c r="P106" s="15">
        <f t="shared" si="42"/>
        <v>93171</v>
      </c>
      <c r="Q106" s="15">
        <f t="shared" si="42"/>
        <v>92324</v>
      </c>
      <c r="R106" s="15">
        <f t="shared" si="42"/>
        <v>97352</v>
      </c>
      <c r="S106" s="15">
        <f t="shared" si="42"/>
        <v>97095</v>
      </c>
      <c r="T106" s="15">
        <f t="shared" si="42"/>
        <v>94985.5</v>
      </c>
      <c r="U106" s="15">
        <f t="shared" si="42"/>
        <v>95439.125</v>
      </c>
      <c r="V106" s="15">
        <f>SUM(V107:V110)</f>
        <v>1141526.625</v>
      </c>
      <c r="W106" s="72">
        <f t="shared" si="30"/>
        <v>3.4632415370566359E-3</v>
      </c>
      <c r="X106" s="89"/>
      <c r="Y106" s="15">
        <f t="shared" ref="Y106:AJ106" si="43">SUM(Y107:Y110)</f>
        <v>112273.28968877907</v>
      </c>
      <c r="Z106" s="15">
        <f t="shared" si="43"/>
        <v>112340.07474056445</v>
      </c>
      <c r="AA106" s="15">
        <f t="shared" si="43"/>
        <v>122871.71633442657</v>
      </c>
      <c r="AB106" s="15">
        <f t="shared" si="43"/>
        <v>116221.37016772844</v>
      </c>
      <c r="AC106" s="15">
        <f t="shared" si="43"/>
        <v>122871.71633442657</v>
      </c>
      <c r="AD106" s="15">
        <f t="shared" si="43"/>
        <v>116221.37016772844</v>
      </c>
      <c r="AE106" s="15">
        <f t="shared" si="43"/>
        <v>119732.49167848373</v>
      </c>
      <c r="AF106" s="15">
        <f t="shared" si="43"/>
        <v>119732.49167848373</v>
      </c>
      <c r="AG106" s="15">
        <f t="shared" si="43"/>
        <v>119361.16913647256</v>
      </c>
      <c r="AH106" s="15">
        <f t="shared" si="43"/>
        <v>119732.49167848373</v>
      </c>
      <c r="AI106" s="15">
        <f t="shared" si="43"/>
        <v>118167.80300285906</v>
      </c>
      <c r="AJ106" s="15">
        <f t="shared" si="43"/>
        <v>122871.71633442657</v>
      </c>
      <c r="AK106" s="15">
        <f>SUM(AK107:AK110)</f>
        <v>1422397.700942863</v>
      </c>
      <c r="AL106" s="72">
        <f t="shared" si="31"/>
        <v>3.9643282006521612E-3</v>
      </c>
      <c r="AM106" s="10">
        <f t="shared" si="41"/>
        <v>0.24604864204797949</v>
      </c>
      <c r="AN106" s="294"/>
    </row>
    <row r="107" spans="1:42" ht="15" hidden="1" customHeight="1" outlineLevel="1">
      <c r="A107" s="12" t="s">
        <v>213</v>
      </c>
      <c r="B107" s="8" t="s">
        <v>89</v>
      </c>
      <c r="I107" s="136" t="s">
        <v>215</v>
      </c>
      <c r="J107" s="65">
        <f>SUM(A:B!J107)</f>
        <v>19256</v>
      </c>
      <c r="K107" s="65">
        <f>SUM(A:B!K107)</f>
        <v>16288</v>
      </c>
      <c r="L107" s="65">
        <f>SUM(A:B!L107)</f>
        <v>18458</v>
      </c>
      <c r="M107" s="65">
        <f>SUM(A:B!M107)</f>
        <v>17979</v>
      </c>
      <c r="N107" s="65">
        <f>SUM(A:B!N107)</f>
        <v>18061</v>
      </c>
      <c r="O107" s="65">
        <f>SUM(A:B!O107)</f>
        <v>17086</v>
      </c>
      <c r="P107" s="65">
        <f>SUM(A:B!P107)</f>
        <v>17986</v>
      </c>
      <c r="Q107" s="65">
        <f>SUM(A:B!Q107)</f>
        <v>17853</v>
      </c>
      <c r="R107" s="65">
        <f>SUM(A:B!R107)</f>
        <v>18354</v>
      </c>
      <c r="S107" s="65">
        <f>SUM(A:B!S107)</f>
        <v>18829</v>
      </c>
      <c r="T107" s="65">
        <f>SUM(A:B!T107)</f>
        <v>18255.5</v>
      </c>
      <c r="U107" s="65">
        <f>SUM(A:B!U107)</f>
        <v>18322.875</v>
      </c>
      <c r="V107" s="11">
        <f>SUM(J107:U107)</f>
        <v>216728.375</v>
      </c>
      <c r="W107" s="73">
        <f t="shared" si="30"/>
        <v>6.5752536482343281E-4</v>
      </c>
      <c r="X107" s="89"/>
      <c r="Y107" s="65">
        <f>SUM(A:B!Y107)</f>
        <v>11190.594123567498</v>
      </c>
      <c r="Z107" s="65">
        <f>SUM(A:B!Z107)</f>
        <v>19970.484018379997</v>
      </c>
      <c r="AA107" s="65">
        <f>SUM(A:B!AA107)</f>
        <v>21789.020769215</v>
      </c>
      <c r="AB107" s="65">
        <f>SUM(A:B!AB107)</f>
        <v>20508.099535349997</v>
      </c>
      <c r="AC107" s="65">
        <f>SUM(A:B!AC107)</f>
        <v>21789.020769215</v>
      </c>
      <c r="AD107" s="65">
        <f>SUM(A:B!AD107)</f>
        <v>20508.099535349997</v>
      </c>
      <c r="AE107" s="65">
        <f>SUM(A:B!AE107)</f>
        <v>21114.403388295003</v>
      </c>
      <c r="AF107" s="65">
        <f>SUM(A:B!AF107)</f>
        <v>21114.403388295003</v>
      </c>
      <c r="AG107" s="65">
        <f>SUM(A:B!AG107)</f>
        <v>21182.841852270001</v>
      </c>
      <c r="AH107" s="65">
        <f>SUM(A:B!AH107)</f>
        <v>21114.403388295003</v>
      </c>
      <c r="AI107" s="65">
        <f>SUM(A:B!AI107)</f>
        <v>21182.841852270001</v>
      </c>
      <c r="AJ107" s="65">
        <f>SUM(A:B!AJ107)</f>
        <v>21789.020769215</v>
      </c>
      <c r="AK107" s="65">
        <f t="shared" si="40"/>
        <v>243253.23338971753</v>
      </c>
      <c r="AL107" s="73">
        <f t="shared" si="31"/>
        <v>6.7796485637417099E-4</v>
      </c>
      <c r="AM107" s="14">
        <f t="shared" si="41"/>
        <v>0.12238756641679949</v>
      </c>
    </row>
    <row r="108" spans="1:42" ht="15" hidden="1" customHeight="1" outlineLevel="1">
      <c r="A108" s="12" t="s">
        <v>213</v>
      </c>
      <c r="B108" s="8" t="s">
        <v>89</v>
      </c>
      <c r="I108" s="136" t="s">
        <v>216</v>
      </c>
      <c r="J108" s="65">
        <f>SUM(A:B!J108)</f>
        <v>29019</v>
      </c>
      <c r="K108" s="65">
        <f>SUM(A:B!K108)</f>
        <v>25121</v>
      </c>
      <c r="L108" s="65">
        <f>SUM(A:B!L108)</f>
        <v>28527</v>
      </c>
      <c r="M108" s="65">
        <f>SUM(A:B!M108)</f>
        <v>27517</v>
      </c>
      <c r="N108" s="65">
        <f>SUM(A:B!N108)</f>
        <v>27153</v>
      </c>
      <c r="O108" s="65">
        <f>SUM(A:B!O108)</f>
        <v>26180</v>
      </c>
      <c r="P108" s="65">
        <f>SUM(A:B!P108)</f>
        <v>27212</v>
      </c>
      <c r="Q108" s="65">
        <f>SUM(A:B!Q108)</f>
        <v>26199</v>
      </c>
      <c r="R108" s="65">
        <f>SUM(A:B!R108)</f>
        <v>27450</v>
      </c>
      <c r="S108" s="65">
        <f>SUM(A:B!S108)</f>
        <v>27910</v>
      </c>
      <c r="T108" s="65">
        <f>SUM(A:B!T108)</f>
        <v>27192.75</v>
      </c>
      <c r="U108" s="65">
        <f>SUM(A:B!U108)</f>
        <v>27187.9375</v>
      </c>
      <c r="V108" s="11">
        <f>SUM(J108:U108)</f>
        <v>326668.6875</v>
      </c>
      <c r="W108" s="73">
        <f t="shared" si="30"/>
        <v>9.9106980304184658E-4</v>
      </c>
      <c r="X108" s="89"/>
      <c r="Y108" s="65">
        <f>SUM(A:B!Y108)</f>
        <v>37748.834553817316</v>
      </c>
      <c r="Z108" s="65">
        <f>SUM(A:B!Z108)</f>
        <v>34606.512358905275</v>
      </c>
      <c r="AA108" s="65">
        <f>SUM(A:B!AA108)</f>
        <v>37748.834553817316</v>
      </c>
      <c r="AB108" s="65">
        <f>SUM(A:B!AB108)</f>
        <v>35534.98401906986</v>
      </c>
      <c r="AC108" s="65">
        <f>SUM(A:B!AC108)</f>
        <v>37748.834553817316</v>
      </c>
      <c r="AD108" s="65">
        <f>SUM(A:B!AD108)</f>
        <v>35534.98401906986</v>
      </c>
      <c r="AE108" s="65">
        <f>SUM(A:B!AE108)</f>
        <v>36582.633668686423</v>
      </c>
      <c r="AF108" s="65">
        <f>SUM(A:B!AF108)</f>
        <v>36582.633668686423</v>
      </c>
      <c r="AG108" s="65">
        <f>SUM(A:B!AG108)</f>
        <v>36701.393822179976</v>
      </c>
      <c r="AH108" s="65">
        <f>SUM(A:B!AH108)</f>
        <v>36582.633668686423</v>
      </c>
      <c r="AI108" s="65">
        <f>SUM(A:B!AI108)</f>
        <v>36701.393822179976</v>
      </c>
      <c r="AJ108" s="65">
        <f>SUM(A:B!AJ108)</f>
        <v>37748.834553817316</v>
      </c>
      <c r="AK108" s="65">
        <f t="shared" si="40"/>
        <v>439822.50726273353</v>
      </c>
      <c r="AL108" s="73">
        <f t="shared" si="31"/>
        <v>1.2258180448881603E-3</v>
      </c>
      <c r="AM108" s="14">
        <f t="shared" si="41"/>
        <v>0.346387101343264</v>
      </c>
    </row>
    <row r="109" spans="1:42" ht="15" hidden="1" customHeight="1" outlineLevel="1">
      <c r="A109" s="12" t="s">
        <v>213</v>
      </c>
      <c r="B109" s="8" t="s">
        <v>89</v>
      </c>
      <c r="I109" s="136" t="s">
        <v>217</v>
      </c>
      <c r="J109" s="65">
        <f>SUM(A:B!J109)</f>
        <v>39544</v>
      </c>
      <c r="K109" s="65">
        <f>SUM(A:B!K109)</f>
        <v>35145</v>
      </c>
      <c r="L109" s="65">
        <f>SUM(A:B!L109)</f>
        <v>38973</v>
      </c>
      <c r="M109" s="65">
        <f>SUM(A:B!M109)</f>
        <v>37562</v>
      </c>
      <c r="N109" s="65">
        <f>SUM(A:B!N109)</f>
        <v>37977</v>
      </c>
      <c r="O109" s="65">
        <f>SUM(A:B!O109)</f>
        <v>36975</v>
      </c>
      <c r="P109" s="65">
        <f>SUM(A:B!P109)</f>
        <v>37321</v>
      </c>
      <c r="Q109" s="65">
        <f>SUM(A:B!Q109)</f>
        <v>35851</v>
      </c>
      <c r="R109" s="65">
        <f>SUM(A:B!R109)</f>
        <v>37632</v>
      </c>
      <c r="S109" s="65">
        <f>SUM(A:B!S109)</f>
        <v>38396</v>
      </c>
      <c r="T109" s="65">
        <f>SUM(A:B!T109)</f>
        <v>37300</v>
      </c>
      <c r="U109" s="65">
        <f>SUM(A:B!U109)</f>
        <v>37294.75</v>
      </c>
      <c r="V109" s="11">
        <f>SUM(J109:U109)</f>
        <v>449970.75</v>
      </c>
      <c r="W109" s="73">
        <f t="shared" si="30"/>
        <v>1.3651520321398788E-3</v>
      </c>
      <c r="X109" s="89"/>
      <c r="Y109" s="65">
        <f>SUM(A:B!Y109)</f>
        <v>49824.219655626002</v>
      </c>
      <c r="Z109" s="65">
        <f>SUM(A:B!Z109)</f>
        <v>45401.278665570171</v>
      </c>
      <c r="AA109" s="65">
        <f>SUM(A:B!AA109)</f>
        <v>49824.219655626002</v>
      </c>
      <c r="AB109" s="65">
        <f>SUM(A:B!AB109)</f>
        <v>47422.367417866088</v>
      </c>
      <c r="AC109" s="65">
        <f>SUM(A:B!AC109)</f>
        <v>49824.219655626002</v>
      </c>
      <c r="AD109" s="65">
        <f>SUM(A:B!AD109)</f>
        <v>47422.367417866088</v>
      </c>
      <c r="AE109" s="65">
        <f>SUM(A:B!AE109)</f>
        <v>48896.852825240043</v>
      </c>
      <c r="AF109" s="65">
        <f>SUM(A:B!AF109)</f>
        <v>48896.852825240043</v>
      </c>
      <c r="AG109" s="65">
        <f>SUM(A:B!AG109)</f>
        <v>48349.905992274071</v>
      </c>
      <c r="AH109" s="65">
        <f>SUM(A:B!AH109)</f>
        <v>48896.852825240043</v>
      </c>
      <c r="AI109" s="65">
        <f>SUM(A:B!AI109)</f>
        <v>48349.905992274071</v>
      </c>
      <c r="AJ109" s="65">
        <f>SUM(A:B!AJ109)</f>
        <v>49824.219655626002</v>
      </c>
      <c r="AK109" s="65">
        <f t="shared" si="40"/>
        <v>582933.26258407463</v>
      </c>
      <c r="AL109" s="73">
        <f t="shared" si="31"/>
        <v>1.6246783655712951E-3</v>
      </c>
      <c r="AM109" s="14">
        <f t="shared" si="41"/>
        <v>0.29549145713154612</v>
      </c>
    </row>
    <row r="110" spans="1:42" ht="15" hidden="1" customHeight="1" outlineLevel="1">
      <c r="A110" s="12" t="s">
        <v>213</v>
      </c>
      <c r="B110" s="8" t="s">
        <v>89</v>
      </c>
      <c r="I110" s="136" t="s">
        <v>412</v>
      </c>
      <c r="J110" s="65">
        <f>SUM(A:B!J110)</f>
        <v>13074</v>
      </c>
      <c r="K110" s="65">
        <f>SUM(A:B!K110)</f>
        <v>11174</v>
      </c>
      <c r="L110" s="65">
        <f>SUM(A:B!L110)</f>
        <v>13213</v>
      </c>
      <c r="M110" s="65">
        <f>SUM(A:B!M110)</f>
        <v>10422</v>
      </c>
      <c r="N110" s="65">
        <f>SUM(A:B!N110)</f>
        <v>12127</v>
      </c>
      <c r="O110" s="65">
        <f>SUM(A:B!O110)</f>
        <v>14329</v>
      </c>
      <c r="P110" s="65">
        <f>SUM(A:B!P110)</f>
        <v>10652</v>
      </c>
      <c r="Q110" s="65">
        <f>SUM(A:B!Q110)</f>
        <v>12421</v>
      </c>
      <c r="R110" s="65">
        <f>SUM(A:B!R110)</f>
        <v>13916</v>
      </c>
      <c r="S110" s="65">
        <f>SUM(A:B!S110)</f>
        <v>11960</v>
      </c>
      <c r="T110" s="65">
        <f>SUM(A:B!T110)</f>
        <v>12237.25</v>
      </c>
      <c r="U110" s="65">
        <f>SUM(A:B!U110)</f>
        <v>12633.5625</v>
      </c>
      <c r="V110" s="11">
        <f>SUM(J110:U110)</f>
        <v>148158.8125</v>
      </c>
      <c r="W110" s="73">
        <f t="shared" si="30"/>
        <v>4.4949433705147781E-4</v>
      </c>
      <c r="X110" s="89"/>
      <c r="Y110" s="65">
        <f>SUM(A:B!Y110)</f>
        <v>13509.64135576825</v>
      </c>
      <c r="Z110" s="65">
        <f>SUM(A:B!Z110)</f>
        <v>12361.799697709001</v>
      </c>
      <c r="AA110" s="65">
        <f>SUM(A:B!AA110)</f>
        <v>13509.64135576825</v>
      </c>
      <c r="AB110" s="65">
        <f>SUM(A:B!AB110)</f>
        <v>12755.919195442499</v>
      </c>
      <c r="AC110" s="65">
        <f>SUM(A:B!AC110)</f>
        <v>13509.64135576825</v>
      </c>
      <c r="AD110" s="65">
        <f>SUM(A:B!AD110)</f>
        <v>12755.919195442499</v>
      </c>
      <c r="AE110" s="65">
        <f>SUM(A:B!AE110)</f>
        <v>13138.60179626225</v>
      </c>
      <c r="AF110" s="65">
        <f>SUM(A:B!AF110)</f>
        <v>13138.60179626225</v>
      </c>
      <c r="AG110" s="65">
        <f>SUM(A:B!AG110)</f>
        <v>13127.0274697485</v>
      </c>
      <c r="AH110" s="65">
        <f>SUM(A:B!AH110)</f>
        <v>13138.60179626225</v>
      </c>
      <c r="AI110" s="65">
        <f>SUM(A:B!AI110)</f>
        <v>11933.661336134999</v>
      </c>
      <c r="AJ110" s="65">
        <f>SUM(A:B!AJ110)</f>
        <v>13509.64135576825</v>
      </c>
      <c r="AK110" s="65">
        <f t="shared" si="40"/>
        <v>156388.69770633726</v>
      </c>
      <c r="AL110" s="73">
        <f t="shared" si="31"/>
        <v>4.3586693381853468E-4</v>
      </c>
      <c r="AM110" s="14">
        <f t="shared" si="41"/>
        <v>5.5547726574396439E-2</v>
      </c>
    </row>
    <row r="111" spans="1:42" collapsed="1">
      <c r="A111" s="12" t="s">
        <v>219</v>
      </c>
      <c r="B111" s="8" t="s">
        <v>89</v>
      </c>
      <c r="C111" s="8" t="s">
        <v>81</v>
      </c>
      <c r="I111" s="167" t="s">
        <v>220</v>
      </c>
      <c r="J111" s="15">
        <f t="shared" ref="J111:V111" si="44">SUM(J112:J146)</f>
        <v>103899</v>
      </c>
      <c r="K111" s="15">
        <f t="shared" si="44"/>
        <v>66303</v>
      </c>
      <c r="L111" s="15">
        <f t="shared" si="44"/>
        <v>103037</v>
      </c>
      <c r="M111" s="15">
        <f t="shared" si="44"/>
        <v>53550</v>
      </c>
      <c r="N111" s="15">
        <f t="shared" si="44"/>
        <v>45193</v>
      </c>
      <c r="O111" s="15">
        <f t="shared" si="44"/>
        <v>42697</v>
      </c>
      <c r="P111" s="15">
        <f t="shared" si="44"/>
        <v>81420</v>
      </c>
      <c r="Q111" s="15">
        <f t="shared" si="44"/>
        <v>71596</v>
      </c>
      <c r="R111" s="15">
        <f t="shared" si="44"/>
        <v>134447</v>
      </c>
      <c r="S111" s="15">
        <f t="shared" si="44"/>
        <v>131306</v>
      </c>
      <c r="T111" s="15">
        <f t="shared" si="44"/>
        <v>71090.240000000005</v>
      </c>
      <c r="U111" s="15">
        <f t="shared" si="44"/>
        <v>103509.12</v>
      </c>
      <c r="V111" s="15">
        <f t="shared" si="44"/>
        <v>1008047.36</v>
      </c>
      <c r="W111" s="72">
        <f t="shared" si="30"/>
        <v>3.0582830150565118E-3</v>
      </c>
      <c r="X111" s="89"/>
      <c r="Y111" s="15">
        <f t="shared" ref="Y111:AK111" si="45">SUM(Y112:Y146)</f>
        <v>142325.27875</v>
      </c>
      <c r="Z111" s="15">
        <f t="shared" si="45"/>
        <v>86169.864749999993</v>
      </c>
      <c r="AA111" s="15">
        <f t="shared" si="45"/>
        <v>116484.62794999999</v>
      </c>
      <c r="AB111" s="15">
        <f t="shared" si="45"/>
        <v>46757.443749999999</v>
      </c>
      <c r="AC111" s="15">
        <f t="shared" si="45"/>
        <v>101501.45475</v>
      </c>
      <c r="AD111" s="15">
        <f t="shared" si="45"/>
        <v>48827.643750000003</v>
      </c>
      <c r="AE111" s="15">
        <f t="shared" si="45"/>
        <v>66457.077950000006</v>
      </c>
      <c r="AF111" s="15">
        <f t="shared" si="45"/>
        <v>233102.30974999999</v>
      </c>
      <c r="AG111" s="15">
        <f t="shared" si="45"/>
        <v>129968.74374999999</v>
      </c>
      <c r="AH111" s="15">
        <f t="shared" si="45"/>
        <v>47585.52375</v>
      </c>
      <c r="AI111" s="15">
        <f t="shared" si="45"/>
        <v>97209.369749999998</v>
      </c>
      <c r="AJ111" s="15">
        <f t="shared" si="45"/>
        <v>57408.902950000003</v>
      </c>
      <c r="AK111" s="15">
        <f t="shared" si="45"/>
        <v>1173798.2415999998</v>
      </c>
      <c r="AL111" s="72">
        <f t="shared" si="31"/>
        <v>3.2714630148560114E-3</v>
      </c>
      <c r="AM111" s="10">
        <f t="shared" si="41"/>
        <v>0.16442767292203397</v>
      </c>
    </row>
    <row r="112" spans="1:42" hidden="1" outlineLevel="1">
      <c r="A112" s="12" t="s">
        <v>219</v>
      </c>
      <c r="B112" s="8" t="s">
        <v>89</v>
      </c>
      <c r="E112" s="7" t="s">
        <v>441</v>
      </c>
      <c r="I112" s="224" t="s">
        <v>221</v>
      </c>
      <c r="J112" s="65">
        <f>SUM(A:B!J112)</f>
        <v>0</v>
      </c>
      <c r="K112" s="65">
        <f>SUM(A:B!K112)</f>
        <v>0</v>
      </c>
      <c r="L112" s="65">
        <f>SUM(A:B!L112)</f>
        <v>9000</v>
      </c>
      <c r="M112" s="65">
        <f>SUM(A:B!M112)</f>
        <v>0</v>
      </c>
      <c r="N112" s="65">
        <f>SUM(A:B!N112)</f>
        <v>0</v>
      </c>
      <c r="O112" s="65">
        <f>SUM(A:B!O112)</f>
        <v>0</v>
      </c>
      <c r="P112" s="65">
        <f>SUM(A:B!P112)</f>
        <v>0</v>
      </c>
      <c r="Q112" s="65">
        <f>SUM(A:B!Q112)</f>
        <v>15500</v>
      </c>
      <c r="R112" s="65">
        <f>SUM(A:B!R112)</f>
        <v>0</v>
      </c>
      <c r="S112" s="65">
        <f>SUM(A:B!S112)</f>
        <v>0</v>
      </c>
      <c r="T112" s="65">
        <f>SUM(A:B!T112)</f>
        <v>7213.4400000000005</v>
      </c>
      <c r="U112" s="65">
        <f>SUM(A:B!U112)</f>
        <v>11373.44</v>
      </c>
      <c r="V112" s="11">
        <f>SUM(J112:U112)</f>
        <v>43086.880000000005</v>
      </c>
      <c r="W112" s="73">
        <f t="shared" si="30"/>
        <v>1.3071992299625498E-4</v>
      </c>
      <c r="X112" s="89"/>
      <c r="Y112" s="65">
        <f>SUM(A:B!Y112)</f>
        <v>8000</v>
      </c>
      <c r="Z112" s="65">
        <f>SUM(A:B!Z112)</f>
        <v>5000</v>
      </c>
      <c r="AA112" s="65">
        <f>SUM(A:B!AA112)</f>
        <v>8000</v>
      </c>
      <c r="AB112" s="65">
        <f>SUM(A:B!AB112)</f>
        <v>5000</v>
      </c>
      <c r="AC112" s="65">
        <f>SUM(A:B!AC112)</f>
        <v>8000</v>
      </c>
      <c r="AD112" s="65">
        <f>SUM(A:B!AD112)</f>
        <v>5000</v>
      </c>
      <c r="AE112" s="65">
        <f>SUM(A:B!AE112)</f>
        <v>8000</v>
      </c>
      <c r="AF112" s="65">
        <f>SUM(A:B!AF112)</f>
        <v>5000</v>
      </c>
      <c r="AG112" s="65">
        <f>SUM(A:B!AG112)</f>
        <v>8000</v>
      </c>
      <c r="AH112" s="65">
        <f>SUM(A:B!AH112)</f>
        <v>5000</v>
      </c>
      <c r="AI112" s="65">
        <f>SUM(A:B!AI112)</f>
        <v>8000</v>
      </c>
      <c r="AJ112" s="65">
        <f>SUM(A:B!AJ112)</f>
        <v>8000</v>
      </c>
      <c r="AK112" s="123">
        <f t="shared" si="40"/>
        <v>81000</v>
      </c>
      <c r="AL112" s="73">
        <f t="shared" si="31"/>
        <v>2.2575302535990523E-4</v>
      </c>
      <c r="AM112" s="14">
        <f t="shared" si="41"/>
        <v>0.87992261217335743</v>
      </c>
      <c r="AN112" s="9"/>
    </row>
    <row r="113" spans="1:41" hidden="1" outlineLevel="1">
      <c r="A113" s="12"/>
      <c r="I113" s="223" t="s">
        <v>222</v>
      </c>
      <c r="J113" s="65">
        <f>SUM(A:B!J113)</f>
        <v>0</v>
      </c>
      <c r="K113" s="65">
        <f>SUM(A:B!K113)</f>
        <v>0</v>
      </c>
      <c r="L113" s="65">
        <f>SUM(A:B!L113)</f>
        <v>0</v>
      </c>
      <c r="M113" s="65">
        <f>SUM(A:B!M113)</f>
        <v>0</v>
      </c>
      <c r="N113" s="65">
        <f>SUM(A:B!N113)</f>
        <v>0</v>
      </c>
      <c r="O113" s="65">
        <f>SUM(A:B!O113)</f>
        <v>0</v>
      </c>
      <c r="P113" s="65">
        <f>SUM(A:B!P113)</f>
        <v>0</v>
      </c>
      <c r="Q113" s="65">
        <f>SUM(A:B!Q113)</f>
        <v>0</v>
      </c>
      <c r="R113" s="65">
        <f>SUM(A:B!R113)</f>
        <v>0</v>
      </c>
      <c r="S113" s="65">
        <f>SUM(A:B!S113)</f>
        <v>0</v>
      </c>
      <c r="T113" s="65">
        <f>SUM(A:B!T113)</f>
        <v>0</v>
      </c>
      <c r="U113" s="65">
        <f>SUM(A:B!U113)</f>
        <v>0</v>
      </c>
      <c r="V113" s="11">
        <f t="shared" ref="V113:V146" si="46">SUM(J113:U113)</f>
        <v>0</v>
      </c>
      <c r="W113" s="73">
        <f t="shared" si="30"/>
        <v>0</v>
      </c>
      <c r="X113" s="89"/>
      <c r="Y113" s="65">
        <f>SUM(A:B!Y113)</f>
        <v>0</v>
      </c>
      <c r="Z113" s="65">
        <f>SUM(A:B!Z113)</f>
        <v>0</v>
      </c>
      <c r="AA113" s="65">
        <f>SUM(A:B!AA113)</f>
        <v>0</v>
      </c>
      <c r="AB113" s="65">
        <f>SUM(A:B!AB113)</f>
        <v>0</v>
      </c>
      <c r="AC113" s="65">
        <f>SUM(A:B!AC113)</f>
        <v>0</v>
      </c>
      <c r="AD113" s="65">
        <f>SUM(A:B!AD113)</f>
        <v>0</v>
      </c>
      <c r="AE113" s="65">
        <f>SUM(A:B!AE113)</f>
        <v>0</v>
      </c>
      <c r="AF113" s="65">
        <f>SUM(A:B!AF113)</f>
        <v>0</v>
      </c>
      <c r="AG113" s="65">
        <f>SUM(A:B!AG113)</f>
        <v>0</v>
      </c>
      <c r="AH113" s="65">
        <f>SUM(A:B!AH113)</f>
        <v>0</v>
      </c>
      <c r="AI113" s="65">
        <f>SUM(A:B!AI113)</f>
        <v>0</v>
      </c>
      <c r="AJ113" s="65">
        <f>SUM(A:B!AJ113)</f>
        <v>0</v>
      </c>
      <c r="AK113" s="123">
        <f t="shared" si="40"/>
        <v>0</v>
      </c>
      <c r="AL113" s="73">
        <f t="shared" si="31"/>
        <v>0</v>
      </c>
      <c r="AM113" s="14">
        <f t="shared" si="41"/>
        <v>0</v>
      </c>
      <c r="AN113" s="9"/>
    </row>
    <row r="114" spans="1:41" hidden="1" outlineLevel="1">
      <c r="A114" s="12"/>
      <c r="I114" s="223" t="s">
        <v>223</v>
      </c>
      <c r="J114" s="65">
        <f>SUM(A:B!J114)</f>
        <v>0</v>
      </c>
      <c r="K114" s="65">
        <f>SUM(A:B!K114)</f>
        <v>4303</v>
      </c>
      <c r="L114" s="65">
        <f>SUM(A:B!L114)</f>
        <v>0</v>
      </c>
      <c r="M114" s="65">
        <f>SUM(A:B!M114)</f>
        <v>0</v>
      </c>
      <c r="N114" s="65">
        <f>SUM(A:B!N114)</f>
        <v>0</v>
      </c>
      <c r="O114" s="65">
        <f>SUM(A:B!O114)</f>
        <v>0</v>
      </c>
      <c r="P114" s="65">
        <f>SUM(A:B!P114)</f>
        <v>0</v>
      </c>
      <c r="Q114" s="65">
        <f>SUM(A:B!Q114)</f>
        <v>0</v>
      </c>
      <c r="R114" s="65">
        <f>SUM(A:B!R114)</f>
        <v>0</v>
      </c>
      <c r="S114" s="65">
        <f>SUM(A:B!S114)</f>
        <v>31600</v>
      </c>
      <c r="T114" s="65">
        <f>SUM(A:B!T114)</f>
        <v>0</v>
      </c>
      <c r="U114" s="65">
        <f>SUM(A:B!U114)</f>
        <v>0</v>
      </c>
      <c r="V114" s="11">
        <f t="shared" si="46"/>
        <v>35903</v>
      </c>
      <c r="W114" s="73">
        <f t="shared" si="30"/>
        <v>1.0892497658996294E-4</v>
      </c>
      <c r="X114" s="89"/>
      <c r="Y114" s="65">
        <f>SUM(A:B!Y114)</f>
        <v>0</v>
      </c>
      <c r="Z114" s="65">
        <f>SUM(A:B!Z114)</f>
        <v>0</v>
      </c>
      <c r="AA114" s="65">
        <f>SUM(A:B!AA114)</f>
        <v>0</v>
      </c>
      <c r="AB114" s="65">
        <f>SUM(A:B!AB114)</f>
        <v>0</v>
      </c>
      <c r="AC114" s="65">
        <f>SUM(A:B!AC114)</f>
        <v>0</v>
      </c>
      <c r="AD114" s="65">
        <f>SUM(A:B!AD114)</f>
        <v>0</v>
      </c>
      <c r="AE114" s="65">
        <f>SUM(A:B!AE114)</f>
        <v>0</v>
      </c>
      <c r="AF114" s="65">
        <f>SUM(A:B!AF114)</f>
        <v>0</v>
      </c>
      <c r="AG114" s="65">
        <f>SUM(A:B!AG114)</f>
        <v>65211.299999999996</v>
      </c>
      <c r="AH114" s="65">
        <f>SUM(A:B!AH114)</f>
        <v>0</v>
      </c>
      <c r="AI114" s="65">
        <f>SUM(A:B!AI114)</f>
        <v>0</v>
      </c>
      <c r="AJ114" s="65">
        <f>SUM(A:B!AJ114)</f>
        <v>0</v>
      </c>
      <c r="AK114" s="123">
        <f t="shared" si="40"/>
        <v>65211.299999999996</v>
      </c>
      <c r="AL114" s="73">
        <f t="shared" ref="AL114:AL146" si="47">AK114/AK$6</f>
        <v>1.8174874398336281E-4</v>
      </c>
      <c r="AM114" s="14">
        <f t="shared" ref="AM114:AM146" si="48">IFERROR(AK114/V114-1,0)</f>
        <v>0.81631897055956304</v>
      </c>
      <c r="AN114" s="9"/>
    </row>
    <row r="115" spans="1:41" hidden="1" outlineLevel="1">
      <c r="A115" s="12"/>
      <c r="I115" s="223" t="s">
        <v>224</v>
      </c>
      <c r="J115" s="65">
        <f>SUM(A:B!J115)</f>
        <v>0</v>
      </c>
      <c r="K115" s="65">
        <f>SUM(A:B!K115)</f>
        <v>19000</v>
      </c>
      <c r="L115" s="65">
        <f>SUM(A:B!L115)</f>
        <v>0</v>
      </c>
      <c r="M115" s="65">
        <f>SUM(A:B!M115)</f>
        <v>0</v>
      </c>
      <c r="N115" s="65">
        <f>SUM(A:B!N115)</f>
        <v>0</v>
      </c>
      <c r="O115" s="65">
        <f>SUM(A:B!O115)</f>
        <v>0</v>
      </c>
      <c r="P115" s="65">
        <f>SUM(A:B!P115)</f>
        <v>0</v>
      </c>
      <c r="Q115" s="65">
        <f>SUM(A:B!Q115)</f>
        <v>0</v>
      </c>
      <c r="R115" s="65">
        <f>SUM(A:B!R115)</f>
        <v>0</v>
      </c>
      <c r="S115" s="65">
        <f>SUM(A:B!S115)</f>
        <v>0</v>
      </c>
      <c r="T115" s="65">
        <f>SUM(A:B!T115)</f>
        <v>0</v>
      </c>
      <c r="U115" s="65">
        <f>SUM(A:B!U115)</f>
        <v>0</v>
      </c>
      <c r="V115" s="11">
        <f t="shared" si="46"/>
        <v>19000</v>
      </c>
      <c r="W115" s="73">
        <f t="shared" ref="W115:W146" si="49">V115/V$6</f>
        <v>5.7643499295582428E-5</v>
      </c>
      <c r="X115" s="89"/>
      <c r="Y115" s="65">
        <f>SUM(A:B!Y115)</f>
        <v>0</v>
      </c>
      <c r="Z115" s="65">
        <f>SUM(A:B!Z115)</f>
        <v>0</v>
      </c>
      <c r="AA115" s="65">
        <f>SUM(A:B!AA115)</f>
        <v>15526.499999999998</v>
      </c>
      <c r="AB115" s="65">
        <f>SUM(A:B!AB115)</f>
        <v>0</v>
      </c>
      <c r="AC115" s="65">
        <f>SUM(A:B!AC115)</f>
        <v>0</v>
      </c>
      <c r="AD115" s="65">
        <f>SUM(A:B!AD115)</f>
        <v>0</v>
      </c>
      <c r="AE115" s="65">
        <f>SUM(A:B!AE115)</f>
        <v>0</v>
      </c>
      <c r="AF115" s="65">
        <f>SUM(A:B!AF115)</f>
        <v>0</v>
      </c>
      <c r="AG115" s="65">
        <f>SUM(A:B!AG115)</f>
        <v>0</v>
      </c>
      <c r="AH115" s="65">
        <f>SUM(A:B!AH115)</f>
        <v>0</v>
      </c>
      <c r="AI115" s="65">
        <f>SUM(A:B!AI115)</f>
        <v>0</v>
      </c>
      <c r="AJ115" s="65">
        <f>SUM(A:B!AJ115)</f>
        <v>0</v>
      </c>
      <c r="AK115" s="123">
        <f t="shared" si="40"/>
        <v>15526.499999999998</v>
      </c>
      <c r="AL115" s="73">
        <f t="shared" si="47"/>
        <v>4.3273510472229236E-5</v>
      </c>
      <c r="AM115" s="14">
        <f t="shared" si="48"/>
        <v>-0.18281578947368426</v>
      </c>
      <c r="AN115" s="9"/>
    </row>
    <row r="116" spans="1:41" hidden="1" outlineLevel="1">
      <c r="A116" s="12"/>
      <c r="I116" s="223" t="s">
        <v>225</v>
      </c>
      <c r="J116" s="65">
        <f>SUM(A:B!J116)</f>
        <v>75376</v>
      </c>
      <c r="K116" s="65">
        <f>SUM(A:B!K116)</f>
        <v>0</v>
      </c>
      <c r="L116" s="65">
        <f>SUM(A:B!L116)</f>
        <v>0</v>
      </c>
      <c r="M116" s="65">
        <f>SUM(A:B!M116)</f>
        <v>0</v>
      </c>
      <c r="N116" s="65">
        <f>SUM(A:B!N116)</f>
        <v>0</v>
      </c>
      <c r="O116" s="65">
        <f>SUM(A:B!O116)</f>
        <v>0</v>
      </c>
      <c r="P116" s="65">
        <f>SUM(A:B!P116)</f>
        <v>0</v>
      </c>
      <c r="Q116" s="65">
        <f>SUM(A:B!Q116)</f>
        <v>0</v>
      </c>
      <c r="R116" s="65">
        <f>SUM(A:B!R116)</f>
        <v>0</v>
      </c>
      <c r="S116" s="65">
        <f>SUM(A:B!S116)</f>
        <v>0</v>
      </c>
      <c r="T116" s="65">
        <f>SUM(A:B!T116)</f>
        <v>0</v>
      </c>
      <c r="U116" s="65">
        <f>SUM(A:B!U116)</f>
        <v>0</v>
      </c>
      <c r="V116" s="11">
        <f t="shared" si="46"/>
        <v>75376</v>
      </c>
      <c r="W116" s="73">
        <f t="shared" si="49"/>
        <v>2.2868086331072742E-4</v>
      </c>
      <c r="X116" s="89"/>
      <c r="Y116" s="65">
        <f>SUM(A:B!Y116)</f>
        <v>75031.839999999997</v>
      </c>
      <c r="Z116" s="65">
        <f>SUM(A:B!Z116)</f>
        <v>0</v>
      </c>
      <c r="AA116" s="65">
        <f>SUM(A:B!AA116)</f>
        <v>0</v>
      </c>
      <c r="AB116" s="65">
        <f>SUM(A:B!AB116)</f>
        <v>0</v>
      </c>
      <c r="AC116" s="65">
        <f>SUM(A:B!AC116)</f>
        <v>0</v>
      </c>
      <c r="AD116" s="65">
        <f>SUM(A:B!AD116)</f>
        <v>0</v>
      </c>
      <c r="AE116" s="65">
        <f>SUM(A:B!AE116)</f>
        <v>0</v>
      </c>
      <c r="AF116" s="65">
        <f>SUM(A:B!AF116)</f>
        <v>0</v>
      </c>
      <c r="AG116" s="65">
        <f>SUM(A:B!AG116)</f>
        <v>0</v>
      </c>
      <c r="AH116" s="65">
        <f>SUM(A:B!AH116)</f>
        <v>0</v>
      </c>
      <c r="AI116" s="65">
        <f>SUM(A:B!AI116)</f>
        <v>0</v>
      </c>
      <c r="AJ116" s="65">
        <f>SUM(A:B!AJ116)</f>
        <v>0</v>
      </c>
      <c r="AK116" s="123">
        <f t="shared" si="40"/>
        <v>75031.839999999997</v>
      </c>
      <c r="AL116" s="73">
        <f t="shared" si="47"/>
        <v>2.0911931948543644E-4</v>
      </c>
      <c r="AM116" s="14">
        <f t="shared" si="48"/>
        <v>-4.565909573339022E-3</v>
      </c>
      <c r="AN116" s="9"/>
    </row>
    <row r="117" spans="1:41" hidden="1" outlineLevel="1">
      <c r="A117" s="12"/>
      <c r="I117" s="223" t="s">
        <v>226</v>
      </c>
      <c r="J117" s="65">
        <f>SUM(A:B!J117)</f>
        <v>523</v>
      </c>
      <c r="K117" s="65">
        <f>SUM(A:B!K117)</f>
        <v>0</v>
      </c>
      <c r="L117" s="65">
        <f>SUM(A:B!L117)</f>
        <v>18718</v>
      </c>
      <c r="M117" s="65">
        <f>SUM(A:B!M117)</f>
        <v>4550</v>
      </c>
      <c r="N117" s="65">
        <f>SUM(A:B!N117)</f>
        <v>2543</v>
      </c>
      <c r="O117" s="65">
        <f>SUM(A:B!O117)</f>
        <v>3097</v>
      </c>
      <c r="P117" s="65">
        <f>SUM(A:B!P117)</f>
        <v>11557</v>
      </c>
      <c r="Q117" s="65">
        <f>SUM(A:B!Q117)</f>
        <v>19999</v>
      </c>
      <c r="R117" s="65">
        <f>SUM(A:B!R117)</f>
        <v>54267</v>
      </c>
      <c r="S117" s="65">
        <f>SUM(A:B!S117)</f>
        <v>4856</v>
      </c>
      <c r="T117" s="65">
        <f>SUM(A:B!T117)</f>
        <v>13520</v>
      </c>
      <c r="U117" s="65">
        <f>SUM(A:B!U117)</f>
        <v>13520</v>
      </c>
      <c r="V117" s="11">
        <f t="shared" si="46"/>
        <v>147150</v>
      </c>
      <c r="W117" s="73">
        <f t="shared" si="49"/>
        <v>4.46433732702366E-4</v>
      </c>
      <c r="X117" s="89"/>
      <c r="Y117" s="65">
        <f>SUM(A:B!Y117)</f>
        <v>12722.34375</v>
      </c>
      <c r="Z117" s="65">
        <f>SUM(A:B!Z117)</f>
        <v>12722.34375</v>
      </c>
      <c r="AA117" s="65">
        <f>SUM(A:B!AA117)</f>
        <v>12722.34375</v>
      </c>
      <c r="AB117" s="65">
        <f>SUM(A:B!AB117)</f>
        <v>12722.34375</v>
      </c>
      <c r="AC117" s="65">
        <f>SUM(A:B!AC117)</f>
        <v>12722.34375</v>
      </c>
      <c r="AD117" s="65">
        <f>SUM(A:B!AD117)</f>
        <v>12722.34375</v>
      </c>
      <c r="AE117" s="65">
        <f>SUM(A:B!AE117)</f>
        <v>12722.34375</v>
      </c>
      <c r="AF117" s="65">
        <f>SUM(A:B!AF117)</f>
        <v>12722.34375</v>
      </c>
      <c r="AG117" s="65">
        <f>SUM(A:B!AG117)</f>
        <v>12722.34375</v>
      </c>
      <c r="AH117" s="65">
        <f>SUM(A:B!AH117)</f>
        <v>12722.34375</v>
      </c>
      <c r="AI117" s="65">
        <f>SUM(A:B!AI117)</f>
        <v>12722.34375</v>
      </c>
      <c r="AJ117" s="65">
        <f>SUM(A:B!AJ117)</f>
        <v>12722.34375</v>
      </c>
      <c r="AK117" s="123">
        <f t="shared" si="40"/>
        <v>152668.125</v>
      </c>
      <c r="AL117" s="73">
        <f t="shared" si="47"/>
        <v>4.2549742092313803E-4</v>
      </c>
      <c r="AM117" s="14">
        <f t="shared" si="48"/>
        <v>3.7500000000000089E-2</v>
      </c>
      <c r="AN117" s="9"/>
      <c r="AO117" s="291"/>
    </row>
    <row r="118" spans="1:41" hidden="1" outlineLevel="1">
      <c r="A118" s="12"/>
      <c r="I118" s="223" t="s">
        <v>227</v>
      </c>
      <c r="J118" s="65">
        <f>SUM(A:B!J118)</f>
        <v>0</v>
      </c>
      <c r="K118" s="65">
        <f>SUM(A:B!K118)</f>
        <v>0</v>
      </c>
      <c r="L118" s="65">
        <f>SUM(A:B!L118)</f>
        <v>450</v>
      </c>
      <c r="M118" s="65">
        <f>SUM(A:B!M118)</f>
        <v>0</v>
      </c>
      <c r="N118" s="65">
        <f>SUM(A:B!N118)</f>
        <v>900</v>
      </c>
      <c r="O118" s="65">
        <f>SUM(A:B!O118)</f>
        <v>1400</v>
      </c>
      <c r="P118" s="65">
        <f>SUM(A:B!P118)</f>
        <v>295</v>
      </c>
      <c r="Q118" s="65">
        <f>SUM(A:B!Q118)</f>
        <v>1800</v>
      </c>
      <c r="R118" s="65">
        <f>SUM(A:B!R118)</f>
        <v>0</v>
      </c>
      <c r="S118" s="65">
        <f>SUM(A:B!S118)</f>
        <v>11550</v>
      </c>
      <c r="T118" s="65">
        <f>SUM(A:B!T118)</f>
        <v>0</v>
      </c>
      <c r="U118" s="65">
        <f>SUM(A:B!U118)</f>
        <v>0</v>
      </c>
      <c r="V118" s="11">
        <f t="shared" si="46"/>
        <v>16395</v>
      </c>
      <c r="W118" s="73">
        <f>V118/V$6</f>
        <v>4.9740272155319678E-5</v>
      </c>
      <c r="X118" s="89"/>
      <c r="Y118" s="65">
        <f>SUM(A:B!Y118)</f>
        <v>465.79499999999996</v>
      </c>
      <c r="Z118" s="65">
        <f>SUM(A:B!Z118)</f>
        <v>465.79499999999996</v>
      </c>
      <c r="AA118" s="65">
        <f>SUM(A:B!AA118)</f>
        <v>0</v>
      </c>
      <c r="AB118" s="65">
        <f>SUM(A:B!AB118)</f>
        <v>0</v>
      </c>
      <c r="AC118" s="65">
        <f>SUM(A:B!AC118)</f>
        <v>7397.3850000000002</v>
      </c>
      <c r="AD118" s="65">
        <f>SUM(A:B!AD118)</f>
        <v>0</v>
      </c>
      <c r="AE118" s="65">
        <f>SUM(A:B!AE118)</f>
        <v>465.79499999999996</v>
      </c>
      <c r="AF118" s="65">
        <f>SUM(A:B!AF118)</f>
        <v>5589.5399999999991</v>
      </c>
      <c r="AG118" s="65">
        <f>SUM(A:B!AG118)</f>
        <v>0</v>
      </c>
      <c r="AH118" s="65">
        <f>SUM(A:B!AH118)</f>
        <v>1863.1799999999998</v>
      </c>
      <c r="AI118" s="65">
        <f>SUM(A:B!AI118)</f>
        <v>0</v>
      </c>
      <c r="AJ118" s="65">
        <f>SUM(A:B!AJ118)</f>
        <v>0</v>
      </c>
      <c r="AK118" s="123">
        <f t="shared" si="40"/>
        <v>16247.49</v>
      </c>
      <c r="AL118" s="73">
        <f>AK118/AK$6</f>
        <v>4.5282963234627244E-5</v>
      </c>
      <c r="AM118" s="14">
        <f>IFERROR(AK118/V118-1,0)</f>
        <v>-8.9972552607502365E-3</v>
      </c>
      <c r="AN118" s="9"/>
    </row>
    <row r="119" spans="1:41" hidden="1" outlineLevel="1">
      <c r="A119" s="12"/>
      <c r="I119" s="223" t="s">
        <v>228</v>
      </c>
      <c r="J119" s="65">
        <f>SUM(A:B!J119)</f>
        <v>0</v>
      </c>
      <c r="K119" s="65">
        <f>SUM(A:B!K119)</f>
        <v>0</v>
      </c>
      <c r="L119" s="65">
        <f>SUM(A:B!L119)</f>
        <v>0</v>
      </c>
      <c r="M119" s="65">
        <f>SUM(A:B!M119)</f>
        <v>0</v>
      </c>
      <c r="N119" s="65">
        <f>SUM(A:B!N119)</f>
        <v>0</v>
      </c>
      <c r="O119" s="65">
        <f>SUM(A:B!O119)</f>
        <v>0</v>
      </c>
      <c r="P119" s="65">
        <f>SUM(A:B!P119)</f>
        <v>3499</v>
      </c>
      <c r="Q119" s="65">
        <f>SUM(A:B!Q119)</f>
        <v>0</v>
      </c>
      <c r="R119" s="65">
        <f>SUM(A:B!R119)</f>
        <v>0</v>
      </c>
      <c r="S119" s="65">
        <f>SUM(A:B!S119)</f>
        <v>0</v>
      </c>
      <c r="T119" s="65">
        <f>SUM(A:B!T119)</f>
        <v>0</v>
      </c>
      <c r="U119" s="65">
        <f>SUM(A:B!U119)</f>
        <v>0</v>
      </c>
      <c r="V119" s="11">
        <f t="shared" si="46"/>
        <v>3499</v>
      </c>
      <c r="W119" s="73">
        <f t="shared" ref="W119:W135" si="50">V119/V$6</f>
        <v>1.06155054755391E-5</v>
      </c>
      <c r="X119" s="89"/>
      <c r="Y119" s="65">
        <f>SUM(A:B!Y119)</f>
        <v>0</v>
      </c>
      <c r="Z119" s="65">
        <f>SUM(A:B!Z119)</f>
        <v>0</v>
      </c>
      <c r="AA119" s="65">
        <f>SUM(A:B!AA119)</f>
        <v>7277.92</v>
      </c>
      <c r="AB119" s="65">
        <f>SUM(A:B!AB119)</f>
        <v>0</v>
      </c>
      <c r="AC119" s="65">
        <f>SUM(A:B!AC119)</f>
        <v>0</v>
      </c>
      <c r="AD119" s="65">
        <f>SUM(A:B!AD119)</f>
        <v>0</v>
      </c>
      <c r="AE119" s="65">
        <f>SUM(A:B!AE119)</f>
        <v>0</v>
      </c>
      <c r="AF119" s="65">
        <f>SUM(A:B!AF119)</f>
        <v>0</v>
      </c>
      <c r="AG119" s="65">
        <f>SUM(A:B!AG119)</f>
        <v>0</v>
      </c>
      <c r="AH119" s="65">
        <f>SUM(A:B!AH119)</f>
        <v>0</v>
      </c>
      <c r="AI119" s="65">
        <f>SUM(A:B!AI119)</f>
        <v>0</v>
      </c>
      <c r="AJ119" s="65">
        <f>SUM(A:B!AJ119)</f>
        <v>0</v>
      </c>
      <c r="AK119" s="123">
        <f t="shared" ref="AK119:AK137" si="51">SUM(Y119:AJ119)</f>
        <v>7277.92</v>
      </c>
      <c r="AL119" s="73">
        <f t="shared" ref="AL119:AL137" si="52">AK119/AK$6</f>
        <v>2.0284104423794587E-5</v>
      </c>
      <c r="AM119" s="14">
        <f t="shared" ref="AM119:AM137" si="53">IFERROR(AK119/V119-1,0)</f>
        <v>1.08</v>
      </c>
      <c r="AN119" s="9"/>
    </row>
    <row r="120" spans="1:41" hidden="1" outlineLevel="1">
      <c r="A120" s="12"/>
      <c r="I120" s="223" t="s">
        <v>229</v>
      </c>
      <c r="J120" s="65">
        <f>SUM(A:B!J120)</f>
        <v>0</v>
      </c>
      <c r="K120" s="65">
        <f>SUM(A:B!K120)</f>
        <v>15000</v>
      </c>
      <c r="L120" s="65">
        <f>SUM(A:B!L120)</f>
        <v>13600</v>
      </c>
      <c r="M120" s="65">
        <f>SUM(A:B!M120)</f>
        <v>12000</v>
      </c>
      <c r="N120" s="65">
        <f>SUM(A:B!N120)</f>
        <v>0</v>
      </c>
      <c r="O120" s="65">
        <f>SUM(A:B!O120)</f>
        <v>0</v>
      </c>
      <c r="P120" s="65">
        <f>SUM(A:B!P120)</f>
        <v>15000</v>
      </c>
      <c r="Q120" s="65">
        <f>SUM(A:B!Q120)</f>
        <v>3000</v>
      </c>
      <c r="R120" s="65">
        <f>SUM(A:B!R120)</f>
        <v>0</v>
      </c>
      <c r="S120" s="65">
        <f>SUM(A:B!S120)</f>
        <v>9000</v>
      </c>
      <c r="T120" s="65">
        <f>SUM(A:B!T120)</f>
        <v>11000</v>
      </c>
      <c r="U120" s="65">
        <f>SUM(A:B!U120)</f>
        <v>11000</v>
      </c>
      <c r="V120" s="11">
        <f t="shared" si="46"/>
        <v>89600</v>
      </c>
      <c r="W120" s="73">
        <f t="shared" si="50"/>
        <v>2.7183460720443082E-4</v>
      </c>
      <c r="X120" s="89"/>
      <c r="Y120" s="65">
        <f>SUM(A:B!Y120)</f>
        <v>15000</v>
      </c>
      <c r="Z120" s="65">
        <f>SUM(A:B!Z120)</f>
        <v>0</v>
      </c>
      <c r="AA120" s="65">
        <f>SUM(A:B!AA120)</f>
        <v>27421.200000000001</v>
      </c>
      <c r="AB120" s="65">
        <f>SUM(A:B!AB120)</f>
        <v>0</v>
      </c>
      <c r="AC120" s="65">
        <f>SUM(A:B!AC120)</f>
        <v>15000</v>
      </c>
      <c r="AD120" s="65">
        <f>SUM(A:B!AD120)</f>
        <v>0</v>
      </c>
      <c r="AE120" s="65">
        <f>SUM(A:B!AE120)</f>
        <v>15000</v>
      </c>
      <c r="AF120" s="65">
        <f>SUM(A:B!AF120)</f>
        <v>12421.199999999999</v>
      </c>
      <c r="AG120" s="65">
        <f>SUM(A:B!AG120)</f>
        <v>15000</v>
      </c>
      <c r="AH120" s="65">
        <f>SUM(A:B!AH120)</f>
        <v>0</v>
      </c>
      <c r="AI120" s="65">
        <f>SUM(A:B!AI120)</f>
        <v>15000</v>
      </c>
      <c r="AJ120" s="65">
        <f>SUM(A:B!AJ120)</f>
        <v>0</v>
      </c>
      <c r="AK120" s="123">
        <f t="shared" si="51"/>
        <v>114842.4</v>
      </c>
      <c r="AL120" s="73">
        <f t="shared" si="52"/>
        <v>3.2007431159990592E-4</v>
      </c>
      <c r="AM120" s="14">
        <f t="shared" si="53"/>
        <v>0.28172321428571423</v>
      </c>
      <c r="AN120" s="9"/>
    </row>
    <row r="121" spans="1:41" hidden="1" outlineLevel="1">
      <c r="A121" s="12"/>
      <c r="I121" s="223" t="s">
        <v>230</v>
      </c>
      <c r="J121" s="65">
        <f>SUM(A:B!J121)</f>
        <v>0</v>
      </c>
      <c r="K121" s="65">
        <f>SUM(A:B!K121)</f>
        <v>0</v>
      </c>
      <c r="L121" s="65">
        <f>SUM(A:B!L121)</f>
        <v>0</v>
      </c>
      <c r="M121" s="65">
        <f>SUM(A:B!M121)</f>
        <v>0</v>
      </c>
      <c r="N121" s="65">
        <f>SUM(A:B!N121)</f>
        <v>0</v>
      </c>
      <c r="O121" s="65">
        <f>SUM(A:B!O121)</f>
        <v>0</v>
      </c>
      <c r="P121" s="65">
        <f>SUM(A:B!P121)</f>
        <v>0</v>
      </c>
      <c r="Q121" s="65">
        <f>SUM(A:B!Q121)</f>
        <v>0</v>
      </c>
      <c r="R121" s="65">
        <f>SUM(A:B!R121)</f>
        <v>0</v>
      </c>
      <c r="S121" s="65">
        <f>SUM(A:B!S121)</f>
        <v>0</v>
      </c>
      <c r="T121" s="65">
        <f>SUM(A:B!T121)</f>
        <v>0</v>
      </c>
      <c r="U121" s="65">
        <f>SUM(A:B!U121)</f>
        <v>0</v>
      </c>
      <c r="V121" s="11">
        <f t="shared" si="46"/>
        <v>0</v>
      </c>
      <c r="W121" s="73">
        <f t="shared" si="50"/>
        <v>0</v>
      </c>
      <c r="X121" s="89"/>
      <c r="Y121" s="65">
        <f>SUM(A:B!Y121)</f>
        <v>0</v>
      </c>
      <c r="Z121" s="65">
        <f>SUM(A:B!Z121)</f>
        <v>0</v>
      </c>
      <c r="AA121" s="65">
        <f>SUM(A:B!AA121)</f>
        <v>0</v>
      </c>
      <c r="AB121" s="65">
        <f>SUM(A:B!AB121)</f>
        <v>0</v>
      </c>
      <c r="AC121" s="65">
        <f>SUM(A:B!AC121)</f>
        <v>0</v>
      </c>
      <c r="AD121" s="65">
        <f>SUM(A:B!AD121)</f>
        <v>0</v>
      </c>
      <c r="AE121" s="65">
        <f>SUM(A:B!AE121)</f>
        <v>0</v>
      </c>
      <c r="AF121" s="65">
        <f>SUM(A:B!AF121)</f>
        <v>0</v>
      </c>
      <c r="AG121" s="65">
        <f>SUM(A:B!AG121)</f>
        <v>0</v>
      </c>
      <c r="AH121" s="65">
        <f>SUM(A:B!AH121)</f>
        <v>0</v>
      </c>
      <c r="AI121" s="65">
        <f>SUM(A:B!AI121)</f>
        <v>0</v>
      </c>
      <c r="AJ121" s="65">
        <f>SUM(A:B!AJ121)</f>
        <v>0</v>
      </c>
      <c r="AK121" s="123">
        <f t="shared" si="51"/>
        <v>0</v>
      </c>
      <c r="AL121" s="73">
        <f t="shared" si="52"/>
        <v>0</v>
      </c>
      <c r="AM121" s="14">
        <f t="shared" si="53"/>
        <v>0</v>
      </c>
      <c r="AN121" s="9"/>
    </row>
    <row r="122" spans="1:41" hidden="1" outlineLevel="1">
      <c r="A122" s="12"/>
      <c r="I122" s="223" t="s">
        <v>231</v>
      </c>
      <c r="J122" s="65">
        <f>SUM(A:B!J122)</f>
        <v>0</v>
      </c>
      <c r="K122" s="65">
        <f>SUM(A:B!K122)</f>
        <v>0</v>
      </c>
      <c r="L122" s="65">
        <f>SUM(A:B!L122)</f>
        <v>0</v>
      </c>
      <c r="M122" s="65">
        <f>SUM(A:B!M122)</f>
        <v>0</v>
      </c>
      <c r="N122" s="65">
        <f>SUM(A:B!N122)</f>
        <v>0</v>
      </c>
      <c r="O122" s="65">
        <f>SUM(A:B!O122)</f>
        <v>0</v>
      </c>
      <c r="P122" s="65">
        <f>SUM(A:B!P122)</f>
        <v>0</v>
      </c>
      <c r="Q122" s="65">
        <f>SUM(A:B!Q122)</f>
        <v>0</v>
      </c>
      <c r="R122" s="65">
        <f>SUM(A:B!R122)</f>
        <v>0</v>
      </c>
      <c r="S122" s="65">
        <f>SUM(A:B!S122)</f>
        <v>0</v>
      </c>
      <c r="T122" s="65">
        <f>SUM(A:B!T122)</f>
        <v>0</v>
      </c>
      <c r="U122" s="65">
        <f>SUM(A:B!U122)</f>
        <v>0</v>
      </c>
      <c r="V122" s="11">
        <f t="shared" si="46"/>
        <v>0</v>
      </c>
      <c r="W122" s="73">
        <f t="shared" si="50"/>
        <v>0</v>
      </c>
      <c r="X122" s="89"/>
      <c r="Y122" s="65">
        <f>SUM(A:B!Y122)</f>
        <v>0</v>
      </c>
      <c r="Z122" s="65">
        <f>SUM(A:B!Z122)</f>
        <v>0</v>
      </c>
      <c r="AA122" s="65">
        <f>SUM(A:B!AA122)</f>
        <v>0</v>
      </c>
      <c r="AB122" s="65">
        <f>SUM(A:B!AB122)</f>
        <v>0</v>
      </c>
      <c r="AC122" s="65">
        <f>SUM(A:B!AC122)</f>
        <v>0</v>
      </c>
      <c r="AD122" s="65">
        <f>SUM(A:B!AD122)</f>
        <v>0</v>
      </c>
      <c r="AE122" s="65">
        <f>SUM(A:B!AE122)</f>
        <v>0</v>
      </c>
      <c r="AF122" s="65">
        <f>SUM(A:B!AF122)</f>
        <v>0</v>
      </c>
      <c r="AG122" s="65">
        <f>SUM(A:B!AG122)</f>
        <v>0</v>
      </c>
      <c r="AH122" s="65">
        <f>SUM(A:B!AH122)</f>
        <v>0</v>
      </c>
      <c r="AI122" s="65">
        <f>SUM(A:B!AI122)</f>
        <v>0</v>
      </c>
      <c r="AJ122" s="65">
        <f>SUM(A:B!AJ122)</f>
        <v>0</v>
      </c>
      <c r="AK122" s="123">
        <f t="shared" si="51"/>
        <v>0</v>
      </c>
      <c r="AL122" s="73">
        <f t="shared" si="52"/>
        <v>0</v>
      </c>
      <c r="AM122" s="14">
        <f t="shared" si="53"/>
        <v>0</v>
      </c>
      <c r="AN122" s="9"/>
    </row>
    <row r="123" spans="1:41" hidden="1" outlineLevel="1">
      <c r="A123" s="12"/>
      <c r="I123" s="223" t="s">
        <v>232</v>
      </c>
      <c r="J123" s="65">
        <f>SUM(A:B!J123)</f>
        <v>0</v>
      </c>
      <c r="K123" s="65">
        <f>SUM(A:B!K123)</f>
        <v>0</v>
      </c>
      <c r="L123" s="65">
        <f>SUM(A:B!L123)</f>
        <v>9469</v>
      </c>
      <c r="M123" s="65">
        <f>SUM(A:B!M123)</f>
        <v>0</v>
      </c>
      <c r="N123" s="65">
        <f>SUM(A:B!N123)</f>
        <v>0</v>
      </c>
      <c r="O123" s="65">
        <f>SUM(A:B!O123)</f>
        <v>0</v>
      </c>
      <c r="P123" s="65">
        <f>SUM(A:B!P123)</f>
        <v>9469</v>
      </c>
      <c r="Q123" s="65">
        <f>SUM(A:B!Q123)</f>
        <v>0</v>
      </c>
      <c r="R123" s="65">
        <f>SUM(A:B!R123)</f>
        <v>0</v>
      </c>
      <c r="S123" s="65">
        <f>SUM(A:B!S123)</f>
        <v>22500</v>
      </c>
      <c r="T123" s="65">
        <f>SUM(A:B!T123)</f>
        <v>6156.8</v>
      </c>
      <c r="U123" s="65">
        <f>SUM(A:B!U123)</f>
        <v>2279.6800000000003</v>
      </c>
      <c r="V123" s="11">
        <f t="shared" si="46"/>
        <v>49874.48</v>
      </c>
      <c r="W123" s="73">
        <f t="shared" si="50"/>
        <v>1.5131260803934421E-4</v>
      </c>
      <c r="X123" s="89"/>
      <c r="Y123" s="65">
        <f>SUM(A:B!Y123)</f>
        <v>0</v>
      </c>
      <c r="Z123" s="65">
        <f>SUM(A:B!Z123)</f>
        <v>12800</v>
      </c>
      <c r="AA123" s="65">
        <f>SUM(A:B!AA123)</f>
        <v>2268.9391999999998</v>
      </c>
      <c r="AB123" s="65">
        <f>SUM(A:B!AB123)</f>
        <v>0</v>
      </c>
      <c r="AC123" s="65">
        <f>SUM(A:B!AC123)</f>
        <v>3200</v>
      </c>
      <c r="AD123" s="65">
        <f>SUM(A:B!AD123)</f>
        <v>0</v>
      </c>
      <c r="AE123" s="65">
        <f>SUM(A:B!AE123)</f>
        <v>2268.9391999999998</v>
      </c>
      <c r="AF123" s="65">
        <f>SUM(A:B!AF123)</f>
        <v>12800</v>
      </c>
      <c r="AG123" s="65">
        <f>SUM(A:B!AG123)</f>
        <v>0</v>
      </c>
      <c r="AH123" s="65">
        <f>SUM(A:B!AH123)</f>
        <v>0</v>
      </c>
      <c r="AI123" s="65">
        <f>SUM(A:B!AI123)</f>
        <v>3200</v>
      </c>
      <c r="AJ123" s="65">
        <f>SUM(A:B!AJ123)</f>
        <v>2268.9391999999998</v>
      </c>
      <c r="AK123" s="123">
        <f t="shared" si="51"/>
        <v>38806.817600000002</v>
      </c>
      <c r="AL123" s="73">
        <f t="shared" si="52"/>
        <v>1.0815748738012367E-4</v>
      </c>
      <c r="AM123" s="14">
        <f t="shared" si="53"/>
        <v>-0.22191033169669139</v>
      </c>
      <c r="AN123" s="9"/>
    </row>
    <row r="124" spans="1:41" hidden="1" outlineLevel="1">
      <c r="A124" s="12"/>
      <c r="I124" s="223" t="s">
        <v>233</v>
      </c>
      <c r="J124" s="65">
        <f>SUM(A:B!J124)</f>
        <v>0</v>
      </c>
      <c r="K124" s="65">
        <f>SUM(A:B!K124)</f>
        <v>0</v>
      </c>
      <c r="L124" s="65">
        <f>SUM(A:B!L124)</f>
        <v>0</v>
      </c>
      <c r="M124" s="65">
        <f>SUM(A:B!M124)</f>
        <v>0</v>
      </c>
      <c r="N124" s="65">
        <f>SUM(A:B!N124)</f>
        <v>0</v>
      </c>
      <c r="O124" s="65">
        <f>SUM(A:B!O124)</f>
        <v>0</v>
      </c>
      <c r="P124" s="65">
        <f>SUM(A:B!P124)</f>
        <v>0</v>
      </c>
      <c r="Q124" s="65">
        <f>SUM(A:B!Q124)</f>
        <v>3297</v>
      </c>
      <c r="R124" s="65">
        <f>SUM(A:B!R124)</f>
        <v>52180</v>
      </c>
      <c r="S124" s="65">
        <f>SUM(A:B!S124)</f>
        <v>0</v>
      </c>
      <c r="T124" s="65">
        <f>SUM(A:B!T124)</f>
        <v>0</v>
      </c>
      <c r="U124" s="65">
        <f>SUM(A:B!U124)</f>
        <v>0</v>
      </c>
      <c r="V124" s="11">
        <f t="shared" si="46"/>
        <v>55477</v>
      </c>
      <c r="W124" s="73">
        <f t="shared" si="50"/>
        <v>1.6830991633794875E-4</v>
      </c>
      <c r="X124" s="89"/>
      <c r="Y124" s="65">
        <f>SUM(A:B!Y124)</f>
        <v>0</v>
      </c>
      <c r="Z124" s="65">
        <f>SUM(A:B!Z124)</f>
        <v>0</v>
      </c>
      <c r="AA124" s="65">
        <f>SUM(A:B!AA124)</f>
        <v>0</v>
      </c>
      <c r="AB124" s="65">
        <f>SUM(A:B!AB124)</f>
        <v>0</v>
      </c>
      <c r="AC124" s="65">
        <f>SUM(A:B!AC124)</f>
        <v>0</v>
      </c>
      <c r="AD124" s="65">
        <f>SUM(A:B!AD124)</f>
        <v>0</v>
      </c>
      <c r="AE124" s="65">
        <f>SUM(A:B!AE124)</f>
        <v>0</v>
      </c>
      <c r="AF124" s="65">
        <f>SUM(A:B!AF124)</f>
        <v>129387.5</v>
      </c>
      <c r="AG124" s="65">
        <f>SUM(A:B!AG124)</f>
        <v>0</v>
      </c>
      <c r="AH124" s="65">
        <f>SUM(A:B!AH124)</f>
        <v>0</v>
      </c>
      <c r="AI124" s="65">
        <f>SUM(A:B!AI124)</f>
        <v>0</v>
      </c>
      <c r="AJ124" s="65">
        <f>SUM(A:B!AJ124)</f>
        <v>0</v>
      </c>
      <c r="AK124" s="123">
        <f t="shared" si="51"/>
        <v>129387.5</v>
      </c>
      <c r="AL124" s="73">
        <f t="shared" si="52"/>
        <v>3.6061258726857704E-4</v>
      </c>
      <c r="AM124" s="14">
        <f t="shared" si="53"/>
        <v>1.3322728337869747</v>
      </c>
      <c r="AN124" s="9"/>
    </row>
    <row r="125" spans="1:41" hidden="1" outlineLevel="1">
      <c r="A125" s="12"/>
      <c r="I125" s="223" t="s">
        <v>234</v>
      </c>
      <c r="J125" s="65">
        <f>SUM(A:B!J125)</f>
        <v>0</v>
      </c>
      <c r="K125" s="65">
        <f>SUM(A:B!K125)</f>
        <v>0</v>
      </c>
      <c r="L125" s="65">
        <f>SUM(A:B!L125)</f>
        <v>0</v>
      </c>
      <c r="M125" s="65">
        <f>SUM(A:B!M125)</f>
        <v>9000</v>
      </c>
      <c r="N125" s="65">
        <f>SUM(A:B!N125)</f>
        <v>13750</v>
      </c>
      <c r="O125" s="65">
        <f>SUM(A:B!O125)</f>
        <v>0</v>
      </c>
      <c r="P125" s="65">
        <f>SUM(A:B!P125)</f>
        <v>0</v>
      </c>
      <c r="Q125" s="65">
        <f>SUM(A:B!Q125)</f>
        <v>0</v>
      </c>
      <c r="R125" s="65">
        <f>SUM(A:B!R125)</f>
        <v>0</v>
      </c>
      <c r="S125" s="65">
        <f>SUM(A:B!S125)</f>
        <v>0</v>
      </c>
      <c r="T125" s="65">
        <f>SUM(A:B!T125)</f>
        <v>0</v>
      </c>
      <c r="U125" s="65">
        <f>SUM(A:B!U125)</f>
        <v>0</v>
      </c>
      <c r="V125" s="11">
        <f t="shared" si="46"/>
        <v>22750</v>
      </c>
      <c r="W125" s="73">
        <f t="shared" si="50"/>
        <v>6.9020505735500014E-5</v>
      </c>
      <c r="X125" s="89"/>
      <c r="Y125" s="65">
        <f>SUM(A:B!Y125)</f>
        <v>0</v>
      </c>
      <c r="Z125" s="65">
        <f>SUM(A:B!Z125)</f>
        <v>0</v>
      </c>
      <c r="AA125" s="65">
        <f>SUM(A:B!AA125)</f>
        <v>15267.724999999999</v>
      </c>
      <c r="AB125" s="65">
        <f>SUM(A:B!AB125)</f>
        <v>0</v>
      </c>
      <c r="AC125" s="65">
        <f>SUM(A:B!AC125)</f>
        <v>0</v>
      </c>
      <c r="AD125" s="65">
        <f>SUM(A:B!AD125)</f>
        <v>0</v>
      </c>
      <c r="AE125" s="65">
        <f>SUM(A:B!AE125)</f>
        <v>0</v>
      </c>
      <c r="AF125" s="65">
        <f>SUM(A:B!AF125)</f>
        <v>0</v>
      </c>
      <c r="AG125" s="65">
        <f>SUM(A:B!AG125)</f>
        <v>0</v>
      </c>
      <c r="AH125" s="65">
        <f>SUM(A:B!AH125)</f>
        <v>0</v>
      </c>
      <c r="AI125" s="65">
        <f>SUM(A:B!AI125)</f>
        <v>0</v>
      </c>
      <c r="AJ125" s="65">
        <f>SUM(A:B!AJ125)</f>
        <v>0</v>
      </c>
      <c r="AK125" s="123">
        <f t="shared" si="51"/>
        <v>15267.724999999999</v>
      </c>
      <c r="AL125" s="73">
        <f t="shared" si="52"/>
        <v>4.2552285297692082E-5</v>
      </c>
      <c r="AM125" s="14">
        <f t="shared" si="53"/>
        <v>-0.32889120879120881</v>
      </c>
      <c r="AN125" s="9"/>
    </row>
    <row r="126" spans="1:41" hidden="1" outlineLevel="1">
      <c r="A126" s="12"/>
      <c r="I126" s="223" t="s">
        <v>235</v>
      </c>
      <c r="J126" s="65">
        <f>SUM(A:B!J126)</f>
        <v>0</v>
      </c>
      <c r="K126" s="65">
        <f>SUM(A:B!K126)</f>
        <v>0</v>
      </c>
      <c r="L126" s="65">
        <f>SUM(A:B!L126)</f>
        <v>0</v>
      </c>
      <c r="M126" s="65">
        <f>SUM(A:B!M126)</f>
        <v>0</v>
      </c>
      <c r="N126" s="65">
        <f>SUM(A:B!N126)</f>
        <v>0</v>
      </c>
      <c r="O126" s="65">
        <f>SUM(A:B!O126)</f>
        <v>0</v>
      </c>
      <c r="P126" s="65">
        <f>SUM(A:B!P126)</f>
        <v>0</v>
      </c>
      <c r="Q126" s="65">
        <f>SUM(A:B!Q126)</f>
        <v>0</v>
      </c>
      <c r="R126" s="65">
        <f>SUM(A:B!R126)</f>
        <v>0</v>
      </c>
      <c r="S126" s="65">
        <f>SUM(A:B!S126)</f>
        <v>0</v>
      </c>
      <c r="T126" s="65">
        <f>SUM(A:B!T126)</f>
        <v>0</v>
      </c>
      <c r="U126" s="65">
        <f>SUM(A:B!U126)</f>
        <v>0</v>
      </c>
      <c r="V126" s="11">
        <f t="shared" si="46"/>
        <v>0</v>
      </c>
      <c r="W126" s="73">
        <f t="shared" si="50"/>
        <v>0</v>
      </c>
      <c r="X126" s="89"/>
      <c r="Y126" s="65">
        <f>SUM(A:B!Y126)</f>
        <v>0</v>
      </c>
      <c r="Z126" s="65">
        <f>SUM(A:B!Z126)</f>
        <v>0</v>
      </c>
      <c r="AA126" s="65">
        <f>SUM(A:B!AA126)</f>
        <v>0</v>
      </c>
      <c r="AB126" s="65">
        <f>SUM(A:B!AB126)</f>
        <v>0</v>
      </c>
      <c r="AC126" s="65">
        <f>SUM(A:B!AC126)</f>
        <v>0</v>
      </c>
      <c r="AD126" s="65">
        <f>SUM(A:B!AD126)</f>
        <v>0</v>
      </c>
      <c r="AE126" s="65">
        <f>SUM(A:B!AE126)</f>
        <v>0</v>
      </c>
      <c r="AF126" s="65">
        <f>SUM(A:B!AF126)</f>
        <v>0</v>
      </c>
      <c r="AG126" s="65">
        <f>SUM(A:B!AG126)</f>
        <v>0</v>
      </c>
      <c r="AH126" s="65">
        <f>SUM(A:B!AH126)</f>
        <v>0</v>
      </c>
      <c r="AI126" s="65">
        <f>SUM(A:B!AI126)</f>
        <v>0</v>
      </c>
      <c r="AJ126" s="65">
        <f>SUM(A:B!AJ126)</f>
        <v>0</v>
      </c>
      <c r="AK126" s="123">
        <f t="shared" si="51"/>
        <v>0</v>
      </c>
      <c r="AL126" s="73">
        <f t="shared" si="52"/>
        <v>0</v>
      </c>
      <c r="AM126" s="14">
        <f t="shared" si="53"/>
        <v>0</v>
      </c>
    </row>
    <row r="127" spans="1:41" hidden="1" outlineLevel="1">
      <c r="A127" s="12"/>
      <c r="I127" s="223" t="s">
        <v>236</v>
      </c>
      <c r="J127" s="65">
        <f>SUM(A:B!J127)</f>
        <v>0</v>
      </c>
      <c r="K127" s="65">
        <f>SUM(A:B!K127)</f>
        <v>0</v>
      </c>
      <c r="L127" s="65">
        <f>SUM(A:B!L127)</f>
        <v>0</v>
      </c>
      <c r="M127" s="65">
        <f>SUM(A:B!M127)</f>
        <v>0</v>
      </c>
      <c r="N127" s="65">
        <f>SUM(A:B!N127)</f>
        <v>0</v>
      </c>
      <c r="O127" s="65">
        <f>SUM(A:B!O127)</f>
        <v>0</v>
      </c>
      <c r="P127" s="65">
        <f>SUM(A:B!P127)</f>
        <v>0</v>
      </c>
      <c r="Q127" s="65">
        <f>SUM(A:B!Q127)</f>
        <v>0</v>
      </c>
      <c r="R127" s="65">
        <f>SUM(A:B!R127)</f>
        <v>0</v>
      </c>
      <c r="S127" s="65">
        <f>SUM(A:B!S127)</f>
        <v>0</v>
      </c>
      <c r="T127" s="65">
        <f>SUM(A:B!T127)</f>
        <v>5200</v>
      </c>
      <c r="U127" s="65">
        <f>SUM(A:B!U127)</f>
        <v>3120</v>
      </c>
      <c r="V127" s="11">
        <f t="shared" si="46"/>
        <v>8320</v>
      </c>
      <c r="W127" s="73">
        <f t="shared" si="50"/>
        <v>2.5241784954697146E-5</v>
      </c>
      <c r="X127" s="89"/>
      <c r="Y127" s="65">
        <f>SUM(A:B!Y127)</f>
        <v>3105.2999999999997</v>
      </c>
      <c r="Z127" s="65">
        <f>SUM(A:B!Z127)</f>
        <v>0</v>
      </c>
      <c r="AA127" s="65">
        <f>SUM(A:B!AA127)</f>
        <v>0</v>
      </c>
      <c r="AB127" s="65">
        <f>SUM(A:B!AB127)</f>
        <v>0</v>
      </c>
      <c r="AC127" s="65">
        <f>SUM(A:B!AC127)</f>
        <v>0</v>
      </c>
      <c r="AD127" s="65">
        <f>SUM(A:B!AD127)</f>
        <v>3105.2999999999997</v>
      </c>
      <c r="AE127" s="65">
        <f>SUM(A:B!AE127)</f>
        <v>0</v>
      </c>
      <c r="AF127" s="65">
        <f>SUM(A:B!AF127)</f>
        <v>0</v>
      </c>
      <c r="AG127" s="65">
        <f>SUM(A:B!AG127)</f>
        <v>0</v>
      </c>
      <c r="AH127" s="65">
        <f>SUM(A:B!AH127)</f>
        <v>0</v>
      </c>
      <c r="AI127" s="65">
        <f>SUM(A:B!AI127)</f>
        <v>3105.2999999999997</v>
      </c>
      <c r="AJ127" s="65">
        <f>SUM(A:B!AJ127)</f>
        <v>0</v>
      </c>
      <c r="AK127" s="123">
        <f t="shared" si="51"/>
        <v>9315.9</v>
      </c>
      <c r="AL127" s="73">
        <f t="shared" si="52"/>
        <v>2.5964106283337543E-5</v>
      </c>
      <c r="AM127" s="14">
        <f t="shared" si="53"/>
        <v>0.11969951923076927</v>
      </c>
      <c r="AN127" s="9"/>
    </row>
    <row r="128" spans="1:41" hidden="1" outlineLevel="1">
      <c r="A128" s="12"/>
      <c r="I128" s="223" t="s">
        <v>237</v>
      </c>
      <c r="J128" s="65">
        <f>SUM(A:B!J128)</f>
        <v>0</v>
      </c>
      <c r="K128" s="65">
        <f>SUM(A:B!K128)</f>
        <v>0</v>
      </c>
      <c r="L128" s="65">
        <f>SUM(A:B!L128)</f>
        <v>0</v>
      </c>
      <c r="M128" s="65">
        <f>SUM(A:B!M128)</f>
        <v>0</v>
      </c>
      <c r="N128" s="65">
        <f>SUM(A:B!N128)</f>
        <v>0</v>
      </c>
      <c r="O128" s="65">
        <f>SUM(A:B!O128)</f>
        <v>0</v>
      </c>
      <c r="P128" s="65">
        <f>SUM(A:B!P128)</f>
        <v>0</v>
      </c>
      <c r="Q128" s="65">
        <f>SUM(A:B!Q128)</f>
        <v>0</v>
      </c>
      <c r="R128" s="65">
        <f>SUM(A:B!R128)</f>
        <v>0</v>
      </c>
      <c r="S128" s="65">
        <f>SUM(A:B!S128)</f>
        <v>0</v>
      </c>
      <c r="T128" s="65">
        <f>SUM(A:B!T128)</f>
        <v>0</v>
      </c>
      <c r="U128" s="65">
        <f>SUM(A:B!U128)</f>
        <v>0</v>
      </c>
      <c r="V128" s="11">
        <f t="shared" si="46"/>
        <v>0</v>
      </c>
      <c r="W128" s="73">
        <f t="shared" si="50"/>
        <v>0</v>
      </c>
      <c r="X128" s="89"/>
      <c r="Y128" s="65">
        <f>SUM(A:B!Y128)</f>
        <v>0</v>
      </c>
      <c r="Z128" s="65">
        <f>SUM(A:B!Z128)</f>
        <v>0</v>
      </c>
      <c r="AA128" s="65">
        <f>SUM(A:B!AA128)</f>
        <v>0</v>
      </c>
      <c r="AB128" s="65">
        <f>SUM(A:B!AB128)</f>
        <v>0</v>
      </c>
      <c r="AC128" s="65">
        <f>SUM(A:B!AC128)</f>
        <v>0</v>
      </c>
      <c r="AD128" s="65">
        <f>SUM(A:B!AD128)</f>
        <v>0</v>
      </c>
      <c r="AE128" s="65">
        <f>SUM(A:B!AE128)</f>
        <v>0</v>
      </c>
      <c r="AF128" s="65">
        <f>SUM(A:B!AF128)</f>
        <v>0</v>
      </c>
      <c r="AG128" s="65">
        <f>SUM(A:B!AG128)</f>
        <v>0</v>
      </c>
      <c r="AH128" s="65">
        <f>SUM(A:B!AH128)</f>
        <v>0</v>
      </c>
      <c r="AI128" s="65">
        <f>SUM(A:B!AI128)</f>
        <v>0</v>
      </c>
      <c r="AJ128" s="65">
        <f>SUM(A:B!AJ128)</f>
        <v>0</v>
      </c>
      <c r="AK128" s="123">
        <f t="shared" si="51"/>
        <v>0</v>
      </c>
      <c r="AL128" s="73">
        <f t="shared" si="52"/>
        <v>0</v>
      </c>
      <c r="AM128" s="14">
        <f t="shared" si="53"/>
        <v>0</v>
      </c>
    </row>
    <row r="129" spans="1:40" hidden="1" outlineLevel="1">
      <c r="A129" s="12"/>
      <c r="I129" s="223" t="s">
        <v>238</v>
      </c>
      <c r="J129" s="65">
        <f>SUM(A:B!J129)</f>
        <v>0</v>
      </c>
      <c r="K129" s="65">
        <f>SUM(A:B!K129)</f>
        <v>0</v>
      </c>
      <c r="L129" s="65">
        <f>SUM(A:B!L129)</f>
        <v>10200</v>
      </c>
      <c r="M129" s="65">
        <f>SUM(A:B!M129)</f>
        <v>0</v>
      </c>
      <c r="N129" s="65">
        <f>SUM(A:B!N129)</f>
        <v>0</v>
      </c>
      <c r="O129" s="65">
        <f>SUM(A:B!O129)</f>
        <v>10200</v>
      </c>
      <c r="P129" s="65">
        <f>SUM(A:B!P129)</f>
        <v>0</v>
      </c>
      <c r="Q129" s="65">
        <f>SUM(A:B!Q129)</f>
        <v>0</v>
      </c>
      <c r="R129" s="65">
        <f>SUM(A:B!R129)</f>
        <v>0</v>
      </c>
      <c r="S129" s="65">
        <f>SUM(A:B!S129)</f>
        <v>10200</v>
      </c>
      <c r="T129" s="65">
        <f>SUM(A:B!T129)</f>
        <v>0</v>
      </c>
      <c r="U129" s="65">
        <f>SUM(A:B!U129)</f>
        <v>10816</v>
      </c>
      <c r="V129" s="11">
        <f t="shared" si="46"/>
        <v>41416</v>
      </c>
      <c r="W129" s="73">
        <f t="shared" si="50"/>
        <v>1.2565069299083379E-4</v>
      </c>
      <c r="X129" s="89"/>
      <c r="Y129" s="65">
        <f>SUM(A:B!Y129)</f>
        <v>0</v>
      </c>
      <c r="Z129" s="65">
        <f>SUM(A:B!Z129)</f>
        <v>11696.63</v>
      </c>
      <c r="AA129" s="65">
        <f>SUM(A:B!AA129)</f>
        <v>0</v>
      </c>
      <c r="AB129" s="65">
        <f>SUM(A:B!AB129)</f>
        <v>0</v>
      </c>
      <c r="AC129" s="65">
        <f>SUM(A:B!AC129)</f>
        <v>11696.63</v>
      </c>
      <c r="AD129" s="65">
        <f>SUM(A:B!AD129)</f>
        <v>0</v>
      </c>
      <c r="AE129" s="65">
        <f>SUM(A:B!AE129)</f>
        <v>0</v>
      </c>
      <c r="AF129" s="65">
        <f>SUM(A:B!AF129)</f>
        <v>11696.63</v>
      </c>
      <c r="AG129" s="65">
        <f>SUM(A:B!AG129)</f>
        <v>0</v>
      </c>
      <c r="AH129" s="65">
        <f>SUM(A:B!AH129)</f>
        <v>0</v>
      </c>
      <c r="AI129" s="65">
        <f>SUM(A:B!AI129)</f>
        <v>11696.63</v>
      </c>
      <c r="AJ129" s="65">
        <f>SUM(A:B!AJ129)</f>
        <v>0</v>
      </c>
      <c r="AK129" s="123">
        <f t="shared" si="51"/>
        <v>46786.52</v>
      </c>
      <c r="AL129" s="73">
        <f t="shared" si="52"/>
        <v>1.3039751155631744E-4</v>
      </c>
      <c r="AM129" s="14">
        <f t="shared" si="53"/>
        <v>0.12967259030326428</v>
      </c>
      <c r="AN129" s="9"/>
    </row>
    <row r="130" spans="1:40" hidden="1" outlineLevel="1">
      <c r="A130" s="12"/>
      <c r="I130" s="223" t="s">
        <v>239</v>
      </c>
      <c r="J130" s="65">
        <f>SUM(A:B!J130)</f>
        <v>0</v>
      </c>
      <c r="K130" s="65">
        <f>SUM(A:B!K130)</f>
        <v>0</v>
      </c>
      <c r="L130" s="65">
        <f>SUM(A:B!L130)</f>
        <v>13600</v>
      </c>
      <c r="M130" s="65">
        <f>SUM(A:B!M130)</f>
        <v>0</v>
      </c>
      <c r="N130" s="65">
        <f>SUM(A:B!N130)</f>
        <v>0</v>
      </c>
      <c r="O130" s="65">
        <f>SUM(A:B!O130)</f>
        <v>0</v>
      </c>
      <c r="P130" s="65">
        <f>SUM(A:B!P130)</f>
        <v>13600</v>
      </c>
      <c r="Q130" s="65">
        <f>SUM(A:B!Q130)</f>
        <v>0</v>
      </c>
      <c r="R130" s="65">
        <f>SUM(A:B!R130)</f>
        <v>0</v>
      </c>
      <c r="S130" s="65">
        <f>SUM(A:B!S130)</f>
        <v>13600</v>
      </c>
      <c r="T130" s="65">
        <f>SUM(A:B!T130)</f>
        <v>0</v>
      </c>
      <c r="U130" s="65">
        <f>SUM(A:B!U130)</f>
        <v>15080</v>
      </c>
      <c r="V130" s="11">
        <f t="shared" si="46"/>
        <v>55880</v>
      </c>
      <c r="W130" s="73">
        <f t="shared" si="50"/>
        <v>1.6953256529669191E-4</v>
      </c>
      <c r="X130" s="89"/>
      <c r="Y130" s="65">
        <f>SUM(A:B!Y130)</f>
        <v>0</v>
      </c>
      <c r="Z130" s="65">
        <f>SUM(A:B!Z130)</f>
        <v>15485.095999999998</v>
      </c>
      <c r="AA130" s="65">
        <f>SUM(A:B!AA130)</f>
        <v>0</v>
      </c>
      <c r="AB130" s="65">
        <f>SUM(A:B!AB130)</f>
        <v>0</v>
      </c>
      <c r="AC130" s="65">
        <f>SUM(A:B!AC130)</f>
        <v>15485.095999999998</v>
      </c>
      <c r="AD130" s="65">
        <f>SUM(A:B!AD130)</f>
        <v>0</v>
      </c>
      <c r="AE130" s="65">
        <f>SUM(A:B!AE130)</f>
        <v>0</v>
      </c>
      <c r="AF130" s="65">
        <f>SUM(A:B!AF130)</f>
        <v>15485.095999999998</v>
      </c>
      <c r="AG130" s="65">
        <f>SUM(A:B!AG130)</f>
        <v>0</v>
      </c>
      <c r="AH130" s="65">
        <f>SUM(A:B!AH130)</f>
        <v>0</v>
      </c>
      <c r="AI130" s="65">
        <f>SUM(A:B!AI130)</f>
        <v>15485.095999999998</v>
      </c>
      <c r="AJ130" s="65">
        <f>SUM(A:B!AJ130)</f>
        <v>0</v>
      </c>
      <c r="AK130" s="123">
        <f t="shared" si="51"/>
        <v>61940.383999999991</v>
      </c>
      <c r="AL130" s="73">
        <f t="shared" si="52"/>
        <v>1.7263245777721317E-4</v>
      </c>
      <c r="AM130" s="14">
        <f t="shared" si="53"/>
        <v>0.10845354330708634</v>
      </c>
      <c r="AN130" s="9"/>
    </row>
    <row r="131" spans="1:40" hidden="1" outlineLevel="1">
      <c r="A131" s="12"/>
      <c r="I131" s="223" t="s">
        <v>240</v>
      </c>
      <c r="J131" s="65">
        <f>SUM(A:B!J131)</f>
        <v>0</v>
      </c>
      <c r="K131" s="65">
        <f>SUM(A:B!K131)</f>
        <v>0</v>
      </c>
      <c r="L131" s="65">
        <f>SUM(A:B!L131)</f>
        <v>0</v>
      </c>
      <c r="M131" s="65">
        <f>SUM(A:B!M131)</f>
        <v>0</v>
      </c>
      <c r="N131" s="65">
        <f>SUM(A:B!N131)</f>
        <v>0</v>
      </c>
      <c r="O131" s="65">
        <f>SUM(A:B!O131)</f>
        <v>0</v>
      </c>
      <c r="P131" s="65">
        <f>SUM(A:B!P131)</f>
        <v>0</v>
      </c>
      <c r="Q131" s="65">
        <f>SUM(A:B!Q131)</f>
        <v>0</v>
      </c>
      <c r="R131" s="65">
        <f>SUM(A:B!R131)</f>
        <v>0</v>
      </c>
      <c r="S131" s="65">
        <f>SUM(A:B!S131)</f>
        <v>0</v>
      </c>
      <c r="T131" s="65">
        <f>SUM(A:B!T131)</f>
        <v>0</v>
      </c>
      <c r="U131" s="65">
        <f>SUM(A:B!U131)</f>
        <v>0</v>
      </c>
      <c r="V131" s="11">
        <f t="shared" si="46"/>
        <v>0</v>
      </c>
      <c r="W131" s="73">
        <f t="shared" si="50"/>
        <v>0</v>
      </c>
      <c r="X131" s="89"/>
      <c r="Y131" s="65">
        <f>SUM(A:B!Y131)</f>
        <v>0</v>
      </c>
      <c r="Z131" s="65">
        <f>SUM(A:B!Z131)</f>
        <v>0</v>
      </c>
      <c r="AA131" s="65">
        <f>SUM(A:B!AA131)</f>
        <v>0</v>
      </c>
      <c r="AB131" s="65">
        <f>SUM(A:B!AB131)</f>
        <v>0</v>
      </c>
      <c r="AC131" s="65">
        <f>SUM(A:B!AC131)</f>
        <v>0</v>
      </c>
      <c r="AD131" s="65">
        <f>SUM(A:B!AD131)</f>
        <v>0</v>
      </c>
      <c r="AE131" s="65">
        <f>SUM(A:B!AE131)</f>
        <v>0</v>
      </c>
      <c r="AF131" s="65">
        <f>SUM(A:B!AF131)</f>
        <v>0</v>
      </c>
      <c r="AG131" s="65">
        <f>SUM(A:B!AG131)</f>
        <v>0</v>
      </c>
      <c r="AH131" s="65">
        <f>SUM(A:B!AH131)</f>
        <v>0</v>
      </c>
      <c r="AI131" s="65">
        <f>SUM(A:B!AI131)</f>
        <v>0</v>
      </c>
      <c r="AJ131" s="65">
        <f>SUM(A:B!AJ131)</f>
        <v>0</v>
      </c>
      <c r="AK131" s="123">
        <f t="shared" si="51"/>
        <v>0</v>
      </c>
      <c r="AL131" s="73">
        <f t="shared" si="52"/>
        <v>0</v>
      </c>
      <c r="AM131" s="14">
        <f t="shared" si="53"/>
        <v>0</v>
      </c>
    </row>
    <row r="132" spans="1:40" hidden="1" outlineLevel="1">
      <c r="A132" s="12"/>
      <c r="I132" s="223" t="s">
        <v>241</v>
      </c>
      <c r="J132" s="65">
        <f>SUM(A:B!J132)</f>
        <v>0</v>
      </c>
      <c r="K132" s="65">
        <f>SUM(A:B!K132)</f>
        <v>0</v>
      </c>
      <c r="L132" s="65">
        <f>SUM(A:B!L132)</f>
        <v>0</v>
      </c>
      <c r="M132" s="65">
        <f>SUM(A:B!M132)</f>
        <v>0</v>
      </c>
      <c r="N132" s="65">
        <f>SUM(A:B!N132)</f>
        <v>0</v>
      </c>
      <c r="O132" s="65">
        <f>SUM(A:B!O132)</f>
        <v>0</v>
      </c>
      <c r="P132" s="65">
        <f>SUM(A:B!P132)</f>
        <v>0</v>
      </c>
      <c r="Q132" s="65">
        <f>SUM(A:B!Q132)</f>
        <v>0</v>
      </c>
      <c r="R132" s="65">
        <f>SUM(A:B!R132)</f>
        <v>0</v>
      </c>
      <c r="S132" s="65">
        <f>SUM(A:B!S132)</f>
        <v>0</v>
      </c>
      <c r="T132" s="65">
        <f>SUM(A:B!T132)</f>
        <v>0</v>
      </c>
      <c r="U132" s="65">
        <f>SUM(A:B!U132)</f>
        <v>0</v>
      </c>
      <c r="V132" s="11">
        <f t="shared" si="46"/>
        <v>0</v>
      </c>
      <c r="W132" s="73">
        <f t="shared" si="50"/>
        <v>0</v>
      </c>
      <c r="X132" s="89"/>
      <c r="Y132" s="65">
        <f>SUM(A:B!Y132)</f>
        <v>0</v>
      </c>
      <c r="Z132" s="65">
        <f>SUM(A:B!Z132)</f>
        <v>0</v>
      </c>
      <c r="AA132" s="65">
        <f>SUM(A:B!AA132)</f>
        <v>0</v>
      </c>
      <c r="AB132" s="65">
        <f>SUM(A:B!AB132)</f>
        <v>1035.0999999999999</v>
      </c>
      <c r="AC132" s="65">
        <f>SUM(A:B!AC132)</f>
        <v>0</v>
      </c>
      <c r="AD132" s="65">
        <f>SUM(A:B!AD132)</f>
        <v>0</v>
      </c>
      <c r="AE132" s="65">
        <f>SUM(A:B!AE132)</f>
        <v>0</v>
      </c>
      <c r="AF132" s="65">
        <f>SUM(A:B!AF132)</f>
        <v>0</v>
      </c>
      <c r="AG132" s="65">
        <f>SUM(A:B!AG132)</f>
        <v>1035.0999999999999</v>
      </c>
      <c r="AH132" s="65">
        <f>SUM(A:B!AH132)</f>
        <v>0</v>
      </c>
      <c r="AI132" s="65">
        <f>SUM(A:B!AI132)</f>
        <v>0</v>
      </c>
      <c r="AJ132" s="65">
        <f>SUM(A:B!AJ132)</f>
        <v>0</v>
      </c>
      <c r="AK132" s="123">
        <f t="shared" si="51"/>
        <v>2070.1999999999998</v>
      </c>
      <c r="AL132" s="73">
        <f t="shared" si="52"/>
        <v>5.7698013962972321E-6</v>
      </c>
      <c r="AM132" s="14">
        <f t="shared" si="53"/>
        <v>0</v>
      </c>
      <c r="AN132" s="9"/>
    </row>
    <row r="133" spans="1:40" hidden="1" outlineLevel="1">
      <c r="A133" s="12"/>
      <c r="I133" s="223" t="s">
        <v>242</v>
      </c>
      <c r="J133" s="65">
        <f>SUM(A:B!J133)</f>
        <v>28000</v>
      </c>
      <c r="K133" s="65">
        <f>SUM(A:B!K133)</f>
        <v>28000</v>
      </c>
      <c r="L133" s="65">
        <f>SUM(A:B!L133)</f>
        <v>28000</v>
      </c>
      <c r="M133" s="65">
        <f>SUM(A:B!M133)</f>
        <v>28000</v>
      </c>
      <c r="N133" s="65">
        <f>SUM(A:B!N133)</f>
        <v>28000</v>
      </c>
      <c r="O133" s="65">
        <f>SUM(A:B!O133)</f>
        <v>28000</v>
      </c>
      <c r="P133" s="65">
        <f>SUM(A:B!P133)</f>
        <v>28000</v>
      </c>
      <c r="Q133" s="65">
        <f>SUM(A:B!Q133)</f>
        <v>28000</v>
      </c>
      <c r="R133" s="65">
        <f>SUM(A:B!R133)</f>
        <v>28000</v>
      </c>
      <c r="S133" s="65">
        <f>SUM(A:B!S133)</f>
        <v>28000</v>
      </c>
      <c r="T133" s="65">
        <f>SUM(A:B!T133)</f>
        <v>28000</v>
      </c>
      <c r="U133" s="65">
        <f>SUM(A:B!U133)</f>
        <v>28000</v>
      </c>
      <c r="V133" s="11">
        <f t="shared" si="46"/>
        <v>336000</v>
      </c>
      <c r="W133" s="73">
        <f t="shared" si="50"/>
        <v>1.0193797770166155E-3</v>
      </c>
      <c r="X133" s="89"/>
      <c r="Y133" s="65">
        <f>SUM(A:B!Y133)</f>
        <v>28000</v>
      </c>
      <c r="Z133" s="65">
        <f>SUM(A:B!Z133)</f>
        <v>28000</v>
      </c>
      <c r="AA133" s="65">
        <f>SUM(A:B!AA133)</f>
        <v>28000</v>
      </c>
      <c r="AB133" s="65">
        <f>SUM(A:B!AB133)</f>
        <v>28000</v>
      </c>
      <c r="AC133" s="65">
        <f>SUM(A:B!AC133)</f>
        <v>28000</v>
      </c>
      <c r="AD133" s="65">
        <f>SUM(A:B!AD133)</f>
        <v>28000</v>
      </c>
      <c r="AE133" s="65">
        <f>SUM(A:B!AE133)</f>
        <v>28000</v>
      </c>
      <c r="AF133" s="65">
        <f>SUM(A:B!AF133)</f>
        <v>28000</v>
      </c>
      <c r="AG133" s="65">
        <f>SUM(A:B!AG133)</f>
        <v>28000</v>
      </c>
      <c r="AH133" s="65">
        <f>SUM(A:B!AH133)</f>
        <v>28000</v>
      </c>
      <c r="AI133" s="65">
        <f>SUM(A:B!AI133)</f>
        <v>28000</v>
      </c>
      <c r="AJ133" s="65">
        <f>SUM(A:B!AJ133)</f>
        <v>28000</v>
      </c>
      <c r="AK133" s="123">
        <f t="shared" si="51"/>
        <v>336000</v>
      </c>
      <c r="AL133" s="73">
        <f t="shared" si="52"/>
        <v>9.3645699408553286E-4</v>
      </c>
      <c r="AM133" s="14">
        <f t="shared" si="53"/>
        <v>0</v>
      </c>
    </row>
    <row r="134" spans="1:40" hidden="1" outlineLevel="1">
      <c r="A134" s="12"/>
      <c r="I134" s="223" t="s">
        <v>243</v>
      </c>
      <c r="J134" s="65">
        <f>SUM(A:B!J134)</f>
        <v>0</v>
      </c>
      <c r="K134" s="65">
        <f>SUM(A:B!K134)</f>
        <v>0</v>
      </c>
      <c r="L134" s="65">
        <f>SUM(A:B!L134)</f>
        <v>0</v>
      </c>
      <c r="M134" s="65">
        <f>SUM(A:B!M134)</f>
        <v>0</v>
      </c>
      <c r="N134" s="65">
        <f>SUM(A:B!N134)</f>
        <v>0</v>
      </c>
      <c r="O134" s="65">
        <f>SUM(A:B!O134)</f>
        <v>0</v>
      </c>
      <c r="P134" s="65">
        <f>SUM(A:B!P134)</f>
        <v>0</v>
      </c>
      <c r="Q134" s="65">
        <f>SUM(A:B!Q134)</f>
        <v>0</v>
      </c>
      <c r="R134" s="65">
        <f>SUM(A:B!R134)</f>
        <v>0</v>
      </c>
      <c r="S134" s="65">
        <f>SUM(A:B!S134)</f>
        <v>0</v>
      </c>
      <c r="T134" s="65">
        <f>SUM(A:B!T134)</f>
        <v>0</v>
      </c>
      <c r="U134" s="65">
        <f>SUM(A:B!U134)</f>
        <v>8320</v>
      </c>
      <c r="V134" s="11">
        <f t="shared" si="46"/>
        <v>8320</v>
      </c>
      <c r="W134" s="73">
        <f t="shared" si="50"/>
        <v>2.5241784954697146E-5</v>
      </c>
      <c r="X134" s="89"/>
      <c r="Y134" s="65">
        <f>SUM(A:B!Y134)</f>
        <v>0</v>
      </c>
      <c r="Z134" s="65">
        <f>SUM(A:B!Z134)</f>
        <v>0</v>
      </c>
      <c r="AA134" s="65">
        <f>SUM(A:B!AA134)</f>
        <v>0</v>
      </c>
      <c r="AB134" s="65">
        <f>SUM(A:B!AB134)</f>
        <v>0</v>
      </c>
      <c r="AC134" s="65">
        <f>SUM(A:B!AC134)</f>
        <v>0</v>
      </c>
      <c r="AD134" s="65">
        <f>SUM(A:B!AD134)</f>
        <v>0</v>
      </c>
      <c r="AE134" s="65">
        <f>SUM(A:B!AE134)</f>
        <v>0</v>
      </c>
      <c r="AF134" s="65">
        <f>SUM(A:B!AF134)</f>
        <v>0</v>
      </c>
      <c r="AG134" s="65">
        <f>SUM(A:B!AG134)</f>
        <v>0</v>
      </c>
      <c r="AH134" s="65">
        <f>SUM(A:B!AH134)</f>
        <v>0</v>
      </c>
      <c r="AI134" s="65">
        <f>SUM(A:B!AI134)</f>
        <v>0</v>
      </c>
      <c r="AJ134" s="65">
        <f>SUM(A:B!AJ134)</f>
        <v>6417.619999999999</v>
      </c>
      <c r="AK134" s="123">
        <f t="shared" si="51"/>
        <v>6417.619999999999</v>
      </c>
      <c r="AL134" s="73">
        <f t="shared" si="52"/>
        <v>1.7886384328521419E-5</v>
      </c>
      <c r="AM134" s="14">
        <f t="shared" si="53"/>
        <v>-0.22865144230769241</v>
      </c>
      <c r="AN134" s="9"/>
    </row>
    <row r="135" spans="1:40" hidden="1" outlineLevel="1">
      <c r="A135" s="12"/>
      <c r="I135" s="223" t="s">
        <v>244</v>
      </c>
      <c r="J135" s="65">
        <f>SUM(A:B!J135)</f>
        <v>0</v>
      </c>
      <c r="K135" s="65">
        <f>SUM(A:B!K135)</f>
        <v>0</v>
      </c>
      <c r="L135" s="65">
        <f>SUM(A:B!L135)</f>
        <v>0</v>
      </c>
      <c r="M135" s="65">
        <f>SUM(A:B!M135)</f>
        <v>0</v>
      </c>
      <c r="N135" s="65">
        <f>SUM(A:B!N135)</f>
        <v>0</v>
      </c>
      <c r="O135" s="65">
        <f>SUM(A:B!O135)</f>
        <v>0</v>
      </c>
      <c r="P135" s="65">
        <f>SUM(A:B!P135)</f>
        <v>0</v>
      </c>
      <c r="Q135" s="65">
        <f>SUM(A:B!Q135)</f>
        <v>0</v>
      </c>
      <c r="R135" s="65">
        <f>SUM(A:B!R135)</f>
        <v>0</v>
      </c>
      <c r="S135" s="65">
        <f>SUM(A:B!S135)</f>
        <v>0</v>
      </c>
      <c r="T135" s="65">
        <f>SUM(A:B!T135)</f>
        <v>0</v>
      </c>
      <c r="U135" s="65">
        <f>SUM(A:B!U135)</f>
        <v>0</v>
      </c>
      <c r="V135" s="11">
        <f t="shared" si="46"/>
        <v>0</v>
      </c>
      <c r="W135" s="73">
        <f t="shared" si="50"/>
        <v>0</v>
      </c>
      <c r="X135" s="89"/>
      <c r="Y135" s="65">
        <f>SUM(A:B!Y135)</f>
        <v>0</v>
      </c>
      <c r="Z135" s="65">
        <f>SUM(A:B!Z135)</f>
        <v>0</v>
      </c>
      <c r="AA135" s="65">
        <f>SUM(A:B!AA135)</f>
        <v>0</v>
      </c>
      <c r="AB135" s="65">
        <f>SUM(A:B!AB135)</f>
        <v>0</v>
      </c>
      <c r="AC135" s="65">
        <f>SUM(A:B!AC135)</f>
        <v>0</v>
      </c>
      <c r="AD135" s="65">
        <f>SUM(A:B!AD135)</f>
        <v>0</v>
      </c>
      <c r="AE135" s="65">
        <f>SUM(A:B!AE135)</f>
        <v>0</v>
      </c>
      <c r="AF135" s="65">
        <f>SUM(A:B!AF135)</f>
        <v>0</v>
      </c>
      <c r="AG135" s="65">
        <f>SUM(A:B!AG135)</f>
        <v>0</v>
      </c>
      <c r="AH135" s="65">
        <f>SUM(A:B!AH135)</f>
        <v>0</v>
      </c>
      <c r="AI135" s="65">
        <f>SUM(A:B!AI135)</f>
        <v>0</v>
      </c>
      <c r="AJ135" s="65">
        <f>SUM(A:B!AJ135)</f>
        <v>0</v>
      </c>
      <c r="AK135" s="123">
        <f t="shared" si="51"/>
        <v>0</v>
      </c>
      <c r="AL135" s="73">
        <f t="shared" si="52"/>
        <v>0</v>
      </c>
      <c r="AM135" s="14">
        <f t="shared" si="53"/>
        <v>0</v>
      </c>
    </row>
    <row r="136" spans="1:40" hidden="1" outlineLevel="1">
      <c r="A136" s="12"/>
      <c r="I136" s="223" t="s">
        <v>245</v>
      </c>
      <c r="J136" s="65">
        <f>SUM(A:B!J136)</f>
        <v>0</v>
      </c>
      <c r="K136" s="65">
        <f>SUM(A:B!K136)</f>
        <v>0</v>
      </c>
      <c r="L136" s="65">
        <f>SUM(A:B!L136)</f>
        <v>0</v>
      </c>
      <c r="M136" s="65">
        <f>SUM(A:B!M136)</f>
        <v>0</v>
      </c>
      <c r="N136" s="65">
        <f>SUM(A:B!N136)</f>
        <v>0</v>
      </c>
      <c r="O136" s="65">
        <f>SUM(A:B!O136)</f>
        <v>0</v>
      </c>
      <c r="P136" s="65">
        <f>SUM(A:B!P136)</f>
        <v>0</v>
      </c>
      <c r="Q136" s="65">
        <f>SUM(A:B!Q136)</f>
        <v>0</v>
      </c>
      <c r="R136" s="65">
        <f>SUM(A:B!R136)</f>
        <v>0</v>
      </c>
      <c r="S136" s="65">
        <f>SUM(A:B!S136)</f>
        <v>0</v>
      </c>
      <c r="T136" s="65">
        <f>SUM(A:B!T136)</f>
        <v>0</v>
      </c>
      <c r="U136" s="65">
        <f>SUM(A:B!U136)</f>
        <v>0</v>
      </c>
      <c r="V136" s="11">
        <f t="shared" si="46"/>
        <v>0</v>
      </c>
      <c r="W136" s="73">
        <f>V136/V$6</f>
        <v>0</v>
      </c>
      <c r="X136" s="89"/>
      <c r="Y136" s="65">
        <f>SUM(A:B!Y136)</f>
        <v>0</v>
      </c>
      <c r="Z136" s="65">
        <f>SUM(A:B!Z136)</f>
        <v>0</v>
      </c>
      <c r="AA136" s="65">
        <f>SUM(A:B!AA136)</f>
        <v>0</v>
      </c>
      <c r="AB136" s="65">
        <f>SUM(A:B!AB136)</f>
        <v>0</v>
      </c>
      <c r="AC136" s="65">
        <f>SUM(A:B!AC136)</f>
        <v>0</v>
      </c>
      <c r="AD136" s="65">
        <f>SUM(A:B!AD136)</f>
        <v>0</v>
      </c>
      <c r="AE136" s="65">
        <f>SUM(A:B!AE136)</f>
        <v>0</v>
      </c>
      <c r="AF136" s="65">
        <f>SUM(A:B!AF136)</f>
        <v>0</v>
      </c>
      <c r="AG136" s="65">
        <f>SUM(A:B!AG136)</f>
        <v>0</v>
      </c>
      <c r="AH136" s="65">
        <f>SUM(A:B!AH136)</f>
        <v>0</v>
      </c>
      <c r="AI136" s="65">
        <f>SUM(A:B!AI136)</f>
        <v>0</v>
      </c>
      <c r="AJ136" s="65">
        <f>SUM(A:B!AJ136)</f>
        <v>0</v>
      </c>
      <c r="AK136" s="123">
        <f t="shared" si="51"/>
        <v>0</v>
      </c>
      <c r="AL136" s="73">
        <f t="shared" si="52"/>
        <v>0</v>
      </c>
      <c r="AM136" s="14">
        <f t="shared" si="53"/>
        <v>0</v>
      </c>
    </row>
    <row r="137" spans="1:40" ht="13.15" hidden="1" customHeight="1" outlineLevel="1">
      <c r="A137" s="12"/>
      <c r="I137" s="223" t="s">
        <v>246</v>
      </c>
      <c r="J137" s="65">
        <f>SUM(A:B!J137)</f>
        <v>0</v>
      </c>
      <c r="K137" s="65">
        <f>SUM(A:B!K137)</f>
        <v>0</v>
      </c>
      <c r="L137" s="65">
        <f>SUM(A:B!L137)</f>
        <v>0</v>
      </c>
      <c r="M137" s="65">
        <f>SUM(A:B!M137)</f>
        <v>0</v>
      </c>
      <c r="N137" s="65">
        <f>SUM(A:B!N137)</f>
        <v>0</v>
      </c>
      <c r="O137" s="65">
        <f>SUM(A:B!O137)</f>
        <v>0</v>
      </c>
      <c r="P137" s="65">
        <f>SUM(A:B!P137)</f>
        <v>0</v>
      </c>
      <c r="Q137" s="65">
        <f>SUM(A:B!Q137)</f>
        <v>0</v>
      </c>
      <c r="R137" s="65">
        <f>SUM(A:B!R137)</f>
        <v>0</v>
      </c>
      <c r="S137" s="65">
        <f>SUM(A:B!S137)</f>
        <v>0</v>
      </c>
      <c r="T137" s="65">
        <f>SUM(A:B!T137)</f>
        <v>0</v>
      </c>
      <c r="U137" s="65">
        <f>SUM(A:B!U137)</f>
        <v>0</v>
      </c>
      <c r="V137" s="11">
        <f t="shared" si="46"/>
        <v>0</v>
      </c>
      <c r="W137" s="73">
        <f>V137/V$6</f>
        <v>0</v>
      </c>
      <c r="X137" s="89"/>
      <c r="Y137" s="65">
        <f>SUM(A:B!Y137)</f>
        <v>0</v>
      </c>
      <c r="Z137" s="65">
        <f>SUM(A:B!Z137)</f>
        <v>0</v>
      </c>
      <c r="AA137" s="65">
        <f>SUM(A:B!AA137)</f>
        <v>0</v>
      </c>
      <c r="AB137" s="65">
        <f>SUM(A:B!AB137)</f>
        <v>0</v>
      </c>
      <c r="AC137" s="65">
        <f>SUM(A:B!AC137)</f>
        <v>0</v>
      </c>
      <c r="AD137" s="65">
        <f>SUM(A:B!AD137)</f>
        <v>0</v>
      </c>
      <c r="AE137" s="65">
        <f>SUM(A:B!AE137)</f>
        <v>0</v>
      </c>
      <c r="AF137" s="65">
        <f>SUM(A:B!AF137)</f>
        <v>0</v>
      </c>
      <c r="AG137" s="65">
        <f>SUM(A:B!AG137)</f>
        <v>0</v>
      </c>
      <c r="AH137" s="65">
        <f>SUM(A:B!AH137)</f>
        <v>0</v>
      </c>
      <c r="AI137" s="65">
        <f>SUM(A:B!AI137)</f>
        <v>0</v>
      </c>
      <c r="AJ137" s="65">
        <f>SUM(A:B!AJ137)</f>
        <v>0</v>
      </c>
      <c r="AK137" s="123">
        <f t="shared" si="51"/>
        <v>0</v>
      </c>
      <c r="AL137" s="73">
        <f t="shared" si="52"/>
        <v>0</v>
      </c>
      <c r="AM137" s="14">
        <f t="shared" si="53"/>
        <v>0</v>
      </c>
    </row>
    <row r="138" spans="1:40" hidden="1" outlineLevel="1">
      <c r="A138" s="12"/>
      <c r="I138" s="223" t="s">
        <v>247</v>
      </c>
      <c r="J138" s="65">
        <f>SUM(A:B!J138)</f>
        <v>0</v>
      </c>
      <c r="K138" s="65">
        <f>SUM(A:B!K138)</f>
        <v>0</v>
      </c>
      <c r="L138" s="65">
        <f>SUM(A:B!L138)</f>
        <v>0</v>
      </c>
      <c r="M138" s="65">
        <f>SUM(A:B!M138)</f>
        <v>0</v>
      </c>
      <c r="N138" s="65">
        <f>SUM(A:B!N138)</f>
        <v>0</v>
      </c>
      <c r="O138" s="65">
        <f>SUM(A:B!O138)</f>
        <v>0</v>
      </c>
      <c r="P138" s="65">
        <f>SUM(A:B!P138)</f>
        <v>0</v>
      </c>
      <c r="Q138" s="65">
        <f>SUM(A:B!Q138)</f>
        <v>0</v>
      </c>
      <c r="R138" s="65">
        <f>SUM(A:B!R138)</f>
        <v>0</v>
      </c>
      <c r="S138" s="65">
        <f>SUM(A:B!S138)</f>
        <v>0</v>
      </c>
      <c r="T138" s="65">
        <f>SUM(A:B!T138)</f>
        <v>0</v>
      </c>
      <c r="U138" s="65">
        <f>SUM(A:B!U138)</f>
        <v>0</v>
      </c>
      <c r="V138" s="11">
        <f t="shared" si="46"/>
        <v>0</v>
      </c>
      <c r="W138" s="73">
        <f>V138/V$6</f>
        <v>0</v>
      </c>
      <c r="X138" s="89"/>
      <c r="Y138" s="65">
        <f>SUM(A:B!Y138)</f>
        <v>0</v>
      </c>
      <c r="Z138" s="65">
        <f>SUM(A:B!Z138)</f>
        <v>0</v>
      </c>
      <c r="AA138" s="65">
        <f>SUM(A:B!AA138)</f>
        <v>0</v>
      </c>
      <c r="AB138" s="65">
        <f>SUM(A:B!AB138)</f>
        <v>0</v>
      </c>
      <c r="AC138" s="65">
        <f>SUM(A:B!AC138)</f>
        <v>0</v>
      </c>
      <c r="AD138" s="65">
        <f>SUM(A:B!AD138)</f>
        <v>0</v>
      </c>
      <c r="AE138" s="65">
        <f>SUM(A:B!AE138)</f>
        <v>0</v>
      </c>
      <c r="AF138" s="65">
        <f>SUM(A:B!AF138)</f>
        <v>0</v>
      </c>
      <c r="AG138" s="65">
        <f>SUM(A:B!AG138)</f>
        <v>0</v>
      </c>
      <c r="AH138" s="65">
        <f>SUM(A:B!AH138)</f>
        <v>0</v>
      </c>
      <c r="AI138" s="65">
        <f>SUM(A:B!AI138)</f>
        <v>0</v>
      </c>
      <c r="AJ138" s="65">
        <f>SUM(A:B!AJ138)</f>
        <v>0</v>
      </c>
      <c r="AK138" s="123">
        <f t="shared" si="40"/>
        <v>0</v>
      </c>
      <c r="AL138" s="73">
        <f>AK138/AK$6</f>
        <v>0</v>
      </c>
      <c r="AM138" s="14">
        <f>IFERROR(AK138/V138-1,0)</f>
        <v>0</v>
      </c>
    </row>
    <row r="139" spans="1:40" hidden="1" outlineLevel="1">
      <c r="A139" s="12"/>
      <c r="I139" s="223" t="s">
        <v>248</v>
      </c>
      <c r="J139" s="65">
        <f>SUM(A:B!J139)</f>
        <v>0</v>
      </c>
      <c r="K139" s="65">
        <f>SUM(A:B!K139)</f>
        <v>0</v>
      </c>
      <c r="L139" s="65">
        <f>SUM(A:B!L139)</f>
        <v>0</v>
      </c>
      <c r="M139" s="65">
        <f>SUM(A:B!M139)</f>
        <v>0</v>
      </c>
      <c r="N139" s="65">
        <f>SUM(A:B!N139)</f>
        <v>0</v>
      </c>
      <c r="O139" s="65">
        <f>SUM(A:B!O139)</f>
        <v>0</v>
      </c>
      <c r="P139" s="65">
        <f>SUM(A:B!P139)</f>
        <v>0</v>
      </c>
      <c r="Q139" s="65">
        <f>SUM(A:B!Q139)</f>
        <v>0</v>
      </c>
      <c r="R139" s="65">
        <f>SUM(A:B!R139)</f>
        <v>0</v>
      </c>
      <c r="S139" s="65">
        <f>SUM(A:B!S139)</f>
        <v>0</v>
      </c>
      <c r="T139" s="65">
        <f>SUM(A:B!T139)</f>
        <v>0</v>
      </c>
      <c r="U139" s="65">
        <f>SUM(A:B!U139)</f>
        <v>0</v>
      </c>
      <c r="V139" s="11">
        <f t="shared" si="46"/>
        <v>0</v>
      </c>
      <c r="W139" s="73">
        <f t="shared" si="49"/>
        <v>0</v>
      </c>
      <c r="X139" s="89"/>
      <c r="Y139" s="65">
        <f>SUM(A:B!Y139)</f>
        <v>0</v>
      </c>
      <c r="Z139" s="65">
        <f>SUM(A:B!Z139)</f>
        <v>0</v>
      </c>
      <c r="AA139" s="65">
        <f>SUM(A:B!AA139)</f>
        <v>0</v>
      </c>
      <c r="AB139" s="65">
        <f>SUM(A:B!AB139)</f>
        <v>0</v>
      </c>
      <c r="AC139" s="65">
        <f>SUM(A:B!AC139)</f>
        <v>0</v>
      </c>
      <c r="AD139" s="65">
        <f>SUM(A:B!AD139)</f>
        <v>0</v>
      </c>
      <c r="AE139" s="65">
        <f>SUM(A:B!AE139)</f>
        <v>0</v>
      </c>
      <c r="AF139" s="65">
        <f>SUM(A:B!AF139)</f>
        <v>0</v>
      </c>
      <c r="AG139" s="65">
        <f>SUM(A:B!AG139)</f>
        <v>0</v>
      </c>
      <c r="AH139" s="65">
        <f>SUM(A:B!AH139)</f>
        <v>0</v>
      </c>
      <c r="AI139" s="65">
        <f>SUM(A:B!AI139)</f>
        <v>0</v>
      </c>
      <c r="AJ139" s="65">
        <f>SUM(A:B!AJ139)</f>
        <v>0</v>
      </c>
      <c r="AK139" s="123">
        <f t="shared" si="40"/>
        <v>0</v>
      </c>
      <c r="AL139" s="73">
        <f t="shared" si="47"/>
        <v>0</v>
      </c>
      <c r="AM139" s="14">
        <f t="shared" si="48"/>
        <v>0</v>
      </c>
    </row>
    <row r="140" spans="1:40" hidden="1" outlineLevel="1">
      <c r="A140" s="12"/>
      <c r="I140" s="223" t="s">
        <v>249</v>
      </c>
      <c r="J140" s="65">
        <f>SUM(A:B!J140)</f>
        <v>0</v>
      </c>
      <c r="K140" s="65">
        <f>SUM(A:B!K140)</f>
        <v>0</v>
      </c>
      <c r="L140" s="65">
        <f>SUM(A:B!L140)</f>
        <v>0</v>
      </c>
      <c r="M140" s="65">
        <f>SUM(A:B!M140)</f>
        <v>0</v>
      </c>
      <c r="N140" s="65">
        <f>SUM(A:B!N140)</f>
        <v>0</v>
      </c>
      <c r="O140" s="65">
        <f>SUM(A:B!O140)</f>
        <v>0</v>
      </c>
      <c r="P140" s="65">
        <f>SUM(A:B!P140)</f>
        <v>0</v>
      </c>
      <c r="Q140" s="65">
        <f>SUM(A:B!Q140)</f>
        <v>0</v>
      </c>
      <c r="R140" s="65">
        <f>SUM(A:B!R140)</f>
        <v>0</v>
      </c>
      <c r="S140" s="65">
        <f>SUM(A:B!S140)</f>
        <v>0</v>
      </c>
      <c r="T140" s="65">
        <f>SUM(A:B!T140)</f>
        <v>0</v>
      </c>
      <c r="U140" s="65">
        <f>SUM(A:B!U140)</f>
        <v>0</v>
      </c>
      <c r="V140" s="11">
        <f t="shared" si="46"/>
        <v>0</v>
      </c>
      <c r="W140" s="73">
        <f t="shared" si="49"/>
        <v>0</v>
      </c>
      <c r="X140" s="89"/>
      <c r="Y140" s="65">
        <f>SUM(A:B!Y140)</f>
        <v>0</v>
      </c>
      <c r="Z140" s="65">
        <f>SUM(A:B!Z140)</f>
        <v>0</v>
      </c>
      <c r="AA140" s="65">
        <f>SUM(A:B!AA140)</f>
        <v>0</v>
      </c>
      <c r="AB140" s="65">
        <f>SUM(A:B!AB140)</f>
        <v>0</v>
      </c>
      <c r="AC140" s="65">
        <f>SUM(A:B!AC140)</f>
        <v>0</v>
      </c>
      <c r="AD140" s="65">
        <f>SUM(A:B!AD140)</f>
        <v>0</v>
      </c>
      <c r="AE140" s="65">
        <f>SUM(A:B!AE140)</f>
        <v>0</v>
      </c>
      <c r="AF140" s="65">
        <f>SUM(A:B!AF140)</f>
        <v>0</v>
      </c>
      <c r="AG140" s="65">
        <f>SUM(A:B!AG140)</f>
        <v>0</v>
      </c>
      <c r="AH140" s="65">
        <f>SUM(A:B!AH140)</f>
        <v>0</v>
      </c>
      <c r="AI140" s="65">
        <f>SUM(A:B!AI140)</f>
        <v>0</v>
      </c>
      <c r="AJ140" s="65">
        <f>SUM(A:B!AJ140)</f>
        <v>0</v>
      </c>
      <c r="AK140" s="123">
        <f t="shared" si="40"/>
        <v>0</v>
      </c>
      <c r="AL140" s="73">
        <f t="shared" si="47"/>
        <v>0</v>
      </c>
      <c r="AM140" s="14">
        <f t="shared" si="48"/>
        <v>0</v>
      </c>
    </row>
    <row r="141" spans="1:40" hidden="1" outlineLevel="1">
      <c r="A141" s="12"/>
      <c r="I141" s="223" t="s">
        <v>250</v>
      </c>
      <c r="J141" s="65">
        <f>SUM(A:B!J141)</f>
        <v>0</v>
      </c>
      <c r="K141" s="65">
        <f>SUM(A:B!K141)</f>
        <v>0</v>
      </c>
      <c r="L141" s="65">
        <f>SUM(A:B!L141)</f>
        <v>0</v>
      </c>
      <c r="M141" s="65">
        <f>SUM(A:B!M141)</f>
        <v>0</v>
      </c>
      <c r="N141" s="65">
        <f>SUM(A:B!N141)</f>
        <v>0</v>
      </c>
      <c r="O141" s="65">
        <f>SUM(A:B!O141)</f>
        <v>0</v>
      </c>
      <c r="P141" s="65">
        <f>SUM(A:B!P141)</f>
        <v>0</v>
      </c>
      <c r="Q141" s="65">
        <f>SUM(A:B!Q141)</f>
        <v>0</v>
      </c>
      <c r="R141" s="65">
        <f>SUM(A:B!R141)</f>
        <v>0</v>
      </c>
      <c r="S141" s="65">
        <f>SUM(A:B!S141)</f>
        <v>0</v>
      </c>
      <c r="T141" s="65">
        <f>SUM(A:B!T141)</f>
        <v>0</v>
      </c>
      <c r="U141" s="65">
        <f>SUM(A:B!U141)</f>
        <v>0</v>
      </c>
      <c r="V141" s="11">
        <f t="shared" si="46"/>
        <v>0</v>
      </c>
      <c r="W141" s="73">
        <f t="shared" si="49"/>
        <v>0</v>
      </c>
      <c r="X141" s="89"/>
      <c r="Y141" s="65">
        <f>SUM(A:B!Y141)</f>
        <v>0</v>
      </c>
      <c r="Z141" s="65">
        <f>SUM(A:B!Z141)</f>
        <v>0</v>
      </c>
      <c r="AA141" s="65">
        <f>SUM(A:B!AA141)</f>
        <v>0</v>
      </c>
      <c r="AB141" s="65">
        <f>SUM(A:B!AB141)</f>
        <v>0</v>
      </c>
      <c r="AC141" s="65">
        <f>SUM(A:B!AC141)</f>
        <v>0</v>
      </c>
      <c r="AD141" s="65">
        <f>SUM(A:B!AD141)</f>
        <v>0</v>
      </c>
      <c r="AE141" s="65">
        <f>SUM(A:B!AE141)</f>
        <v>0</v>
      </c>
      <c r="AF141" s="65">
        <f>SUM(A:B!AF141)</f>
        <v>0</v>
      </c>
      <c r="AG141" s="65">
        <f>SUM(A:B!AG141)</f>
        <v>0</v>
      </c>
      <c r="AH141" s="65">
        <f>SUM(A:B!AH141)</f>
        <v>0</v>
      </c>
      <c r="AI141" s="65">
        <f>SUM(A:B!AI141)</f>
        <v>0</v>
      </c>
      <c r="AJ141" s="65">
        <f>SUM(A:B!AJ141)</f>
        <v>0</v>
      </c>
      <c r="AK141" s="123">
        <f t="shared" si="40"/>
        <v>0</v>
      </c>
      <c r="AL141" s="73">
        <f t="shared" si="47"/>
        <v>0</v>
      </c>
      <c r="AM141" s="14">
        <f t="shared" si="48"/>
        <v>0</v>
      </c>
    </row>
    <row r="142" spans="1:40" hidden="1" outlineLevel="1">
      <c r="A142" s="12"/>
      <c r="I142" s="223" t="s">
        <v>251</v>
      </c>
      <c r="J142" s="65">
        <f>SUM(A:B!J142)</f>
        <v>0</v>
      </c>
      <c r="K142" s="65">
        <f>SUM(A:B!K142)</f>
        <v>0</v>
      </c>
      <c r="L142" s="65">
        <f>SUM(A:B!L142)</f>
        <v>0</v>
      </c>
      <c r="M142" s="65">
        <f>SUM(A:B!M142)</f>
        <v>0</v>
      </c>
      <c r="N142" s="65">
        <f>SUM(A:B!N142)</f>
        <v>0</v>
      </c>
      <c r="O142" s="65">
        <f>SUM(A:B!O142)</f>
        <v>0</v>
      </c>
      <c r="P142" s="65">
        <f>SUM(A:B!P142)</f>
        <v>0</v>
      </c>
      <c r="Q142" s="65">
        <f>SUM(A:B!Q142)</f>
        <v>0</v>
      </c>
      <c r="R142" s="65">
        <f>SUM(A:B!R142)</f>
        <v>0</v>
      </c>
      <c r="S142" s="65">
        <f>SUM(A:B!S142)</f>
        <v>0</v>
      </c>
      <c r="T142" s="65">
        <f>SUM(A:B!T142)</f>
        <v>0</v>
      </c>
      <c r="U142" s="65">
        <f>SUM(A:B!U142)</f>
        <v>0</v>
      </c>
      <c r="V142" s="11">
        <f t="shared" si="46"/>
        <v>0</v>
      </c>
      <c r="W142" s="73">
        <f t="shared" si="49"/>
        <v>0</v>
      </c>
      <c r="X142" s="89"/>
      <c r="Y142" s="65">
        <f>SUM(A:B!Y142)</f>
        <v>0</v>
      </c>
      <c r="Z142" s="65">
        <f>SUM(A:B!Z142)</f>
        <v>0</v>
      </c>
      <c r="AA142" s="65">
        <f>SUM(A:B!AA142)</f>
        <v>0</v>
      </c>
      <c r="AB142" s="65">
        <f>SUM(A:B!AB142)</f>
        <v>0</v>
      </c>
      <c r="AC142" s="65">
        <f>SUM(A:B!AC142)</f>
        <v>0</v>
      </c>
      <c r="AD142" s="65">
        <f>SUM(A:B!AD142)</f>
        <v>0</v>
      </c>
      <c r="AE142" s="65">
        <f>SUM(A:B!AE142)</f>
        <v>0</v>
      </c>
      <c r="AF142" s="65">
        <f>SUM(A:B!AF142)</f>
        <v>0</v>
      </c>
      <c r="AG142" s="65">
        <f>SUM(A:B!AG142)</f>
        <v>0</v>
      </c>
      <c r="AH142" s="65">
        <f>SUM(A:B!AH142)</f>
        <v>0</v>
      </c>
      <c r="AI142" s="65">
        <f>SUM(A:B!AI142)</f>
        <v>0</v>
      </c>
      <c r="AJ142" s="65">
        <f>SUM(A:B!AJ142)</f>
        <v>0</v>
      </c>
      <c r="AK142" s="123">
        <f t="shared" si="40"/>
        <v>0</v>
      </c>
      <c r="AL142" s="73">
        <f t="shared" si="47"/>
        <v>0</v>
      </c>
      <c r="AM142" s="14">
        <f t="shared" si="48"/>
        <v>0</v>
      </c>
    </row>
    <row r="143" spans="1:40" hidden="1" outlineLevel="1">
      <c r="A143" s="12"/>
      <c r="I143" s="223" t="s">
        <v>252</v>
      </c>
      <c r="J143" s="65">
        <f>SUM(A:B!J143)</f>
        <v>0</v>
      </c>
      <c r="K143" s="65">
        <f>SUM(A:B!K143)</f>
        <v>0</v>
      </c>
      <c r="L143" s="65">
        <f>SUM(A:B!L143)</f>
        <v>0</v>
      </c>
      <c r="M143" s="65">
        <f>SUM(A:B!M143)</f>
        <v>0</v>
      </c>
      <c r="N143" s="65">
        <f>SUM(A:B!N143)</f>
        <v>0</v>
      </c>
      <c r="O143" s="65">
        <f>SUM(A:B!O143)</f>
        <v>0</v>
      </c>
      <c r="P143" s="65">
        <f>SUM(A:B!P143)</f>
        <v>0</v>
      </c>
      <c r="Q143" s="65">
        <f>SUM(A:B!Q143)</f>
        <v>0</v>
      </c>
      <c r="R143" s="65">
        <f>SUM(A:B!R143)</f>
        <v>0</v>
      </c>
      <c r="S143" s="65">
        <f>SUM(A:B!S143)</f>
        <v>0</v>
      </c>
      <c r="T143" s="65">
        <f>SUM(A:B!T143)</f>
        <v>0</v>
      </c>
      <c r="U143" s="65">
        <f>SUM(A:B!U143)</f>
        <v>0</v>
      </c>
      <c r="V143" s="11">
        <f t="shared" si="46"/>
        <v>0</v>
      </c>
      <c r="W143" s="73">
        <f t="shared" si="49"/>
        <v>0</v>
      </c>
      <c r="X143" s="89"/>
      <c r="Y143" s="65">
        <f>SUM(A:B!Y143)</f>
        <v>0</v>
      </c>
      <c r="Z143" s="65">
        <f>SUM(A:B!Z143)</f>
        <v>0</v>
      </c>
      <c r="AA143" s="65">
        <f>SUM(A:B!AA143)</f>
        <v>0</v>
      </c>
      <c r="AB143" s="65">
        <f>SUM(A:B!AB143)</f>
        <v>0</v>
      </c>
      <c r="AC143" s="65">
        <f>SUM(A:B!AC143)</f>
        <v>0</v>
      </c>
      <c r="AD143" s="65">
        <f>SUM(A:B!AD143)</f>
        <v>0</v>
      </c>
      <c r="AE143" s="65">
        <f>SUM(A:B!AE143)</f>
        <v>0</v>
      </c>
      <c r="AF143" s="65">
        <f>SUM(A:B!AF143)</f>
        <v>0</v>
      </c>
      <c r="AG143" s="65">
        <f>SUM(A:B!AG143)</f>
        <v>0</v>
      </c>
      <c r="AH143" s="65">
        <f>SUM(A:B!AH143)</f>
        <v>0</v>
      </c>
      <c r="AI143" s="65">
        <f>SUM(A:B!AI143)</f>
        <v>0</v>
      </c>
      <c r="AJ143" s="65">
        <f>SUM(A:B!AJ143)</f>
        <v>0</v>
      </c>
      <c r="AK143" s="123">
        <f t="shared" si="40"/>
        <v>0</v>
      </c>
      <c r="AL143" s="73">
        <f t="shared" si="47"/>
        <v>0</v>
      </c>
      <c r="AM143" s="14">
        <f t="shared" si="48"/>
        <v>0</v>
      </c>
    </row>
    <row r="144" spans="1:40" hidden="1" outlineLevel="1">
      <c r="A144" s="12"/>
      <c r="I144" s="223" t="s">
        <v>253</v>
      </c>
      <c r="J144" s="65">
        <f>SUM(A:B!J144)</f>
        <v>0</v>
      </c>
      <c r="K144" s="65">
        <f>SUM(A:B!K144)</f>
        <v>0</v>
      </c>
      <c r="L144" s="65">
        <f>SUM(A:B!L144)</f>
        <v>0</v>
      </c>
      <c r="M144" s="65">
        <f>SUM(A:B!M144)</f>
        <v>0</v>
      </c>
      <c r="N144" s="65">
        <f>SUM(A:B!N144)</f>
        <v>0</v>
      </c>
      <c r="O144" s="65">
        <f>SUM(A:B!O144)</f>
        <v>0</v>
      </c>
      <c r="P144" s="65">
        <f>SUM(A:B!P144)</f>
        <v>0</v>
      </c>
      <c r="Q144" s="65">
        <f>SUM(A:B!Q144)</f>
        <v>0</v>
      </c>
      <c r="R144" s="65">
        <f>SUM(A:B!R144)</f>
        <v>0</v>
      </c>
      <c r="S144" s="65">
        <f>SUM(A:B!S144)</f>
        <v>0</v>
      </c>
      <c r="T144" s="65">
        <f>SUM(A:B!T144)</f>
        <v>0</v>
      </c>
      <c r="U144" s="65">
        <f>SUM(A:B!U144)</f>
        <v>0</v>
      </c>
      <c r="V144" s="11">
        <f t="shared" si="46"/>
        <v>0</v>
      </c>
      <c r="W144" s="73">
        <f t="shared" si="49"/>
        <v>0</v>
      </c>
      <c r="X144" s="89"/>
      <c r="Y144" s="65">
        <f>SUM(A:B!Y144)</f>
        <v>0</v>
      </c>
      <c r="Z144" s="65">
        <f>SUM(A:B!Z144)</f>
        <v>0</v>
      </c>
      <c r="AA144" s="65">
        <f>SUM(A:B!AA144)</f>
        <v>0</v>
      </c>
      <c r="AB144" s="65">
        <f>SUM(A:B!AB144)</f>
        <v>0</v>
      </c>
      <c r="AC144" s="65">
        <f>SUM(A:B!AC144)</f>
        <v>0</v>
      </c>
      <c r="AD144" s="65">
        <f>SUM(A:B!AD144)</f>
        <v>0</v>
      </c>
      <c r="AE144" s="65">
        <f>SUM(A:B!AE144)</f>
        <v>0</v>
      </c>
      <c r="AF144" s="65">
        <f>SUM(A:B!AF144)</f>
        <v>0</v>
      </c>
      <c r="AG144" s="65">
        <f>SUM(A:B!AG144)</f>
        <v>0</v>
      </c>
      <c r="AH144" s="65">
        <f>SUM(A:B!AH144)</f>
        <v>0</v>
      </c>
      <c r="AI144" s="65">
        <f>SUM(A:B!AI144)</f>
        <v>0</v>
      </c>
      <c r="AJ144" s="65">
        <f>SUM(A:B!AJ144)</f>
        <v>0</v>
      </c>
      <c r="AK144" s="123">
        <f t="shared" si="40"/>
        <v>0</v>
      </c>
      <c r="AL144" s="73">
        <f t="shared" si="47"/>
        <v>0</v>
      </c>
      <c r="AM144" s="14">
        <f t="shared" si="48"/>
        <v>0</v>
      </c>
    </row>
    <row r="145" spans="1:43" hidden="1" outlineLevel="1">
      <c r="A145" s="12"/>
      <c r="I145" s="223" t="s">
        <v>254</v>
      </c>
      <c r="J145" s="65">
        <f>SUM(A:B!J145)</f>
        <v>0</v>
      </c>
      <c r="K145" s="65">
        <f>SUM(A:B!K145)</f>
        <v>0</v>
      </c>
      <c r="L145" s="65">
        <f>SUM(A:B!L145)</f>
        <v>0</v>
      </c>
      <c r="M145" s="65">
        <f>SUM(A:B!M145)</f>
        <v>0</v>
      </c>
      <c r="N145" s="65">
        <f>SUM(A:B!N145)</f>
        <v>0</v>
      </c>
      <c r="O145" s="65">
        <f>SUM(A:B!O145)</f>
        <v>0</v>
      </c>
      <c r="P145" s="65">
        <f>SUM(A:B!P145)</f>
        <v>0</v>
      </c>
      <c r="Q145" s="65">
        <f>SUM(A:B!Q145)</f>
        <v>0</v>
      </c>
      <c r="R145" s="65">
        <f>SUM(A:B!R145)</f>
        <v>0</v>
      </c>
      <c r="S145" s="65">
        <f>SUM(A:B!S145)</f>
        <v>0</v>
      </c>
      <c r="T145" s="65">
        <f>SUM(A:B!T145)</f>
        <v>0</v>
      </c>
      <c r="U145" s="65">
        <f>SUM(A:B!U145)</f>
        <v>0</v>
      </c>
      <c r="V145" s="11">
        <f t="shared" si="46"/>
        <v>0</v>
      </c>
      <c r="W145" s="73">
        <f t="shared" si="49"/>
        <v>0</v>
      </c>
      <c r="X145" s="89"/>
      <c r="Y145" s="65">
        <f>SUM(A:B!Y145)</f>
        <v>0</v>
      </c>
      <c r="Z145" s="65">
        <f>SUM(A:B!Z145)</f>
        <v>0</v>
      </c>
      <c r="AA145" s="65">
        <f>SUM(A:B!AA145)</f>
        <v>0</v>
      </c>
      <c r="AB145" s="65">
        <f>SUM(A:B!AB145)</f>
        <v>0</v>
      </c>
      <c r="AC145" s="65">
        <f>SUM(A:B!AC145)</f>
        <v>0</v>
      </c>
      <c r="AD145" s="65">
        <f>SUM(A:B!AD145)</f>
        <v>0</v>
      </c>
      <c r="AE145" s="65">
        <f>SUM(A:B!AE145)</f>
        <v>0</v>
      </c>
      <c r="AF145" s="65">
        <f>SUM(A:B!AF145)</f>
        <v>0</v>
      </c>
      <c r="AG145" s="65">
        <f>SUM(A:B!AG145)</f>
        <v>0</v>
      </c>
      <c r="AH145" s="65">
        <f>SUM(A:B!AH145)</f>
        <v>0</v>
      </c>
      <c r="AI145" s="65">
        <f>SUM(A:B!AI145)</f>
        <v>0</v>
      </c>
      <c r="AJ145" s="65">
        <f>SUM(A:B!AJ145)</f>
        <v>0</v>
      </c>
      <c r="AK145" s="123">
        <f t="shared" si="40"/>
        <v>0</v>
      </c>
      <c r="AL145" s="73">
        <f t="shared" si="47"/>
        <v>0</v>
      </c>
      <c r="AM145" s="14">
        <f t="shared" si="48"/>
        <v>0</v>
      </c>
      <c r="AN145" s="9"/>
    </row>
    <row r="146" spans="1:43" hidden="1" outlineLevel="1">
      <c r="A146" s="12"/>
      <c r="I146" s="223" t="s">
        <v>255</v>
      </c>
      <c r="J146" s="65">
        <f>SUM(A:B!J146)</f>
        <v>0</v>
      </c>
      <c r="K146" s="65">
        <f>SUM(A:B!K146)</f>
        <v>0</v>
      </c>
      <c r="L146" s="65">
        <f>SUM(A:B!L146)</f>
        <v>0</v>
      </c>
      <c r="M146" s="65">
        <f>SUM(A:B!M146)</f>
        <v>0</v>
      </c>
      <c r="N146" s="65">
        <f>SUM(A:B!N146)</f>
        <v>0</v>
      </c>
      <c r="O146" s="65">
        <f>SUM(A:B!O146)</f>
        <v>0</v>
      </c>
      <c r="P146" s="65">
        <f>SUM(A:B!P146)</f>
        <v>0</v>
      </c>
      <c r="Q146" s="65">
        <f>SUM(A:B!Q146)</f>
        <v>0</v>
      </c>
      <c r="R146" s="65">
        <f>SUM(A:B!R146)</f>
        <v>0</v>
      </c>
      <c r="S146" s="65">
        <f>SUM(A:B!S146)</f>
        <v>0</v>
      </c>
      <c r="T146" s="65">
        <f>SUM(A:B!T146)</f>
        <v>0</v>
      </c>
      <c r="U146" s="65">
        <f>SUM(A:B!U146)</f>
        <v>0</v>
      </c>
      <c r="V146" s="11">
        <f t="shared" si="46"/>
        <v>0</v>
      </c>
      <c r="W146" s="73">
        <f t="shared" si="49"/>
        <v>0</v>
      </c>
      <c r="X146" s="89"/>
      <c r="Y146" s="65">
        <f>SUM(A:B!Y146)</f>
        <v>0</v>
      </c>
      <c r="Z146" s="65">
        <f>SUM(A:B!Z146)</f>
        <v>0</v>
      </c>
      <c r="AA146" s="65">
        <f>SUM(A:B!AA146)</f>
        <v>0</v>
      </c>
      <c r="AB146" s="65">
        <f>SUM(A:B!AB146)</f>
        <v>0</v>
      </c>
      <c r="AC146" s="65">
        <f>SUM(A:B!AC146)</f>
        <v>0</v>
      </c>
      <c r="AD146" s="65">
        <f>SUM(A:B!AD146)</f>
        <v>0</v>
      </c>
      <c r="AE146" s="65">
        <f>SUM(A:B!AE146)</f>
        <v>0</v>
      </c>
      <c r="AF146" s="65">
        <f>SUM(A:B!AF146)</f>
        <v>0</v>
      </c>
      <c r="AG146" s="65">
        <f>SUM(A:B!AG146)</f>
        <v>0</v>
      </c>
      <c r="AH146" s="65">
        <f>SUM(A:B!AH146)</f>
        <v>0</v>
      </c>
      <c r="AI146" s="65">
        <f>SUM(A:B!AI146)</f>
        <v>0</v>
      </c>
      <c r="AJ146" s="65">
        <f>SUM(A:B!AJ146)</f>
        <v>0</v>
      </c>
      <c r="AK146" s="123">
        <f t="shared" si="40"/>
        <v>0</v>
      </c>
      <c r="AL146" s="73">
        <f t="shared" si="47"/>
        <v>0</v>
      </c>
      <c r="AM146" s="14">
        <f t="shared" si="48"/>
        <v>0</v>
      </c>
    </row>
    <row r="147" spans="1:43" ht="15" collapsed="1">
      <c r="A147" s="12" t="s">
        <v>256</v>
      </c>
      <c r="B147" s="8" t="s">
        <v>89</v>
      </c>
      <c r="I147" s="119" t="s">
        <v>257</v>
      </c>
      <c r="J147" s="15">
        <f t="shared" ref="J147:V147" si="54">SUM(J148:J153)</f>
        <v>62418</v>
      </c>
      <c r="K147" s="15">
        <f t="shared" si="54"/>
        <v>57905</v>
      </c>
      <c r="L147" s="15">
        <f t="shared" si="54"/>
        <v>53803</v>
      </c>
      <c r="M147" s="15">
        <f t="shared" si="54"/>
        <v>62237</v>
      </c>
      <c r="N147" s="15">
        <f t="shared" si="54"/>
        <v>63237</v>
      </c>
      <c r="O147" s="15">
        <f t="shared" si="54"/>
        <v>59778</v>
      </c>
      <c r="P147" s="15">
        <f t="shared" si="54"/>
        <v>62693</v>
      </c>
      <c r="Q147" s="15">
        <f t="shared" si="54"/>
        <v>70494</v>
      </c>
      <c r="R147" s="15">
        <f t="shared" si="54"/>
        <v>64019</v>
      </c>
      <c r="S147" s="15">
        <f t="shared" si="54"/>
        <v>73378</v>
      </c>
      <c r="T147" s="15">
        <f t="shared" si="54"/>
        <v>67646</v>
      </c>
      <c r="U147" s="15">
        <f t="shared" si="54"/>
        <v>68884.25</v>
      </c>
      <c r="V147" s="15">
        <f t="shared" si="54"/>
        <v>766492.25</v>
      </c>
      <c r="W147" s="72">
        <f t="shared" si="30"/>
        <v>2.3254366038391785E-3</v>
      </c>
      <c r="X147" s="89"/>
      <c r="Y147" s="15">
        <f>SUM(Y148:Y153)</f>
        <v>63120.72</v>
      </c>
      <c r="Z147" s="15">
        <f>SUM(Z148:Z153)</f>
        <v>64404.08</v>
      </c>
      <c r="AA147" s="15">
        <f>SUM(AA148:AA153)</f>
        <v>61447.360000000001</v>
      </c>
      <c r="AB147" s="15">
        <f>SUM(AB148:AB153)</f>
        <v>64422.8</v>
      </c>
      <c r="AC147" s="15">
        <f>SUM(AC148:AC153)</f>
        <v>68465.279999999999</v>
      </c>
      <c r="AD147" s="15">
        <f>SUM(AD148:AD153)</f>
        <v>62941.84</v>
      </c>
      <c r="AE147" s="15">
        <f>SUM(AE148:AE153)</f>
        <v>67489.759999999995</v>
      </c>
      <c r="AF147" s="15">
        <f>SUM(AF148:AF153)</f>
        <v>61755.199999999997</v>
      </c>
      <c r="AG147" s="15">
        <f>SUM(AG148:AG153)</f>
        <v>57032.56</v>
      </c>
      <c r="AH147" s="15">
        <f>SUM(AH148:AH153)</f>
        <v>61331.92</v>
      </c>
      <c r="AI147" s="15">
        <f>SUM(AI148:AI153)</f>
        <v>52732.160000000003</v>
      </c>
      <c r="AJ147" s="15">
        <f>SUM(AJ148:AJ153)</f>
        <v>60957.520000000004</v>
      </c>
      <c r="AK147" s="15">
        <f t="shared" ref="AK147" si="55">SUM(AK148:AK153)</f>
        <v>746101.20000000007</v>
      </c>
      <c r="AL147" s="72">
        <f t="shared" si="31"/>
        <v>2.0794395447488365E-3</v>
      </c>
      <c r="AM147" s="10">
        <f t="shared" si="41"/>
        <v>-2.6603073938451294E-2</v>
      </c>
    </row>
    <row r="148" spans="1:43" hidden="1" outlineLevel="1">
      <c r="A148" s="12" t="s">
        <v>256</v>
      </c>
      <c r="B148" s="8" t="s">
        <v>89</v>
      </c>
      <c r="I148" s="226" t="s">
        <v>258</v>
      </c>
      <c r="J148" s="65">
        <f>SUM(A:B!J148)</f>
        <v>0</v>
      </c>
      <c r="K148" s="65">
        <f>SUM(A:B!K148)</f>
        <v>0</v>
      </c>
      <c r="L148" s="65">
        <f>SUM(A:B!L148)</f>
        <v>0</v>
      </c>
      <c r="M148" s="65">
        <f>SUM(A:B!M148)</f>
        <v>0</v>
      </c>
      <c r="N148" s="65">
        <f>SUM(A:B!N148)</f>
        <v>0</v>
      </c>
      <c r="O148" s="65">
        <f>SUM(A:B!O148)</f>
        <v>0</v>
      </c>
      <c r="P148" s="65">
        <f>SUM(A:B!P148)</f>
        <v>0</v>
      </c>
      <c r="Q148" s="65">
        <f>SUM(A:B!Q148)</f>
        <v>0</v>
      </c>
      <c r="R148" s="65">
        <f>SUM(A:B!R148)</f>
        <v>0</v>
      </c>
      <c r="S148" s="65">
        <f>SUM(A:B!S148)</f>
        <v>0</v>
      </c>
      <c r="T148" s="65">
        <f>SUM(A:B!T148)</f>
        <v>0</v>
      </c>
      <c r="U148" s="65">
        <f>SUM(A:B!U148)</f>
        <v>0</v>
      </c>
      <c r="V148" s="11">
        <f t="shared" ref="V148:V154" si="56">SUM(J148:U148)</f>
        <v>0</v>
      </c>
      <c r="W148" s="73">
        <f t="shared" si="30"/>
        <v>0</v>
      </c>
      <c r="X148" s="89"/>
      <c r="Y148" s="65">
        <f>SUM(A:B!Y148)</f>
        <v>0</v>
      </c>
      <c r="Z148" s="65">
        <f>SUM(A:B!Z148)</f>
        <v>0</v>
      </c>
      <c r="AA148" s="65">
        <f>SUM(A:B!AA148)</f>
        <v>0</v>
      </c>
      <c r="AB148" s="65">
        <f>SUM(A:B!AB148)</f>
        <v>0</v>
      </c>
      <c r="AC148" s="65">
        <f>SUM(A:B!AC148)</f>
        <v>0</v>
      </c>
      <c r="AD148" s="65">
        <f>SUM(A:B!AD148)</f>
        <v>0</v>
      </c>
      <c r="AE148" s="65">
        <f>SUM(A:B!AE148)</f>
        <v>0</v>
      </c>
      <c r="AF148" s="65">
        <f>SUM(A:B!AF148)</f>
        <v>0</v>
      </c>
      <c r="AG148" s="65">
        <f>SUM(A:B!AG148)</f>
        <v>0</v>
      </c>
      <c r="AH148" s="65">
        <f>SUM(A:B!AH148)</f>
        <v>0</v>
      </c>
      <c r="AI148" s="65">
        <f>SUM(A:B!AI148)</f>
        <v>0</v>
      </c>
      <c r="AJ148" s="65">
        <f>SUM(A:B!AJ148)</f>
        <v>0</v>
      </c>
      <c r="AK148" s="123">
        <f t="shared" ref="AK148:AK154" si="57">SUM(Y148:AJ148)</f>
        <v>0</v>
      </c>
      <c r="AL148" s="73">
        <f t="shared" si="31"/>
        <v>0</v>
      </c>
      <c r="AM148" s="14">
        <f t="shared" si="41"/>
        <v>0</v>
      </c>
    </row>
    <row r="149" spans="1:43" hidden="1" outlineLevel="1">
      <c r="A149" s="12" t="s">
        <v>256</v>
      </c>
      <c r="B149" s="8" t="s">
        <v>89</v>
      </c>
      <c r="I149" s="226" t="s">
        <v>259</v>
      </c>
      <c r="J149" s="65">
        <f>SUM(A:B!J149)</f>
        <v>0</v>
      </c>
      <c r="K149" s="65">
        <f>SUM(A:B!K149)</f>
        <v>0</v>
      </c>
      <c r="L149" s="65">
        <f>SUM(A:B!L149)</f>
        <v>0</v>
      </c>
      <c r="M149" s="65">
        <f>SUM(A:B!M149)</f>
        <v>0</v>
      </c>
      <c r="N149" s="65">
        <f>SUM(A:B!N149)</f>
        <v>0</v>
      </c>
      <c r="O149" s="65">
        <f>SUM(A:B!O149)</f>
        <v>0</v>
      </c>
      <c r="P149" s="65">
        <f>SUM(A:B!P149)</f>
        <v>0</v>
      </c>
      <c r="Q149" s="65">
        <f>SUM(A:B!Q149)</f>
        <v>0</v>
      </c>
      <c r="R149" s="65">
        <f>SUM(A:B!R149)</f>
        <v>0</v>
      </c>
      <c r="S149" s="65">
        <f>SUM(A:B!S149)</f>
        <v>0</v>
      </c>
      <c r="T149" s="65">
        <f>SUM(A:B!T149)</f>
        <v>0</v>
      </c>
      <c r="U149" s="65">
        <f>SUM(A:B!U149)</f>
        <v>0</v>
      </c>
      <c r="V149" s="11">
        <f t="shared" si="56"/>
        <v>0</v>
      </c>
      <c r="W149" s="73">
        <f t="shared" si="30"/>
        <v>0</v>
      </c>
      <c r="X149" s="89"/>
      <c r="Y149" s="65">
        <f>SUM(A:B!Y149)</f>
        <v>0</v>
      </c>
      <c r="Z149" s="65">
        <f>SUM(A:B!Z149)</f>
        <v>0</v>
      </c>
      <c r="AA149" s="65">
        <f>SUM(A:B!AA149)</f>
        <v>0</v>
      </c>
      <c r="AB149" s="65">
        <f>SUM(A:B!AB149)</f>
        <v>0</v>
      </c>
      <c r="AC149" s="65">
        <f>SUM(A:B!AC149)</f>
        <v>0</v>
      </c>
      <c r="AD149" s="65">
        <f>SUM(A:B!AD149)</f>
        <v>0</v>
      </c>
      <c r="AE149" s="65">
        <f>SUM(A:B!AE149)</f>
        <v>0</v>
      </c>
      <c r="AF149" s="65">
        <f>SUM(A:B!AF149)</f>
        <v>0</v>
      </c>
      <c r="AG149" s="65">
        <f>SUM(A:B!AG149)</f>
        <v>0</v>
      </c>
      <c r="AH149" s="65">
        <f>SUM(A:B!AH149)</f>
        <v>0</v>
      </c>
      <c r="AI149" s="65">
        <f>SUM(A:B!AI149)</f>
        <v>0</v>
      </c>
      <c r="AJ149" s="65">
        <f>SUM(A:B!AJ149)</f>
        <v>0</v>
      </c>
      <c r="AK149" s="123">
        <f t="shared" si="57"/>
        <v>0</v>
      </c>
      <c r="AL149" s="73">
        <f t="shared" si="31"/>
        <v>0</v>
      </c>
      <c r="AM149" s="14">
        <f t="shared" si="41"/>
        <v>0</v>
      </c>
    </row>
    <row r="150" spans="1:43" hidden="1" outlineLevel="1">
      <c r="A150" s="12" t="s">
        <v>256</v>
      </c>
      <c r="B150" s="8" t="s">
        <v>89</v>
      </c>
      <c r="I150" s="262" t="s">
        <v>260</v>
      </c>
      <c r="J150" s="65">
        <f>SUM(A:B!J150)</f>
        <v>30718</v>
      </c>
      <c r="K150" s="65">
        <f>SUM(A:B!K150)</f>
        <v>33105</v>
      </c>
      <c r="L150" s="65">
        <f>SUM(A:B!L150)</f>
        <v>32203</v>
      </c>
      <c r="M150" s="65">
        <f>SUM(A:B!M150)</f>
        <v>30237</v>
      </c>
      <c r="N150" s="65">
        <f>SUM(A:B!N150)</f>
        <v>31237</v>
      </c>
      <c r="O150" s="65">
        <f>SUM(A:B!O150)</f>
        <v>29778</v>
      </c>
      <c r="P150" s="65">
        <f>SUM(A:B!P150)</f>
        <v>30411</v>
      </c>
      <c r="Q150" s="65">
        <f>SUM(A:B!Q150)</f>
        <v>30474</v>
      </c>
      <c r="R150" s="65">
        <f>SUM(A:B!R150)</f>
        <v>31919</v>
      </c>
      <c r="S150" s="65">
        <f>SUM(A:B!S150)</f>
        <v>31058</v>
      </c>
      <c r="T150" s="65">
        <f>SUM(A:B!T150)</f>
        <v>30965.5</v>
      </c>
      <c r="U150" s="65">
        <f>SUM(A:B!U150)</f>
        <v>31104.125</v>
      </c>
      <c r="V150" s="11">
        <f t="shared" si="56"/>
        <v>373209.625</v>
      </c>
      <c r="W150" s="73">
        <f t="shared" si="30"/>
        <v>1.1322688818837937E-3</v>
      </c>
      <c r="X150" s="89"/>
      <c r="Y150" s="65">
        <f>SUM(A:B!Y150)</f>
        <v>34082.879999999997</v>
      </c>
      <c r="Z150" s="65">
        <f>SUM(A:B!Z150)</f>
        <v>35366.240000000005</v>
      </c>
      <c r="AA150" s="65">
        <f>SUM(A:B!AA150)</f>
        <v>32409.52</v>
      </c>
      <c r="AB150" s="65">
        <f>SUM(A:B!AB150)</f>
        <v>35384.960000000006</v>
      </c>
      <c r="AC150" s="65">
        <f>SUM(A:B!AC150)</f>
        <v>39427.440000000002</v>
      </c>
      <c r="AD150" s="65">
        <f>SUM(A:B!AD150)</f>
        <v>33904</v>
      </c>
      <c r="AE150" s="65">
        <f>SUM(A:B!AE150)</f>
        <v>38451.919999999998</v>
      </c>
      <c r="AF150" s="65">
        <f>SUM(A:B!AF150)</f>
        <v>32717.360000000001</v>
      </c>
      <c r="AG150" s="65">
        <f>SUM(A:B!AG150)</f>
        <v>27994.720000000001</v>
      </c>
      <c r="AH150" s="65">
        <f>SUM(A:B!AH150)</f>
        <v>32294.080000000002</v>
      </c>
      <c r="AI150" s="65">
        <f>SUM(A:B!AI150)</f>
        <v>23694.32</v>
      </c>
      <c r="AJ150" s="65">
        <f>SUM(A:B!AJ150)</f>
        <v>31919.68</v>
      </c>
      <c r="AK150" s="123">
        <f t="shared" si="57"/>
        <v>397647.12000000005</v>
      </c>
      <c r="AL150" s="73">
        <f t="shared" si="31"/>
        <v>1.1082721032796702E-3</v>
      </c>
      <c r="AM150" s="14">
        <f t="shared" si="41"/>
        <v>6.5479273210062638E-2</v>
      </c>
    </row>
    <row r="151" spans="1:43" hidden="1" outlineLevel="1">
      <c r="A151" s="12" t="s">
        <v>256</v>
      </c>
      <c r="B151" s="8" t="s">
        <v>89</v>
      </c>
      <c r="I151" s="262" t="s">
        <v>263</v>
      </c>
      <c r="J151" s="65">
        <f>SUM(A:B!J151)</f>
        <v>15700</v>
      </c>
      <c r="K151" s="65">
        <f>SUM(A:B!K151)</f>
        <v>8800</v>
      </c>
      <c r="L151" s="65">
        <f>SUM(A:B!L151)</f>
        <v>5600</v>
      </c>
      <c r="M151" s="65">
        <f>SUM(A:B!M151)</f>
        <v>16000</v>
      </c>
      <c r="N151" s="65">
        <f>SUM(A:B!N151)</f>
        <v>16000</v>
      </c>
      <c r="O151" s="65">
        <f>SUM(A:B!O151)</f>
        <v>14000</v>
      </c>
      <c r="P151" s="65">
        <f>SUM(A:B!P151)</f>
        <v>16282</v>
      </c>
      <c r="Q151" s="65">
        <f>SUM(A:B!Q151)</f>
        <v>24020</v>
      </c>
      <c r="R151" s="65">
        <f>SUM(A:B!R151)</f>
        <v>16100</v>
      </c>
      <c r="S151" s="65">
        <f>SUM(A:B!S151)</f>
        <v>26320</v>
      </c>
      <c r="T151" s="65">
        <f>SUM(A:B!T151)</f>
        <v>20680.5</v>
      </c>
      <c r="U151" s="65">
        <f>SUM(A:B!U151)</f>
        <v>21780.125</v>
      </c>
      <c r="V151" s="11">
        <f>SUM(J151:U151)</f>
        <v>201282.625</v>
      </c>
      <c r="W151" s="73">
        <f t="shared" si="30"/>
        <v>6.106649922316043E-4</v>
      </c>
      <c r="X151" s="89"/>
      <c r="Y151" s="65">
        <f>SUM(A:B!Y151)</f>
        <v>12397.84</v>
      </c>
      <c r="Z151" s="65">
        <f>SUM(A:B!Z151)</f>
        <v>12397.84</v>
      </c>
      <c r="AA151" s="65">
        <f>SUM(A:B!AA151)</f>
        <v>12397.84</v>
      </c>
      <c r="AB151" s="65">
        <f>SUM(A:B!AB151)</f>
        <v>12397.84</v>
      </c>
      <c r="AC151" s="65">
        <f>SUM(A:B!AC151)</f>
        <v>12397.84</v>
      </c>
      <c r="AD151" s="65">
        <f>SUM(A:B!AD151)</f>
        <v>12397.84</v>
      </c>
      <c r="AE151" s="65">
        <f>SUM(A:B!AE151)</f>
        <v>12397.84</v>
      </c>
      <c r="AF151" s="65">
        <f>SUM(A:B!AF151)</f>
        <v>12397.84</v>
      </c>
      <c r="AG151" s="65">
        <f>SUM(A:B!AG151)</f>
        <v>12397.84</v>
      </c>
      <c r="AH151" s="65">
        <f>SUM(A:B!AH151)</f>
        <v>12397.84</v>
      </c>
      <c r="AI151" s="65">
        <f>SUM(A:B!AI151)</f>
        <v>12397.84</v>
      </c>
      <c r="AJ151" s="65">
        <f>SUM(A:B!AJ151)</f>
        <v>12397.84</v>
      </c>
      <c r="AK151" s="123">
        <f t="shared" si="57"/>
        <v>148774.07999999999</v>
      </c>
      <c r="AL151" s="73">
        <f t="shared" si="31"/>
        <v>4.146444278411922E-4</v>
      </c>
      <c r="AM151" s="14">
        <f t="shared" si="41"/>
        <v>-0.2608697347821255</v>
      </c>
    </row>
    <row r="152" spans="1:43" hidden="1" outlineLevel="1">
      <c r="A152" s="12" t="s">
        <v>256</v>
      </c>
      <c r="B152" s="8" t="s">
        <v>89</v>
      </c>
      <c r="C152" s="19" t="s">
        <v>262</v>
      </c>
      <c r="D152" s="12"/>
      <c r="E152" s="20"/>
      <c r="F152" s="12"/>
      <c r="G152" s="12"/>
      <c r="H152" s="12"/>
      <c r="I152" s="262" t="s">
        <v>426</v>
      </c>
      <c r="J152" s="65">
        <f>SUM(A:B!J152)</f>
        <v>0</v>
      </c>
      <c r="K152" s="65">
        <f>SUM(A:B!K152)</f>
        <v>0</v>
      </c>
      <c r="L152" s="65">
        <f>SUM(A:B!L152)</f>
        <v>0</v>
      </c>
      <c r="M152" s="65">
        <f>SUM(A:B!M152)</f>
        <v>0</v>
      </c>
      <c r="N152" s="65">
        <f>SUM(A:B!N152)</f>
        <v>0</v>
      </c>
      <c r="O152" s="65">
        <f>SUM(A:B!O152)</f>
        <v>0</v>
      </c>
      <c r="P152" s="65">
        <f>SUM(A:B!P152)</f>
        <v>0</v>
      </c>
      <c r="Q152" s="65">
        <f>SUM(A:B!Q152)</f>
        <v>0</v>
      </c>
      <c r="R152" s="65">
        <f>SUM(A:B!R152)</f>
        <v>0</v>
      </c>
      <c r="S152" s="65">
        <f>SUM(A:B!S152)</f>
        <v>0</v>
      </c>
      <c r="T152" s="65">
        <f>SUM(A:B!T152)</f>
        <v>0</v>
      </c>
      <c r="U152" s="65">
        <f>SUM(A:B!U152)</f>
        <v>0</v>
      </c>
      <c r="V152" s="11">
        <f t="shared" si="56"/>
        <v>0</v>
      </c>
      <c r="W152" s="73">
        <f t="shared" si="30"/>
        <v>0</v>
      </c>
      <c r="X152" s="89"/>
      <c r="Y152" s="65">
        <f>SUM(A:B!Y152)</f>
        <v>0</v>
      </c>
      <c r="Z152" s="65">
        <f>SUM(A:B!Z152)</f>
        <v>0</v>
      </c>
      <c r="AA152" s="65">
        <f>SUM(A:B!AA152)</f>
        <v>0</v>
      </c>
      <c r="AB152" s="65">
        <f>SUM(A:B!AB152)</f>
        <v>0</v>
      </c>
      <c r="AC152" s="65">
        <f>SUM(A:B!AC152)</f>
        <v>0</v>
      </c>
      <c r="AD152" s="65">
        <f>SUM(A:B!AD152)</f>
        <v>0</v>
      </c>
      <c r="AE152" s="65">
        <f>SUM(A:B!AE152)</f>
        <v>0</v>
      </c>
      <c r="AF152" s="65">
        <f>SUM(A:B!AF152)</f>
        <v>0</v>
      </c>
      <c r="AG152" s="65">
        <f>SUM(A:B!AG152)</f>
        <v>0</v>
      </c>
      <c r="AH152" s="65">
        <f>SUM(A:B!AH152)</f>
        <v>0</v>
      </c>
      <c r="AI152" s="65">
        <f>SUM(A:B!AI152)</f>
        <v>0</v>
      </c>
      <c r="AJ152" s="65">
        <f>SUM(A:B!AJ152)</f>
        <v>0</v>
      </c>
      <c r="AK152" s="123">
        <f t="shared" si="57"/>
        <v>0</v>
      </c>
      <c r="AL152" s="73">
        <f t="shared" si="31"/>
        <v>0</v>
      </c>
      <c r="AM152" s="14">
        <f t="shared" si="41"/>
        <v>0</v>
      </c>
    </row>
    <row r="153" spans="1:43" hidden="1" outlineLevel="1">
      <c r="A153" s="12" t="s">
        <v>256</v>
      </c>
      <c r="B153" s="8" t="s">
        <v>89</v>
      </c>
      <c r="I153" s="226" t="s">
        <v>264</v>
      </c>
      <c r="J153" s="65">
        <f>SUM(A:B!J153)</f>
        <v>16000</v>
      </c>
      <c r="K153" s="65">
        <f>SUM(A:B!K153)</f>
        <v>16000</v>
      </c>
      <c r="L153" s="65">
        <f>SUM(A:B!L153)</f>
        <v>16000</v>
      </c>
      <c r="M153" s="65">
        <f>SUM(A:B!M153)</f>
        <v>16000</v>
      </c>
      <c r="N153" s="65">
        <f>SUM(A:B!N153)</f>
        <v>16000</v>
      </c>
      <c r="O153" s="65">
        <f>SUM(A:B!O153)</f>
        <v>16000</v>
      </c>
      <c r="P153" s="65">
        <f>SUM(A:B!P153)</f>
        <v>16000</v>
      </c>
      <c r="Q153" s="65">
        <f>SUM(A:B!Q153)</f>
        <v>16000</v>
      </c>
      <c r="R153" s="65">
        <f>SUM(A:B!R153)</f>
        <v>16000</v>
      </c>
      <c r="S153" s="65">
        <f>SUM(A:B!S153)</f>
        <v>16000</v>
      </c>
      <c r="T153" s="65">
        <f>SUM(A:B!T153)</f>
        <v>16000</v>
      </c>
      <c r="U153" s="65">
        <f>SUM(A:B!U153)</f>
        <v>16000</v>
      </c>
      <c r="V153" s="11">
        <f t="shared" si="56"/>
        <v>192000</v>
      </c>
      <c r="W153" s="73">
        <f t="shared" si="30"/>
        <v>5.8250272972378036E-4</v>
      </c>
      <c r="X153" s="89"/>
      <c r="Y153" s="65">
        <f>SUM(A:B!Y153)</f>
        <v>16640</v>
      </c>
      <c r="Z153" s="65">
        <f>SUM(A:B!Z153)</f>
        <v>16640</v>
      </c>
      <c r="AA153" s="65">
        <f>SUM(A:B!AA153)</f>
        <v>16640</v>
      </c>
      <c r="AB153" s="65">
        <f>SUM(A:B!AB153)</f>
        <v>16640</v>
      </c>
      <c r="AC153" s="65">
        <f>SUM(A:B!AC153)</f>
        <v>16640</v>
      </c>
      <c r="AD153" s="65">
        <f>SUM(A:B!AD153)</f>
        <v>16640</v>
      </c>
      <c r="AE153" s="65">
        <f>SUM(A:B!AE153)</f>
        <v>16640</v>
      </c>
      <c r="AF153" s="65">
        <f>SUM(A:B!AF153)</f>
        <v>16640</v>
      </c>
      <c r="AG153" s="65">
        <f>SUM(A:B!AG153)</f>
        <v>16640</v>
      </c>
      <c r="AH153" s="65">
        <f>SUM(A:B!AH153)</f>
        <v>16640</v>
      </c>
      <c r="AI153" s="65">
        <f>SUM(A:B!AI153)</f>
        <v>16640</v>
      </c>
      <c r="AJ153" s="65">
        <f>SUM(A:B!AJ153)</f>
        <v>16640</v>
      </c>
      <c r="AK153" s="123">
        <f t="shared" si="57"/>
        <v>199680</v>
      </c>
      <c r="AL153" s="73">
        <f t="shared" si="31"/>
        <v>5.5652301362797381E-4</v>
      </c>
      <c r="AM153" s="14">
        <f t="shared" si="41"/>
        <v>4.0000000000000036E-2</v>
      </c>
      <c r="AN153" s="1" t="s">
        <v>442</v>
      </c>
    </row>
    <row r="154" spans="1:43" ht="14.45" customHeight="1">
      <c r="A154" s="12"/>
      <c r="I154" s="119" t="s">
        <v>427</v>
      </c>
      <c r="J154" s="27">
        <v>69841</v>
      </c>
      <c r="K154" s="27">
        <v>70380</v>
      </c>
      <c r="L154" s="27">
        <v>71161</v>
      </c>
      <c r="M154" s="27">
        <v>93772</v>
      </c>
      <c r="N154" s="27">
        <v>82517</v>
      </c>
      <c r="O154" s="27">
        <v>76745</v>
      </c>
      <c r="P154" s="27">
        <v>87788</v>
      </c>
      <c r="Q154" s="27">
        <v>87333</v>
      </c>
      <c r="R154" s="27">
        <v>89513</v>
      </c>
      <c r="S154" s="27">
        <v>86567</v>
      </c>
      <c r="T154" s="27">
        <v>86264</v>
      </c>
      <c r="U154" s="27">
        <v>87417</v>
      </c>
      <c r="V154" s="27">
        <f t="shared" si="56"/>
        <v>989298</v>
      </c>
      <c r="W154" s="76">
        <f t="shared" si="30"/>
        <v>3.0013999245326896E-3</v>
      </c>
      <c r="X154" s="89"/>
      <c r="Y154" s="15">
        <f>SUM(A:B!Y154)</f>
        <v>72460.037500000006</v>
      </c>
      <c r="Z154" s="15">
        <f>SUM(A:B!Z154)</f>
        <v>73019.25</v>
      </c>
      <c r="AA154" s="15">
        <f>SUM(A:B!AA154)</f>
        <v>73829.537500000006</v>
      </c>
      <c r="AB154" s="15">
        <f>SUM(A:B!AB154)</f>
        <v>97288.450000000012</v>
      </c>
      <c r="AC154" s="15">
        <f>SUM(A:B!AC154)</f>
        <v>85611.387500000012</v>
      </c>
      <c r="AD154" s="15">
        <f>SUM(A:B!AD154)</f>
        <v>79622.9375</v>
      </c>
      <c r="AE154" s="15">
        <f>SUM(A:B!AE154)</f>
        <v>91080.05</v>
      </c>
      <c r="AF154" s="15">
        <f>SUM(A:B!AF154)</f>
        <v>90607.987500000003</v>
      </c>
      <c r="AG154" s="15">
        <f>SUM(A:B!AG154)</f>
        <v>92869.737500000003</v>
      </c>
      <c r="AH154" s="15">
        <f>SUM(A:B!AH154)</f>
        <v>89813.262500000012</v>
      </c>
      <c r="AI154" s="15">
        <f>SUM(A:B!AI154)</f>
        <v>89498.900000000023</v>
      </c>
      <c r="AJ154" s="15">
        <f>SUM(A:B!AJ154)</f>
        <v>90695.137500000012</v>
      </c>
      <c r="AK154" s="15">
        <f t="shared" si="57"/>
        <v>1026396.6750000003</v>
      </c>
      <c r="AL154" s="72">
        <f t="shared" si="31"/>
        <v>2.8606438839579936E-3</v>
      </c>
      <c r="AM154" s="10">
        <f t="shared" si="41"/>
        <v>3.7500000000000311E-2</v>
      </c>
      <c r="AN154" s="9"/>
    </row>
    <row r="155" spans="1:43" ht="14.45" customHeight="1">
      <c r="I155" s="28" t="s">
        <v>265</v>
      </c>
      <c r="J155" s="27">
        <f t="shared" ref="J155:U155" si="58">J50+J90+J106+J111+J147+J154</f>
        <v>942134</v>
      </c>
      <c r="K155" s="27">
        <f t="shared" si="58"/>
        <v>818797</v>
      </c>
      <c r="L155" s="27">
        <f t="shared" si="58"/>
        <v>929272</v>
      </c>
      <c r="M155" s="27">
        <f t="shared" si="58"/>
        <v>845832</v>
      </c>
      <c r="N155" s="27">
        <f t="shared" si="58"/>
        <v>862681</v>
      </c>
      <c r="O155" s="27">
        <f t="shared" si="58"/>
        <v>931167</v>
      </c>
      <c r="P155" s="27">
        <f t="shared" si="58"/>
        <v>912774</v>
      </c>
      <c r="Q155" s="27">
        <f t="shared" si="58"/>
        <v>977258</v>
      </c>
      <c r="R155" s="27">
        <f t="shared" si="58"/>
        <v>1001300</v>
      </c>
      <c r="S155" s="27">
        <f t="shared" si="58"/>
        <v>1018878</v>
      </c>
      <c r="T155" s="27">
        <f t="shared" si="58"/>
        <v>975294.28666666662</v>
      </c>
      <c r="U155" s="27">
        <f t="shared" si="58"/>
        <v>1041983.3955555556</v>
      </c>
      <c r="V155" s="27">
        <f>V50+V90+V106+V111+V147+V154</f>
        <v>11257370.682222221</v>
      </c>
      <c r="W155" s="76">
        <f t="shared" si="30"/>
        <v>3.41533809995151E-2</v>
      </c>
      <c r="X155" s="89"/>
      <c r="Y155" s="27">
        <f>Y50+Y90+Y106+Y111+Y147+Y154</f>
        <v>1073769.4743684565</v>
      </c>
      <c r="Z155" s="27">
        <f t="shared" ref="Z155:AK155" si="59">Z50+Z90+Z106+Z111+Z147+Z154</f>
        <v>954522.70160365733</v>
      </c>
      <c r="AA155" s="27">
        <f t="shared" si="59"/>
        <v>1081610.3892440486</v>
      </c>
      <c r="AB155" s="27">
        <f t="shared" si="59"/>
        <v>955880.80645800615</v>
      </c>
      <c r="AC155" s="27">
        <f t="shared" si="59"/>
        <v>1134366.5822241502</v>
      </c>
      <c r="AD155" s="27">
        <f t="shared" si="59"/>
        <v>957442.19806335703</v>
      </c>
      <c r="AE155" s="27">
        <f t="shared" si="59"/>
        <v>988920.62134790351</v>
      </c>
      <c r="AF155" s="27">
        <f t="shared" si="59"/>
        <v>1174111.9511540055</v>
      </c>
      <c r="AG155" s="27">
        <f t="shared" si="59"/>
        <v>1099196.1945407789</v>
      </c>
      <c r="AH155" s="27">
        <f t="shared" si="59"/>
        <v>1059820.0827295256</v>
      </c>
      <c r="AI155" s="27">
        <f t="shared" si="59"/>
        <v>991734.2464814285</v>
      </c>
      <c r="AJ155" s="27">
        <f t="shared" si="59"/>
        <v>1088844.0249740614</v>
      </c>
      <c r="AK155" s="27">
        <f t="shared" si="59"/>
        <v>12560219.273189379</v>
      </c>
      <c r="AL155" s="76">
        <f t="shared" si="31"/>
        <v>3.5006265433411017E-2</v>
      </c>
      <c r="AM155" s="10">
        <f t="shared" si="41"/>
        <v>0.11573293868919432</v>
      </c>
      <c r="AN155" s="9"/>
    </row>
    <row r="156" spans="1:43" ht="15">
      <c r="I156" s="26" t="s">
        <v>266</v>
      </c>
      <c r="J156" s="17">
        <f>+J155/J39</f>
        <v>0.77024340153895965</v>
      </c>
      <c r="K156" s="17">
        <f>+K155/K39</f>
        <v>0.70531711821599252</v>
      </c>
      <c r="L156" s="17">
        <f>+L155/L39</f>
        <v>0.70757469618980906</v>
      </c>
      <c r="M156" s="17">
        <f>+M155/M39</f>
        <v>0.68170366274918159</v>
      </c>
      <c r="N156" s="17">
        <f>+N155/N39</f>
        <v>0.67802123785024726</v>
      </c>
      <c r="O156" s="17">
        <f>+O155/O39</f>
        <v>0.74648389775886559</v>
      </c>
      <c r="P156" s="17">
        <f>+P155/P39</f>
        <v>0.70092286710805796</v>
      </c>
      <c r="Q156" s="17">
        <f>+Q155/Q39</f>
        <v>0.74207116079557578</v>
      </c>
      <c r="R156" s="17">
        <f>+R155/R39</f>
        <v>0.74293753032814491</v>
      </c>
      <c r="S156" s="17">
        <f>+S155/S39</f>
        <v>0.70337640390099643</v>
      </c>
      <c r="T156" s="17">
        <f>+T155/T39</f>
        <v>0.69842524820033713</v>
      </c>
      <c r="U156" s="17">
        <f>+U155/U39</f>
        <v>0.76104622557094392</v>
      </c>
      <c r="V156" s="17">
        <f>+V155/V39</f>
        <v>0.71982915233315059</v>
      </c>
      <c r="W156" s="73">
        <f t="shared" si="30"/>
        <v>2.1838669071292452E-9</v>
      </c>
      <c r="X156" s="89"/>
      <c r="Y156" s="17">
        <f>+Y155/Y39</f>
        <v>0.83468441743527133</v>
      </c>
      <c r="Z156" s="17">
        <f>+Z155/Z39</f>
        <v>0.77986514381503402</v>
      </c>
      <c r="AA156" s="17">
        <f>+AA155/AA39</f>
        <v>0.79631842902670225</v>
      </c>
      <c r="AB156" s="17">
        <f>+AB155/AB39</f>
        <v>0.7272646719784619</v>
      </c>
      <c r="AC156" s="17">
        <f>+AC155/AC39</f>
        <v>0.8469583306904388</v>
      </c>
      <c r="AD156" s="17">
        <f>+AD155/AD39</f>
        <v>0.73426540885780012</v>
      </c>
      <c r="AE156" s="17">
        <f>+AE155/AE39</f>
        <v>0.72518702234980192</v>
      </c>
      <c r="AF156" s="17">
        <f>+AF155/AF39</f>
        <v>0.83699255415267837</v>
      </c>
      <c r="AG156" s="17">
        <f>+AG155/AG39</f>
        <v>0.7785498994280643</v>
      </c>
      <c r="AH156" s="17">
        <f>+AH155/AH39</f>
        <v>0.70713993365291483</v>
      </c>
      <c r="AI156" s="17">
        <f>+AI155/AI39</f>
        <v>0.67859484545839688</v>
      </c>
      <c r="AJ156" s="17">
        <f>+AJ155/AJ39</f>
        <v>0.75889178839572213</v>
      </c>
      <c r="AK156" s="227">
        <f>+AK155/AK39</f>
        <v>0.76588682982958711</v>
      </c>
      <c r="AL156" s="73">
        <f t="shared" si="31"/>
        <v>2.1345835668806939E-9</v>
      </c>
      <c r="AM156" s="16">
        <f t="shared" si="41"/>
        <v>6.3984179228018023E-2</v>
      </c>
    </row>
    <row r="157" spans="1:43">
      <c r="I157" s="26" t="s">
        <v>267</v>
      </c>
      <c r="J157" s="17">
        <f>+(J155-J148)/J39</f>
        <v>0.77024340153895965</v>
      </c>
      <c r="K157" s="17">
        <f>+(K155-K148)/K39</f>
        <v>0.70531711821599252</v>
      </c>
      <c r="L157" s="17">
        <f>+(L155-L148)/L39</f>
        <v>0.70757469618980906</v>
      </c>
      <c r="M157" s="17">
        <f>+(M155-M148)/M39</f>
        <v>0.68170366274918159</v>
      </c>
      <c r="N157" s="17">
        <f>+(N155-N148)/N39</f>
        <v>0.67802123785024726</v>
      </c>
      <c r="O157" s="17">
        <f>+(O155-O148)/O39</f>
        <v>0.74648389775886559</v>
      </c>
      <c r="P157" s="17">
        <f>+(P155-P148)/P39</f>
        <v>0.70092286710805796</v>
      </c>
      <c r="Q157" s="17">
        <f>+(Q155-Q148)/Q39</f>
        <v>0.74207116079557578</v>
      </c>
      <c r="R157" s="17">
        <f>+(R155-R148)/R39</f>
        <v>0.74293753032814491</v>
      </c>
      <c r="S157" s="17">
        <f>+(S155-S148)/S39</f>
        <v>0.70337640390099643</v>
      </c>
      <c r="T157" s="17">
        <f>+(T155-T148)/T39</f>
        <v>0.69842524820033713</v>
      </c>
      <c r="U157" s="17">
        <f>+(U155-U148)/U39</f>
        <v>0.76104622557094392</v>
      </c>
      <c r="V157" s="17">
        <f>+(V155-V148)/V39</f>
        <v>0.71982915233315059</v>
      </c>
      <c r="W157" s="73">
        <f>V157/V$6</f>
        <v>2.1838669071292452E-9</v>
      </c>
      <c r="X157" s="89"/>
      <c r="Y157" s="17">
        <f>Y155/Y39</f>
        <v>0.83468441743527133</v>
      </c>
      <c r="Z157" s="17">
        <f t="shared" ref="Z157:AK157" si="60">Z155/Z39</f>
        <v>0.77986514381503402</v>
      </c>
      <c r="AA157" s="17">
        <f t="shared" si="60"/>
        <v>0.79631842902670225</v>
      </c>
      <c r="AB157" s="17">
        <f t="shared" si="60"/>
        <v>0.7272646719784619</v>
      </c>
      <c r="AC157" s="17">
        <f t="shared" si="60"/>
        <v>0.8469583306904388</v>
      </c>
      <c r="AD157" s="17">
        <f t="shared" si="60"/>
        <v>0.73426540885780012</v>
      </c>
      <c r="AE157" s="17">
        <f t="shared" si="60"/>
        <v>0.72518702234980192</v>
      </c>
      <c r="AF157" s="17">
        <f t="shared" si="60"/>
        <v>0.83699255415267837</v>
      </c>
      <c r="AG157" s="17">
        <f t="shared" si="60"/>
        <v>0.7785498994280643</v>
      </c>
      <c r="AH157" s="17">
        <f t="shared" si="60"/>
        <v>0.70713993365291483</v>
      </c>
      <c r="AI157" s="17">
        <f t="shared" si="60"/>
        <v>0.67859484545839688</v>
      </c>
      <c r="AJ157" s="17">
        <f t="shared" si="60"/>
        <v>0.75889178839572213</v>
      </c>
      <c r="AK157" s="264">
        <f t="shared" si="60"/>
        <v>0.76588682982958711</v>
      </c>
      <c r="AL157" s="73">
        <f>AK157/AK$6</f>
        <v>2.1345835668806939E-9</v>
      </c>
      <c r="AM157" s="16">
        <f>IFERROR(AK157/V157-1,0)</f>
        <v>6.3984179228018023E-2</v>
      </c>
    </row>
    <row r="158" spans="1:43" ht="15.6">
      <c r="I158" s="25" t="s">
        <v>268</v>
      </c>
      <c r="J158" s="24">
        <f>J33-J155</f>
        <v>1492835</v>
      </c>
      <c r="K158" s="24">
        <f>K33-K155</f>
        <v>1756672</v>
      </c>
      <c r="L158" s="24">
        <f>L33-L155</f>
        <v>1887198</v>
      </c>
      <c r="M158" s="24">
        <f>M33-M155</f>
        <v>2075341</v>
      </c>
      <c r="N158" s="24">
        <f>N33-N155</f>
        <v>2300235</v>
      </c>
      <c r="O158" s="24">
        <f>O33-O155</f>
        <v>1991226</v>
      </c>
      <c r="P158" s="24">
        <f>P33-P155</f>
        <v>1881736</v>
      </c>
      <c r="Q158" s="24">
        <f>Q33-Q155</f>
        <v>1842109</v>
      </c>
      <c r="R158" s="24">
        <f>R33-R155</f>
        <v>1844125</v>
      </c>
      <c r="S158" s="24">
        <f>S33-S155</f>
        <v>1800890</v>
      </c>
      <c r="T158" s="24">
        <f>T33-T155</f>
        <v>1852893.38</v>
      </c>
      <c r="U158" s="24">
        <f>U33-U155</f>
        <v>1789143.4933333329</v>
      </c>
      <c r="V158" s="24">
        <f>V33-V155</f>
        <v>22409585.696987834</v>
      </c>
      <c r="W158" s="77">
        <f t="shared" si="30"/>
        <v>6.798773354413748E-2</v>
      </c>
      <c r="X158" s="89"/>
      <c r="Y158" s="24">
        <f>Y33-Y155</f>
        <v>1685149.8889648805</v>
      </c>
      <c r="Z158" s="24">
        <f>Z33-Z155</f>
        <v>1606631.5250630055</v>
      </c>
      <c r="AA158" s="24">
        <f>AA33-AA155</f>
        <v>1974039.1674226199</v>
      </c>
      <c r="AB158" s="24">
        <f>AB33-AB155</f>
        <v>1822905.9502086579</v>
      </c>
      <c r="AC158" s="24">
        <f>AC33-AC155</f>
        <v>1796472.6711091837</v>
      </c>
      <c r="AD158" s="24">
        <f>AD33-AD155</f>
        <v>1800911.0219366418</v>
      </c>
      <c r="AE158" s="24">
        <f>AE33-AE155</f>
        <v>2006314.658652094</v>
      </c>
      <c r="AF158" s="24">
        <f>AF33-AF155</f>
        <v>1888745.0621793263</v>
      </c>
      <c r="AG158" s="24">
        <f>AG33-AG155</f>
        <v>1953684.0721258868</v>
      </c>
      <c r="AH158" s="24">
        <f>AH33-AH155</f>
        <v>2239837.0172704756</v>
      </c>
      <c r="AI158" s="24">
        <f>AI33-AI155</f>
        <v>2117237.2835185728</v>
      </c>
      <c r="AJ158" s="24">
        <f>AJ33-AJ155</f>
        <v>1967500.305025948</v>
      </c>
      <c r="AK158" s="24">
        <f>AK33-AK155</f>
        <v>22859428.623477265</v>
      </c>
      <c r="AL158" s="77">
        <f t="shared" si="31"/>
        <v>6.3710928021590202E-2</v>
      </c>
      <c r="AM158" s="23">
        <f t="shared" si="41"/>
        <v>2.0073683314453028E-2</v>
      </c>
      <c r="AN158" s="287"/>
      <c r="AO158" s="9"/>
      <c r="AP158" s="286"/>
      <c r="AQ158" s="286"/>
    </row>
    <row r="159" spans="1:43">
      <c r="AN159" s="287"/>
    </row>
    <row r="160" spans="1:43">
      <c r="AN160" s="287"/>
    </row>
    <row r="161" spans="22:40">
      <c r="V161" s="135"/>
      <c r="AN161" s="287"/>
    </row>
  </sheetData>
  <mergeCells count="4">
    <mergeCell ref="J2:U2"/>
    <mergeCell ref="V2:W2"/>
    <mergeCell ref="Y2:AJ2"/>
    <mergeCell ref="AK2:AL2"/>
  </mergeCells>
  <conditionalFormatting sqref="AM1:AM153 AM156:AM1048576">
    <cfRule type="cellIs" dxfId="6" priority="4" operator="lessThan">
      <formula>0</formula>
    </cfRule>
  </conditionalFormatting>
  <conditionalFormatting sqref="AM154:AM155">
    <cfRule type="cellIs" dxfId="5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40">
    <tabColor rgb="FF002060"/>
  </sheetPr>
  <dimension ref="A1"/>
  <sheetViews>
    <sheetView workbookViewId="0">
      <selection activeCell="Y142" sqref="Y142"/>
    </sheetView>
  </sheetViews>
  <sheetFormatPr defaultColWidth="11.5703125" defaultRowHeight="14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43">
    <outlinePr summaryBelow="0" summaryRight="0"/>
  </sheetPr>
  <dimension ref="A1:AO159"/>
  <sheetViews>
    <sheetView showGridLines="0" zoomScale="70" zoomScaleNormal="70" workbookViewId="0">
      <pane xSplit="9" ySplit="3" topLeftCell="AF33" activePane="bottomRight" state="frozen"/>
      <selection pane="bottomRight" activeCell="AK50" sqref="AK50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57.85546875" style="5" bestFit="1" customWidth="1" collapsed="1"/>
    <col min="10" max="10" width="16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6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8" width="16" style="3" hidden="1" customWidth="1" outlineLevel="1"/>
    <col min="19" max="19" width="17.4257812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3.5703125" style="4" bestFit="1" customWidth="1"/>
    <col min="23" max="23" width="11.42578125" style="83" customWidth="1"/>
    <col min="24" max="24" width="1.425781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4.7109375" style="4" bestFit="1" customWidth="1"/>
    <col min="38" max="38" width="11.42578125" style="83" customWidth="1"/>
    <col min="39" max="39" width="11.42578125" style="2" customWidth="1"/>
    <col min="40" max="41" width="11.42578125" style="1" customWidth="1"/>
    <col min="42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443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.75">
      <c r="A2" s="55"/>
      <c r="B2" s="55"/>
      <c r="C2" s="55"/>
      <c r="D2" s="55"/>
      <c r="E2" s="56"/>
      <c r="F2" s="55"/>
      <c r="G2" s="55"/>
      <c r="H2" s="55"/>
      <c r="I2" s="54"/>
      <c r="J2" s="300">
        <v>2025</v>
      </c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2"/>
      <c r="V2" s="303" t="s">
        <v>82</v>
      </c>
      <c r="W2" s="304"/>
      <c r="X2" s="85"/>
      <c r="Y2" s="300">
        <v>2026</v>
      </c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2"/>
      <c r="AK2" s="303" t="s">
        <v>82</v>
      </c>
      <c r="AL2" s="305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1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83</v>
      </c>
      <c r="X3" s="86"/>
      <c r="Y3" s="131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83</v>
      </c>
      <c r="AM3" s="45" t="s">
        <v>84</v>
      </c>
    </row>
    <row r="4" spans="1:40" ht="14.45" customHeight="1">
      <c r="I4" s="43" t="s">
        <v>85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 collapsed="1">
      <c r="A6" s="12" t="s">
        <v>86</v>
      </c>
      <c r="B6" s="19"/>
      <c r="C6" s="19"/>
      <c r="D6" s="12"/>
      <c r="E6" s="7" t="s">
        <v>87</v>
      </c>
      <c r="I6" s="167" t="s">
        <v>88</v>
      </c>
      <c r="J6" s="15">
        <v>14784103</v>
      </c>
      <c r="K6" s="15">
        <v>13564480</v>
      </c>
      <c r="L6" s="15">
        <v>15267527</v>
      </c>
      <c r="M6" s="15">
        <v>14962058</v>
      </c>
      <c r="N6" s="15">
        <v>15306866</v>
      </c>
      <c r="O6" s="15">
        <v>15250203</v>
      </c>
      <c r="P6" s="15">
        <v>16383021</v>
      </c>
      <c r="Q6" s="15">
        <v>16139957</v>
      </c>
      <c r="R6" s="15">
        <v>16317610</v>
      </c>
      <c r="S6" s="15">
        <v>17936539</v>
      </c>
      <c r="T6" s="15">
        <v>12274252.319134269</v>
      </c>
      <c r="U6" s="15">
        <v>13219296.961811479</v>
      </c>
      <c r="V6" s="15">
        <f>SUM(V7:V11)</f>
        <v>181405914.28094575</v>
      </c>
      <c r="W6" s="72">
        <f t="shared" ref="W6:W33" si="1">V6/V$6</f>
        <v>1</v>
      </c>
      <c r="X6" s="89"/>
      <c r="Y6" s="15">
        <f t="shared" ref="Y6:AK6" si="2">SUM(Y7:Y11)</f>
        <v>15236645.594827591</v>
      </c>
      <c r="Z6" s="15">
        <f t="shared" si="2"/>
        <v>14028278.984288799</v>
      </c>
      <c r="AA6" s="15">
        <f t="shared" si="2"/>
        <v>15617421.938649032</v>
      </c>
      <c r="AB6" s="15">
        <f t="shared" si="2"/>
        <v>15979273.002644541</v>
      </c>
      <c r="AC6" s="15">
        <f t="shared" si="2"/>
        <v>16192892.520337347</v>
      </c>
      <c r="AD6" s="15">
        <f t="shared" si="2"/>
        <v>15965876.335050777</v>
      </c>
      <c r="AE6" s="15">
        <f t="shared" si="2"/>
        <v>17217811.33000733</v>
      </c>
      <c r="AF6" s="15">
        <f t="shared" si="2"/>
        <v>17242136.019750174</v>
      </c>
      <c r="AG6" s="15">
        <f t="shared" si="2"/>
        <v>17151550.326921668</v>
      </c>
      <c r="AH6" s="15">
        <f t="shared" si="2"/>
        <v>18505917.311650906</v>
      </c>
      <c r="AI6" s="15">
        <f t="shared" si="2"/>
        <v>17903242.900425445</v>
      </c>
      <c r="AJ6" s="15">
        <f t="shared" si="2"/>
        <v>17550268.517397776</v>
      </c>
      <c r="AK6" s="15">
        <f t="shared" si="2"/>
        <v>198591314.78195137</v>
      </c>
      <c r="AL6" s="72">
        <f t="shared" ref="AL6:AL33" si="3">AK6/AK$6</f>
        <v>1</v>
      </c>
      <c r="AM6" s="10">
        <f>IFERROR(AK6/V6-1,0)</f>
        <v>9.4734510553996287E-2</v>
      </c>
      <c r="AN6" s="9"/>
    </row>
    <row r="7" spans="1:40" ht="15" hidden="1" customHeight="1" outlineLevel="1">
      <c r="A7" s="12" t="s">
        <v>86</v>
      </c>
      <c r="B7" s="19" t="s">
        <v>89</v>
      </c>
      <c r="C7" s="19" t="s">
        <v>90</v>
      </c>
      <c r="D7" s="12" t="s">
        <v>91</v>
      </c>
      <c r="E7" s="20"/>
      <c r="F7" s="12"/>
      <c r="G7" s="12"/>
      <c r="H7" s="12"/>
      <c r="I7" s="117" t="s">
        <v>22</v>
      </c>
      <c r="J7" s="65">
        <v>9879079</v>
      </c>
      <c r="K7" s="65">
        <v>8736386</v>
      </c>
      <c r="L7" s="65">
        <v>9753282</v>
      </c>
      <c r="M7" s="65">
        <v>9355767</v>
      </c>
      <c r="N7" s="65">
        <v>9553720</v>
      </c>
      <c r="O7" s="65">
        <v>9722786</v>
      </c>
      <c r="P7" s="65">
        <v>10327513</v>
      </c>
      <c r="Q7" s="65">
        <v>10292561</v>
      </c>
      <c r="R7" s="65">
        <v>10387530</v>
      </c>
      <c r="S7" s="65">
        <v>10858318</v>
      </c>
      <c r="T7" s="65">
        <v>8720745.8205202911</v>
      </c>
      <c r="U7" s="65">
        <v>9219021.7211638466</v>
      </c>
      <c r="V7" s="11">
        <f t="shared" ref="V7:V18" si="4">SUM(J7:U7)</f>
        <v>116806709.54168415</v>
      </c>
      <c r="W7" s="73">
        <f t="shared" si="1"/>
        <v>0.64389692036602542</v>
      </c>
      <c r="X7" s="89"/>
      <c r="Y7" s="65">
        <f>IFERROR(Y40*'[4]Margen Ctvs-Ltr'!W$13,0)</f>
        <v>10298213.189655175</v>
      </c>
      <c r="Z7" s="65">
        <f>IFERROR(Z40*'[4]Margen Ctvs-Ltr'!X$13,0)</f>
        <v>9166500.4677879345</v>
      </c>
      <c r="AA7" s="65">
        <f>IFERROR(AA40*'[4]Margen Ctvs-Ltr'!Y$13,0)</f>
        <v>10070473.185283272</v>
      </c>
      <c r="AB7" s="65">
        <f>IFERROR(AB40*'[4]Margen Ctvs-Ltr'!Z$13,0)</f>
        <v>10273765.250170454</v>
      </c>
      <c r="AC7" s="65">
        <f>IFERROR(AC40*'[4]Margen Ctvs-Ltr'!AA$13,0)</f>
        <v>10368634.124121403</v>
      </c>
      <c r="AD7" s="65">
        <f>IFERROR(AD40*'[4]Margen Ctvs-Ltr'!AB$13,0)</f>
        <v>10347423.270472966</v>
      </c>
      <c r="AE7" s="65">
        <f>IFERROR(AE40*'[4]Margen Ctvs-Ltr'!AC$13,0)</f>
        <v>11043216.727833876</v>
      </c>
      <c r="AF7" s="65">
        <f>IFERROR(AF40*'[4]Margen Ctvs-Ltr'!AD$13,0)</f>
        <v>11141310.069069035</v>
      </c>
      <c r="AG7" s="65">
        <f>IFERROR(AG40*'[4]Margen Ctvs-Ltr'!AE$13,0)</f>
        <v>11064368.708117023</v>
      </c>
      <c r="AH7" s="65">
        <f>IFERROR(AH40*'[4]Margen Ctvs-Ltr'!AF$13,0)</f>
        <v>11916457.749360351</v>
      </c>
      <c r="AI7" s="65">
        <f>IFERROR(AI40*'[4]Margen Ctvs-Ltr'!AG$13,0)</f>
        <v>11762098.968385857</v>
      </c>
      <c r="AJ7" s="65">
        <f>IFERROR(AJ40*'[4]Margen Ctvs-Ltr'!AH$13,0)</f>
        <v>11592348.853754763</v>
      </c>
      <c r="AK7" s="65">
        <f t="shared" ref="AK7:AK18" si="5">SUM(Y7:AJ7)</f>
        <v>129044810.56401211</v>
      </c>
      <c r="AL7" s="73">
        <f t="shared" si="3"/>
        <v>0.64980087727250457</v>
      </c>
      <c r="AM7" s="14">
        <f t="shared" ref="AM7:AM46" si="6">IFERROR(AK7/V7-1,0)</f>
        <v>0.10477224356671577</v>
      </c>
      <c r="AN7" s="9"/>
    </row>
    <row r="8" spans="1:40" ht="15" hidden="1" customHeight="1" outlineLevel="1">
      <c r="A8" s="12" t="s">
        <v>86</v>
      </c>
      <c r="B8" s="19" t="s">
        <v>89</v>
      </c>
      <c r="C8" s="19" t="s">
        <v>93</v>
      </c>
      <c r="D8" s="12" t="s">
        <v>94</v>
      </c>
      <c r="E8" s="20"/>
      <c r="F8" s="12"/>
      <c r="G8" s="12"/>
      <c r="H8" s="12"/>
      <c r="I8" s="117" t="s">
        <v>23</v>
      </c>
      <c r="J8" s="65">
        <v>2791340</v>
      </c>
      <c r="K8" s="65">
        <v>2558813</v>
      </c>
      <c r="L8" s="65">
        <v>2919512</v>
      </c>
      <c r="M8" s="65">
        <v>2813917</v>
      </c>
      <c r="N8" s="65">
        <v>3223531</v>
      </c>
      <c r="O8" s="65">
        <v>2897616</v>
      </c>
      <c r="P8" s="65">
        <v>3091885</v>
      </c>
      <c r="Q8" s="65">
        <v>3181865</v>
      </c>
      <c r="R8" s="65">
        <v>3066477</v>
      </c>
      <c r="S8" s="65">
        <v>3576983</v>
      </c>
      <c r="T8" s="65">
        <v>2084543.7295239572</v>
      </c>
      <c r="U8" s="65">
        <v>2157169.9680729625</v>
      </c>
      <c r="V8" s="11">
        <f t="shared" si="4"/>
        <v>34363652.697596923</v>
      </c>
      <c r="W8" s="73">
        <f t="shared" si="1"/>
        <v>0.18942961608394684</v>
      </c>
      <c r="X8" s="89"/>
      <c r="Y8" s="65">
        <f>IFERROR(Y41*'[4]Margen Ctvs-Ltr'!W$14,0)</f>
        <v>2814667.5775862071</v>
      </c>
      <c r="Z8" s="65">
        <f>IFERROR(Z41*'[4]Margen Ctvs-Ltr'!X$14,0)</f>
        <v>2585558.6618534485</v>
      </c>
      <c r="AA8" s="65">
        <f>IFERROR(AA41*'[4]Margen Ctvs-Ltr'!Y$14,0)</f>
        <v>2952370.2545320927</v>
      </c>
      <c r="AB8" s="65">
        <f>IFERROR(AB41*'[4]Margen Ctvs-Ltr'!Z$14,0)</f>
        <v>2874406.1240091906</v>
      </c>
      <c r="AC8" s="65">
        <f>IFERROR(AC41*'[4]Margen Ctvs-Ltr'!AA$14,0)</f>
        <v>3290035.7109706923</v>
      </c>
      <c r="AD8" s="65">
        <f>IFERROR(AD41*'[4]Margen Ctvs-Ltr'!AB$14,0)</f>
        <v>2984171.878219584</v>
      </c>
      <c r="AE8" s="65">
        <f>IFERROR(AE41*'[4]Margen Ctvs-Ltr'!AC$14,0)</f>
        <v>3228559.3926226236</v>
      </c>
      <c r="AF8" s="65">
        <f>IFERROR(AF41*'[4]Margen Ctvs-Ltr'!AD$14,0)</f>
        <v>3397197.7822268112</v>
      </c>
      <c r="AG8" s="65">
        <f>IFERROR(AG41*'[4]Margen Ctvs-Ltr'!AE$14,0)</f>
        <v>3224640.4878877257</v>
      </c>
      <c r="AH8" s="65">
        <f>IFERROR(AH41*'[4]Margen Ctvs-Ltr'!AF$14,0)</f>
        <v>3433234.505912208</v>
      </c>
      <c r="AI8" s="65">
        <f>IFERROR(AI41*'[4]Margen Ctvs-Ltr'!AG$14,0)</f>
        <v>3388158.8226295295</v>
      </c>
      <c r="AJ8" s="65">
        <f>IFERROR(AJ41*'[4]Margen Ctvs-Ltr'!AH$14,0)</f>
        <v>3338601.5691077551</v>
      </c>
      <c r="AK8" s="65">
        <f t="shared" si="5"/>
        <v>37511602.767557867</v>
      </c>
      <c r="AL8" s="73">
        <f t="shared" si="3"/>
        <v>0.18888843557304977</v>
      </c>
      <c r="AM8" s="14">
        <f t="shared" si="6"/>
        <v>9.1606969074655042E-2</v>
      </c>
      <c r="AN8" s="9"/>
    </row>
    <row r="9" spans="1:40" ht="15" hidden="1" customHeight="1" outlineLevel="1">
      <c r="A9" s="12" t="s">
        <v>86</v>
      </c>
      <c r="B9" s="19" t="s">
        <v>89</v>
      </c>
      <c r="C9" s="19" t="s">
        <v>96</v>
      </c>
      <c r="D9" s="12" t="s">
        <v>97</v>
      </c>
      <c r="E9" s="20"/>
      <c r="F9" s="12"/>
      <c r="G9" s="12"/>
      <c r="H9" s="12"/>
      <c r="I9" s="117" t="s">
        <v>5</v>
      </c>
      <c r="J9" s="65">
        <v>2090208</v>
      </c>
      <c r="K9" s="65">
        <v>2235534</v>
      </c>
      <c r="L9" s="65">
        <v>2555308</v>
      </c>
      <c r="M9" s="65">
        <v>2773749</v>
      </c>
      <c r="N9" s="65">
        <v>2487478</v>
      </c>
      <c r="O9" s="65">
        <v>2589338</v>
      </c>
      <c r="P9" s="65">
        <v>2919953</v>
      </c>
      <c r="Q9" s="65">
        <v>2619067</v>
      </c>
      <c r="R9" s="65">
        <v>2812974</v>
      </c>
      <c r="S9" s="65">
        <v>3453878</v>
      </c>
      <c r="T9" s="65">
        <v>1438662.769090021</v>
      </c>
      <c r="U9" s="65">
        <v>1813405.2725746711</v>
      </c>
      <c r="V9" s="11">
        <f t="shared" si="4"/>
        <v>29789555.04166469</v>
      </c>
      <c r="W9" s="73">
        <f t="shared" si="1"/>
        <v>0.16421490533946545</v>
      </c>
      <c r="X9" s="89"/>
      <c r="Y9" s="65">
        <f>IFERROR(Y42*'[4]Margen Ctvs-Ltr'!W$15,0)</f>
        <v>2101264.8275862071</v>
      </c>
      <c r="Z9" s="65">
        <f>IFERROR(Z42*'[4]Margen Ctvs-Ltr'!X$15,0)</f>
        <v>2246999.8546474143</v>
      </c>
      <c r="AA9" s="65">
        <f>IFERROR(AA42*'[4]Margen Ctvs-Ltr'!Y$15,0)</f>
        <v>2566198.498833667</v>
      </c>
      <c r="AB9" s="65">
        <f>IFERROR(AB42*'[4]Margen Ctvs-Ltr'!Z$15,0)</f>
        <v>2802661.6284648962</v>
      </c>
      <c r="AC9" s="65">
        <f>IFERROR(AC42*'[4]Margen Ctvs-Ltr'!AA$15,0)</f>
        <v>2506382.6852452508</v>
      </c>
      <c r="AD9" s="65">
        <f>IFERROR(AD42*'[4]Margen Ctvs-Ltr'!AB$15,0)</f>
        <v>2604761.186358226</v>
      </c>
      <c r="AE9" s="65">
        <f>IFERROR(AE42*'[4]Margen Ctvs-Ltr'!AC$15,0)</f>
        <v>2917835.2095508301</v>
      </c>
      <c r="AF9" s="65">
        <f>IFERROR(AF42*'[4]Margen Ctvs-Ltr'!AD$15,0)</f>
        <v>2674948.1684543253</v>
      </c>
      <c r="AG9" s="65">
        <f>IFERROR(AG42*'[4]Margen Ctvs-Ltr'!AE$15,0)</f>
        <v>2829661.1309169182</v>
      </c>
      <c r="AH9" s="65">
        <f>IFERROR(AH42*'[4]Margen Ctvs-Ltr'!AF$15,0)</f>
        <v>3128865.0563783464</v>
      </c>
      <c r="AI9" s="65">
        <f>IFERROR(AI42*'[4]Margen Ctvs-Ltr'!AG$15,0)</f>
        <v>2721425.1094100592</v>
      </c>
      <c r="AJ9" s="65">
        <f>IFERROR(AJ42*'[4]Margen Ctvs-Ltr'!AH$15,0)</f>
        <v>2589138.0945352563</v>
      </c>
      <c r="AK9" s="65">
        <f t="shared" si="5"/>
        <v>31690141.450381402</v>
      </c>
      <c r="AL9" s="73">
        <f t="shared" si="3"/>
        <v>0.15957465957248149</v>
      </c>
      <c r="AM9" s="14">
        <f t="shared" si="6"/>
        <v>6.380042958206289E-2</v>
      </c>
      <c r="AN9" s="9"/>
    </row>
    <row r="10" spans="1:40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105</v>
      </c>
      <c r="J10" s="65">
        <v>23476</v>
      </c>
      <c r="K10" s="65">
        <v>33748</v>
      </c>
      <c r="L10" s="65">
        <v>39426</v>
      </c>
      <c r="M10" s="65">
        <v>18625</v>
      </c>
      <c r="N10" s="65">
        <v>42137</v>
      </c>
      <c r="O10" s="65">
        <v>40462</v>
      </c>
      <c r="P10" s="65">
        <v>43670</v>
      </c>
      <c r="Q10" s="65">
        <v>46464</v>
      </c>
      <c r="R10" s="65">
        <v>0</v>
      </c>
      <c r="S10" s="65">
        <v>47360</v>
      </c>
      <c r="T10" s="65">
        <v>30300</v>
      </c>
      <c r="U10" s="65">
        <v>29700</v>
      </c>
      <c r="V10" s="11">
        <f t="shared" si="4"/>
        <v>395368</v>
      </c>
      <c r="W10" s="73">
        <f t="shared" si="1"/>
        <v>2.1794658766620383E-3</v>
      </c>
      <c r="X10" s="89"/>
      <c r="Y10" s="65">
        <f>VLOOKUP($E$1,'[4]Resumen x Tipo Combustible'!$C$35:$O$36,Y1,0)</f>
        <v>22500</v>
      </c>
      <c r="Z10" s="65">
        <f>VLOOKUP($E$1,'[4]Resumen x Tipo Combustible'!$C$35:$O$36,Z1,0)</f>
        <v>29220</v>
      </c>
      <c r="AA10" s="65">
        <f>VLOOKUP($E$1,'[4]Resumen x Tipo Combustible'!$C$35:$O$36,AA1,0)</f>
        <v>28380</v>
      </c>
      <c r="AB10" s="65">
        <f>VLOOKUP($E$1,'[4]Resumen x Tipo Combustible'!$C$35:$O$36,AB1,0)</f>
        <v>28440</v>
      </c>
      <c r="AC10" s="65">
        <f>VLOOKUP($E$1,'[4]Resumen x Tipo Combustible'!$C$35:$O$36,AC1,0)</f>
        <v>27840</v>
      </c>
      <c r="AD10" s="65">
        <f>VLOOKUP($E$1,'[4]Resumen x Tipo Combustible'!$C$35:$O$36,AD1,0)</f>
        <v>29520</v>
      </c>
      <c r="AE10" s="65">
        <f>VLOOKUP($E$1,'[4]Resumen x Tipo Combustible'!$C$35:$O$36,AE1,0)</f>
        <v>28200</v>
      </c>
      <c r="AF10" s="65">
        <f>VLOOKUP($E$1,'[4]Resumen x Tipo Combustible'!$C$35:$O$36,AF1,0)</f>
        <v>28680</v>
      </c>
      <c r="AG10" s="65">
        <f>VLOOKUP($E$1,'[4]Resumen x Tipo Combustible'!$C$35:$O$36,AG1,0)</f>
        <v>32880</v>
      </c>
      <c r="AH10" s="65">
        <f>VLOOKUP($E$1,'[4]Resumen x Tipo Combustible'!$C$35:$O$36,AH1,0)</f>
        <v>27360</v>
      </c>
      <c r="AI10" s="65">
        <f>VLOOKUP($E$1,'[4]Resumen x Tipo Combustible'!$C$35:$O$36,AI1,0)</f>
        <v>31560</v>
      </c>
      <c r="AJ10" s="65">
        <f>VLOOKUP($E$1,'[4]Resumen x Tipo Combustible'!$C$35:$O$36,AJ1,0)</f>
        <v>30180</v>
      </c>
      <c r="AK10" s="65">
        <f t="shared" si="5"/>
        <v>344760</v>
      </c>
      <c r="AL10" s="73">
        <f t="shared" si="3"/>
        <v>1.7360275819641882E-3</v>
      </c>
      <c r="AM10" s="14">
        <f t="shared" si="6"/>
        <v>-0.12800226624309508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106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50629</v>
      </c>
      <c r="S11" s="65">
        <v>0</v>
      </c>
      <c r="T11" s="65">
        <v>0</v>
      </c>
      <c r="U11" s="65">
        <v>0</v>
      </c>
      <c r="V11" s="11">
        <f t="shared" si="4"/>
        <v>50629</v>
      </c>
      <c r="W11" s="73">
        <f t="shared" si="1"/>
        <v>2.7909233390037213E-4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5"/>
        <v>0</v>
      </c>
      <c r="AL11" s="73">
        <f t="shared" si="3"/>
        <v>0</v>
      </c>
      <c r="AM11" s="14">
        <f t="shared" si="6"/>
        <v>-1</v>
      </c>
      <c r="AN11" s="9"/>
    </row>
    <row r="12" spans="1:40" ht="14.45" customHeight="1" collapsed="1">
      <c r="A12" s="12" t="s">
        <v>107</v>
      </c>
      <c r="B12" s="19"/>
      <c r="E12" s="7" t="s">
        <v>108</v>
      </c>
      <c r="I12" s="167" t="s">
        <v>109</v>
      </c>
      <c r="J12" s="15">
        <v>13418172</v>
      </c>
      <c r="K12" s="15">
        <v>12179496</v>
      </c>
      <c r="L12" s="15">
        <v>13701719</v>
      </c>
      <c r="M12" s="15">
        <v>13328984</v>
      </c>
      <c r="N12" s="15">
        <v>13490369</v>
      </c>
      <c r="O12" s="15">
        <v>13560569</v>
      </c>
      <c r="P12" s="15">
        <v>14750942</v>
      </c>
      <c r="Q12" s="15">
        <v>14529560</v>
      </c>
      <c r="R12" s="15">
        <v>14671767</v>
      </c>
      <c r="S12" s="15">
        <v>16124649</v>
      </c>
      <c r="T12" s="15">
        <v>11045444.003922269</v>
      </c>
      <c r="U12" s="15">
        <v>11914412.148713479</v>
      </c>
      <c r="V12" s="15">
        <f t="shared" ref="V12" si="7">SUM(V13:V32)</f>
        <v>162716083.15263575</v>
      </c>
      <c r="W12" s="72">
        <f t="shared" si="1"/>
        <v>0.8969723164628205</v>
      </c>
      <c r="X12" s="89"/>
      <c r="Y12" s="15">
        <f>SUM(Y13:Y32)</f>
        <v>13734338.391494257</v>
      </c>
      <c r="Z12" s="15">
        <f t="shared" ref="Z12:AK12" si="8">SUM(Z13:Z32)</f>
        <v>12703720.707622129</v>
      </c>
      <c r="AA12" s="15">
        <f t="shared" si="8"/>
        <v>14006151.411982363</v>
      </c>
      <c r="AB12" s="15">
        <f t="shared" si="8"/>
        <v>14390479.315977875</v>
      </c>
      <c r="AC12" s="15">
        <f t="shared" si="8"/>
        <v>14583688.597004013</v>
      </c>
      <c r="AD12" s="15">
        <f t="shared" si="8"/>
        <v>14414257.015050774</v>
      </c>
      <c r="AE12" s="15">
        <f t="shared" si="8"/>
        <v>15464678.15000733</v>
      </c>
      <c r="AF12" s="15">
        <f t="shared" si="8"/>
        <v>15547666.186416838</v>
      </c>
      <c r="AG12" s="15">
        <f t="shared" si="8"/>
        <v>15474474.460255001</v>
      </c>
      <c r="AH12" s="15">
        <f t="shared" si="8"/>
        <v>16640986.721650906</v>
      </c>
      <c r="AI12" s="15">
        <f t="shared" si="8"/>
        <v>16175518.300425444</v>
      </c>
      <c r="AJ12" s="15">
        <f t="shared" si="8"/>
        <v>15853289.587397775</v>
      </c>
      <c r="AK12" s="15">
        <f t="shared" si="8"/>
        <v>178989248.8452847</v>
      </c>
      <c r="AL12" s="72">
        <f t="shared" si="3"/>
        <v>0.90129444503557832</v>
      </c>
      <c r="AM12" s="10">
        <f t="shared" si="6"/>
        <v>0.10000957113369013</v>
      </c>
      <c r="AN12" s="9"/>
    </row>
    <row r="13" spans="1:40" ht="14.45" hidden="1" customHeight="1" outlineLevel="1">
      <c r="A13" s="37" t="s">
        <v>107</v>
      </c>
      <c r="B13" s="39"/>
      <c r="C13" s="39" t="s">
        <v>110</v>
      </c>
      <c r="D13" s="37" t="s">
        <v>111</v>
      </c>
      <c r="E13" s="38"/>
      <c r="F13" s="37"/>
      <c r="G13" s="37"/>
      <c r="H13" s="37"/>
      <c r="I13" s="171" t="s">
        <v>112</v>
      </c>
      <c r="J13" s="65">
        <v>9014009</v>
      </c>
      <c r="K13" s="65">
        <v>7840027</v>
      </c>
      <c r="L13" s="65">
        <v>8775790</v>
      </c>
      <c r="M13" s="65">
        <v>8519582</v>
      </c>
      <c r="N13" s="65">
        <v>8664105</v>
      </c>
      <c r="O13" s="65">
        <v>8847992</v>
      </c>
      <c r="P13" s="65">
        <v>9375452</v>
      </c>
      <c r="Q13" s="65">
        <v>9333337</v>
      </c>
      <c r="R13" s="65">
        <v>9420273</v>
      </c>
      <c r="S13" s="65">
        <v>9846511</v>
      </c>
      <c r="T13" s="65">
        <v>7868694.2443202911</v>
      </c>
      <c r="U13" s="65">
        <v>8305813.9979638467</v>
      </c>
      <c r="V13" s="11">
        <f t="shared" si="4"/>
        <v>105811586.24228413</v>
      </c>
      <c r="W13" s="73">
        <f t="shared" si="1"/>
        <v>0.58328630938907722</v>
      </c>
      <c r="X13" s="89"/>
      <c r="Y13" s="65">
        <f>Y7-Y24-Y34</f>
        <v>9374085.1563218422</v>
      </c>
      <c r="Z13" s="65">
        <f t="shared" ref="Z13:AJ14" si="9">Z7-Z24-Z34</f>
        <v>8400757.5211212672</v>
      </c>
      <c r="AA13" s="65">
        <f t="shared" si="9"/>
        <v>9130998.8286166042</v>
      </c>
      <c r="AB13" s="65">
        <f t="shared" si="9"/>
        <v>9345244.8235037886</v>
      </c>
      <c r="AC13" s="65">
        <f t="shared" si="9"/>
        <v>9442269.4807880707</v>
      </c>
      <c r="AD13" s="65">
        <f t="shared" si="9"/>
        <v>9433639.1404729653</v>
      </c>
      <c r="AE13" s="65">
        <f t="shared" si="9"/>
        <v>10022669.947833877</v>
      </c>
      <c r="AF13" s="65">
        <f t="shared" si="9"/>
        <v>10149189.855735702</v>
      </c>
      <c r="AG13" s="65">
        <f t="shared" si="9"/>
        <v>10085335.441450357</v>
      </c>
      <c r="AH13" s="65">
        <f t="shared" si="9"/>
        <v>10818837.489360351</v>
      </c>
      <c r="AI13" s="65">
        <f t="shared" si="9"/>
        <v>10729078.518385857</v>
      </c>
      <c r="AJ13" s="65">
        <f t="shared" si="9"/>
        <v>10575355.603754763</v>
      </c>
      <c r="AK13" s="65">
        <f t="shared" si="5"/>
        <v>117507461.80734544</v>
      </c>
      <c r="AL13" s="73">
        <f t="shared" si="3"/>
        <v>0.59170493904210208</v>
      </c>
      <c r="AM13" s="14">
        <f t="shared" si="6"/>
        <v>0.11053492325765202</v>
      </c>
      <c r="AN13" s="9"/>
    </row>
    <row r="14" spans="1:40" ht="14.45" hidden="1" customHeight="1" outlineLevel="1">
      <c r="A14" s="37" t="s">
        <v>107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172" t="s">
        <v>115</v>
      </c>
      <c r="J14" s="65">
        <v>2430830</v>
      </c>
      <c r="K14" s="65">
        <v>2226590</v>
      </c>
      <c r="L14" s="65">
        <v>2522425</v>
      </c>
      <c r="M14" s="65">
        <v>2422533</v>
      </c>
      <c r="N14" s="65">
        <v>2689005</v>
      </c>
      <c r="O14" s="65">
        <v>2463895</v>
      </c>
      <c r="P14" s="65">
        <v>2719200</v>
      </c>
      <c r="Q14" s="65">
        <v>2826512</v>
      </c>
      <c r="R14" s="65">
        <v>2735612</v>
      </c>
      <c r="S14" s="65">
        <v>3163617</v>
      </c>
      <c r="T14" s="65">
        <v>1856472.7556239571</v>
      </c>
      <c r="U14" s="65">
        <v>1935256.9830729626</v>
      </c>
      <c r="V14" s="11">
        <f t="shared" si="4"/>
        <v>29991948.738696922</v>
      </c>
      <c r="W14" s="73">
        <f t="shared" si="1"/>
        <v>0.16533060048002621</v>
      </c>
      <c r="X14" s="89"/>
      <c r="Y14" s="65">
        <f>Y8-Y25-Y35</f>
        <v>2439111.4075862071</v>
      </c>
      <c r="Z14" s="65">
        <f t="shared" si="9"/>
        <v>2251053.6618534485</v>
      </c>
      <c r="AA14" s="65">
        <f t="shared" si="9"/>
        <v>2542661.4545320924</v>
      </c>
      <c r="AB14" s="65">
        <f t="shared" si="9"/>
        <v>2494632.3240091908</v>
      </c>
      <c r="AC14" s="65">
        <f t="shared" si="9"/>
        <v>2834470.9109706925</v>
      </c>
      <c r="AD14" s="65">
        <f t="shared" si="9"/>
        <v>2601080.4882195839</v>
      </c>
      <c r="AE14" s="65">
        <f t="shared" si="9"/>
        <v>2789458.8426226238</v>
      </c>
      <c r="AF14" s="65">
        <f t="shared" si="9"/>
        <v>2940064.7422268111</v>
      </c>
      <c r="AG14" s="65">
        <f t="shared" si="9"/>
        <v>2805096.0478877258</v>
      </c>
      <c r="AH14" s="65">
        <f t="shared" si="9"/>
        <v>2970789.525912208</v>
      </c>
      <c r="AI14" s="65">
        <f t="shared" si="9"/>
        <v>2942482.0626295293</v>
      </c>
      <c r="AJ14" s="65">
        <f t="shared" si="9"/>
        <v>2899926.0891077551</v>
      </c>
      <c r="AK14" s="65">
        <f t="shared" si="5"/>
        <v>32510827.557557866</v>
      </c>
      <c r="AL14" s="73">
        <f t="shared" si="3"/>
        <v>0.16370719733264266</v>
      </c>
      <c r="AM14" s="14">
        <f t="shared" si="6"/>
        <v>8.3985166846160197E-2</v>
      </c>
      <c r="AN14" s="9"/>
    </row>
    <row r="15" spans="1:40" ht="14.45" hidden="1" customHeight="1" outlineLevel="1">
      <c r="A15" s="37" t="s">
        <v>107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167" t="s">
        <v>5</v>
      </c>
      <c r="J15" s="65">
        <v>1953610</v>
      </c>
      <c r="K15" s="65">
        <v>2086291</v>
      </c>
      <c r="L15" s="65">
        <v>2425049</v>
      </c>
      <c r="M15" s="65">
        <v>2457800</v>
      </c>
      <c r="N15" s="65">
        <v>2174432</v>
      </c>
      <c r="O15" s="65">
        <v>2274518</v>
      </c>
      <c r="P15" s="65">
        <v>2653742</v>
      </c>
      <c r="Q15" s="65">
        <v>2343362</v>
      </c>
      <c r="R15" s="65">
        <v>2508939</v>
      </c>
      <c r="S15" s="65">
        <v>3094936</v>
      </c>
      <c r="T15" s="65">
        <v>1294522.003978021</v>
      </c>
      <c r="U15" s="65">
        <v>1648096.1676766712</v>
      </c>
      <c r="V15" s="11">
        <f t="shared" si="4"/>
        <v>26915297.171654694</v>
      </c>
      <c r="W15" s="73">
        <f t="shared" si="1"/>
        <v>0.14837056045466421</v>
      </c>
      <c r="X15" s="89"/>
      <c r="Y15" s="65">
        <f>Y9-Y36</f>
        <v>1902016.8275862071</v>
      </c>
      <c r="Z15" s="65">
        <f t="shared" ref="Z15:AJ15" si="10">Z9-Z36</f>
        <v>2027072.5246474142</v>
      </c>
      <c r="AA15" s="65">
        <f t="shared" si="10"/>
        <v>2308368.1288336669</v>
      </c>
      <c r="AB15" s="65">
        <f t="shared" si="10"/>
        <v>2526428.1684648963</v>
      </c>
      <c r="AC15" s="65">
        <f t="shared" si="10"/>
        <v>2283284.2052452508</v>
      </c>
      <c r="AD15" s="65">
        <f t="shared" si="10"/>
        <v>2354445.3863582262</v>
      </c>
      <c r="AE15" s="65">
        <f t="shared" si="10"/>
        <v>2628579.35955083</v>
      </c>
      <c r="AF15" s="65">
        <f t="shared" si="10"/>
        <v>2434033.5884543252</v>
      </c>
      <c r="AG15" s="65">
        <f t="shared" si="10"/>
        <v>2556094.970916918</v>
      </c>
      <c r="AH15" s="65">
        <f t="shared" si="10"/>
        <v>2828103.7063783463</v>
      </c>
      <c r="AI15" s="65">
        <f t="shared" si="10"/>
        <v>2477131.719410059</v>
      </c>
      <c r="AJ15" s="65">
        <f t="shared" si="10"/>
        <v>2352354.8945352561</v>
      </c>
      <c r="AK15" s="65">
        <f t="shared" si="5"/>
        <v>28677913.480381392</v>
      </c>
      <c r="AL15" s="73">
        <f t="shared" si="3"/>
        <v>0.14440668521616401</v>
      </c>
      <c r="AM15" s="14">
        <f t="shared" si="6"/>
        <v>6.5487529172925552E-2</v>
      </c>
      <c r="AN15" s="9"/>
    </row>
    <row r="16" spans="1:40" ht="14.45" hidden="1" customHeight="1" outlineLevel="1">
      <c r="A16" s="37" t="s">
        <v>107</v>
      </c>
      <c r="B16" s="39"/>
      <c r="C16" s="39" t="s">
        <v>118</v>
      </c>
      <c r="D16" s="37"/>
      <c r="E16" s="38"/>
      <c r="F16" s="37"/>
      <c r="G16" s="37"/>
      <c r="H16" s="37"/>
      <c r="I16" s="171" t="s">
        <v>119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11">
        <f t="shared" si="4"/>
        <v>0</v>
      </c>
      <c r="W16" s="73">
        <f t="shared" si="1"/>
        <v>0</v>
      </c>
      <c r="X16" s="89"/>
      <c r="Y16" s="66">
        <v>0</v>
      </c>
      <c r="Z16" s="66">
        <v>0</v>
      </c>
      <c r="AA16" s="66">
        <v>0</v>
      </c>
      <c r="AB16" s="66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0</v>
      </c>
      <c r="AK16" s="65">
        <f t="shared" si="5"/>
        <v>0</v>
      </c>
      <c r="AL16" s="73">
        <f t="shared" si="3"/>
        <v>0</v>
      </c>
      <c r="AM16" s="14">
        <f t="shared" si="6"/>
        <v>0</v>
      </c>
      <c r="AN16" s="9"/>
    </row>
    <row r="17" spans="1:40" ht="14.45" hidden="1" customHeight="1" outlineLevel="1">
      <c r="A17" s="37" t="s">
        <v>107</v>
      </c>
      <c r="B17" s="39"/>
      <c r="C17" s="39" t="s">
        <v>120</v>
      </c>
      <c r="D17" s="37"/>
      <c r="E17" s="38"/>
      <c r="F17" s="37"/>
      <c r="G17" s="37"/>
      <c r="H17" s="37"/>
      <c r="I17" s="172" t="s">
        <v>121</v>
      </c>
      <c r="J17" s="65">
        <v>3560</v>
      </c>
      <c r="K17" s="65">
        <v>4021</v>
      </c>
      <c r="L17" s="65">
        <v>0</v>
      </c>
      <c r="M17" s="65">
        <v>0</v>
      </c>
      <c r="N17" s="65">
        <v>16710</v>
      </c>
      <c r="O17" s="65">
        <v>0</v>
      </c>
      <c r="P17" s="65">
        <v>0</v>
      </c>
      <c r="Q17" s="65">
        <v>3686</v>
      </c>
      <c r="R17" s="65">
        <v>0</v>
      </c>
      <c r="S17" s="65">
        <v>0</v>
      </c>
      <c r="T17" s="65">
        <v>0</v>
      </c>
      <c r="U17" s="65">
        <v>0</v>
      </c>
      <c r="V17" s="11">
        <f t="shared" si="4"/>
        <v>27977</v>
      </c>
      <c r="W17" s="73">
        <f t="shared" si="1"/>
        <v>1.5422319669617635E-4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5"/>
        <v>0</v>
      </c>
      <c r="AL17" s="73">
        <f t="shared" si="3"/>
        <v>0</v>
      </c>
      <c r="AM17" s="14">
        <f t="shared" si="6"/>
        <v>-1</v>
      </c>
      <c r="AN17" s="9"/>
    </row>
    <row r="18" spans="1:40" ht="14.45" hidden="1" customHeight="1" outlineLevel="1">
      <c r="A18" s="37" t="s">
        <v>107</v>
      </c>
      <c r="B18" s="39"/>
      <c r="C18" s="39" t="s">
        <v>122</v>
      </c>
      <c r="D18" s="37"/>
      <c r="E18" s="38"/>
      <c r="F18" s="37"/>
      <c r="G18" s="37"/>
      <c r="H18" s="37"/>
      <c r="I18" s="167" t="s">
        <v>123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33294</v>
      </c>
      <c r="S18" s="65">
        <v>0</v>
      </c>
      <c r="T18" s="65">
        <v>0</v>
      </c>
      <c r="U18" s="65">
        <v>0</v>
      </c>
      <c r="V18" s="11">
        <f t="shared" si="4"/>
        <v>33294</v>
      </c>
      <c r="W18" s="73">
        <f t="shared" si="1"/>
        <v>1.8353315619267595E-4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5"/>
        <v>0</v>
      </c>
      <c r="AL18" s="73">
        <f t="shared" si="3"/>
        <v>0</v>
      </c>
      <c r="AM18" s="14">
        <f t="shared" si="6"/>
        <v>-1</v>
      </c>
      <c r="AN18" s="9"/>
    </row>
    <row r="19" spans="1:40" ht="14.45" hidden="1" customHeight="1" outlineLevel="1">
      <c r="A19" s="37" t="s">
        <v>107</v>
      </c>
      <c r="B19" s="39"/>
      <c r="C19" s="39" t="s">
        <v>124</v>
      </c>
      <c r="D19" s="37" t="s">
        <v>125</v>
      </c>
      <c r="E19" s="38"/>
      <c r="F19" s="37"/>
      <c r="G19" s="37"/>
      <c r="H19" s="37"/>
      <c r="I19" s="171" t="s">
        <v>126</v>
      </c>
      <c r="J19" s="65">
        <v>18926</v>
      </c>
      <c r="K19" s="65">
        <v>15418</v>
      </c>
      <c r="L19" s="65">
        <v>18853</v>
      </c>
      <c r="M19" s="65">
        <v>16927</v>
      </c>
      <c r="N19" s="65">
        <v>18407</v>
      </c>
      <c r="O19" s="65">
        <v>17761</v>
      </c>
      <c r="P19" s="65">
        <v>20701</v>
      </c>
      <c r="Q19" s="65">
        <v>19988</v>
      </c>
      <c r="R19" s="65">
        <v>17239</v>
      </c>
      <c r="S19" s="65">
        <v>20525</v>
      </c>
      <c r="T19" s="65">
        <v>0</v>
      </c>
      <c r="U19" s="65">
        <v>0</v>
      </c>
      <c r="V19" s="11">
        <f t="shared" ref="V19:V28" si="11">SUM(J19:U19)</f>
        <v>184745</v>
      </c>
      <c r="W19" s="73">
        <f t="shared" ref="W19:W28" si="12">V19/V$6</f>
        <v>1.0184067081400827E-3</v>
      </c>
      <c r="X19" s="89"/>
      <c r="Y19" s="65">
        <f t="shared" ref="Y19:AJ19" si="13">0*Y40</f>
        <v>0</v>
      </c>
      <c r="Z19" s="65">
        <f t="shared" si="13"/>
        <v>0</v>
      </c>
      <c r="AA19" s="65">
        <f t="shared" si="13"/>
        <v>0</v>
      </c>
      <c r="AB19" s="65">
        <f t="shared" si="13"/>
        <v>0</v>
      </c>
      <c r="AC19" s="65">
        <f t="shared" si="13"/>
        <v>0</v>
      </c>
      <c r="AD19" s="65">
        <f t="shared" si="13"/>
        <v>0</v>
      </c>
      <c r="AE19" s="65">
        <f t="shared" si="13"/>
        <v>0</v>
      </c>
      <c r="AF19" s="65">
        <f t="shared" si="13"/>
        <v>0</v>
      </c>
      <c r="AG19" s="65">
        <f t="shared" si="13"/>
        <v>0</v>
      </c>
      <c r="AH19" s="65">
        <f t="shared" si="13"/>
        <v>0</v>
      </c>
      <c r="AI19" s="65">
        <f t="shared" si="13"/>
        <v>0</v>
      </c>
      <c r="AJ19" s="65">
        <f t="shared" si="13"/>
        <v>0</v>
      </c>
      <c r="AK19" s="65">
        <f t="shared" ref="AK19:AK28" si="14">SUM(Y19:AJ19)</f>
        <v>0</v>
      </c>
      <c r="AL19" s="73">
        <f t="shared" ref="AL19:AL28" si="15">AK19/AK$6</f>
        <v>0</v>
      </c>
      <c r="AM19" s="14">
        <f t="shared" ref="AM19:AM28" si="16">IFERROR(AK19/V19-1,0)</f>
        <v>-1</v>
      </c>
      <c r="AN19" s="9"/>
    </row>
    <row r="20" spans="1:40" ht="14.45" hidden="1" customHeight="1" outlineLevel="1">
      <c r="A20" s="37" t="s">
        <v>107</v>
      </c>
      <c r="B20" s="39"/>
      <c r="C20" s="39" t="s">
        <v>127</v>
      </c>
      <c r="D20" s="37"/>
      <c r="E20" s="38"/>
      <c r="F20" s="37"/>
      <c r="G20" s="37"/>
      <c r="H20" s="37"/>
      <c r="I20" s="172" t="s">
        <v>128</v>
      </c>
      <c r="J20" s="65">
        <v>5017</v>
      </c>
      <c r="K20" s="65">
        <v>3751</v>
      </c>
      <c r="L20" s="65">
        <v>5326</v>
      </c>
      <c r="M20" s="65">
        <v>4918</v>
      </c>
      <c r="N20" s="65">
        <v>4857</v>
      </c>
      <c r="O20" s="65">
        <v>5323</v>
      </c>
      <c r="P20" s="65">
        <v>6132</v>
      </c>
      <c r="Q20" s="65">
        <v>4494</v>
      </c>
      <c r="R20" s="65">
        <v>5524</v>
      </c>
      <c r="S20" s="65">
        <v>6092</v>
      </c>
      <c r="T20" s="65">
        <v>0</v>
      </c>
      <c r="U20" s="65">
        <v>0</v>
      </c>
      <c r="V20" s="11">
        <f t="shared" si="11"/>
        <v>51434</v>
      </c>
      <c r="W20" s="73">
        <f t="shared" si="12"/>
        <v>2.8352989594563867E-4</v>
      </c>
      <c r="X20" s="89"/>
      <c r="Y20" s="65">
        <f t="shared" ref="Y20:AJ20" si="17">0*Y41</f>
        <v>0</v>
      </c>
      <c r="Z20" s="65">
        <f t="shared" si="17"/>
        <v>0</v>
      </c>
      <c r="AA20" s="65">
        <f t="shared" si="17"/>
        <v>0</v>
      </c>
      <c r="AB20" s="65">
        <f t="shared" si="17"/>
        <v>0</v>
      </c>
      <c r="AC20" s="65">
        <f t="shared" si="17"/>
        <v>0</v>
      </c>
      <c r="AD20" s="65">
        <f t="shared" si="17"/>
        <v>0</v>
      </c>
      <c r="AE20" s="65">
        <f t="shared" si="17"/>
        <v>0</v>
      </c>
      <c r="AF20" s="65">
        <f t="shared" si="17"/>
        <v>0</v>
      </c>
      <c r="AG20" s="65">
        <f t="shared" si="17"/>
        <v>0</v>
      </c>
      <c r="AH20" s="65">
        <f t="shared" si="17"/>
        <v>0</v>
      </c>
      <c r="AI20" s="65">
        <f t="shared" si="17"/>
        <v>0</v>
      </c>
      <c r="AJ20" s="65">
        <f t="shared" si="17"/>
        <v>0</v>
      </c>
      <c r="AK20" s="65">
        <f t="shared" si="14"/>
        <v>0</v>
      </c>
      <c r="AL20" s="73">
        <f t="shared" si="15"/>
        <v>0</v>
      </c>
      <c r="AM20" s="14">
        <f t="shared" si="16"/>
        <v>-1</v>
      </c>
      <c r="AN20" s="9"/>
    </row>
    <row r="21" spans="1:40" ht="14.45" hidden="1" customHeight="1" outlineLevel="1">
      <c r="A21" s="37" t="s">
        <v>107</v>
      </c>
      <c r="B21" s="39"/>
      <c r="C21" s="39" t="s">
        <v>129</v>
      </c>
      <c r="D21" s="37"/>
      <c r="E21" s="38"/>
      <c r="F21" s="37"/>
      <c r="G21" s="37"/>
      <c r="H21" s="37"/>
      <c r="I21" s="171" t="s">
        <v>130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/>
      <c r="U21" s="65"/>
      <c r="V21" s="11">
        <f t="shared" si="11"/>
        <v>0</v>
      </c>
      <c r="W21" s="73">
        <f t="shared" si="12"/>
        <v>0</v>
      </c>
      <c r="X21" s="89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>
        <f t="shared" si="14"/>
        <v>0</v>
      </c>
      <c r="AL21" s="73">
        <f t="shared" si="15"/>
        <v>0</v>
      </c>
      <c r="AM21" s="14">
        <f t="shared" si="16"/>
        <v>0</v>
      </c>
      <c r="AN21" s="9"/>
    </row>
    <row r="22" spans="1:40" ht="14.45" hidden="1" customHeight="1" outlineLevel="1">
      <c r="A22" s="37" t="s">
        <v>107</v>
      </c>
      <c r="B22" s="39"/>
      <c r="C22" s="39" t="s">
        <v>131</v>
      </c>
      <c r="D22" s="37"/>
      <c r="E22" s="38"/>
      <c r="F22" s="37"/>
      <c r="G22" s="37"/>
      <c r="H22" s="37"/>
      <c r="I22" s="172" t="s">
        <v>132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/>
      <c r="P22" s="65">
        <v>0</v>
      </c>
      <c r="Q22" s="65">
        <v>0</v>
      </c>
      <c r="R22" s="65">
        <v>0</v>
      </c>
      <c r="S22" s="65">
        <v>0</v>
      </c>
      <c r="T22" s="65"/>
      <c r="U22" s="65"/>
      <c r="V22" s="11">
        <f t="shared" si="11"/>
        <v>0</v>
      </c>
      <c r="W22" s="73">
        <f t="shared" si="12"/>
        <v>0</v>
      </c>
      <c r="X22" s="89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>
        <f t="shared" si="14"/>
        <v>0</v>
      </c>
      <c r="AL22" s="73">
        <f t="shared" si="15"/>
        <v>0</v>
      </c>
      <c r="AM22" s="14">
        <f t="shared" si="16"/>
        <v>0</v>
      </c>
      <c r="AN22" s="9"/>
    </row>
    <row r="23" spans="1:40" ht="14.45" hidden="1" customHeight="1" outlineLevel="1">
      <c r="A23" s="37" t="s">
        <v>107</v>
      </c>
      <c r="B23" s="39"/>
      <c r="C23" s="39" t="s">
        <v>133</v>
      </c>
      <c r="D23" s="37"/>
      <c r="E23" s="38"/>
      <c r="F23" s="37"/>
      <c r="G23" s="37"/>
      <c r="H23" s="37"/>
      <c r="I23" s="167" t="s">
        <v>133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/>
      <c r="U23" s="65"/>
      <c r="V23" s="11">
        <f t="shared" si="11"/>
        <v>0</v>
      </c>
      <c r="W23" s="73">
        <f t="shared" si="12"/>
        <v>0</v>
      </c>
      <c r="X23" s="89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>
        <f t="shared" si="14"/>
        <v>0</v>
      </c>
      <c r="AL23" s="73">
        <f t="shared" si="15"/>
        <v>0</v>
      </c>
      <c r="AM23" s="14">
        <f t="shared" si="16"/>
        <v>0</v>
      </c>
      <c r="AN23" s="9"/>
    </row>
    <row r="24" spans="1:40" ht="14.45" hidden="1" customHeight="1" outlineLevel="1">
      <c r="A24" s="37" t="s">
        <v>107</v>
      </c>
      <c r="B24" s="39"/>
      <c r="C24" s="39" t="s">
        <v>134</v>
      </c>
      <c r="D24" s="37" t="s">
        <v>91</v>
      </c>
      <c r="E24" s="38"/>
      <c r="F24" s="37"/>
      <c r="G24" s="37"/>
      <c r="H24" s="37"/>
      <c r="I24" s="171" t="s">
        <v>135</v>
      </c>
      <c r="J24" s="65">
        <v>0</v>
      </c>
      <c r="K24" s="65">
        <v>0</v>
      </c>
      <c r="L24" s="65">
        <v>267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/>
      <c r="U24" s="65"/>
      <c r="V24" s="11">
        <f t="shared" si="11"/>
        <v>267</v>
      </c>
      <c r="W24" s="73">
        <f t="shared" si="12"/>
        <v>1.4718373491753613E-6</v>
      </c>
      <c r="X24" s="89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5">
        <f t="shared" si="14"/>
        <v>0</v>
      </c>
      <c r="AL24" s="73">
        <f t="shared" si="15"/>
        <v>0</v>
      </c>
      <c r="AM24" s="14">
        <f t="shared" si="16"/>
        <v>-1</v>
      </c>
      <c r="AN24" s="9"/>
    </row>
    <row r="25" spans="1:40" ht="14.45" hidden="1" customHeight="1" outlineLevel="1">
      <c r="A25" s="37" t="s">
        <v>107</v>
      </c>
      <c r="B25" s="39"/>
      <c r="C25" s="39" t="s">
        <v>136</v>
      </c>
      <c r="D25" s="37" t="s">
        <v>91</v>
      </c>
      <c r="E25" s="38"/>
      <c r="F25" s="37"/>
      <c r="G25" s="37"/>
      <c r="H25" s="37"/>
      <c r="I25" s="172" t="s">
        <v>137</v>
      </c>
      <c r="J25" s="65">
        <v>0</v>
      </c>
      <c r="K25" s="65">
        <v>0</v>
      </c>
      <c r="L25" s="65">
        <v>1204</v>
      </c>
      <c r="M25" s="65">
        <v>2070</v>
      </c>
      <c r="N25" s="65">
        <v>0</v>
      </c>
      <c r="O25" s="65">
        <v>0</v>
      </c>
      <c r="P25" s="65">
        <v>2068</v>
      </c>
      <c r="Q25" s="65">
        <v>0</v>
      </c>
      <c r="R25" s="65">
        <v>0</v>
      </c>
      <c r="S25" s="65">
        <v>0</v>
      </c>
      <c r="T25" s="65"/>
      <c r="U25" s="65"/>
      <c r="V25" s="11">
        <f t="shared" si="11"/>
        <v>5342</v>
      </c>
      <c r="W25" s="73">
        <f t="shared" si="12"/>
        <v>2.9447771982377452E-5</v>
      </c>
      <c r="X25" s="89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5">
        <f t="shared" si="14"/>
        <v>0</v>
      </c>
      <c r="AL25" s="73">
        <f t="shared" si="15"/>
        <v>0</v>
      </c>
      <c r="AM25" s="14">
        <f t="shared" si="16"/>
        <v>-1</v>
      </c>
      <c r="AN25" s="9"/>
    </row>
    <row r="26" spans="1:40" ht="14.45" hidden="1" customHeight="1" outlineLevel="1">
      <c r="A26" s="37"/>
      <c r="B26" s="39"/>
      <c r="C26" s="39"/>
      <c r="D26" s="37"/>
      <c r="E26" s="38"/>
      <c r="F26" s="37"/>
      <c r="G26" s="37"/>
      <c r="H26" s="37"/>
      <c r="I26" s="167" t="s">
        <v>138</v>
      </c>
      <c r="J26" s="65">
        <v>0</v>
      </c>
      <c r="K26" s="65">
        <v>-14309</v>
      </c>
      <c r="L26" s="65">
        <v>-49360</v>
      </c>
      <c r="M26" s="65">
        <v>-70810</v>
      </c>
      <c r="N26" s="65">
        <v>-92791</v>
      </c>
      <c r="O26" s="65">
        <v>-53381</v>
      </c>
      <c r="P26" s="65">
        <v>-24402</v>
      </c>
      <c r="Q26" s="65">
        <v>-21895</v>
      </c>
      <c r="R26" s="65">
        <v>-59771</v>
      </c>
      <c r="S26" s="65">
        <v>-16865</v>
      </c>
      <c r="T26" s="65"/>
      <c r="U26" s="65"/>
      <c r="V26" s="11">
        <f t="shared" si="11"/>
        <v>-403584</v>
      </c>
      <c r="W26" s="73">
        <f t="shared" si="12"/>
        <v>-2.2247565720209324E-3</v>
      </c>
      <c r="X26" s="89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5">
        <f t="shared" si="14"/>
        <v>0</v>
      </c>
      <c r="AL26" s="73">
        <f t="shared" si="15"/>
        <v>0</v>
      </c>
      <c r="AM26" s="14">
        <f t="shared" si="16"/>
        <v>-1</v>
      </c>
      <c r="AN26" s="9"/>
    </row>
    <row r="27" spans="1:40" ht="14.45" hidden="1" customHeight="1" outlineLevel="1">
      <c r="A27" s="37"/>
      <c r="B27" s="39"/>
      <c r="C27" s="39"/>
      <c r="D27" s="37"/>
      <c r="E27" s="38"/>
      <c r="F27" s="37"/>
      <c r="G27" s="37"/>
      <c r="H27" s="37"/>
      <c r="I27" s="167" t="s">
        <v>139</v>
      </c>
      <c r="J27" s="65">
        <v>-15808</v>
      </c>
      <c r="K27" s="65">
        <v>-8530</v>
      </c>
      <c r="L27" s="65">
        <v>-9513</v>
      </c>
      <c r="M27" s="65">
        <v>-15605</v>
      </c>
      <c r="N27" s="65">
        <v>0</v>
      </c>
      <c r="O27" s="65">
        <v>-11011</v>
      </c>
      <c r="P27" s="65">
        <v>-14660</v>
      </c>
      <c r="Q27" s="65">
        <v>0</v>
      </c>
      <c r="R27" s="65">
        <v>-25610</v>
      </c>
      <c r="S27" s="65">
        <v>-2186</v>
      </c>
      <c r="T27" s="65"/>
      <c r="U27" s="65"/>
      <c r="V27" s="11">
        <f t="shared" si="11"/>
        <v>-102923</v>
      </c>
      <c r="W27" s="73">
        <f t="shared" si="12"/>
        <v>-5.6736297936020867E-4</v>
      </c>
      <c r="X27" s="89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5">
        <f t="shared" si="14"/>
        <v>0</v>
      </c>
      <c r="AL27" s="73">
        <f t="shared" si="15"/>
        <v>0</v>
      </c>
      <c r="AM27" s="14">
        <f t="shared" si="16"/>
        <v>-1</v>
      </c>
      <c r="AN27" s="9"/>
    </row>
    <row r="28" spans="1:40" ht="14.45" hidden="1" customHeight="1" outlineLevel="1">
      <c r="A28" s="37"/>
      <c r="B28" s="39"/>
      <c r="C28" s="39"/>
      <c r="D28" s="37"/>
      <c r="E28" s="38"/>
      <c r="F28" s="37"/>
      <c r="G28" s="37"/>
      <c r="H28" s="37"/>
      <c r="I28" s="167" t="s">
        <v>140</v>
      </c>
      <c r="J28" s="65">
        <v>-6436</v>
      </c>
      <c r="K28" s="65">
        <v>0</v>
      </c>
      <c r="L28" s="65">
        <v>-18941</v>
      </c>
      <c r="M28" s="65">
        <v>-22943</v>
      </c>
      <c r="N28" s="65">
        <v>-9722</v>
      </c>
      <c r="O28" s="65">
        <v>-17371</v>
      </c>
      <c r="P28" s="65">
        <v>-18629</v>
      </c>
      <c r="Q28" s="65">
        <v>-16467</v>
      </c>
      <c r="R28" s="65">
        <v>0</v>
      </c>
      <c r="S28" s="65">
        <v>-22768</v>
      </c>
      <c r="T28" s="65"/>
      <c r="U28" s="65"/>
      <c r="V28" s="11">
        <f t="shared" si="11"/>
        <v>-133277</v>
      </c>
      <c r="W28" s="73">
        <f t="shared" si="12"/>
        <v>-7.3468938721365032E-4</v>
      </c>
      <c r="X28" s="89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5">
        <f t="shared" si="14"/>
        <v>0</v>
      </c>
      <c r="AL28" s="73">
        <f t="shared" si="15"/>
        <v>0</v>
      </c>
      <c r="AM28" s="14">
        <f t="shared" si="16"/>
        <v>-1</v>
      </c>
      <c r="AN28" s="9"/>
    </row>
    <row r="29" spans="1:40" ht="14.45" hidden="1" customHeight="1" outlineLevel="1">
      <c r="A29" s="37"/>
      <c r="B29" s="39"/>
      <c r="C29" s="39"/>
      <c r="D29" s="37"/>
      <c r="E29" s="38"/>
      <c r="F29" s="37"/>
      <c r="G29" s="37"/>
      <c r="H29" s="37"/>
      <c r="I29" s="172" t="s">
        <v>141</v>
      </c>
      <c r="J29" s="65">
        <v>14465</v>
      </c>
      <c r="K29" s="65">
        <v>26238</v>
      </c>
      <c r="L29" s="65">
        <v>30616</v>
      </c>
      <c r="M29" s="65">
        <v>14512</v>
      </c>
      <c r="N29" s="65">
        <v>25364</v>
      </c>
      <c r="O29" s="65">
        <v>32843</v>
      </c>
      <c r="P29" s="65">
        <v>31337</v>
      </c>
      <c r="Q29" s="65">
        <v>36544</v>
      </c>
      <c r="R29" s="65">
        <v>36268</v>
      </c>
      <c r="S29" s="65">
        <v>34789</v>
      </c>
      <c r="T29" s="65">
        <v>25755</v>
      </c>
      <c r="U29" s="65">
        <v>25245</v>
      </c>
      <c r="V29" s="11">
        <f t="shared" ref="V29:V32" si="18">SUM(J29:U29)</f>
        <v>333976</v>
      </c>
      <c r="W29" s="73">
        <f t="shared" ref="W29:W32" si="19">V29/V$6</f>
        <v>1.8410425113415372E-3</v>
      </c>
      <c r="X29" s="89"/>
      <c r="Y29" s="65">
        <f t="shared" ref="Y29:AJ29" si="20">+Y10*0.85</f>
        <v>19125</v>
      </c>
      <c r="Z29" s="65">
        <f t="shared" si="20"/>
        <v>24837</v>
      </c>
      <c r="AA29" s="65">
        <f t="shared" si="20"/>
        <v>24123</v>
      </c>
      <c r="AB29" s="65">
        <f t="shared" si="20"/>
        <v>24174</v>
      </c>
      <c r="AC29" s="65">
        <f t="shared" si="20"/>
        <v>23664</v>
      </c>
      <c r="AD29" s="65">
        <f t="shared" si="20"/>
        <v>25092</v>
      </c>
      <c r="AE29" s="65">
        <f t="shared" si="20"/>
        <v>23970</v>
      </c>
      <c r="AF29" s="65">
        <f t="shared" si="20"/>
        <v>24378</v>
      </c>
      <c r="AG29" s="65">
        <f t="shared" si="20"/>
        <v>27948</v>
      </c>
      <c r="AH29" s="65">
        <f t="shared" si="20"/>
        <v>23256</v>
      </c>
      <c r="AI29" s="65">
        <f t="shared" si="20"/>
        <v>26826</v>
      </c>
      <c r="AJ29" s="65">
        <f t="shared" si="20"/>
        <v>25653</v>
      </c>
      <c r="AK29" s="65">
        <f t="shared" ref="AK29:AK32" si="21">SUM(Y29:AJ29)</f>
        <v>293046</v>
      </c>
      <c r="AL29" s="73">
        <f t="shared" ref="AL29:AL32" si="22">AK29/AK$6</f>
        <v>1.47562344466956E-3</v>
      </c>
      <c r="AM29" s="14">
        <f t="shared" ref="AM29:AM32" si="23">IFERROR(AK29/V29-1,0)</f>
        <v>-0.12255371643471391</v>
      </c>
      <c r="AN29" s="9"/>
    </row>
    <row r="30" spans="1:40" ht="14.45" hidden="1" customHeight="1" outlineLevel="1">
      <c r="A30" s="37"/>
      <c r="B30" s="39"/>
      <c r="C30" s="39"/>
      <c r="D30" s="37"/>
      <c r="E30" s="38"/>
      <c r="F30" s="37"/>
      <c r="G30" s="37"/>
      <c r="H30" s="37"/>
      <c r="I30" s="172" t="s">
        <v>142</v>
      </c>
      <c r="J30" s="65"/>
      <c r="K30" s="65"/>
      <c r="L30" s="65"/>
      <c r="M30" s="65"/>
      <c r="N30" s="65"/>
      <c r="O30" s="65"/>
      <c r="P30" s="65"/>
      <c r="Q30" s="65"/>
      <c r="R30" s="65">
        <v>0</v>
      </c>
      <c r="S30" s="65">
        <v>0</v>
      </c>
      <c r="T30" s="65"/>
      <c r="U30" s="65"/>
      <c r="V30" s="11">
        <f t="shared" si="18"/>
        <v>0</v>
      </c>
      <c r="W30" s="73">
        <f t="shared" si="19"/>
        <v>0</v>
      </c>
      <c r="X30" s="89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>
        <f t="shared" si="21"/>
        <v>0</v>
      </c>
      <c r="AL30" s="73">
        <f t="shared" si="22"/>
        <v>0</v>
      </c>
      <c r="AM30" s="14">
        <f t="shared" si="23"/>
        <v>0</v>
      </c>
      <c r="AN30" s="9"/>
    </row>
    <row r="31" spans="1:40" ht="14.45" hidden="1" customHeight="1" outlineLevel="1">
      <c r="A31" s="37"/>
      <c r="B31" s="39"/>
      <c r="C31" s="39"/>
      <c r="D31" s="37"/>
      <c r="E31" s="38"/>
      <c r="F31" s="37"/>
      <c r="G31" s="37"/>
      <c r="H31" s="37"/>
      <c r="I31" s="172" t="s">
        <v>143</v>
      </c>
      <c r="J31" s="65"/>
      <c r="K31" s="65"/>
      <c r="L31" s="65"/>
      <c r="M31" s="65"/>
      <c r="N31" s="65"/>
      <c r="O31" s="65"/>
      <c r="P31" s="65"/>
      <c r="Q31" s="65"/>
      <c r="R31" s="65">
        <v>0</v>
      </c>
      <c r="S31" s="65">
        <v>0</v>
      </c>
      <c r="T31" s="65"/>
      <c r="U31" s="65"/>
      <c r="V31" s="11">
        <f t="shared" si="18"/>
        <v>0</v>
      </c>
      <c r="W31" s="73">
        <f t="shared" si="19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21"/>
        <v>0</v>
      </c>
      <c r="AL31" s="73">
        <f t="shared" si="22"/>
        <v>0</v>
      </c>
      <c r="AM31" s="14">
        <f t="shared" si="23"/>
        <v>0</v>
      </c>
      <c r="AN31" s="9"/>
    </row>
    <row r="32" spans="1:40" ht="14.45" hidden="1" customHeight="1" outlineLevel="1">
      <c r="A32" s="37"/>
      <c r="B32" s="39"/>
      <c r="C32" s="39"/>
      <c r="D32" s="37"/>
      <c r="E32" s="38"/>
      <c r="F32" s="37"/>
      <c r="G32" s="37"/>
      <c r="H32" s="37"/>
      <c r="I32" s="172" t="s">
        <v>144</v>
      </c>
      <c r="J32" s="65"/>
      <c r="K32" s="65"/>
      <c r="L32" s="65"/>
      <c r="M32" s="65"/>
      <c r="N32" s="65"/>
      <c r="O32" s="65"/>
      <c r="P32" s="65"/>
      <c r="Q32" s="65"/>
      <c r="R32" s="65">
        <v>0</v>
      </c>
      <c r="S32" s="65">
        <v>0</v>
      </c>
      <c r="T32" s="65"/>
      <c r="U32" s="65"/>
      <c r="V32" s="11">
        <f t="shared" si="18"/>
        <v>0</v>
      </c>
      <c r="W32" s="73">
        <f t="shared" si="19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21"/>
        <v>0</v>
      </c>
      <c r="AL32" s="73">
        <f t="shared" si="22"/>
        <v>0</v>
      </c>
      <c r="AM32" s="14">
        <f t="shared" si="23"/>
        <v>0</v>
      </c>
      <c r="AN32" s="9"/>
    </row>
    <row r="33" spans="1:41" ht="15.6" customHeight="1" collapsed="1">
      <c r="I33" s="36" t="s">
        <v>145</v>
      </c>
      <c r="J33" s="35">
        <v>1365931</v>
      </c>
      <c r="K33" s="35">
        <v>1384984</v>
      </c>
      <c r="L33" s="35">
        <v>1565809</v>
      </c>
      <c r="M33" s="35">
        <v>1633074</v>
      </c>
      <c r="N33" s="35">
        <v>1816497</v>
      </c>
      <c r="O33" s="35">
        <v>1689634</v>
      </c>
      <c r="P33" s="35">
        <v>1632079</v>
      </c>
      <c r="Q33" s="35">
        <v>1610397</v>
      </c>
      <c r="R33" s="35">
        <v>1645843</v>
      </c>
      <c r="S33" s="35">
        <v>1811889</v>
      </c>
      <c r="T33" s="35">
        <f t="shared" ref="S33:V33" si="24">SUM(T34:T38)</f>
        <v>1695519.3333333335</v>
      </c>
      <c r="U33" s="35">
        <f t="shared" si="24"/>
        <v>1725310.9444444445</v>
      </c>
      <c r="V33" s="35">
        <f t="shared" si="24"/>
        <v>19576971.27777778</v>
      </c>
      <c r="W33" s="73">
        <f t="shared" si="1"/>
        <v>0.10791804310998739</v>
      </c>
      <c r="X33" s="89"/>
      <c r="Y33" s="35">
        <f t="shared" ref="Y33:AK33" si="25">Y6-Y12</f>
        <v>1502307.2033333331</v>
      </c>
      <c r="Z33" s="35">
        <f t="shared" si="25"/>
        <v>1324558.2766666692</v>
      </c>
      <c r="AA33" s="35">
        <f t="shared" si="25"/>
        <v>1611270.5266666692</v>
      </c>
      <c r="AB33" s="35">
        <f t="shared" si="25"/>
        <v>1588793.6866666656</v>
      </c>
      <c r="AC33" s="35">
        <f t="shared" si="25"/>
        <v>1609203.9233333338</v>
      </c>
      <c r="AD33" s="35">
        <f t="shared" si="25"/>
        <v>1551619.3200000022</v>
      </c>
      <c r="AE33" s="35">
        <f t="shared" si="25"/>
        <v>1753133.1799999997</v>
      </c>
      <c r="AF33" s="35">
        <f t="shared" si="25"/>
        <v>1694469.8333333358</v>
      </c>
      <c r="AG33" s="35">
        <f t="shared" si="25"/>
        <v>1677075.8666666672</v>
      </c>
      <c r="AH33" s="35">
        <f t="shared" si="25"/>
        <v>1864930.5899999999</v>
      </c>
      <c r="AI33" s="35">
        <f t="shared" si="25"/>
        <v>1727724.6000000015</v>
      </c>
      <c r="AJ33" s="35">
        <f t="shared" si="25"/>
        <v>1696978.9300000016</v>
      </c>
      <c r="AK33" s="35">
        <f>AK6-AK12</f>
        <v>19602065.936666667</v>
      </c>
      <c r="AL33" s="73">
        <f t="shared" si="3"/>
        <v>9.8705554964421668E-2</v>
      </c>
      <c r="AM33" s="34">
        <f t="shared" si="6"/>
        <v>1.2818458245056341E-3</v>
      </c>
      <c r="AN33" s="9"/>
    </row>
    <row r="34" spans="1:41" ht="14.45" hidden="1" customHeight="1" outlineLevel="1">
      <c r="I34" s="222" t="s">
        <v>401</v>
      </c>
      <c r="J34" s="30">
        <v>846145</v>
      </c>
      <c r="K34" s="30">
        <v>895250</v>
      </c>
      <c r="L34" s="30">
        <v>1007731</v>
      </c>
      <c r="M34" s="30">
        <v>890069</v>
      </c>
      <c r="N34" s="30">
        <v>963998</v>
      </c>
      <c r="O34" s="30">
        <v>910414</v>
      </c>
      <c r="P34" s="30">
        <v>955762</v>
      </c>
      <c r="Q34" s="30">
        <v>961132</v>
      </c>
      <c r="R34" s="30">
        <v>1009789</v>
      </c>
      <c r="S34" s="30">
        <v>1008148</v>
      </c>
      <c r="T34" s="30">
        <f t="shared" ref="S34:U34" si="26">+AVERAGE(Q34:S34)</f>
        <v>993023</v>
      </c>
      <c r="U34" s="30">
        <f t="shared" si="26"/>
        <v>1003653.3333333334</v>
      </c>
      <c r="V34" s="32">
        <f>SUM(J34:U34)</f>
        <v>11445114.333333334</v>
      </c>
      <c r="W34" s="74">
        <f t="shared" ref="W34:W46" si="27">V34/V$39</f>
        <v>1.3084649730836564</v>
      </c>
      <c r="X34" s="90"/>
      <c r="Y34" s="30">
        <f>+Y40*Y44</f>
        <v>924128.03333333333</v>
      </c>
      <c r="Z34" s="30">
        <f t="shared" ref="Z34:AJ34" si="28">+Z40*Z44</f>
        <v>765742.94666666666</v>
      </c>
      <c r="AA34" s="30">
        <f t="shared" si="28"/>
        <v>939474.35666666727</v>
      </c>
      <c r="AB34" s="30">
        <f t="shared" si="28"/>
        <v>928520.42666666664</v>
      </c>
      <c r="AC34" s="30">
        <f t="shared" si="28"/>
        <v>926364.64333333331</v>
      </c>
      <c r="AD34" s="30">
        <f t="shared" si="28"/>
        <v>913784.13000000059</v>
      </c>
      <c r="AE34" s="30">
        <f t="shared" si="28"/>
        <v>1020546.78</v>
      </c>
      <c r="AF34" s="30">
        <f t="shared" si="28"/>
        <v>992120.21333333338</v>
      </c>
      <c r="AG34" s="30">
        <f t="shared" si="28"/>
        <v>979033.2666666666</v>
      </c>
      <c r="AH34" s="30">
        <f t="shared" si="28"/>
        <v>1097620.26</v>
      </c>
      <c r="AI34" s="30">
        <f t="shared" si="28"/>
        <v>1033020.4499999998</v>
      </c>
      <c r="AJ34" s="30">
        <f t="shared" si="28"/>
        <v>1016993.2499999999</v>
      </c>
      <c r="AK34" s="30">
        <f t="shared" ref="AK34:AK42" si="29">SUM(Y34:AJ34)</f>
        <v>11537348.756666666</v>
      </c>
      <c r="AL34" s="74">
        <f t="shared" ref="AL34:AL46" si="30">AK34/AK$39</f>
        <v>1.2724690940824051</v>
      </c>
      <c r="AM34" s="29">
        <f>IFERROR(AK34/V34-1,0)</f>
        <v>8.0588468273055103E-3</v>
      </c>
      <c r="AN34" s="9"/>
    </row>
    <row r="35" spans="1:41" ht="14.45" hidden="1" customHeight="1" outlineLevel="1">
      <c r="I35" s="222" t="s">
        <v>402</v>
      </c>
      <c r="J35" s="30">
        <v>367741</v>
      </c>
      <c r="K35" s="30">
        <v>332981</v>
      </c>
      <c r="L35" s="30">
        <v>400069</v>
      </c>
      <c r="M35" s="30">
        <v>400001</v>
      </c>
      <c r="N35" s="30">
        <v>512959</v>
      </c>
      <c r="O35" s="30">
        <v>439410</v>
      </c>
      <c r="P35" s="30">
        <v>379145</v>
      </c>
      <c r="Q35" s="30">
        <v>347173</v>
      </c>
      <c r="R35" s="30">
        <v>350952</v>
      </c>
      <c r="S35" s="30">
        <v>409459</v>
      </c>
      <c r="T35" s="30">
        <f t="shared" ref="R35:U36" si="31">+AVERAGE(Q35:S35)</f>
        <v>369194.66666666669</v>
      </c>
      <c r="U35" s="30">
        <f t="shared" si="31"/>
        <v>376535.22222222225</v>
      </c>
      <c r="V35" s="32">
        <f t="shared" ref="V35:V38" si="32">SUM(J35:U35)</f>
        <v>4685619.888888889</v>
      </c>
      <c r="W35" s="74">
        <f t="shared" si="27"/>
        <v>0.5356844259684761</v>
      </c>
      <c r="X35" s="90"/>
      <c r="Y35" s="30">
        <f t="shared" ref="Y35:AJ36" si="33">+Y41*Y45</f>
        <v>375556.17</v>
      </c>
      <c r="Z35" s="30">
        <f>+Z41*Z45</f>
        <v>334505</v>
      </c>
      <c r="AA35" s="30">
        <f t="shared" si="33"/>
        <v>409708.80000000005</v>
      </c>
      <c r="AB35" s="30">
        <f t="shared" si="33"/>
        <v>379773.8</v>
      </c>
      <c r="AC35" s="30">
        <f t="shared" si="33"/>
        <v>455564.80000000005</v>
      </c>
      <c r="AD35" s="30">
        <f t="shared" si="33"/>
        <v>383091.39</v>
      </c>
      <c r="AE35" s="30">
        <f t="shared" si="33"/>
        <v>439100.55</v>
      </c>
      <c r="AF35" s="30">
        <f t="shared" si="33"/>
        <v>457133.04000000004</v>
      </c>
      <c r="AG35" s="30">
        <f t="shared" si="33"/>
        <v>419544.44</v>
      </c>
      <c r="AH35" s="30">
        <f t="shared" si="33"/>
        <v>462444.98</v>
      </c>
      <c r="AI35" s="30">
        <f t="shared" si="33"/>
        <v>445676.76</v>
      </c>
      <c r="AJ35" s="30">
        <f t="shared" si="33"/>
        <v>438675.48</v>
      </c>
      <c r="AK35" s="30">
        <f t="shared" si="29"/>
        <v>5000775.209999999</v>
      </c>
      <c r="AL35" s="74">
        <f t="shared" si="30"/>
        <v>0.55154195607561063</v>
      </c>
      <c r="AM35" s="29">
        <f>IFERROR(AK35/V35-1,0)</f>
        <v>6.7260112553825468E-2</v>
      </c>
      <c r="AN35" s="9"/>
    </row>
    <row r="36" spans="1:41" ht="14.45" hidden="1" customHeight="1" outlineLevel="1">
      <c r="I36" s="222" t="s">
        <v>403</v>
      </c>
      <c r="J36" s="30">
        <v>143034</v>
      </c>
      <c r="K36" s="30">
        <v>149243</v>
      </c>
      <c r="L36" s="30">
        <v>149199</v>
      </c>
      <c r="M36" s="30">
        <v>338891</v>
      </c>
      <c r="N36" s="30">
        <v>322767</v>
      </c>
      <c r="O36" s="30">
        <v>332192</v>
      </c>
      <c r="P36" s="30">
        <v>284840</v>
      </c>
      <c r="Q36" s="30">
        <v>292173</v>
      </c>
      <c r="R36" s="30">
        <v>270741</v>
      </c>
      <c r="S36" s="30">
        <v>381710</v>
      </c>
      <c r="T36" s="30">
        <f t="shared" si="31"/>
        <v>314874.66666666669</v>
      </c>
      <c r="U36" s="30">
        <f t="shared" si="31"/>
        <v>322441.88888888893</v>
      </c>
      <c r="V36" s="32">
        <f t="shared" si="32"/>
        <v>3302106.5555555555</v>
      </c>
      <c r="W36" s="74">
        <f t="shared" si="27"/>
        <v>0.37751398889485666</v>
      </c>
      <c r="X36" s="90"/>
      <c r="Y36" s="30">
        <f t="shared" si="33"/>
        <v>199248</v>
      </c>
      <c r="Z36" s="30">
        <f t="shared" si="33"/>
        <v>219927.33</v>
      </c>
      <c r="AA36" s="30">
        <f t="shared" si="33"/>
        <v>257830.37</v>
      </c>
      <c r="AB36" s="30">
        <f t="shared" si="33"/>
        <v>276233.46000000002</v>
      </c>
      <c r="AC36" s="30">
        <f t="shared" si="33"/>
        <v>223098.48</v>
      </c>
      <c r="AD36" s="30">
        <f t="shared" si="33"/>
        <v>250315.80000000002</v>
      </c>
      <c r="AE36" s="30">
        <f t="shared" si="33"/>
        <v>289255.84999999998</v>
      </c>
      <c r="AF36" s="30">
        <f t="shared" si="33"/>
        <v>240914.58</v>
      </c>
      <c r="AG36" s="30">
        <f t="shared" si="33"/>
        <v>273566.16000000003</v>
      </c>
      <c r="AH36" s="30">
        <f t="shared" si="33"/>
        <v>300761.34999999998</v>
      </c>
      <c r="AI36" s="30">
        <f t="shared" si="33"/>
        <v>244293.38999999998</v>
      </c>
      <c r="AJ36" s="30">
        <f t="shared" si="33"/>
        <v>236783.19999999998</v>
      </c>
      <c r="AK36" s="30">
        <f t="shared" si="29"/>
        <v>3012227.9700000007</v>
      </c>
      <c r="AL36" s="74">
        <f t="shared" si="30"/>
        <v>0.33222251290104809</v>
      </c>
      <c r="AM36" s="29">
        <f>IFERROR(AK36/V36-1,0)</f>
        <v>-8.7785957442183427E-2</v>
      </c>
      <c r="AN36" s="9"/>
    </row>
    <row r="37" spans="1:41" ht="14.45" hidden="1" customHeight="1" outlineLevel="1">
      <c r="I37" s="222" t="s">
        <v>149</v>
      </c>
      <c r="J37" s="30">
        <v>9011</v>
      </c>
      <c r="K37" s="30">
        <v>7511</v>
      </c>
      <c r="L37" s="30">
        <v>8810</v>
      </c>
      <c r="M37" s="30">
        <v>4113</v>
      </c>
      <c r="N37" s="30">
        <v>16773</v>
      </c>
      <c r="O37" s="30">
        <v>7619</v>
      </c>
      <c r="P37" s="30">
        <v>12332</v>
      </c>
      <c r="Q37" s="30">
        <v>9920</v>
      </c>
      <c r="R37" s="30"/>
      <c r="S37" s="30">
        <v>12572</v>
      </c>
      <c r="T37" s="30">
        <f t="shared" ref="R37:U38" si="34">+AVERAGE(Q37:S37)</f>
        <v>11246</v>
      </c>
      <c r="U37" s="30">
        <f t="shared" si="34"/>
        <v>11909</v>
      </c>
      <c r="V37" s="32">
        <f t="shared" si="32"/>
        <v>111816</v>
      </c>
      <c r="W37" s="74"/>
      <c r="X37" s="9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74"/>
      <c r="AM37" s="29"/>
      <c r="AN37" s="9"/>
    </row>
    <row r="38" spans="1:41" ht="14.25" hidden="1" customHeight="1" outlineLevel="1">
      <c r="I38" s="222" t="s">
        <v>150</v>
      </c>
      <c r="J38" s="32"/>
      <c r="K38" s="32"/>
      <c r="L38" s="32"/>
      <c r="M38" s="32"/>
      <c r="N38" s="32"/>
      <c r="O38" s="32"/>
      <c r="P38" s="32">
        <v>0</v>
      </c>
      <c r="Q38" s="32">
        <v>0</v>
      </c>
      <c r="R38" s="30">
        <v>14362</v>
      </c>
      <c r="S38" s="30"/>
      <c r="T38" s="30">
        <f t="shared" si="34"/>
        <v>7181</v>
      </c>
      <c r="U38" s="30">
        <f t="shared" si="34"/>
        <v>10771.5</v>
      </c>
      <c r="V38" s="32">
        <f t="shared" si="32"/>
        <v>32314.5</v>
      </c>
      <c r="W38" s="74">
        <f t="shared" si="27"/>
        <v>3.6943616412434101E-3</v>
      </c>
      <c r="X38" s="90"/>
      <c r="Y38" s="32">
        <f>Y10-Y29</f>
        <v>3375</v>
      </c>
      <c r="Z38" s="32">
        <f t="shared" ref="Z38:AJ38" si="35">Z10-Z29</f>
        <v>4383</v>
      </c>
      <c r="AA38" s="32">
        <f t="shared" si="35"/>
        <v>4257</v>
      </c>
      <c r="AB38" s="32">
        <f t="shared" si="35"/>
        <v>4266</v>
      </c>
      <c r="AC38" s="32">
        <f t="shared" si="35"/>
        <v>4176</v>
      </c>
      <c r="AD38" s="32">
        <f t="shared" si="35"/>
        <v>4428</v>
      </c>
      <c r="AE38" s="32">
        <f t="shared" si="35"/>
        <v>4230</v>
      </c>
      <c r="AF38" s="32">
        <f t="shared" si="35"/>
        <v>4302</v>
      </c>
      <c r="AG38" s="32">
        <f t="shared" si="35"/>
        <v>4932</v>
      </c>
      <c r="AH38" s="32">
        <f t="shared" si="35"/>
        <v>4104</v>
      </c>
      <c r="AI38" s="32">
        <f t="shared" si="35"/>
        <v>4734</v>
      </c>
      <c r="AJ38" s="32">
        <f t="shared" si="35"/>
        <v>4527</v>
      </c>
      <c r="AK38" s="30">
        <f t="shared" si="29"/>
        <v>51714</v>
      </c>
      <c r="AL38" s="74">
        <f t="shared" si="30"/>
        <v>5.7036038451514668E-3</v>
      </c>
      <c r="AM38" s="29">
        <f>IFERROR(AK38/V38-1,0)</f>
        <v>0.60033421529034947</v>
      </c>
      <c r="AN38" s="9"/>
    </row>
    <row r="39" spans="1:41" ht="14.45" customHeight="1" collapsed="1">
      <c r="I39" s="18" t="s">
        <v>151</v>
      </c>
      <c r="J39" s="33">
        <v>669502</v>
      </c>
      <c r="K39" s="33">
        <v>612878</v>
      </c>
      <c r="L39" s="33">
        <v>703168</v>
      </c>
      <c r="M39" s="33">
        <v>694107</v>
      </c>
      <c r="N39" s="33">
        <v>708396</v>
      </c>
      <c r="O39" s="33">
        <v>708089</v>
      </c>
      <c r="P39" s="33">
        <v>760091</v>
      </c>
      <c r="Q39" s="33">
        <v>749045</v>
      </c>
      <c r="R39" s="33">
        <v>756985</v>
      </c>
      <c r="S39" s="33">
        <v>829870</v>
      </c>
      <c r="T39" s="33">
        <f t="shared" ref="R39:T39" si="36">SUM(T40:T42)</f>
        <v>785973</v>
      </c>
      <c r="U39" s="33">
        <f>SUM(U40:U42)</f>
        <v>768874</v>
      </c>
      <c r="V39" s="33">
        <f>SUM(J39:U39)</f>
        <v>8746978</v>
      </c>
      <c r="W39" s="74">
        <f t="shared" si="27"/>
        <v>1</v>
      </c>
      <c r="X39" s="90"/>
      <c r="Y39" s="33">
        <f t="shared" ref="Y39:AJ39" si="37">SUM(Y40:Y42)</f>
        <v>701047.66666666674</v>
      </c>
      <c r="Z39" s="33">
        <f t="shared" si="37"/>
        <v>643791.66666666674</v>
      </c>
      <c r="AA39" s="33">
        <f t="shared" si="37"/>
        <v>715750.66666666698</v>
      </c>
      <c r="AB39" s="33">
        <f t="shared" si="37"/>
        <v>731748.66666666674</v>
      </c>
      <c r="AC39" s="33">
        <f t="shared" si="37"/>
        <v>740047.66666666674</v>
      </c>
      <c r="AD39" s="33">
        <f t="shared" si="37"/>
        <v>729440.66666666698</v>
      </c>
      <c r="AE39" s="33">
        <f t="shared" si="37"/>
        <v>785709.66666666674</v>
      </c>
      <c r="AF39" s="33">
        <f t="shared" si="37"/>
        <v>785809.66666666674</v>
      </c>
      <c r="AG39" s="33">
        <f t="shared" si="37"/>
        <v>780853.66666666674</v>
      </c>
      <c r="AH39" s="33">
        <f t="shared" si="37"/>
        <v>841988.66666666663</v>
      </c>
      <c r="AI39" s="33">
        <f t="shared" si="37"/>
        <v>813756.66666666663</v>
      </c>
      <c r="AJ39" s="33">
        <f t="shared" si="37"/>
        <v>796953.66666666663</v>
      </c>
      <c r="AK39" s="33">
        <f t="shared" si="29"/>
        <v>9066899.0000000019</v>
      </c>
      <c r="AL39" s="74">
        <f t="shared" si="30"/>
        <v>1</v>
      </c>
      <c r="AM39" s="16">
        <f>IFERROR(AK39/V39-1,0)</f>
        <v>3.657503197104206E-2</v>
      </c>
      <c r="AN39" s="9" t="s">
        <v>408</v>
      </c>
    </row>
    <row r="40" spans="1:41" ht="14.45" hidden="1" customHeight="1" outlineLevel="1">
      <c r="E40" s="127"/>
      <c r="I40" s="31" t="s">
        <v>405</v>
      </c>
      <c r="J40" s="32">
        <v>456967</v>
      </c>
      <c r="K40" s="32">
        <v>404082</v>
      </c>
      <c r="L40" s="32">
        <v>464526</v>
      </c>
      <c r="M40" s="32">
        <v>450759</v>
      </c>
      <c r="N40" s="32">
        <v>460303</v>
      </c>
      <c r="O40" s="32">
        <v>469064</v>
      </c>
      <c r="P40" s="32">
        <v>497681</v>
      </c>
      <c r="Q40" s="32">
        <v>495836</v>
      </c>
      <c r="R40" s="32">
        <v>500391</v>
      </c>
      <c r="S40" s="32">
        <v>523050</v>
      </c>
      <c r="T40" s="32">
        <v>524543</v>
      </c>
      <c r="U40" s="32">
        <v>515801</v>
      </c>
      <c r="V40" s="32">
        <f>SUM(J40:U40)</f>
        <v>5763003</v>
      </c>
      <c r="W40" s="74">
        <f t="shared" si="27"/>
        <v>0.65885646448407664</v>
      </c>
      <c r="X40" s="90"/>
      <c r="Y40" s="32">
        <f>VLOOKUP($E$1,'[4]Resumen x Tipo Combustible'!$C$4:$O$10,Y$1,0)</f>
        <v>483836.66666666669</v>
      </c>
      <c r="Z40" s="32">
        <f>VLOOKUP($E$1,'[4]Resumen x Tipo Combustible'!$C$4:$O$10,Z$1,0)</f>
        <v>430192.66666666669</v>
      </c>
      <c r="AA40" s="32">
        <f>VLOOKUP($E$1,'[4]Resumen x Tipo Combustible'!$C$4:$O$10,AA$1,0)</f>
        <v>472097.66666666698</v>
      </c>
      <c r="AB40" s="32">
        <f>VLOOKUP($E$1,'[4]Resumen x Tipo Combustible'!$C$4:$O$10,AB$1,0)</f>
        <v>481098.66666666669</v>
      </c>
      <c r="AC40" s="32">
        <f>VLOOKUP($E$1,'[4]Resumen x Tipo Combustible'!$C$4:$O$10,AC$1,0)</f>
        <v>485007.66666666669</v>
      </c>
      <c r="AD40" s="32">
        <f>VLOOKUP($E$1,'[4]Resumen x Tipo Combustible'!$C$4:$O$10,AD$1,0)</f>
        <v>483483.66666666698</v>
      </c>
      <c r="AE40" s="32">
        <f>VLOOKUP($E$1,'[4]Resumen x Tipo Combustible'!$C$4:$O$10,AE$1,0)</f>
        <v>515427.66666666669</v>
      </c>
      <c r="AF40" s="32">
        <f>VLOOKUP($E$1,'[4]Resumen x Tipo Combustible'!$C$4:$O$10,AF$1,0)</f>
        <v>519434.66666666669</v>
      </c>
      <c r="AG40" s="32">
        <f>VLOOKUP($E$1,'[4]Resumen x Tipo Combustible'!$C$4:$O$10,AG$1,0)</f>
        <v>515280.66666666669</v>
      </c>
      <c r="AH40" s="32">
        <f>VLOOKUP($E$1,'[4]Resumen x Tipo Combustible'!$C$4:$O$10,AH$1,0)</f>
        <v>554353.66666666663</v>
      </c>
      <c r="AI40" s="32">
        <f>VLOOKUP($E$1,'[4]Resumen x Tipo Combustible'!$C$4:$O$10,AI$1,0)</f>
        <v>546571.66666666663</v>
      </c>
      <c r="AJ40" s="32">
        <f>VLOOKUP($E$1,'[4]Resumen x Tipo Combustible'!$C$4:$O$10,AJ$1,0)</f>
        <v>538091.66666666663</v>
      </c>
      <c r="AK40" s="32">
        <f t="shared" si="29"/>
        <v>6024877.0000000019</v>
      </c>
      <c r="AL40" s="74">
        <f t="shared" si="30"/>
        <v>0.66449146505326695</v>
      </c>
      <c r="AM40" s="29">
        <f t="shared" si="6"/>
        <v>4.5440545493382833E-2</v>
      </c>
      <c r="AN40" s="9"/>
    </row>
    <row r="41" spans="1:41" ht="14.45" hidden="1" customHeight="1" outlineLevel="1">
      <c r="E41" s="127"/>
      <c r="I41" s="31" t="s">
        <v>406</v>
      </c>
      <c r="J41" s="32">
        <v>119698</v>
      </c>
      <c r="K41" s="32">
        <v>109726</v>
      </c>
      <c r="L41" s="32">
        <v>125401</v>
      </c>
      <c r="M41" s="32">
        <v>120889</v>
      </c>
      <c r="N41" s="32">
        <v>138486</v>
      </c>
      <c r="O41" s="32">
        <v>125352</v>
      </c>
      <c r="P41" s="32">
        <v>135337</v>
      </c>
      <c r="Q41" s="32">
        <v>139276</v>
      </c>
      <c r="R41" s="32">
        <v>134225</v>
      </c>
      <c r="S41" s="32">
        <v>156570</v>
      </c>
      <c r="T41" s="32">
        <v>141542</v>
      </c>
      <c r="U41" s="32">
        <v>139183</v>
      </c>
      <c r="V41" s="32">
        <f>SUM(J41:U41)</f>
        <v>1585685</v>
      </c>
      <c r="W41" s="74">
        <f t="shared" si="27"/>
        <v>0.18128375308592293</v>
      </c>
      <c r="X41" s="90"/>
      <c r="Y41" s="32">
        <f>VLOOKUP($E$1,'[4]Resumen x Tipo Combustible'!$C$10:$O$11,Y$1,0)</f>
        <v>122331</v>
      </c>
      <c r="Z41" s="32">
        <f>VLOOKUP($E$1,'[4]Resumen x Tipo Combustible'!$C$10:$O$11,Z$1,0)</f>
        <v>112250</v>
      </c>
      <c r="AA41" s="32">
        <f>VLOOKUP($E$1,'[4]Resumen x Tipo Combustible'!$C$10:$O$11,AA$1,0)</f>
        <v>128034</v>
      </c>
      <c r="AB41" s="32">
        <f>VLOOKUP($E$1,'[4]Resumen x Tipo Combustible'!$C$10:$O$11,AB$1,0)</f>
        <v>124516</v>
      </c>
      <c r="AC41" s="32">
        <f>VLOOKUP($E$1,'[4]Resumen x Tipo Combustible'!$C$10:$O$11,AC$1,0)</f>
        <v>142364</v>
      </c>
      <c r="AD41" s="32">
        <f>VLOOKUP($E$1,'[4]Resumen x Tipo Combustible'!$C$10:$O$11,AD$1,0)</f>
        <v>128987</v>
      </c>
      <c r="AE41" s="32">
        <f>VLOOKUP($E$1,'[4]Resumen x Tipo Combustible'!$C$10:$O$11,AE$1,0)</f>
        <v>139397</v>
      </c>
      <c r="AF41" s="32">
        <f>VLOOKUP($E$1,'[4]Resumen x Tipo Combustible'!$C$10:$O$11,AF$1,0)</f>
        <v>146517</v>
      </c>
      <c r="AG41" s="32">
        <f>VLOOKUP($E$1,'[4]Resumen x Tipo Combustible'!$C$10:$O$11,AG$1,0)</f>
        <v>138922</v>
      </c>
      <c r="AH41" s="32">
        <f>VLOOKUP($E$1,'[4]Resumen x Tipo Combustible'!$C$10:$O$11,AH$1,0)</f>
        <v>147746</v>
      </c>
      <c r="AI41" s="32">
        <f>VLOOKUP($E$1,'[4]Resumen x Tipo Combustible'!$C$10:$O$11,AI$1,0)</f>
        <v>145646</v>
      </c>
      <c r="AJ41" s="32">
        <f>VLOOKUP($E$1,'[4]Resumen x Tipo Combustible'!$C$10:$O$11,AJ$1,0)</f>
        <v>143358</v>
      </c>
      <c r="AK41" s="32">
        <f t="shared" si="29"/>
        <v>1620068</v>
      </c>
      <c r="AL41" s="74">
        <f t="shared" si="30"/>
        <v>0.17867939192881707</v>
      </c>
      <c r="AM41" s="29">
        <f t="shared" si="6"/>
        <v>2.1683373431671482E-2</v>
      </c>
      <c r="AN41" s="9"/>
    </row>
    <row r="42" spans="1:41" ht="14.45" hidden="1" customHeight="1" outlineLevel="1">
      <c r="E42" s="127"/>
      <c r="I42" s="31" t="s">
        <v>148</v>
      </c>
      <c r="J42" s="32">
        <v>92838</v>
      </c>
      <c r="K42" s="32">
        <v>99070</v>
      </c>
      <c r="L42" s="32">
        <v>113241</v>
      </c>
      <c r="M42" s="32">
        <v>122460</v>
      </c>
      <c r="N42" s="32">
        <v>109607</v>
      </c>
      <c r="O42" s="32">
        <v>113673</v>
      </c>
      <c r="P42" s="32">
        <v>127073</v>
      </c>
      <c r="Q42" s="32">
        <v>113934</v>
      </c>
      <c r="R42" s="32">
        <v>122369</v>
      </c>
      <c r="S42" s="32">
        <v>150249</v>
      </c>
      <c r="T42" s="32">
        <v>119888</v>
      </c>
      <c r="U42" s="32">
        <v>113890</v>
      </c>
      <c r="V42" s="32">
        <f>SUM(J42:U42)</f>
        <v>1398292</v>
      </c>
      <c r="W42" s="74">
        <f t="shared" si="27"/>
        <v>0.15986001108039827</v>
      </c>
      <c r="X42" s="90"/>
      <c r="Y42" s="32">
        <f>VLOOKUP($E$1,'[4]Resumen x Tipo Combustible'!$C$15:$O$21,Y$1,0)</f>
        <v>94880</v>
      </c>
      <c r="Z42" s="32">
        <f>VLOOKUP($E$1,'[4]Resumen x Tipo Combustible'!$C$15:$O$21,Z$1,0)</f>
        <v>101349</v>
      </c>
      <c r="AA42" s="32">
        <f>VLOOKUP($E$1,'[4]Resumen x Tipo Combustible'!$C$15:$O$21,AA$1,0)</f>
        <v>115619</v>
      </c>
      <c r="AB42" s="32">
        <f>VLOOKUP($E$1,'[4]Resumen x Tipo Combustible'!$C$15:$O$21,AB$1,0)</f>
        <v>126134</v>
      </c>
      <c r="AC42" s="32">
        <f>VLOOKUP($E$1,'[4]Resumen x Tipo Combustible'!$C$15:$O$21,AC$1,0)</f>
        <v>112676</v>
      </c>
      <c r="AD42" s="32">
        <f>VLOOKUP($E$1,'[4]Resumen x Tipo Combustible'!$C$15:$O$21,AD$1,0)</f>
        <v>116970</v>
      </c>
      <c r="AE42" s="32">
        <f>VLOOKUP($E$1,'[4]Resumen x Tipo Combustible'!$C$15:$O$21,AE$1,0)</f>
        <v>130885</v>
      </c>
      <c r="AF42" s="32">
        <f>VLOOKUP($E$1,'[4]Resumen x Tipo Combustible'!$C$15:$O$21,AF$1,0)</f>
        <v>119858</v>
      </c>
      <c r="AG42" s="32">
        <f>VLOOKUP($E$1,'[4]Resumen x Tipo Combustible'!$C$15:$O$21,AG$1,0)</f>
        <v>126651</v>
      </c>
      <c r="AH42" s="32">
        <f>VLOOKUP($E$1,'[4]Resumen x Tipo Combustible'!$C$15:$O$21,AH$1,0)</f>
        <v>139889</v>
      </c>
      <c r="AI42" s="32">
        <f>VLOOKUP($E$1,'[4]Resumen x Tipo Combustible'!$C$15:$O$21,AI$1,0)</f>
        <v>121539</v>
      </c>
      <c r="AJ42" s="32">
        <f>VLOOKUP($E$1,'[4]Resumen x Tipo Combustible'!$C$15:$O$21,AJ$1,0)</f>
        <v>115504</v>
      </c>
      <c r="AK42" s="32">
        <f t="shared" si="29"/>
        <v>1421954</v>
      </c>
      <c r="AL42" s="74">
        <f t="shared" si="30"/>
        <v>0.15682914301791601</v>
      </c>
      <c r="AM42" s="29">
        <f t="shared" si="6"/>
        <v>1.6922073501099977E-2</v>
      </c>
      <c r="AN42" s="9"/>
    </row>
    <row r="43" spans="1:41" ht="14.45" customHeight="1" collapsed="1">
      <c r="I43" s="18" t="s">
        <v>152</v>
      </c>
      <c r="J43" s="17">
        <v>2.04</v>
      </c>
      <c r="K43" s="17">
        <v>2.2599999999999998</v>
      </c>
      <c r="L43" s="17">
        <v>2.23</v>
      </c>
      <c r="M43" s="17">
        <v>2.35</v>
      </c>
      <c r="N43" s="17">
        <v>2.56</v>
      </c>
      <c r="O43" s="17">
        <v>2.39</v>
      </c>
      <c r="P43" s="17">
        <v>2.15</v>
      </c>
      <c r="Q43" s="17">
        <f t="shared" ref="Q43" si="38">+Q33/Q39</f>
        <v>2.1499335820945338</v>
      </c>
      <c r="R43" s="17">
        <v>2.17</v>
      </c>
      <c r="S43" s="17">
        <v>2.1800000000000002</v>
      </c>
      <c r="T43" s="17">
        <f t="shared" ref="R43:U43" si="39">+T33/T39</f>
        <v>2.1572233821433224</v>
      </c>
      <c r="U43" s="17">
        <f t="shared" si="39"/>
        <v>2.2439449694546107</v>
      </c>
      <c r="V43" s="17">
        <f>+V33/V39</f>
        <v>2.2381411360332426</v>
      </c>
      <c r="W43" s="74">
        <f t="shared" si="27"/>
        <v>2.5587593063950119E-7</v>
      </c>
      <c r="X43" s="90"/>
      <c r="Y43" s="17">
        <f>AVERAGE(Y44:Y44)</f>
        <v>1.91</v>
      </c>
      <c r="Z43" s="17">
        <f t="shared" ref="Z43:AJ43" si="40">AVERAGE(Z44:Z44)</f>
        <v>1.78</v>
      </c>
      <c r="AA43" s="17">
        <f t="shared" si="40"/>
        <v>1.99</v>
      </c>
      <c r="AB43" s="17">
        <f t="shared" si="40"/>
        <v>1.93</v>
      </c>
      <c r="AC43" s="17">
        <f t="shared" si="40"/>
        <v>1.91</v>
      </c>
      <c r="AD43" s="17">
        <f t="shared" si="40"/>
        <v>1.89</v>
      </c>
      <c r="AE43" s="17">
        <f t="shared" si="40"/>
        <v>1.98</v>
      </c>
      <c r="AF43" s="17">
        <f t="shared" si="40"/>
        <v>1.91</v>
      </c>
      <c r="AG43" s="17">
        <f t="shared" si="40"/>
        <v>1.9</v>
      </c>
      <c r="AH43" s="17">
        <f t="shared" si="40"/>
        <v>1.98</v>
      </c>
      <c r="AI43" s="17">
        <f t="shared" si="40"/>
        <v>1.89</v>
      </c>
      <c r="AJ43" s="17">
        <f t="shared" si="40"/>
        <v>1.89</v>
      </c>
      <c r="AK43" s="17">
        <f>+AK33/AK39</f>
        <v>2.1619371669042153</v>
      </c>
      <c r="AL43" s="74">
        <f t="shared" si="30"/>
        <v>2.3844284213425281E-7</v>
      </c>
      <c r="AM43" s="16">
        <f t="shared" si="6"/>
        <v>-3.4047883711251115E-2</v>
      </c>
      <c r="AN43" s="284" t="s">
        <v>408</v>
      </c>
      <c r="AO43" s="285">
        <f>+AK43-V43</f>
        <v>-7.6203969129027271E-2</v>
      </c>
    </row>
    <row r="44" spans="1:41" ht="14.45" hidden="1" customHeight="1" outlineLevel="1">
      <c r="I44" s="31" t="s">
        <v>405</v>
      </c>
      <c r="J44" s="30">
        <v>1.85</v>
      </c>
      <c r="K44" s="30">
        <v>2.2200000000000002</v>
      </c>
      <c r="L44" s="30">
        <v>2.17</v>
      </c>
      <c r="M44" s="30">
        <v>1.97</v>
      </c>
      <c r="N44" s="30">
        <v>2.09</v>
      </c>
      <c r="O44" s="30">
        <v>1.94</v>
      </c>
      <c r="P44" s="30">
        <v>1.92</v>
      </c>
      <c r="Q44" s="30">
        <f t="shared" ref="Q44" si="41">+Q34/Q40</f>
        <v>1.938407053945256</v>
      </c>
      <c r="R44" s="30">
        <v>2.02</v>
      </c>
      <c r="S44" s="30">
        <v>1.93</v>
      </c>
      <c r="T44" s="30">
        <f t="shared" ref="R44:U46" si="42">+T34/T40</f>
        <v>1.8931202970967109</v>
      </c>
      <c r="U44" s="30">
        <f t="shared" si="42"/>
        <v>1.9458150203922315</v>
      </c>
      <c r="V44" s="30">
        <f>+V34/V40</f>
        <v>1.9859636257925484</v>
      </c>
      <c r="W44" s="74">
        <f t="shared" si="27"/>
        <v>2.2704568661228465E-7</v>
      </c>
      <c r="X44" s="90"/>
      <c r="Y44" s="30">
        <f>VLOOKUP(Y3,'[4]Margen Ctvs-Ltr'!$J$10:$O$21,$Y$1,0)</f>
        <v>1.91</v>
      </c>
      <c r="Z44" s="30">
        <f>VLOOKUP(Z3,'[4]Margen Ctvs-Ltr'!$J$10:$O$21,$Y$1,0)</f>
        <v>1.78</v>
      </c>
      <c r="AA44" s="30">
        <f>VLOOKUP(AA3,'[4]Margen Ctvs-Ltr'!$J$10:$O$21,$Y$1,0)</f>
        <v>1.99</v>
      </c>
      <c r="AB44" s="30">
        <f>VLOOKUP(AB3,'[4]Margen Ctvs-Ltr'!$J$10:$O$21,$Y$1,0)</f>
        <v>1.93</v>
      </c>
      <c r="AC44" s="30">
        <f>VLOOKUP(AC3,'[4]Margen Ctvs-Ltr'!$J$10:$O$21,$Y$1,0)</f>
        <v>1.91</v>
      </c>
      <c r="AD44" s="30">
        <f>VLOOKUP(AD3,'[4]Margen Ctvs-Ltr'!$J$10:$O$21,$Y$1,0)</f>
        <v>1.89</v>
      </c>
      <c r="AE44" s="30">
        <f>VLOOKUP(AE3,'[4]Margen Ctvs-Ltr'!$J$10:$O$21,$Y$1,0)</f>
        <v>1.98</v>
      </c>
      <c r="AF44" s="30">
        <f>VLOOKUP(AF3,'[4]Margen Ctvs-Ltr'!$J$10:$O$21,$Y$1,0)</f>
        <v>1.91</v>
      </c>
      <c r="AG44" s="30">
        <f>VLOOKUP(AG3,'[4]Margen Ctvs-Ltr'!$J$10:$O$21,$Y$1,0)</f>
        <v>1.9</v>
      </c>
      <c r="AH44" s="30">
        <f>VLOOKUP(AH3,'[4]Margen Ctvs-Ltr'!$J$10:$O$21,$Y$1,0)</f>
        <v>1.98</v>
      </c>
      <c r="AI44" s="30">
        <f>VLOOKUP(AI3,'[4]Margen Ctvs-Ltr'!$J$10:$O$21,$Y$1,0)</f>
        <v>1.89</v>
      </c>
      <c r="AJ44" s="30">
        <f>VLOOKUP(AJ3,'[4]Margen Ctvs-Ltr'!$J$10:$O$21,$Y$1,0)</f>
        <v>1.89</v>
      </c>
      <c r="AK44" s="30">
        <f>+AK34/AK40</f>
        <v>1.9149517503289548</v>
      </c>
      <c r="AL44" s="74">
        <f t="shared" si="30"/>
        <v>2.1120250157512005E-7</v>
      </c>
      <c r="AM44" s="29">
        <f t="shared" si="6"/>
        <v>-3.5756886249744158E-2</v>
      </c>
      <c r="AN44" s="9"/>
      <c r="AO44" s="285">
        <f>+AK44-V44</f>
        <v>-7.1011875463593555E-2</v>
      </c>
    </row>
    <row r="45" spans="1:41" ht="14.45" hidden="1" customHeight="1" outlineLevel="1">
      <c r="I45" s="31" t="s">
        <v>406</v>
      </c>
      <c r="J45" s="30">
        <v>3.07</v>
      </c>
      <c r="K45" s="30">
        <v>3.03</v>
      </c>
      <c r="L45" s="30">
        <v>3.19</v>
      </c>
      <c r="M45" s="30">
        <v>3.31</v>
      </c>
      <c r="N45" s="30">
        <v>3.7</v>
      </c>
      <c r="O45" s="30">
        <v>3.51</v>
      </c>
      <c r="P45" s="30">
        <v>2.8</v>
      </c>
      <c r="Q45" s="30">
        <f t="shared" ref="Q45" si="43">+Q35/Q41</f>
        <v>2.4926979522674402</v>
      </c>
      <c r="R45" s="30">
        <v>2.61</v>
      </c>
      <c r="S45" s="30">
        <v>2.62</v>
      </c>
      <c r="T45" s="30">
        <f t="shared" si="42"/>
        <v>2.608375370325887</v>
      </c>
      <c r="U45" s="30">
        <f t="shared" si="42"/>
        <v>2.7053248041946376</v>
      </c>
      <c r="V45" s="30">
        <f t="shared" ref="V45:V46" si="44">+V35/V41</f>
        <v>2.9549499988263048</v>
      </c>
      <c r="W45" s="74">
        <f t="shared" si="27"/>
        <v>3.3782524648241995E-7</v>
      </c>
      <c r="X45" s="90"/>
      <c r="Y45" s="30">
        <f>VLOOKUP(Y3,'[4]Margen Ctvs-Ltr'!$J$10:$O$21,$AA$1,0)</f>
        <v>3.07</v>
      </c>
      <c r="Z45" s="30">
        <f>VLOOKUP(Z3,'[4]Margen Ctvs-Ltr'!$J$10:$O$21,$AA$1,0)</f>
        <v>2.98</v>
      </c>
      <c r="AA45" s="30">
        <f>VLOOKUP(AA3,'[4]Margen Ctvs-Ltr'!$J$10:$O$21,$AA$1,0)</f>
        <v>3.2</v>
      </c>
      <c r="AB45" s="30">
        <f>VLOOKUP(AB3,'[4]Margen Ctvs-Ltr'!$J$10:$O$21,$AA$1,0)</f>
        <v>3.05</v>
      </c>
      <c r="AC45" s="30">
        <f>VLOOKUP(AC3,'[4]Margen Ctvs-Ltr'!$J$10:$O$21,$AA$1,0)</f>
        <v>3.2</v>
      </c>
      <c r="AD45" s="30">
        <f>VLOOKUP(AD3,'[4]Margen Ctvs-Ltr'!$J$10:$O$21,$AA$1,0)</f>
        <v>2.97</v>
      </c>
      <c r="AE45" s="30">
        <f>VLOOKUP(AE3,'[4]Margen Ctvs-Ltr'!$J$10:$O$21,$AA$1,0)</f>
        <v>3.15</v>
      </c>
      <c r="AF45" s="30">
        <f>VLOOKUP(AF3,'[4]Margen Ctvs-Ltr'!$J$10:$O$21,$AA$1,0)</f>
        <v>3.12</v>
      </c>
      <c r="AG45" s="30">
        <f>VLOOKUP(AG3,'[4]Margen Ctvs-Ltr'!$J$10:$O$21,$AA$1,0)</f>
        <v>3.02</v>
      </c>
      <c r="AH45" s="30">
        <f>VLOOKUP(AH3,'[4]Margen Ctvs-Ltr'!$J$10:$O$21,$AA$1,0)</f>
        <v>3.13</v>
      </c>
      <c r="AI45" s="30">
        <f>VLOOKUP(AI3,'[4]Margen Ctvs-Ltr'!$J$10:$O$21,$AA$1,0)</f>
        <v>3.06</v>
      </c>
      <c r="AJ45" s="30">
        <f>VLOOKUP(AJ3,'[4]Margen Ctvs-Ltr'!$J$10:$O$21,$AA$1,0)</f>
        <v>3.06</v>
      </c>
      <c r="AK45" s="30">
        <f>+AK35/AK41</f>
        <v>3.0867687097084806</v>
      </c>
      <c r="AL45" s="74">
        <f t="shared" si="30"/>
        <v>3.4044370734784625E-7</v>
      </c>
      <c r="AM45" s="29">
        <f t="shared" si="6"/>
        <v>4.4609455636993367E-2</v>
      </c>
      <c r="AN45" s="9"/>
      <c r="AO45" s="285">
        <f>+AK45-V45</f>
        <v>0.13181871088217578</v>
      </c>
    </row>
    <row r="46" spans="1:41" ht="14.45" hidden="1" customHeight="1" outlineLevel="1">
      <c r="I46" s="31" t="s">
        <v>148</v>
      </c>
      <c r="J46" s="30">
        <v>1.54</v>
      </c>
      <c r="K46" s="30">
        <v>1.51</v>
      </c>
      <c r="L46" s="30">
        <v>1.32</v>
      </c>
      <c r="M46" s="30">
        <v>2.77</v>
      </c>
      <c r="N46" s="30">
        <v>2.94</v>
      </c>
      <c r="O46" s="30">
        <v>2.92</v>
      </c>
      <c r="P46" s="30">
        <v>2.2400000000000002</v>
      </c>
      <c r="Q46" s="30">
        <f t="shared" ref="Q46" si="45">+Q36/Q42</f>
        <v>2.5644057085681182</v>
      </c>
      <c r="R46" s="30">
        <v>2.21</v>
      </c>
      <c r="S46" s="30">
        <v>2.54</v>
      </c>
      <c r="T46" s="30">
        <f t="shared" si="42"/>
        <v>2.6264068686329463</v>
      </c>
      <c r="U46" s="30">
        <f t="shared" si="42"/>
        <v>2.8311694520053465</v>
      </c>
      <c r="V46" s="30">
        <f t="shared" si="44"/>
        <v>2.3615286045801276</v>
      </c>
      <c r="W46" s="74">
        <f t="shared" si="27"/>
        <v>2.6998222752819632E-7</v>
      </c>
      <c r="X46" s="90"/>
      <c r="Y46" s="30">
        <f>VLOOKUP(Y3,'[4]Margen Ctvs-Ltr'!$J$10:$O$21,$AC$1,0)</f>
        <v>2.1</v>
      </c>
      <c r="Z46" s="30">
        <f>VLOOKUP(Z3,'[4]Margen Ctvs-Ltr'!$J$10:$O$21,$AC$1,0)</f>
        <v>2.17</v>
      </c>
      <c r="AA46" s="30">
        <f>VLOOKUP(AA3,'[4]Margen Ctvs-Ltr'!$J$10:$O$21,$AC$1,0)</f>
        <v>2.23</v>
      </c>
      <c r="AB46" s="30">
        <f>VLOOKUP(AB3,'[4]Margen Ctvs-Ltr'!$J$10:$O$21,$AC$1,0)</f>
        <v>2.19</v>
      </c>
      <c r="AC46" s="30">
        <f>VLOOKUP(AC3,'[4]Margen Ctvs-Ltr'!$J$10:$O$21,$AC$1,0)</f>
        <v>1.98</v>
      </c>
      <c r="AD46" s="30">
        <f>VLOOKUP(AD3,'[4]Margen Ctvs-Ltr'!$J$10:$O$21,$AC$1,0)</f>
        <v>2.14</v>
      </c>
      <c r="AE46" s="30">
        <f>VLOOKUP(AE3,'[4]Margen Ctvs-Ltr'!$J$10:$O$21,$AC$1,0)</f>
        <v>2.21</v>
      </c>
      <c r="AF46" s="30">
        <f>VLOOKUP(AF3,'[4]Margen Ctvs-Ltr'!$J$10:$O$21,$AC$1,0)</f>
        <v>2.0099999999999998</v>
      </c>
      <c r="AG46" s="30">
        <f>VLOOKUP(AG3,'[4]Margen Ctvs-Ltr'!$J$10:$O$21,$AC$1,0)</f>
        <v>2.16</v>
      </c>
      <c r="AH46" s="30">
        <f>VLOOKUP(AH3,'[4]Margen Ctvs-Ltr'!$J$10:$O$21,$AC$1,0)</f>
        <v>2.15</v>
      </c>
      <c r="AI46" s="30">
        <f>VLOOKUP(AI3,'[4]Margen Ctvs-Ltr'!$J$10:$O$21,$AC$1,0)</f>
        <v>2.0099999999999998</v>
      </c>
      <c r="AJ46" s="30">
        <f>VLOOKUP(AJ3,'[4]Margen Ctvs-Ltr'!$J$10:$O$21,$AC$1,0)</f>
        <v>2.0499999999999998</v>
      </c>
      <c r="AK46" s="30">
        <f>IFERROR(+AK36/AK42,0)</f>
        <v>2.1183723031828037</v>
      </c>
      <c r="AL46" s="74">
        <f t="shared" si="30"/>
        <v>2.3363801705332808E-7</v>
      </c>
      <c r="AM46" s="29">
        <f t="shared" si="6"/>
        <v>-0.10296563883483267</v>
      </c>
      <c r="AN46" s="9"/>
      <c r="AO46" s="285">
        <f>+AK46-V46</f>
        <v>-0.24315630139732392</v>
      </c>
    </row>
    <row r="47" spans="1:41" ht="14.45" customHeight="1"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21"/>
      <c r="B48" s="21"/>
      <c r="C48" s="21"/>
      <c r="D48" s="21"/>
      <c r="E48" s="7" t="s">
        <v>108</v>
      </c>
      <c r="I48" s="138" t="s">
        <v>153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6" customHeight="1">
      <c r="A49" s="21"/>
      <c r="B49" s="21"/>
      <c r="C49" s="21"/>
      <c r="D49" s="21"/>
      <c r="E49" s="22"/>
      <c r="F49" s="21"/>
      <c r="G49" s="21"/>
      <c r="H49" s="21"/>
      <c r="I49" s="138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 collapsed="1">
      <c r="A50" s="12" t="s">
        <v>154</v>
      </c>
      <c r="B50" s="19" t="s">
        <v>89</v>
      </c>
      <c r="I50" s="166" t="s">
        <v>155</v>
      </c>
      <c r="J50" s="15">
        <v>89803</v>
      </c>
      <c r="K50" s="15">
        <v>73593</v>
      </c>
      <c r="L50" s="15">
        <v>70043</v>
      </c>
      <c r="M50" s="15">
        <v>79099</v>
      </c>
      <c r="N50" s="15">
        <v>83038</v>
      </c>
      <c r="O50" s="15">
        <v>117852</v>
      </c>
      <c r="P50" s="15">
        <v>88553</v>
      </c>
      <c r="Q50" s="15">
        <v>116041</v>
      </c>
      <c r="R50" s="15">
        <v>75969</v>
      </c>
      <c r="S50" s="15">
        <v>92681</v>
      </c>
      <c r="T50" s="15">
        <f t="shared" ref="R50:U50" si="46">SUM(T51:T89)</f>
        <v>109897.29764705883</v>
      </c>
      <c r="U50" s="15">
        <f t="shared" si="46"/>
        <v>124454.16500000001</v>
      </c>
      <c r="V50" s="15">
        <f>SUM(V51:V89)</f>
        <v>1121020.462647059</v>
      </c>
      <c r="W50" s="72">
        <f t="shared" ref="W50:W158" si="47">V50/V$6</f>
        <v>6.1796246670928253E-3</v>
      </c>
      <c r="X50" s="89"/>
      <c r="Y50" s="15">
        <f t="shared" ref="Y50:AK50" si="48">SUM(Y51:Y89)</f>
        <v>82235.127265777512</v>
      </c>
      <c r="Z50" s="15">
        <f t="shared" si="48"/>
        <v>73575.41110193354</v>
      </c>
      <c r="AA50" s="15">
        <f t="shared" si="48"/>
        <v>103918.37771203712</v>
      </c>
      <c r="AB50" s="15">
        <f t="shared" si="48"/>
        <v>79397.895384664662</v>
      </c>
      <c r="AC50" s="15">
        <f t="shared" si="48"/>
        <v>124136.31521485881</v>
      </c>
      <c r="AD50" s="15">
        <f t="shared" si="48"/>
        <v>84579.882646041879</v>
      </c>
      <c r="AE50" s="15">
        <f t="shared" si="48"/>
        <v>79389.270019143878</v>
      </c>
      <c r="AF50" s="15">
        <f t="shared" si="48"/>
        <v>83242.378232026007</v>
      </c>
      <c r="AG50" s="15">
        <f t="shared" si="48"/>
        <v>97664.114320150897</v>
      </c>
      <c r="AH50" s="15">
        <f t="shared" si="48"/>
        <v>128709.55671352049</v>
      </c>
      <c r="AI50" s="15">
        <f t="shared" si="48"/>
        <v>71214.628988890196</v>
      </c>
      <c r="AJ50" s="15">
        <f t="shared" si="48"/>
        <v>127819.46397165999</v>
      </c>
      <c r="AK50" s="15">
        <f t="shared" si="48"/>
        <v>1135882.4215707052</v>
      </c>
      <c r="AL50" s="72">
        <f t="shared" ref="AL50:AL158" si="49">AK50/AK$6</f>
        <v>5.7196983806561616E-3</v>
      </c>
      <c r="AM50" s="10">
        <f t="shared" ref="AM50:AM141" si="50">IFERROR(AK50/V50-1,0)</f>
        <v>1.3257526886309323E-2</v>
      </c>
      <c r="AN50" s="9"/>
    </row>
    <row r="51" spans="1:40" ht="14.45" hidden="1" customHeight="1" outlineLevel="1">
      <c r="A51" s="12" t="s">
        <v>154</v>
      </c>
      <c r="B51" s="8" t="s">
        <v>89</v>
      </c>
      <c r="C51" s="19" t="s">
        <v>156</v>
      </c>
      <c r="D51" s="12"/>
      <c r="E51" s="20"/>
      <c r="F51" s="12"/>
      <c r="G51" s="12"/>
      <c r="H51" s="12"/>
      <c r="I51" s="259" t="s">
        <v>157</v>
      </c>
      <c r="J51" s="65">
        <v>40912</v>
      </c>
      <c r="K51" s="65">
        <v>31955</v>
      </c>
      <c r="L51" s="65">
        <v>33514</v>
      </c>
      <c r="M51" s="65">
        <v>31852</v>
      </c>
      <c r="N51" s="65">
        <v>29620</v>
      </c>
      <c r="O51" s="65">
        <v>33194</v>
      </c>
      <c r="P51" s="65">
        <v>33757</v>
      </c>
      <c r="Q51" s="65">
        <v>34508</v>
      </c>
      <c r="R51" s="65">
        <v>37808</v>
      </c>
      <c r="S51" s="65">
        <v>33367</v>
      </c>
      <c r="T51" s="65">
        <f t="shared" ref="S51:U51" si="51">+AVERAGE(P51:S51)</f>
        <v>34860</v>
      </c>
      <c r="U51" s="65">
        <f t="shared" si="51"/>
        <v>35135.75</v>
      </c>
      <c r="V51" s="65">
        <f>SUM(J51:U51)</f>
        <v>410482.75</v>
      </c>
      <c r="W51" s="73">
        <f t="shared" si="47"/>
        <v>2.2627859274989234E-3</v>
      </c>
      <c r="X51" s="89"/>
      <c r="Y51" s="65">
        <f>VLOOKUP($E$1,'[5]PPTO 2025'!$C$2:$P$4,Y1,0)*1.213</f>
        <v>32024.923212243277</v>
      </c>
      <c r="Z51" s="65">
        <f>VLOOKUP($E$1,'[5]PPTO 2025'!$C$2:$P$4,Z1,0)*1.213</f>
        <v>29375.164571058958</v>
      </c>
      <c r="AA51" s="65">
        <f>VLOOKUP($E$1,'[5]PPTO 2025'!$C$2:$P$4,AA1,0)*1.213</f>
        <v>32685.161264272112</v>
      </c>
      <c r="AB51" s="65">
        <f>VLOOKUP($E$1,'[5]PPTO 2025'!$C$2:$P$4,AB1,0)*1.213</f>
        <v>33226.720431760557</v>
      </c>
      <c r="AC51" s="65">
        <f>VLOOKUP($E$1,'[5]PPTO 2025'!$C$2:$P$4,AC1,0)*1.213</f>
        <v>33451.479661324578</v>
      </c>
      <c r="AD51" s="65">
        <f>VLOOKUP($E$1,'[5]PPTO 2025'!$C$2:$P$4,AD1,0)*1.213</f>
        <v>32700.806997137774</v>
      </c>
      <c r="AE51" s="65">
        <f>VLOOKUP($E$1,'[5]PPTO 2025'!$C$2:$P$4,AE1,0)*1.213</f>
        <v>34848.198769609626</v>
      </c>
      <c r="AF51" s="65">
        <f>VLOOKUP($E$1,'[5]PPTO 2025'!$C$2:$P$4,AF1,0)*1.213</f>
        <v>35039.040374491771</v>
      </c>
      <c r="AG51" s="65">
        <f>VLOOKUP($E$1,'[5]PPTO 2025'!$C$2:$P$4,AG1,0)*1.213</f>
        <v>34630.063161246799</v>
      </c>
      <c r="AH51" s="65">
        <f>VLOOKUP($E$1,'[5]PPTO 2025'!$C$2:$P$4,AH1,0)*1.213</f>
        <v>36561.648713986258</v>
      </c>
      <c r="AI51" s="65">
        <f>VLOOKUP($E$1,'[5]PPTO 2025'!$C$2:$P$4,AI1,0)*1.213</f>
        <v>35765.992829986077</v>
      </c>
      <c r="AJ51" s="65">
        <f>VLOOKUP($E$1,'[5]PPTO 2025'!$C$2:$P$4,AJ1,0)*1.213</f>
        <v>35450.89272212574</v>
      </c>
      <c r="AK51" s="65">
        <f>SUM(Y51:AJ51)</f>
        <v>405760.09270924359</v>
      </c>
      <c r="AL51" s="73">
        <f t="shared" si="49"/>
        <v>2.0431915320907094E-3</v>
      </c>
      <c r="AM51" s="14">
        <f t="shared" si="50"/>
        <v>-1.150512973019302E-2</v>
      </c>
      <c r="AN51" s="9"/>
    </row>
    <row r="52" spans="1:40" ht="14.45" hidden="1" customHeight="1" outlineLevel="1">
      <c r="A52" s="12" t="s">
        <v>154</v>
      </c>
      <c r="B52" s="8" t="s">
        <v>89</v>
      </c>
      <c r="I52" s="259" t="s">
        <v>156</v>
      </c>
      <c r="J52" s="65">
        <v>2000</v>
      </c>
      <c r="K52" s="65">
        <v>2500</v>
      </c>
      <c r="L52" s="65">
        <v>2000</v>
      </c>
      <c r="M52" s="65">
        <v>2000</v>
      </c>
      <c r="N52" s="65">
        <v>2500</v>
      </c>
      <c r="O52" s="65">
        <v>2000</v>
      </c>
      <c r="P52" s="65">
        <v>2000</v>
      </c>
      <c r="Q52" s="65">
        <v>2500</v>
      </c>
      <c r="R52" s="65">
        <v>2000</v>
      </c>
      <c r="S52" s="65">
        <v>2500</v>
      </c>
      <c r="T52" s="65">
        <f t="shared" ref="T52:T53" si="52">+AVERAGE(P52:S52)</f>
        <v>2250</v>
      </c>
      <c r="U52" s="65">
        <f t="shared" ref="U52:U53" si="53">+AVERAGE(Q52:T52)</f>
        <v>2312.5</v>
      </c>
      <c r="V52" s="65">
        <f t="shared" ref="V52:V86" si="54">SUM(J52:U52)</f>
        <v>26562.5</v>
      </c>
      <c r="W52" s="73">
        <f t="shared" si="47"/>
        <v>1.4642576624520798E-4</v>
      </c>
      <c r="X52" s="89"/>
      <c r="Y52" s="65">
        <f>VLOOKUP($E$1,[6]Resumen!$C$9:$O$10,Y1,0)</f>
        <v>2100</v>
      </c>
      <c r="Z52" s="65">
        <f>VLOOKUP($E$1,[6]Resumen!$C$9:$O$10,Z1,0)</f>
        <v>2100</v>
      </c>
      <c r="AA52" s="65">
        <f>VLOOKUP($E$1,[6]Resumen!$C$9:$O$10,AA1,0)</f>
        <v>2100</v>
      </c>
      <c r="AB52" s="65">
        <f>VLOOKUP($E$1,[6]Resumen!$C$9:$O$10,AB1,0)</f>
        <v>2100</v>
      </c>
      <c r="AC52" s="65">
        <f>VLOOKUP($E$1,[6]Resumen!$C$9:$O$10,AC1,0)</f>
        <v>2100</v>
      </c>
      <c r="AD52" s="65">
        <f>VLOOKUP($E$1,[6]Resumen!$C$9:$O$10,AD1,0)</f>
        <v>2100</v>
      </c>
      <c r="AE52" s="65">
        <f>VLOOKUP($E$1,[6]Resumen!$C$9:$O$10,AE1,0)</f>
        <v>2100</v>
      </c>
      <c r="AF52" s="65">
        <f>VLOOKUP($E$1,[6]Resumen!$C$9:$O$10,AF1,0)</f>
        <v>2100</v>
      </c>
      <c r="AG52" s="65">
        <f>VLOOKUP($E$1,[6]Resumen!$C$9:$O$10,AG1,0)</f>
        <v>2100</v>
      </c>
      <c r="AH52" s="65">
        <f>VLOOKUP($E$1,[6]Resumen!$C$9:$O$10,AH1,0)</f>
        <v>2100</v>
      </c>
      <c r="AI52" s="65">
        <f>VLOOKUP($E$1,[6]Resumen!$C$9:$O$10,AI1,0)</f>
        <v>2100</v>
      </c>
      <c r="AJ52" s="65">
        <f>VLOOKUP($E$1,[6]Resumen!$C$9:$O$10,AJ1,0)</f>
        <v>2100</v>
      </c>
      <c r="AK52" s="65">
        <f t="shared" ref="AK52:AK86" si="55">SUM(Y52:AJ52)</f>
        <v>25200</v>
      </c>
      <c r="AL52" s="73">
        <f t="shared" si="49"/>
        <v>1.2689376686824907E-4</v>
      </c>
      <c r="AM52" s="14">
        <f t="shared" si="50"/>
        <v>-5.1294117647058823E-2</v>
      </c>
      <c r="AN52" s="9"/>
    </row>
    <row r="53" spans="1:40" ht="14.45" hidden="1" customHeight="1" outlineLevel="1">
      <c r="A53" s="12" t="s">
        <v>154</v>
      </c>
      <c r="B53" s="8" t="s">
        <v>89</v>
      </c>
      <c r="I53" s="259" t="s">
        <v>158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817</v>
      </c>
      <c r="T53" s="65">
        <f t="shared" si="52"/>
        <v>204.25</v>
      </c>
      <c r="U53" s="65">
        <f t="shared" si="53"/>
        <v>255.3125</v>
      </c>
      <c r="V53" s="65">
        <f t="shared" si="54"/>
        <v>1276.5625</v>
      </c>
      <c r="W53" s="73">
        <f t="shared" si="47"/>
        <v>7.0370500601373485E-6</v>
      </c>
      <c r="X53" s="89"/>
      <c r="Y53" s="65">
        <f>+VLOOKUP($E$1,[7]Resumen!$C$9:$O$10,Y1,0)</f>
        <v>520</v>
      </c>
      <c r="Z53" s="65">
        <f>+VLOOKUP($E$1,[7]Resumen!$C$9:$O$10,Z1,0)</f>
        <v>520</v>
      </c>
      <c r="AA53" s="65">
        <f>+VLOOKUP($E$1,[7]Resumen!$C$9:$O$10,AA1,0)</f>
        <v>520</v>
      </c>
      <c r="AB53" s="65">
        <f>+VLOOKUP($E$1,[7]Resumen!$C$9:$O$10,AB1,0)</f>
        <v>520</v>
      </c>
      <c r="AC53" s="65">
        <f>+VLOOKUP($E$1,[7]Resumen!$C$9:$O$10,AC1,0)</f>
        <v>520</v>
      </c>
      <c r="AD53" s="65">
        <f>+VLOOKUP($E$1,[7]Resumen!$C$9:$O$10,AD1,0)</f>
        <v>520</v>
      </c>
      <c r="AE53" s="65">
        <f>+VLOOKUP($E$1,[7]Resumen!$C$9:$O$10,AE1,0)</f>
        <v>520</v>
      </c>
      <c r="AF53" s="65">
        <f>+VLOOKUP($E$1,[7]Resumen!$C$9:$O$10,AF1,0)</f>
        <v>520</v>
      </c>
      <c r="AG53" s="65">
        <f>+VLOOKUP($E$1,[7]Resumen!$C$9:$O$10,AG1,0)</f>
        <v>520</v>
      </c>
      <c r="AH53" s="65">
        <f>+VLOOKUP($E$1,[7]Resumen!$C$9:$O$10,AH1,0)</f>
        <v>520</v>
      </c>
      <c r="AI53" s="65">
        <f>+VLOOKUP($E$1,[7]Resumen!$C$9:$O$10,AI1,0)</f>
        <v>520</v>
      </c>
      <c r="AJ53" s="65">
        <f>+VLOOKUP($E$1,[7]Resumen!$C$9:$O$10,AJ1,0)</f>
        <v>1768</v>
      </c>
      <c r="AK53" s="65">
        <f t="shared" si="55"/>
        <v>7488</v>
      </c>
      <c r="AL53" s="73">
        <f t="shared" si="49"/>
        <v>3.7705576440851147E-5</v>
      </c>
      <c r="AM53" s="14">
        <f t="shared" si="50"/>
        <v>4.8657527539779686</v>
      </c>
      <c r="AN53" s="9"/>
    </row>
    <row r="54" spans="1:40" ht="14.45" hidden="1" customHeight="1" outlineLevel="1">
      <c r="A54" s="12" t="s">
        <v>154</v>
      </c>
      <c r="B54" s="8" t="s">
        <v>89</v>
      </c>
      <c r="I54" s="259" t="s">
        <v>159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f t="shared" si="54"/>
        <v>0</v>
      </c>
      <c r="W54" s="73">
        <f t="shared" si="47"/>
        <v>0</v>
      </c>
      <c r="X54" s="89"/>
      <c r="Y54" s="65">
        <f>VLOOKUP($E$1,[8]Resumen!$V$71:$AH$72,Y1,0)</f>
        <v>0</v>
      </c>
      <c r="Z54" s="65">
        <f>VLOOKUP($E$1,[8]Resumen!$V$71:$AH$72,Z1,0)</f>
        <v>0</v>
      </c>
      <c r="AA54" s="65">
        <f>VLOOKUP($E$1,[8]Resumen!$V$71:$AH$72,AA1,0)</f>
        <v>0</v>
      </c>
      <c r="AB54" s="65">
        <f>VLOOKUP($E$1,[8]Resumen!$V$71:$AH$72,AB1,0)</f>
        <v>0</v>
      </c>
      <c r="AC54" s="65">
        <f>VLOOKUP($E$1,[8]Resumen!$V$71:$AH$72,AC1,0)</f>
        <v>0</v>
      </c>
      <c r="AD54" s="65">
        <f>VLOOKUP($E$1,[8]Resumen!$V$71:$AH$72,AD1,0)</f>
        <v>11948.560000000001</v>
      </c>
      <c r="AE54" s="65">
        <f>VLOOKUP($E$1,[8]Resumen!$V$71:$AH$72,AE1,0)</f>
        <v>0</v>
      </c>
      <c r="AF54" s="65">
        <f>VLOOKUP($E$1,[8]Resumen!$V$71:$AH$72,AF1,0)</f>
        <v>0</v>
      </c>
      <c r="AG54" s="65">
        <f>VLOOKUP($E$1,[8]Resumen!$V$71:$AH$72,AG1,0)</f>
        <v>0</v>
      </c>
      <c r="AH54" s="65">
        <f>VLOOKUP($E$1,[8]Resumen!$V$71:$AH$72,AH1,0)</f>
        <v>0</v>
      </c>
      <c r="AI54" s="65">
        <f>VLOOKUP($E$1,[8]Resumen!$V$71:$AH$72,AI1,0)</f>
        <v>0</v>
      </c>
      <c r="AJ54" s="65">
        <f>VLOOKUP($E$1,[8]Resumen!$V$71:$AH$72,AJ1,0)</f>
        <v>0</v>
      </c>
      <c r="AK54" s="65">
        <f t="shared" si="55"/>
        <v>11948.560000000001</v>
      </c>
      <c r="AL54" s="73">
        <f t="shared" si="49"/>
        <v>6.0166578851241516E-5</v>
      </c>
      <c r="AM54" s="14">
        <f t="shared" si="50"/>
        <v>0</v>
      </c>
      <c r="AN54" s="9"/>
    </row>
    <row r="55" spans="1:40" ht="14.45" hidden="1" customHeight="1" outlineLevel="1">
      <c r="A55" s="12" t="s">
        <v>154</v>
      </c>
      <c r="B55" s="8" t="s">
        <v>89</v>
      </c>
      <c r="C55" s="8" t="s">
        <v>160</v>
      </c>
      <c r="I55" s="259" t="s">
        <v>161</v>
      </c>
      <c r="J55" s="65">
        <v>5482</v>
      </c>
      <c r="K55" s="65">
        <v>2304</v>
      </c>
      <c r="L55" s="65">
        <v>0</v>
      </c>
      <c r="M55" s="65">
        <v>3476</v>
      </c>
      <c r="N55" s="65">
        <v>2964</v>
      </c>
      <c r="O55" s="65">
        <v>2409</v>
      </c>
      <c r="P55" s="65">
        <v>0</v>
      </c>
      <c r="Q55" s="65">
        <v>5978</v>
      </c>
      <c r="R55" s="65">
        <v>2926</v>
      </c>
      <c r="S55" s="65">
        <v>2403</v>
      </c>
      <c r="T55" s="65">
        <f t="shared" ref="T55" si="56">+AVERAGE(P55:S55)</f>
        <v>2826.75</v>
      </c>
      <c r="U55" s="65">
        <f t="shared" ref="U55" si="57">+AVERAGE(Q55:T55)</f>
        <v>3533.4375</v>
      </c>
      <c r="V55" s="65">
        <f t="shared" si="54"/>
        <v>34302.1875</v>
      </c>
      <c r="W55" s="73">
        <f t="shared" si="47"/>
        <v>1.8909078921691466E-4</v>
      </c>
      <c r="X55" s="89"/>
      <c r="Y55" s="65">
        <f>VLOOKUP($E$1,[9]Resumen!$V$143:$AH$144,Y1,0)</f>
        <v>3131.1774999999998</v>
      </c>
      <c r="Z55" s="65">
        <f>VLOOKUP($E$1,[9]Resumen!$V$143:$AH$144,Z1,0)</f>
        <v>3131.1774999999998</v>
      </c>
      <c r="AA55" s="65">
        <f>VLOOKUP($E$1,[9]Resumen!$V$143:$AH$144,AA1,0)</f>
        <v>3131.1774999999998</v>
      </c>
      <c r="AB55" s="65">
        <f>VLOOKUP($E$1,[9]Resumen!$V$143:$AH$144,AB1,0)</f>
        <v>3131.1774999999998</v>
      </c>
      <c r="AC55" s="65">
        <f>VLOOKUP($E$1,[9]Resumen!$V$143:$AH$144,AC1,0)</f>
        <v>3131.1774999999998</v>
      </c>
      <c r="AD55" s="65">
        <f>VLOOKUP($E$1,[9]Resumen!$V$143:$AH$144,AD1,0)</f>
        <v>3131.1774999999998</v>
      </c>
      <c r="AE55" s="65">
        <f>VLOOKUP($E$1,[9]Resumen!$V$143:$AH$144,AE1,0)</f>
        <v>3131.1774999999998</v>
      </c>
      <c r="AF55" s="65">
        <f>VLOOKUP($E$1,[9]Resumen!$V$143:$AH$144,AF1,0)</f>
        <v>3131.1774999999998</v>
      </c>
      <c r="AG55" s="65">
        <f>VLOOKUP($E$1,[9]Resumen!$V$143:$AH$144,AG1,0)</f>
        <v>3131.1774999999998</v>
      </c>
      <c r="AH55" s="65">
        <f>VLOOKUP($E$1,[9]Resumen!$V$143:$AH$144,AH1,0)</f>
        <v>3131.1774999999998</v>
      </c>
      <c r="AI55" s="65">
        <f>VLOOKUP($E$1,[9]Resumen!$V$143:$AH$144,AI1,0)</f>
        <v>3131.1774999999998</v>
      </c>
      <c r="AJ55" s="65">
        <f>VLOOKUP($E$1,[9]Resumen!$V$143:$AH$144,AJ1,0)</f>
        <v>3131.1774999999998</v>
      </c>
      <c r="AK55" s="65">
        <f t="shared" si="55"/>
        <v>37574.12999999999</v>
      </c>
      <c r="AL55" s="73">
        <f t="shared" si="49"/>
        <v>1.8920328938481275E-4</v>
      </c>
      <c r="AM55" s="14">
        <f t="shared" si="50"/>
        <v>9.5385826341249924E-2</v>
      </c>
      <c r="AN55" s="9"/>
    </row>
    <row r="56" spans="1:40" ht="14.45" hidden="1" customHeight="1" outlineLevel="1">
      <c r="A56" s="12" t="s">
        <v>154</v>
      </c>
      <c r="B56" s="8" t="s">
        <v>89</v>
      </c>
      <c r="I56" s="259" t="s">
        <v>162</v>
      </c>
      <c r="J56" s="65">
        <v>13356</v>
      </c>
      <c r="K56" s="65">
        <v>24841</v>
      </c>
      <c r="L56" s="65">
        <v>24121</v>
      </c>
      <c r="M56" s="65">
        <v>25522</v>
      </c>
      <c r="N56" s="65">
        <v>24461</v>
      </c>
      <c r="O56" s="65">
        <v>42936</v>
      </c>
      <c r="P56" s="65">
        <v>24777</v>
      </c>
      <c r="Q56" s="65">
        <v>56738</v>
      </c>
      <c r="R56" s="65">
        <v>21011</v>
      </c>
      <c r="S56" s="65">
        <v>16270</v>
      </c>
      <c r="T56" s="65">
        <v>25000</v>
      </c>
      <c r="U56" s="65">
        <v>25000</v>
      </c>
      <c r="V56" s="65">
        <f t="shared" si="54"/>
        <v>324033</v>
      </c>
      <c r="W56" s="73">
        <f t="shared" si="47"/>
        <v>1.7862317294582016E-3</v>
      </c>
      <c r="X56" s="89"/>
      <c r="Y56" s="65">
        <f>VLOOKUP($E$1,[10]Resumen!$V$8:$AH$9,Y1,0)</f>
        <v>24780.293999999998</v>
      </c>
      <c r="Z56" s="65">
        <f>VLOOKUP($E$1,[10]Resumen!$V$8:$AH$9,Z1,0)</f>
        <v>22296.053999999996</v>
      </c>
      <c r="AA56" s="65">
        <f>VLOOKUP($E$1,[10]Resumen!$V$8:$AH$9,AA1,0)</f>
        <v>46103.353999999999</v>
      </c>
      <c r="AB56" s="65">
        <f>VLOOKUP($E$1,[10]Resumen!$V$8:$AH$9,AB1,0)</f>
        <v>17845.124</v>
      </c>
      <c r="AC56" s="65">
        <f>VLOOKUP($E$1,[10]Resumen!$V$8:$AH$9,AC1,0)</f>
        <v>63286.013999999996</v>
      </c>
      <c r="AD56" s="65">
        <f>VLOOKUP($E$1,[10]Resumen!$V$8:$AH$9,AD1,0)</f>
        <v>2629.1539999999995</v>
      </c>
      <c r="AE56" s="65">
        <f>VLOOKUP($E$1,[10]Resumen!$V$8:$AH$9,AE1,0)</f>
        <v>14325.784</v>
      </c>
      <c r="AF56" s="65">
        <f>VLOOKUP($E$1,[10]Resumen!$V$8:$AH$9,AF1,0)</f>
        <v>26436.453999999998</v>
      </c>
      <c r="AG56" s="65">
        <f>VLOOKUP($E$1,[10]Resumen!$V$8:$AH$9,AG1,0)</f>
        <v>25815.393999999997</v>
      </c>
      <c r="AH56" s="65">
        <f>VLOOKUP($E$1,[10]Resumen!$V$8:$AH$9,AH1,0)</f>
        <v>39892.753999999994</v>
      </c>
      <c r="AI56" s="65">
        <f>VLOOKUP($E$1,[10]Resumen!$V$8:$AH$9,AI1,0)</f>
        <v>15878.433999999999</v>
      </c>
      <c r="AJ56" s="65">
        <f>VLOOKUP($E$1,[10]Resumen!$V$8:$AH$9,AJ1,0)</f>
        <v>30990.893999999997</v>
      </c>
      <c r="AK56" s="65">
        <f t="shared" si="55"/>
        <v>330279.70799999998</v>
      </c>
      <c r="AL56" s="73">
        <f t="shared" si="49"/>
        <v>1.6631125503279909E-3</v>
      </c>
      <c r="AM56" s="14">
        <f t="shared" si="50"/>
        <v>1.927799946301767E-2</v>
      </c>
      <c r="AN56" s="9"/>
    </row>
    <row r="57" spans="1:40" ht="14.45" hidden="1" customHeight="1" outlineLevel="1">
      <c r="A57" s="12" t="s">
        <v>154</v>
      </c>
      <c r="B57" s="8" t="s">
        <v>89</v>
      </c>
      <c r="I57" s="263" t="s">
        <v>163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1927.0588235294119</v>
      </c>
      <c r="U57" s="65">
        <v>0</v>
      </c>
      <c r="V57" s="65">
        <f t="shared" si="54"/>
        <v>1927.0588235294119</v>
      </c>
      <c r="W57" s="73">
        <f t="shared" si="47"/>
        <v>1.0622910676136779E-5</v>
      </c>
      <c r="X57" s="89"/>
      <c r="Y57" s="65">
        <f>VLOOKUP($E$1,[11]Resumen!$V$8:$AH$9,Y1,0)</f>
        <v>0</v>
      </c>
      <c r="Z57" s="65">
        <f>VLOOKUP($E$1,[11]Resumen!$V$8:$AH$9,Z1,0)</f>
        <v>3383.9807692307691</v>
      </c>
      <c r="AA57" s="65">
        <f>VLOOKUP($E$1,[11]Resumen!$V$8:$AH$9,AA1,0)</f>
        <v>634.49639423076906</v>
      </c>
      <c r="AB57" s="65">
        <f>VLOOKUP($E$1,[11]Resumen!$V$8:$AH$9,AB1,0)</f>
        <v>0</v>
      </c>
      <c r="AC57" s="65">
        <f>VLOOKUP($E$1,[11]Resumen!$V$8:$AH$9,AC1,0)</f>
        <v>0</v>
      </c>
      <c r="AD57" s="65">
        <f>VLOOKUP($E$1,[11]Resumen!$V$8:$AH$9,AD1,0)</f>
        <v>0</v>
      </c>
      <c r="AE57" s="65">
        <f>VLOOKUP($E$1,[11]Resumen!$V$8:$AH$9,AE1,0)</f>
        <v>0</v>
      </c>
      <c r="AF57" s="65">
        <f>VLOOKUP($E$1,[11]Resumen!$V$8:$AH$9,AF1,0)</f>
        <v>0</v>
      </c>
      <c r="AG57" s="65">
        <f>VLOOKUP($E$1,[11]Resumen!$V$8:$AH$9,AG1,0)</f>
        <v>0</v>
      </c>
      <c r="AH57" s="65">
        <f>VLOOKUP($E$1,[11]Resumen!$V$8:$AH$9,AH1,0)</f>
        <v>0</v>
      </c>
      <c r="AI57" s="65">
        <f>VLOOKUP($E$1,[11]Resumen!$V$8:$AH$9,AI1,0)</f>
        <v>0</v>
      </c>
      <c r="AJ57" s="65">
        <f>VLOOKUP($E$1,[11]Resumen!$V$8:$AH$9,AJ1,0)</f>
        <v>0</v>
      </c>
      <c r="AK57" s="65">
        <f t="shared" si="55"/>
        <v>4018.4771634615381</v>
      </c>
      <c r="AL57" s="73">
        <f t="shared" si="49"/>
        <v>2.0234908902606E-5</v>
      </c>
      <c r="AM57" s="14">
        <f t="shared" si="50"/>
        <v>1.085290347339626</v>
      </c>
      <c r="AN57" s="9"/>
    </row>
    <row r="58" spans="1:40" ht="14.45" hidden="1" customHeight="1" outlineLevel="1">
      <c r="A58" s="12" t="s">
        <v>154</v>
      </c>
      <c r="B58" s="8" t="s">
        <v>89</v>
      </c>
      <c r="I58" s="259" t="s">
        <v>164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/>
      <c r="U58" s="65"/>
      <c r="V58" s="65">
        <f t="shared" si="54"/>
        <v>0</v>
      </c>
      <c r="W58" s="73">
        <f t="shared" si="47"/>
        <v>0</v>
      </c>
      <c r="X58" s="89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>
        <f t="shared" si="55"/>
        <v>0</v>
      </c>
      <c r="AL58" s="73">
        <f t="shared" si="49"/>
        <v>0</v>
      </c>
      <c r="AM58" s="14">
        <f t="shared" si="50"/>
        <v>0</v>
      </c>
      <c r="AN58" s="9"/>
    </row>
    <row r="59" spans="1:40" ht="14.45" hidden="1" customHeight="1" outlineLevel="1">
      <c r="A59" s="12" t="s">
        <v>154</v>
      </c>
      <c r="B59" s="8" t="s">
        <v>89</v>
      </c>
      <c r="I59" s="259" t="s">
        <v>165</v>
      </c>
      <c r="J59" s="65"/>
      <c r="K59" s="65"/>
      <c r="L59" s="65"/>
      <c r="M59" s="65">
        <v>0</v>
      </c>
      <c r="N59" s="65"/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/>
      <c r="U59" s="65"/>
      <c r="V59" s="65">
        <f t="shared" si="54"/>
        <v>0</v>
      </c>
      <c r="W59" s="73">
        <f t="shared" si="47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55"/>
        <v>0</v>
      </c>
      <c r="AL59" s="73">
        <f t="shared" si="49"/>
        <v>0</v>
      </c>
      <c r="AM59" s="14">
        <f t="shared" si="50"/>
        <v>0</v>
      </c>
      <c r="AN59" s="9"/>
    </row>
    <row r="60" spans="1:40" ht="14.45" hidden="1" customHeight="1" outlineLevel="1">
      <c r="A60" s="12" t="s">
        <v>154</v>
      </c>
      <c r="B60" s="8" t="s">
        <v>89</v>
      </c>
      <c r="I60" s="259" t="s">
        <v>166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/>
      <c r="U60" s="65"/>
      <c r="V60" s="65">
        <f t="shared" si="54"/>
        <v>0</v>
      </c>
      <c r="W60" s="73">
        <f t="shared" si="47"/>
        <v>0</v>
      </c>
      <c r="X60" s="89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>
        <f t="shared" si="55"/>
        <v>0</v>
      </c>
      <c r="AL60" s="73">
        <f t="shared" si="49"/>
        <v>0</v>
      </c>
      <c r="AM60" s="14">
        <f t="shared" si="50"/>
        <v>0</v>
      </c>
      <c r="AN60" s="9"/>
    </row>
    <row r="61" spans="1:40" ht="14.45" hidden="1" customHeight="1" outlineLevel="1">
      <c r="A61" s="12" t="s">
        <v>154</v>
      </c>
      <c r="B61" s="8" t="s">
        <v>89</v>
      </c>
      <c r="I61" s="259" t="s">
        <v>167</v>
      </c>
      <c r="J61" s="65">
        <v>1500</v>
      </c>
      <c r="K61" s="65">
        <v>258</v>
      </c>
      <c r="L61" s="65">
        <v>-259</v>
      </c>
      <c r="M61" s="65">
        <v>169</v>
      </c>
      <c r="N61" s="65">
        <v>1200</v>
      </c>
      <c r="O61" s="65">
        <v>9</v>
      </c>
      <c r="P61" s="65">
        <v>4318</v>
      </c>
      <c r="Q61" s="65">
        <v>0</v>
      </c>
      <c r="R61" s="65">
        <v>1300</v>
      </c>
      <c r="S61" s="65">
        <v>1</v>
      </c>
      <c r="T61" s="65"/>
      <c r="U61" s="65"/>
      <c r="V61" s="65">
        <f t="shared" si="54"/>
        <v>8496</v>
      </c>
      <c r="W61" s="73">
        <f t="shared" si="47"/>
        <v>4.6834195200726099E-5</v>
      </c>
      <c r="X61" s="89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>
        <f t="shared" si="55"/>
        <v>0</v>
      </c>
      <c r="AL61" s="73">
        <f t="shared" si="49"/>
        <v>0</v>
      </c>
      <c r="AM61" s="14">
        <f t="shared" si="50"/>
        <v>-1</v>
      </c>
      <c r="AN61" s="9"/>
    </row>
    <row r="62" spans="1:40" ht="14.45" hidden="1" customHeight="1" outlineLevel="1">
      <c r="A62" s="12" t="s">
        <v>154</v>
      </c>
      <c r="B62" s="8" t="s">
        <v>89</v>
      </c>
      <c r="I62" s="259" t="s">
        <v>168</v>
      </c>
      <c r="J62" s="65">
        <v>2641</v>
      </c>
      <c r="K62" s="65">
        <v>0</v>
      </c>
      <c r="L62" s="65">
        <v>0</v>
      </c>
      <c r="M62" s="65">
        <v>2640</v>
      </c>
      <c r="N62" s="65">
        <v>1841</v>
      </c>
      <c r="O62" s="65">
        <v>1020</v>
      </c>
      <c r="P62" s="65">
        <v>3025</v>
      </c>
      <c r="Q62" s="65">
        <v>3053</v>
      </c>
      <c r="R62" s="65">
        <v>1877</v>
      </c>
      <c r="S62" s="65">
        <v>1190</v>
      </c>
      <c r="T62" s="65">
        <f t="shared" ref="T62" si="58">+AVERAGE(P62:S62)</f>
        <v>2286.25</v>
      </c>
      <c r="U62" s="65">
        <f t="shared" ref="U62" si="59">+AVERAGE(Q62:T62)</f>
        <v>2101.5625</v>
      </c>
      <c r="V62" s="65">
        <f t="shared" si="54"/>
        <v>21674.8125</v>
      </c>
      <c r="W62" s="73">
        <f t="shared" si="47"/>
        <v>1.1948239166244563E-4</v>
      </c>
      <c r="X62" s="89"/>
      <c r="Y62" s="65">
        <f>VLOOKUP($E$1,[9]Resumen!$V$136:$AH$137,Y1,0)</f>
        <v>2173.71</v>
      </c>
      <c r="Z62" s="65">
        <f>VLOOKUP($E$1,[9]Resumen!$V$136:$AH$137,Z1,0)</f>
        <v>2173.71</v>
      </c>
      <c r="AA62" s="65">
        <f>VLOOKUP($E$1,[9]Resumen!$V$136:$AH$137,AA1,0)</f>
        <v>2173.71</v>
      </c>
      <c r="AB62" s="65">
        <f>VLOOKUP($E$1,[9]Resumen!$V$136:$AH$137,AB1,0)</f>
        <v>2173.71</v>
      </c>
      <c r="AC62" s="65">
        <f>VLOOKUP($E$1,[9]Resumen!$V$136:$AH$137,AC1,0)</f>
        <v>2173.71</v>
      </c>
      <c r="AD62" s="65">
        <f>VLOOKUP($E$1,[9]Resumen!$V$136:$AH$137,AD1,0)</f>
        <v>2173.71</v>
      </c>
      <c r="AE62" s="65">
        <f>VLOOKUP($E$1,[9]Resumen!$V$136:$AH$137,AE1,0)</f>
        <v>2173.71</v>
      </c>
      <c r="AF62" s="65">
        <f>VLOOKUP($E$1,[9]Resumen!$V$136:$AH$137,AF1,0)</f>
        <v>2173.71</v>
      </c>
      <c r="AG62" s="65">
        <f>VLOOKUP($E$1,[9]Resumen!$V$136:$AH$137,AG1,0)</f>
        <v>2173.71</v>
      </c>
      <c r="AH62" s="65">
        <f>VLOOKUP($E$1,[9]Resumen!$V$136:$AH$137,AH1,0)</f>
        <v>2173.71</v>
      </c>
      <c r="AI62" s="65">
        <f>VLOOKUP($E$1,[9]Resumen!$V$136:$AH$137,AI1,0)</f>
        <v>2173.71</v>
      </c>
      <c r="AJ62" s="65">
        <f>VLOOKUP($E$1,[9]Resumen!$V$136:$AH$137,AJ1,0)</f>
        <v>2173.71</v>
      </c>
      <c r="AK62" s="65">
        <f t="shared" si="55"/>
        <v>26084.519999999993</v>
      </c>
      <c r="AL62" s="73">
        <f t="shared" si="49"/>
        <v>1.3134773808532458E-4</v>
      </c>
      <c r="AM62" s="14">
        <f t="shared" si="50"/>
        <v>0.2034484727376531</v>
      </c>
      <c r="AN62" s="9"/>
    </row>
    <row r="63" spans="1:40" ht="14.45" hidden="1" customHeight="1" outlineLevel="1">
      <c r="A63" s="12" t="s">
        <v>154</v>
      </c>
      <c r="B63" s="8" t="s">
        <v>89</v>
      </c>
      <c r="I63" s="259" t="s">
        <v>169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/>
      <c r="U63" s="65"/>
      <c r="V63" s="65">
        <f t="shared" si="54"/>
        <v>0</v>
      </c>
      <c r="W63" s="73">
        <f t="shared" si="47"/>
        <v>0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55"/>
        <v>0</v>
      </c>
      <c r="AL63" s="73">
        <f t="shared" si="49"/>
        <v>0</v>
      </c>
      <c r="AM63" s="14">
        <f t="shared" si="50"/>
        <v>0</v>
      </c>
      <c r="AN63" s="9"/>
    </row>
    <row r="64" spans="1:40" ht="14.45" hidden="1" customHeight="1" outlineLevel="1">
      <c r="A64" s="12" t="s">
        <v>154</v>
      </c>
      <c r="B64" s="8" t="s">
        <v>89</v>
      </c>
      <c r="I64" s="259" t="s">
        <v>170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f t="shared" si="54"/>
        <v>0</v>
      </c>
      <c r="W64" s="73">
        <f t="shared" si="47"/>
        <v>0</v>
      </c>
      <c r="X64" s="89"/>
      <c r="Y64" s="65">
        <f>VLOOKUP($E$1,[8]Resumen!$V$22:$AH$23,Y1,0)</f>
        <v>0</v>
      </c>
      <c r="Z64" s="65">
        <f>VLOOKUP($E$1,[8]Resumen!$V$22:$AH$23,Z1,0)</f>
        <v>0</v>
      </c>
      <c r="AA64" s="65">
        <f>VLOOKUP($E$1,[8]Resumen!$V$22:$AH$23,AA1,0)</f>
        <v>0</v>
      </c>
      <c r="AB64" s="65">
        <f>VLOOKUP($E$1,[8]Resumen!$V$22:$AH$23,AB1,0)</f>
        <v>0</v>
      </c>
      <c r="AC64" s="65">
        <f>VLOOKUP($E$1,[8]Resumen!$V$22:$AH$23,AC1,0)</f>
        <v>0</v>
      </c>
      <c r="AD64" s="65">
        <f>VLOOKUP($E$1,[8]Resumen!$V$22:$AH$23,AD1,0)</f>
        <v>0</v>
      </c>
      <c r="AE64" s="65">
        <f>P64*1.04</f>
        <v>0</v>
      </c>
      <c r="AF64" s="65">
        <f>VLOOKUP($E$1,[8]Resumen!$V$22:$AH$23,AF1,0)</f>
        <v>0</v>
      </c>
      <c r="AG64" s="65">
        <f>VLOOKUP($E$1,[8]Resumen!$V$22:$AH$23,AG1,0)</f>
        <v>0</v>
      </c>
      <c r="AH64" s="65">
        <f>VLOOKUP($E$1,[8]Resumen!$V$22:$AH$23,AH1,0)</f>
        <v>0</v>
      </c>
      <c r="AI64" s="65">
        <f>VLOOKUP($E$1,[8]Resumen!$V$22:$AH$23,AI1,0)</f>
        <v>0</v>
      </c>
      <c r="AJ64" s="65">
        <f>VLOOKUP($E$1,[8]Resumen!$V$22:$AH$23,AJ1,0)</f>
        <v>0</v>
      </c>
      <c r="AK64" s="65">
        <f t="shared" si="55"/>
        <v>0</v>
      </c>
      <c r="AL64" s="73">
        <f t="shared" si="49"/>
        <v>0</v>
      </c>
      <c r="AM64" s="14">
        <f t="shared" si="50"/>
        <v>0</v>
      </c>
      <c r="AN64" s="9"/>
    </row>
    <row r="65" spans="1:40" ht="14.45" hidden="1" customHeight="1" outlineLevel="1">
      <c r="A65" s="12" t="s">
        <v>154</v>
      </c>
      <c r="B65" s="8" t="s">
        <v>89</v>
      </c>
      <c r="I65" s="259" t="s">
        <v>171</v>
      </c>
      <c r="J65" s="65">
        <v>3628</v>
      </c>
      <c r="K65" s="65">
        <v>3628</v>
      </c>
      <c r="L65" s="65">
        <v>3628</v>
      </c>
      <c r="M65" s="65">
        <v>3628</v>
      </c>
      <c r="N65" s="65">
        <v>3628</v>
      </c>
      <c r="O65" s="65">
        <v>3628</v>
      </c>
      <c r="P65" s="65">
        <v>3628</v>
      </c>
      <c r="Q65" s="65">
        <v>3628</v>
      </c>
      <c r="R65" s="65">
        <v>3628</v>
      </c>
      <c r="S65" s="65">
        <v>3628</v>
      </c>
      <c r="T65" s="65">
        <f t="shared" ref="T65" si="60">+AVERAGE(P65:S65)</f>
        <v>3628</v>
      </c>
      <c r="U65" s="65">
        <f t="shared" ref="U65" si="61">+AVERAGE(Q65:T65)</f>
        <v>3628</v>
      </c>
      <c r="V65" s="65">
        <f t="shared" si="54"/>
        <v>43536</v>
      </c>
      <c r="W65" s="73">
        <f t="shared" si="47"/>
        <v>2.3999217540711059E-4</v>
      </c>
      <c r="X65" s="89"/>
      <c r="Y65" s="65">
        <f>VLOOKUP($E$1,[12]Resumen!$V$8:$AH$9,Y1,0)</f>
        <v>5834.8586999999998</v>
      </c>
      <c r="Z65" s="65">
        <f>VLOOKUP($E$1,[12]Resumen!$V$8:$AH$9,Z1,0)</f>
        <v>5834.8586999999998</v>
      </c>
      <c r="AA65" s="65">
        <f>VLOOKUP($E$1,[12]Resumen!$V$8:$AH$9,AA1,0)</f>
        <v>5834.8586999999998</v>
      </c>
      <c r="AB65" s="65">
        <f>VLOOKUP($E$1,[12]Resumen!$V$8:$AH$9,AB1,0)</f>
        <v>5834.8586999999998</v>
      </c>
      <c r="AC65" s="65">
        <f>VLOOKUP($E$1,[12]Resumen!$V$8:$AH$9,AC1,0)</f>
        <v>5834.8586999999998</v>
      </c>
      <c r="AD65" s="65">
        <f>VLOOKUP($E$1,[12]Resumen!$V$8:$AH$9,AD1,0)</f>
        <v>5834.8586999999998</v>
      </c>
      <c r="AE65" s="65">
        <f>VLOOKUP($E$1,[12]Resumen!$V$8:$AH$9,AE1,0)</f>
        <v>5834.8586999999998</v>
      </c>
      <c r="AF65" s="65">
        <f>VLOOKUP($E$1,[12]Resumen!$V$8:$AH$9,AF1,0)</f>
        <v>5834.8586999999998</v>
      </c>
      <c r="AG65" s="65">
        <f>VLOOKUP($E$1,[12]Resumen!$V$8:$AH$9,AG1,0)</f>
        <v>5834.8586999999998</v>
      </c>
      <c r="AH65" s="65">
        <f>VLOOKUP($E$1,[12]Resumen!$V$8:$AH$9,AH1,0)</f>
        <v>5834.8586999999998</v>
      </c>
      <c r="AI65" s="65">
        <f>VLOOKUP($E$1,[12]Resumen!$V$8:$AH$9,AI1,0)</f>
        <v>5834.8586999999998</v>
      </c>
      <c r="AJ65" s="65">
        <f>VLOOKUP($E$1,[12]Resumen!$V$8:$AH$9,AJ1,0)</f>
        <v>5834.8586999999998</v>
      </c>
      <c r="AK65" s="65">
        <f t="shared" si="55"/>
        <v>70018.304399999979</v>
      </c>
      <c r="AL65" s="73">
        <f t="shared" si="49"/>
        <v>3.5257485694617838E-4</v>
      </c>
      <c r="AM65" s="14">
        <f t="shared" si="50"/>
        <v>0.60828519845644946</v>
      </c>
      <c r="AN65" s="9"/>
    </row>
    <row r="66" spans="1:40" ht="14.45" hidden="1" customHeight="1" outlineLevel="1">
      <c r="A66" s="12" t="s">
        <v>154</v>
      </c>
      <c r="B66" s="8" t="s">
        <v>89</v>
      </c>
      <c r="I66" s="259" t="s">
        <v>172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/>
      <c r="U66" s="65"/>
      <c r="V66" s="65">
        <f t="shared" si="54"/>
        <v>0</v>
      </c>
      <c r="W66" s="73">
        <f t="shared" si="47"/>
        <v>0</v>
      </c>
      <c r="X66" s="89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>
        <f t="shared" si="55"/>
        <v>0</v>
      </c>
      <c r="AL66" s="73">
        <f t="shared" si="49"/>
        <v>0</v>
      </c>
      <c r="AM66" s="14">
        <f t="shared" si="50"/>
        <v>0</v>
      </c>
      <c r="AN66" s="9"/>
    </row>
    <row r="67" spans="1:40" ht="14.45" hidden="1" customHeight="1" outlineLevel="1">
      <c r="A67" s="12" t="s">
        <v>154</v>
      </c>
      <c r="B67" s="8" t="s">
        <v>89</v>
      </c>
      <c r="I67" s="259" t="s">
        <v>173</v>
      </c>
      <c r="J67" s="65">
        <v>0</v>
      </c>
      <c r="K67" s="65">
        <v>0</v>
      </c>
      <c r="L67" s="65">
        <v>0</v>
      </c>
      <c r="M67" s="65">
        <v>1614</v>
      </c>
      <c r="N67" s="65">
        <v>2097</v>
      </c>
      <c r="O67" s="65">
        <v>0</v>
      </c>
      <c r="P67" s="65">
        <v>2793</v>
      </c>
      <c r="Q67" s="65">
        <v>0</v>
      </c>
      <c r="R67" s="65">
        <v>0</v>
      </c>
      <c r="S67" s="65">
        <v>243</v>
      </c>
      <c r="T67" s="65"/>
      <c r="U67" s="65"/>
      <c r="V67" s="65">
        <f t="shared" si="54"/>
        <v>6747</v>
      </c>
      <c r="W67" s="73">
        <f t="shared" si="47"/>
        <v>3.7192833688712221E-5</v>
      </c>
      <c r="X67" s="89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>
        <f t="shared" si="55"/>
        <v>0</v>
      </c>
      <c r="AL67" s="73">
        <f t="shared" si="49"/>
        <v>0</v>
      </c>
      <c r="AM67" s="14">
        <f t="shared" si="50"/>
        <v>-1</v>
      </c>
      <c r="AN67" s="9"/>
    </row>
    <row r="68" spans="1:40" ht="14.45" hidden="1" customHeight="1" outlineLevel="1">
      <c r="A68" s="12" t="s">
        <v>154</v>
      </c>
      <c r="B68" s="8" t="s">
        <v>89</v>
      </c>
      <c r="I68" s="259" t="s">
        <v>174</v>
      </c>
      <c r="J68" s="65">
        <v>832</v>
      </c>
      <c r="K68" s="65">
        <v>832</v>
      </c>
      <c r="L68" s="65">
        <v>832</v>
      </c>
      <c r="M68" s="65">
        <v>832</v>
      </c>
      <c r="N68" s="65">
        <v>832</v>
      </c>
      <c r="O68" s="65">
        <v>832</v>
      </c>
      <c r="P68" s="65">
        <v>1664</v>
      </c>
      <c r="Q68" s="65">
        <v>832</v>
      </c>
      <c r="R68" s="65">
        <v>0</v>
      </c>
      <c r="S68" s="65">
        <v>1664</v>
      </c>
      <c r="T68" s="65">
        <v>832</v>
      </c>
      <c r="U68" s="65">
        <f t="shared" ref="U68" si="62">+AVERAGE(Q68:T68)</f>
        <v>832</v>
      </c>
      <c r="V68" s="65">
        <f t="shared" si="54"/>
        <v>10816</v>
      </c>
      <c r="W68" s="73">
        <f t="shared" si="47"/>
        <v>5.9623193890189916E-5</v>
      </c>
      <c r="X68" s="89"/>
      <c r="Y68" s="65">
        <f>VLOOKUP($E$1,[8]Resumen!$V$15:$AH$16,Y1,0)</f>
        <v>865.28</v>
      </c>
      <c r="Z68" s="65">
        <f>VLOOKUP($E$1,[8]Resumen!$V$15:$AH$16,Z1,0)</f>
        <v>865.28</v>
      </c>
      <c r="AA68" s="65">
        <f>VLOOKUP($E$1,[8]Resumen!$V$15:$AH$16,AA1,0)</f>
        <v>865.28</v>
      </c>
      <c r="AB68" s="65">
        <f>VLOOKUP($E$1,[8]Resumen!$V$15:$AH$16,AB1,0)</f>
        <v>865.28</v>
      </c>
      <c r="AC68" s="65">
        <f>VLOOKUP($E$1,[8]Resumen!$V$15:$AH$16,AC1,0)</f>
        <v>865.28</v>
      </c>
      <c r="AD68" s="65">
        <f>VLOOKUP($E$1,[8]Resumen!$V$15:$AH$16,AD1,0)</f>
        <v>865.28</v>
      </c>
      <c r="AE68" s="65">
        <f>VLOOKUP($E$1,[8]Resumen!$V$15:$AH$16,AE1,0)</f>
        <v>865.28</v>
      </c>
      <c r="AF68" s="65">
        <f>VLOOKUP($E$1,[8]Resumen!$V$15:$AH$16,AF1,0)</f>
        <v>865.28</v>
      </c>
      <c r="AG68" s="65">
        <f>VLOOKUP($E$1,[8]Resumen!$V$15:$AH$16,AG1,0)</f>
        <v>865.28</v>
      </c>
      <c r="AH68" s="65">
        <f>VLOOKUP($E$1,[8]Resumen!$V$15:$AH$16,AH1,0)</f>
        <v>865.28</v>
      </c>
      <c r="AI68" s="65">
        <f>VLOOKUP($E$1,[8]Resumen!$V$15:$AH$16,AI1,0)</f>
        <v>865.28</v>
      </c>
      <c r="AJ68" s="65">
        <f>VLOOKUP($E$1,[8]Resumen!$V$15:$AH$16,AJ1,0)</f>
        <v>865.28</v>
      </c>
      <c r="AK68" s="65">
        <f t="shared" si="55"/>
        <v>10383.36</v>
      </c>
      <c r="AL68" s="73">
        <f t="shared" si="49"/>
        <v>5.2285065997980266E-5</v>
      </c>
      <c r="AM68" s="14">
        <f t="shared" si="50"/>
        <v>-3.9999999999999925E-2</v>
      </c>
      <c r="AN68" s="9"/>
    </row>
    <row r="69" spans="1:40" ht="14.45" hidden="1" customHeight="1" outlineLevel="1">
      <c r="A69" s="12" t="s">
        <v>154</v>
      </c>
      <c r="B69" s="8" t="s">
        <v>89</v>
      </c>
      <c r="I69" s="259" t="s">
        <v>175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/>
      <c r="U69" s="65"/>
      <c r="V69" s="65">
        <f t="shared" si="54"/>
        <v>0</v>
      </c>
      <c r="W69" s="73">
        <f t="shared" si="47"/>
        <v>0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55"/>
        <v>0</v>
      </c>
      <c r="AL69" s="73">
        <f t="shared" si="49"/>
        <v>0</v>
      </c>
      <c r="AM69" s="14">
        <f t="shared" si="50"/>
        <v>0</v>
      </c>
      <c r="AN69" s="9"/>
    </row>
    <row r="70" spans="1:40" ht="14.45" hidden="1" customHeight="1" outlineLevel="1">
      <c r="A70" s="12" t="s">
        <v>154</v>
      </c>
      <c r="B70" s="8" t="s">
        <v>89</v>
      </c>
      <c r="I70" s="259" t="s">
        <v>176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f t="shared" ref="T70" si="63">+AVERAGE(P70:S70)</f>
        <v>0</v>
      </c>
      <c r="U70" s="65">
        <f t="shared" ref="U70" si="64">+AVERAGE(Q70:T70)</f>
        <v>0</v>
      </c>
      <c r="V70" s="65">
        <f t="shared" si="54"/>
        <v>0</v>
      </c>
      <c r="W70" s="73">
        <f t="shared" si="47"/>
        <v>0</v>
      </c>
      <c r="X70" s="89"/>
      <c r="Y70" s="65">
        <f>VLOOKUP($E$1,[8]Resumen!$V$64:$AH$65,Y1,0)</f>
        <v>374.40000000000003</v>
      </c>
      <c r="Z70" s="65">
        <f>VLOOKUP($E$1,[8]Resumen!$V$64:$AH$65,Z1,0)</f>
        <v>374.40000000000003</v>
      </c>
      <c r="AA70" s="65">
        <f>VLOOKUP($E$1,[8]Resumen!$V$64:$AH$65,AA1,0)</f>
        <v>374.40000000000003</v>
      </c>
      <c r="AB70" s="65">
        <f>VLOOKUP($E$1,[8]Resumen!$V$64:$AH$65,AB1,0)</f>
        <v>374.40000000000003</v>
      </c>
      <c r="AC70" s="65">
        <f>VLOOKUP($E$1,[8]Resumen!$V$64:$AH$65,AC1,0)</f>
        <v>374.40000000000003</v>
      </c>
      <c r="AD70" s="65">
        <f>VLOOKUP($E$1,[8]Resumen!$V$64:$AH$65,AD1,0)</f>
        <v>374.40000000000003</v>
      </c>
      <c r="AE70" s="65">
        <f>VLOOKUP($E$1,[8]Resumen!$V$64:$AH$65,AE1,0)</f>
        <v>374.40000000000003</v>
      </c>
      <c r="AF70" s="65">
        <f>VLOOKUP($E$1,[8]Resumen!$V$64:$AH$65,AF1,0)</f>
        <v>374.40000000000003</v>
      </c>
      <c r="AG70" s="65">
        <f>VLOOKUP($E$1,[8]Resumen!$V$64:$AH$65,AG1,0)</f>
        <v>374.40000000000003</v>
      </c>
      <c r="AH70" s="65">
        <f>VLOOKUP($E$1,[8]Resumen!$V$64:$AH$65,AH1,0)</f>
        <v>374.40000000000003</v>
      </c>
      <c r="AI70" s="65">
        <f>VLOOKUP($E$1,[8]Resumen!$V$64:$AH$65,AI1,0)</f>
        <v>374.40000000000003</v>
      </c>
      <c r="AJ70" s="65">
        <f>VLOOKUP($E$1,[8]Resumen!$V$64:$AH$65,AJ1,0)</f>
        <v>374.40000000000003</v>
      </c>
      <c r="AK70" s="65">
        <f t="shared" si="55"/>
        <v>4492.8</v>
      </c>
      <c r="AL70" s="73">
        <f t="shared" si="49"/>
        <v>2.262334586451069E-5</v>
      </c>
      <c r="AM70" s="14">
        <f t="shared" si="50"/>
        <v>0</v>
      </c>
      <c r="AN70" s="9"/>
    </row>
    <row r="71" spans="1:40" ht="14.45" hidden="1" customHeight="1" outlineLevel="1">
      <c r="A71" s="12" t="s">
        <v>154</v>
      </c>
      <c r="B71" s="8" t="s">
        <v>89</v>
      </c>
      <c r="I71" s="259" t="s">
        <v>177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/>
      <c r="U71" s="65"/>
      <c r="V71" s="65">
        <f t="shared" si="54"/>
        <v>0</v>
      </c>
      <c r="W71" s="73">
        <f t="shared" si="47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55"/>
        <v>0</v>
      </c>
      <c r="AL71" s="73">
        <f t="shared" si="49"/>
        <v>0</v>
      </c>
      <c r="AM71" s="14">
        <f t="shared" si="50"/>
        <v>0</v>
      </c>
      <c r="AN71" s="9"/>
    </row>
    <row r="72" spans="1:40" ht="14.45" hidden="1" customHeight="1" outlineLevel="1">
      <c r="A72" s="12"/>
      <c r="I72" s="259" t="s">
        <v>178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/>
      <c r="U72" s="65"/>
      <c r="V72" s="65">
        <f t="shared" si="54"/>
        <v>0</v>
      </c>
      <c r="W72" s="73">
        <f t="shared" si="47"/>
        <v>0</v>
      </c>
      <c r="X72" s="89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>
        <f t="shared" si="55"/>
        <v>0</v>
      </c>
      <c r="AL72" s="73">
        <f t="shared" si="49"/>
        <v>0</v>
      </c>
      <c r="AM72" s="14">
        <f t="shared" si="50"/>
        <v>0</v>
      </c>
      <c r="AN72" s="9"/>
    </row>
    <row r="73" spans="1:40" ht="14.45" hidden="1" customHeight="1" outlineLevel="1">
      <c r="A73" s="12"/>
      <c r="I73" s="259" t="s">
        <v>179</v>
      </c>
      <c r="J73" s="65">
        <v>0</v>
      </c>
      <c r="K73" s="65">
        <v>496</v>
      </c>
      <c r="L73" s="65">
        <v>1550</v>
      </c>
      <c r="M73" s="65">
        <v>1656</v>
      </c>
      <c r="N73" s="65">
        <v>1812</v>
      </c>
      <c r="O73" s="65">
        <v>1949</v>
      </c>
      <c r="P73" s="65">
        <v>2020</v>
      </c>
      <c r="Q73" s="65">
        <v>725</v>
      </c>
      <c r="R73" s="65">
        <v>398</v>
      </c>
      <c r="S73" s="65">
        <v>0</v>
      </c>
      <c r="T73" s="65"/>
      <c r="U73" s="65"/>
      <c r="V73" s="65">
        <f t="shared" si="54"/>
        <v>10606</v>
      </c>
      <c r="W73" s="73">
        <f t="shared" si="47"/>
        <v>5.8465569008816034E-5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55"/>
        <v>0</v>
      </c>
      <c r="AL73" s="73">
        <f t="shared" si="49"/>
        <v>0</v>
      </c>
      <c r="AM73" s="14">
        <f t="shared" si="50"/>
        <v>-1</v>
      </c>
      <c r="AN73" s="9"/>
    </row>
    <row r="74" spans="1:40" ht="14.45" hidden="1" customHeight="1" outlineLevel="1">
      <c r="A74" s="12"/>
      <c r="I74" s="259" t="s">
        <v>180</v>
      </c>
      <c r="J74" s="65">
        <v>852</v>
      </c>
      <c r="K74" s="65">
        <v>1086</v>
      </c>
      <c r="L74" s="65">
        <v>797</v>
      </c>
      <c r="M74" s="65">
        <v>838</v>
      </c>
      <c r="N74" s="65">
        <v>793</v>
      </c>
      <c r="O74" s="65">
        <v>877</v>
      </c>
      <c r="P74" s="65">
        <v>877</v>
      </c>
      <c r="Q74" s="65">
        <v>849</v>
      </c>
      <c r="R74" s="65">
        <v>866</v>
      </c>
      <c r="S74" s="65">
        <v>800</v>
      </c>
      <c r="T74" s="65">
        <f t="shared" ref="T74:T75" si="65">+AVERAGE(P74:S74)</f>
        <v>848</v>
      </c>
      <c r="U74" s="65">
        <f t="shared" ref="U74:U75" si="66">+AVERAGE(Q74:T74)</f>
        <v>840.75</v>
      </c>
      <c r="V74" s="65">
        <f t="shared" si="54"/>
        <v>10323.75</v>
      </c>
      <c r="W74" s="73">
        <f t="shared" si="47"/>
        <v>5.690966604325519E-5</v>
      </c>
      <c r="X74" s="89"/>
      <c r="Y74" s="65">
        <f>VLOOKUP($E$1,[13]Resumen!$V$10:$AH$11,Y1,0)</f>
        <v>1138.6099999999999</v>
      </c>
      <c r="Z74" s="65">
        <f>VLOOKUP($E$1,[13]Resumen!$V$10:$AH$11,Z1,0)</f>
        <v>1138.6099999999999</v>
      </c>
      <c r="AA74" s="65">
        <f>VLOOKUP($E$1,[13]Resumen!$V$10:$AH$11,AA1,0)</f>
        <v>1138.6099999999999</v>
      </c>
      <c r="AB74" s="65">
        <f>VLOOKUP($E$1,[13]Resumen!$V$10:$AH$11,AB1,0)</f>
        <v>1138.6099999999999</v>
      </c>
      <c r="AC74" s="65">
        <f>VLOOKUP($E$1,[13]Resumen!$V$10:$AH$11,AC1,0)</f>
        <v>1138.6099999999999</v>
      </c>
      <c r="AD74" s="65">
        <f>VLOOKUP($E$1,[13]Resumen!$V$10:$AH$11,AD1,0)</f>
        <v>1138.6099999999999</v>
      </c>
      <c r="AE74" s="65">
        <f>VLOOKUP($E$1,[13]Resumen!$V$10:$AH$11,AE1,0)</f>
        <v>1138.6099999999999</v>
      </c>
      <c r="AF74" s="65">
        <f>VLOOKUP($E$1,[13]Resumen!$V$10:$AH$11,AF1,0)</f>
        <v>1138.6099999999999</v>
      </c>
      <c r="AG74" s="65">
        <f>VLOOKUP($E$1,[13]Resumen!$V$10:$AH$11,AG1,0)</f>
        <v>1138.6099999999999</v>
      </c>
      <c r="AH74" s="65">
        <f>VLOOKUP($E$1,[13]Resumen!$V$10:$AH$11,AH1,0)</f>
        <v>1138.6099999999999</v>
      </c>
      <c r="AI74" s="65">
        <f>VLOOKUP($E$1,[13]Resumen!$V$10:$AH$11,AI1,0)</f>
        <v>1138.6099999999999</v>
      </c>
      <c r="AJ74" s="65">
        <f>VLOOKUP($E$1,[13]Resumen!$V$10:$AH$11,AJ1,0)</f>
        <v>1138.6099999999999</v>
      </c>
      <c r="AK74" s="65">
        <f t="shared" si="55"/>
        <v>13663.320000000002</v>
      </c>
      <c r="AL74" s="73">
        <f t="shared" si="49"/>
        <v>6.880119613993194E-5</v>
      </c>
      <c r="AM74" s="14">
        <f t="shared" si="50"/>
        <v>0.32348419905557591</v>
      </c>
      <c r="AN74" s="9"/>
    </row>
    <row r="75" spans="1:40" ht="14.45" hidden="1" customHeight="1" outlineLevel="1">
      <c r="A75" s="12"/>
      <c r="I75" s="259" t="s">
        <v>181</v>
      </c>
      <c r="J75" s="65">
        <v>2497</v>
      </c>
      <c r="K75" s="65">
        <v>4313</v>
      </c>
      <c r="L75" s="65">
        <v>2480</v>
      </c>
      <c r="M75" s="65">
        <v>2762</v>
      </c>
      <c r="N75" s="65">
        <v>2733</v>
      </c>
      <c r="O75" s="65">
        <v>2768</v>
      </c>
      <c r="P75" s="65">
        <v>2742</v>
      </c>
      <c r="Q75" s="65">
        <v>2837</v>
      </c>
      <c r="R75" s="65">
        <v>2774</v>
      </c>
      <c r="S75" s="65">
        <v>944</v>
      </c>
      <c r="T75" s="65">
        <f t="shared" si="65"/>
        <v>2324.25</v>
      </c>
      <c r="U75" s="65">
        <f t="shared" si="66"/>
        <v>2219.8125</v>
      </c>
      <c r="V75" s="65">
        <f t="shared" si="54"/>
        <v>31394.0625</v>
      </c>
      <c r="W75" s="73">
        <f t="shared" si="47"/>
        <v>1.7305975179717457E-4</v>
      </c>
      <c r="X75" s="89"/>
      <c r="Y75" s="65">
        <f>VLOOKUP($E$1,[14]Resumen!$V$8:$AH$9,Y1,0)</f>
        <v>2637.4086575342467</v>
      </c>
      <c r="Z75" s="65">
        <f>VLOOKUP($E$1,[14]Resumen!$V$8:$AH$9,Z1,0)</f>
        <v>2382.1755616438359</v>
      </c>
      <c r="AA75" s="65">
        <f>VLOOKUP($E$1,[14]Resumen!$V$8:$AH$9,AA1,0)</f>
        <v>2637.4086575342467</v>
      </c>
      <c r="AB75" s="65">
        <f>VLOOKUP($E$1,[14]Resumen!$V$8:$AH$9,AB1,0)</f>
        <v>2552.3309589041096</v>
      </c>
      <c r="AC75" s="65">
        <f>VLOOKUP($E$1,[14]Resumen!$V$8:$AH$9,AC1,0)</f>
        <v>2637.4086575342467</v>
      </c>
      <c r="AD75" s="65">
        <f>VLOOKUP($E$1,[14]Resumen!$V$8:$AH$9,AD1,0)</f>
        <v>2552.3309589041096</v>
      </c>
      <c r="AE75" s="65">
        <f>VLOOKUP($E$1,[14]Resumen!$V$8:$AH$9,AE1,0)</f>
        <v>2637.4086575342467</v>
      </c>
      <c r="AF75" s="65">
        <f>VLOOKUP($E$1,[14]Resumen!$V$8:$AH$9,AF1,0)</f>
        <v>2637.4086575342467</v>
      </c>
      <c r="AG75" s="65">
        <f>VLOOKUP($E$1,[14]Resumen!$V$8:$AH$9,AG1,0)</f>
        <v>2552.3309589041096</v>
      </c>
      <c r="AH75" s="65">
        <f>VLOOKUP($E$1,[14]Resumen!$V$8:$AH$9,AH1,0)</f>
        <v>2637.4086575342467</v>
      </c>
      <c r="AI75" s="65">
        <f>VLOOKUP($E$1,[14]Resumen!$V$8:$AH$9,AI1,0)</f>
        <v>2552.3309589041096</v>
      </c>
      <c r="AJ75" s="65">
        <f>VLOOKUP($E$1,[14]Resumen!$V$8:$AH$9,AJ1,0)</f>
        <v>2637.4086575342467</v>
      </c>
      <c r="AK75" s="65">
        <f t="shared" si="55"/>
        <v>31053.360000000004</v>
      </c>
      <c r="AL75" s="73">
        <f t="shared" si="49"/>
        <v>1.563681676315798E-4</v>
      </c>
      <c r="AM75" s="14">
        <f t="shared" si="50"/>
        <v>-1.0852450204556829E-2</v>
      </c>
      <c r="AN75" s="9"/>
    </row>
    <row r="76" spans="1:40" ht="14.45" hidden="1" customHeight="1" outlineLevel="1">
      <c r="A76" s="12"/>
      <c r="I76" s="259" t="s">
        <v>182</v>
      </c>
      <c r="J76" s="65">
        <v>13204</v>
      </c>
      <c r="K76" s="65">
        <v>0</v>
      </c>
      <c r="L76" s="65">
        <v>0</v>
      </c>
      <c r="M76" s="65">
        <v>0</v>
      </c>
      <c r="N76" s="65">
        <v>2676</v>
      </c>
      <c r="O76" s="65">
        <v>24850</v>
      </c>
      <c r="P76" s="65">
        <v>7090</v>
      </c>
      <c r="Q76" s="65">
        <v>0</v>
      </c>
      <c r="R76" s="65">
        <v>0</v>
      </c>
      <c r="S76" s="65">
        <v>8235</v>
      </c>
      <c r="T76" s="65">
        <v>30143.360000000001</v>
      </c>
      <c r="U76" s="65">
        <v>10895.04</v>
      </c>
      <c r="V76" s="65">
        <f t="shared" si="54"/>
        <v>97093.4</v>
      </c>
      <c r="W76" s="73">
        <f t="shared" si="47"/>
        <v>5.3522731265326969E-4</v>
      </c>
      <c r="X76" s="89"/>
      <c r="Y76" s="65">
        <f>VLOOKUP($E$1,[15]Resumen!$V$8:$AH$9,Y1,0)</f>
        <v>5719.9211959999993</v>
      </c>
      <c r="Z76" s="65">
        <f>VLOOKUP($E$1,[15]Resumen!$V$8:$AH$9,Z1,0)</f>
        <v>0</v>
      </c>
      <c r="AA76" s="65">
        <f>VLOOKUP($E$1,[15]Resumen!$V$8:$AH$9,AA1,0)</f>
        <v>5719.9211959999993</v>
      </c>
      <c r="AB76" s="65">
        <f>VLOOKUP($E$1,[15]Resumen!$V$8:$AH$9,AB1,0)</f>
        <v>8579.881793999999</v>
      </c>
      <c r="AC76" s="65">
        <f>VLOOKUP($E$1,[15]Resumen!$V$8:$AH$9,AC1,0)</f>
        <v>5719.9211959999993</v>
      </c>
      <c r="AD76" s="65">
        <f>VLOOKUP($E$1,[15]Resumen!$V$8:$AH$9,AD1,0)</f>
        <v>14299.802989999998</v>
      </c>
      <c r="AE76" s="65">
        <f>VLOOKUP($E$1,[15]Resumen!$V$8:$AH$9,AE1,0)</f>
        <v>11439.842391999999</v>
      </c>
      <c r="AF76" s="65">
        <f>VLOOKUP($E$1,[15]Resumen!$V$8:$AH$9,AF1,0)</f>
        <v>0</v>
      </c>
      <c r="AG76" s="65">
        <f>VLOOKUP($E$1,[15]Resumen!$V$8:$AH$9,AG1,0)</f>
        <v>0</v>
      </c>
      <c r="AH76" s="65">
        <f>VLOOKUP($E$1,[15]Resumen!$V$8:$AH$9,AH1,0)</f>
        <v>32071.973141999995</v>
      </c>
      <c r="AI76" s="65">
        <f>VLOOKUP($E$1,[15]Resumen!$V$8:$AH$9,AI1,0)</f>
        <v>0</v>
      </c>
      <c r="AJ76" s="65">
        <f>VLOOKUP($E$1,[15]Resumen!$V$8:$AH$9,AJ1,0)</f>
        <v>11439.842391999999</v>
      </c>
      <c r="AK76" s="65">
        <f t="shared" si="55"/>
        <v>94991.106297999999</v>
      </c>
      <c r="AL76" s="73">
        <f t="shared" si="49"/>
        <v>4.7832457528315382E-4</v>
      </c>
      <c r="AM76" s="14">
        <f t="shared" si="50"/>
        <v>-2.1652282256054423E-2</v>
      </c>
      <c r="AN76" s="9"/>
    </row>
    <row r="77" spans="1:40" ht="14.45" hidden="1" customHeight="1" outlineLevel="1">
      <c r="A77" s="12"/>
      <c r="I77" s="259" t="s">
        <v>183</v>
      </c>
      <c r="J77" s="65">
        <v>0</v>
      </c>
      <c r="K77" s="65">
        <v>0</v>
      </c>
      <c r="L77" s="65">
        <v>0</v>
      </c>
      <c r="M77" s="65">
        <v>730</v>
      </c>
      <c r="N77" s="65">
        <v>0</v>
      </c>
      <c r="O77" s="65">
        <v>0</v>
      </c>
      <c r="P77" s="65">
        <v>0</v>
      </c>
      <c r="Q77" s="65">
        <v>730</v>
      </c>
      <c r="R77" s="65">
        <v>0</v>
      </c>
      <c r="S77" s="65">
        <v>0</v>
      </c>
      <c r="T77" s="65">
        <v>260</v>
      </c>
      <c r="U77" s="65">
        <v>260</v>
      </c>
      <c r="V77" s="65">
        <f t="shared" si="54"/>
        <v>1980</v>
      </c>
      <c r="W77" s="73">
        <f t="shared" si="47"/>
        <v>1.0914748881525151E-5</v>
      </c>
      <c r="X77" s="89"/>
      <c r="Y77" s="65">
        <f>VLOOKUP($E$1,[16]Resumen!$V$8:$AH$9,Y1,0)</f>
        <v>0</v>
      </c>
      <c r="Z77" s="65">
        <f>VLOOKUP($E$1,[16]Resumen!$V$8:$AH$9,Z1,0)</f>
        <v>0</v>
      </c>
      <c r="AA77" s="65">
        <f>VLOOKUP($E$1,[16]Resumen!$V$8:$AH$9,AA1,0)</f>
        <v>0</v>
      </c>
      <c r="AB77" s="65">
        <f>VLOOKUP($E$1,[16]Resumen!$V$8:$AH$9,AB1,0)</f>
        <v>1055.8019999999999</v>
      </c>
      <c r="AC77" s="65">
        <f>VLOOKUP($E$1,[16]Resumen!$V$8:$AH$9,AC1,0)</f>
        <v>0</v>
      </c>
      <c r="AD77" s="65">
        <f>VLOOKUP($E$1,[16]Resumen!$V$8:$AH$9,AD1,0)</f>
        <v>1055.8019999999999</v>
      </c>
      <c r="AE77" s="65">
        <f>VLOOKUP($E$1,[16]Resumen!$V$8:$AH$9,AE1,0)</f>
        <v>0</v>
      </c>
      <c r="AF77" s="65">
        <f>VLOOKUP($E$1,[16]Resumen!$V$8:$AH$9,AF1,0)</f>
        <v>0</v>
      </c>
      <c r="AG77" s="65">
        <f>VLOOKUP($E$1,[16]Resumen!$V$8:$AH$9,AG1,0)</f>
        <v>0</v>
      </c>
      <c r="AH77" s="65">
        <f>VLOOKUP($E$1,[16]Resumen!$V$8:$AH$9,AH1,0)</f>
        <v>0</v>
      </c>
      <c r="AI77" s="65">
        <f>VLOOKUP($E$1,[16]Resumen!$V$8:$AH$9,AI1,0)</f>
        <v>0</v>
      </c>
      <c r="AJ77" s="65">
        <f>VLOOKUP($E$1,[16]Resumen!$V$8:$AH$9,AJ1,0)</f>
        <v>0</v>
      </c>
      <c r="AK77" s="65">
        <f t="shared" si="55"/>
        <v>2111.6039999999998</v>
      </c>
      <c r="AL77" s="73">
        <f t="shared" si="49"/>
        <v>1.0632912130716753E-5</v>
      </c>
      <c r="AM77" s="14">
        <f t="shared" si="50"/>
        <v>6.6466666666666674E-2</v>
      </c>
      <c r="AN77" s="9"/>
    </row>
    <row r="78" spans="1:40" ht="14.45" hidden="1" customHeight="1" outlineLevel="1">
      <c r="A78" s="12" t="s">
        <v>154</v>
      </c>
      <c r="B78" s="8" t="s">
        <v>89</v>
      </c>
      <c r="I78" s="259" t="s">
        <v>184</v>
      </c>
      <c r="J78" s="65">
        <v>2899</v>
      </c>
      <c r="K78" s="65">
        <v>1380</v>
      </c>
      <c r="L78" s="65">
        <v>1380</v>
      </c>
      <c r="M78" s="65">
        <v>1380</v>
      </c>
      <c r="N78" s="65">
        <v>1380</v>
      </c>
      <c r="O78" s="65">
        <v>1380</v>
      </c>
      <c r="P78" s="65">
        <v>-139</v>
      </c>
      <c r="Q78" s="65">
        <v>1380</v>
      </c>
      <c r="R78" s="65">
        <v>1380</v>
      </c>
      <c r="S78" s="65">
        <v>1380</v>
      </c>
      <c r="T78" s="65">
        <v>0</v>
      </c>
      <c r="U78" s="65">
        <v>0</v>
      </c>
      <c r="V78" s="65">
        <f t="shared" si="54"/>
        <v>13800</v>
      </c>
      <c r="W78" s="73">
        <f t="shared" si="47"/>
        <v>7.607249220456923E-5</v>
      </c>
      <c r="X78" s="89"/>
      <c r="Y78" s="65">
        <f>VLOOKUP($E$1,[17]Resumen!$V$8:$AH$9,Y1,0)</f>
        <v>934.5440000000001</v>
      </c>
      <c r="Z78" s="65">
        <f>VLOOKUP($E$1,[17]Resumen!$V$8:$AH$9,Z1,0)</f>
        <v>0</v>
      </c>
      <c r="AA78" s="65">
        <f>VLOOKUP($E$1,[17]Resumen!$V$8:$AH$9,AA1,0)</f>
        <v>0</v>
      </c>
      <c r="AB78" s="65">
        <f>VLOOKUP($E$1,[17]Resumen!$V$8:$AH$9,AB1,0)</f>
        <v>0</v>
      </c>
      <c r="AC78" s="65">
        <f>VLOOKUP($E$1,[17]Resumen!$V$8:$AH$9,AC1,0)</f>
        <v>0</v>
      </c>
      <c r="AD78" s="65">
        <f>VLOOKUP($E$1,[17]Resumen!$V$8:$AH$9,AD1,0)</f>
        <v>0</v>
      </c>
      <c r="AE78" s="65">
        <f>VLOOKUP($E$1,[17]Resumen!$V$8:$AH$9,AE1,0)</f>
        <v>0</v>
      </c>
      <c r="AF78" s="65">
        <f>VLOOKUP($E$1,[17]Resumen!$V$8:$AH$9,AF1,0)</f>
        <v>0</v>
      </c>
      <c r="AG78" s="65">
        <f>VLOOKUP($E$1,[17]Resumen!$V$8:$AH$9,AG1,0)</f>
        <v>0</v>
      </c>
      <c r="AH78" s="65">
        <f>VLOOKUP($E$1,[17]Resumen!$V$8:$AH$9,AH1,0)</f>
        <v>0</v>
      </c>
      <c r="AI78" s="65">
        <f>VLOOKUP($E$1,[17]Resumen!$V$8:$AH$9,AI1,0)</f>
        <v>0</v>
      </c>
      <c r="AJ78" s="65">
        <f>VLOOKUP($E$1,[17]Resumen!$V$8:$AH$9,AJ1,0)</f>
        <v>0</v>
      </c>
      <c r="AK78" s="65">
        <f t="shared" si="55"/>
        <v>934.5440000000001</v>
      </c>
      <c r="AL78" s="73">
        <f t="shared" si="49"/>
        <v>4.7058654152428949E-6</v>
      </c>
      <c r="AM78" s="14">
        <f t="shared" si="50"/>
        <v>-0.93227942028985511</v>
      </c>
      <c r="AN78" s="9"/>
    </row>
    <row r="79" spans="1:40" ht="14.45" hidden="1" customHeight="1" outlineLevel="1">
      <c r="A79" s="12" t="s">
        <v>154</v>
      </c>
      <c r="B79" s="8" t="s">
        <v>89</v>
      </c>
      <c r="I79" s="259" t="s">
        <v>185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/>
      <c r="U79" s="65"/>
      <c r="V79" s="65">
        <f t="shared" si="54"/>
        <v>0</v>
      </c>
      <c r="W79" s="73">
        <f t="shared" si="47"/>
        <v>0</v>
      </c>
      <c r="X79" s="89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>
        <f t="shared" si="55"/>
        <v>0</v>
      </c>
      <c r="AL79" s="73">
        <f t="shared" si="49"/>
        <v>0</v>
      </c>
      <c r="AM79" s="14">
        <f t="shared" si="50"/>
        <v>0</v>
      </c>
      <c r="AN79" s="9"/>
    </row>
    <row r="80" spans="1:40" ht="14.45" hidden="1" customHeight="1" outlineLevel="1">
      <c r="A80" s="12"/>
      <c r="I80" s="259" t="s">
        <v>186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f t="shared" si="54"/>
        <v>0</v>
      </c>
      <c r="W80" s="73">
        <f t="shared" si="47"/>
        <v>0</v>
      </c>
      <c r="X80" s="89"/>
      <c r="Y80" s="65">
        <f>VLOOKUP($E$1,[8]Resumen!$V$22:$AH$23,Y1,0)</f>
        <v>0</v>
      </c>
      <c r="Z80" s="65">
        <f>VLOOKUP($E$1,[8]Resumen!$V$22:$AH$23,Z1,0)</f>
        <v>0</v>
      </c>
      <c r="AA80" s="65">
        <f>VLOOKUP($E$1,[8]Resumen!$V$22:$AH$23,AA1,0)</f>
        <v>0</v>
      </c>
      <c r="AB80" s="65">
        <f>VLOOKUP($E$1,[8]Resumen!$V$22:$AH$23,AB1,0)</f>
        <v>0</v>
      </c>
      <c r="AC80" s="65">
        <f>VLOOKUP($E$1,[8]Resumen!$V$22:$AH$23,AC1,0)</f>
        <v>0</v>
      </c>
      <c r="AD80" s="65">
        <f>VLOOKUP($E$1,[8]Resumen!$V$22:$AH$23,AD1,0)</f>
        <v>0</v>
      </c>
      <c r="AE80" s="65">
        <f>VLOOKUP($E$1,[8]Resumen!$V$22:$AH$23,AE1,0)</f>
        <v>0</v>
      </c>
      <c r="AF80" s="65">
        <f>VLOOKUP($E$1,[8]Resumen!$V$22:$AH$23,AF1,0)</f>
        <v>0</v>
      </c>
      <c r="AG80" s="65">
        <f>VLOOKUP($E$1,[8]Resumen!$V$22:$AH$23,AG1,0)</f>
        <v>0</v>
      </c>
      <c r="AH80" s="65">
        <f>VLOOKUP($E$1,[8]Resumen!$V$22:$AH$23,AH1,0)</f>
        <v>0</v>
      </c>
      <c r="AI80" s="65">
        <f>VLOOKUP($E$1,[8]Resumen!$V$22:$AH$23,AI1,0)</f>
        <v>0</v>
      </c>
      <c r="AJ80" s="65">
        <f>VLOOKUP($E$1,[8]Resumen!$V$22:$AH$23,AJ1,0)</f>
        <v>0</v>
      </c>
      <c r="AK80" s="65">
        <f t="shared" si="55"/>
        <v>0</v>
      </c>
      <c r="AL80" s="73">
        <f t="shared" si="49"/>
        <v>0</v>
      </c>
      <c r="AM80" s="14">
        <f t="shared" si="50"/>
        <v>0</v>
      </c>
      <c r="AN80" s="9"/>
    </row>
    <row r="81" spans="1:40" ht="14.45" hidden="1" customHeight="1" outlineLevel="1">
      <c r="A81" s="12" t="s">
        <v>154</v>
      </c>
      <c r="B81" s="8" t="s">
        <v>89</v>
      </c>
      <c r="I81" s="259" t="s">
        <v>187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19240</v>
      </c>
      <c r="T81" s="65">
        <v>0</v>
      </c>
      <c r="U81" s="65">
        <v>0</v>
      </c>
      <c r="V81" s="65">
        <f t="shared" si="54"/>
        <v>19240</v>
      </c>
      <c r="W81" s="73">
        <f t="shared" si="47"/>
        <v>1.0606048913158782E-4</v>
      </c>
      <c r="X81" s="89"/>
      <c r="Y81" s="65">
        <f>VLOOKUP($E$1,[9]Resumen!$V$10:$AH$11,Y1,0)</f>
        <v>0</v>
      </c>
      <c r="Z81" s="65">
        <f>VLOOKUP($E$1,[9]Resumen!$V$10:$AH$11,Z1,0)</f>
        <v>0</v>
      </c>
      <c r="AA81" s="65">
        <f>VLOOKUP($E$1,[9]Resumen!$V$10:$AH$11,AA1,0)</f>
        <v>0</v>
      </c>
      <c r="AB81" s="65">
        <f>VLOOKUP($E$1,[9]Resumen!$V$10:$AH$11,AB1,0)</f>
        <v>0</v>
      </c>
      <c r="AC81" s="65">
        <f>VLOOKUP($E$1,[9]Resumen!$V$10:$AH$11,AC1,0)</f>
        <v>0</v>
      </c>
      <c r="AD81" s="65">
        <f>VLOOKUP($E$1,[9]Resumen!$V$10:$AH$11,AD1,0)</f>
        <v>0</v>
      </c>
      <c r="AE81" s="65">
        <f>VLOOKUP($E$1,[9]Resumen!$V$10:$AH$11,AE1,0)</f>
        <v>0</v>
      </c>
      <c r="AF81" s="65">
        <f>VLOOKUP($E$1,[9]Resumen!$V$10:$AH$11,AF1,0)</f>
        <v>0</v>
      </c>
      <c r="AG81" s="65">
        <f>VLOOKUP($E$1,[9]Resumen!$V$10:$AH$11,AG1,0)</f>
        <v>18528.289999999997</v>
      </c>
      <c r="AH81" s="65">
        <f>VLOOKUP($E$1,[9]Resumen!$V$10:$AH$11,AH1,0)</f>
        <v>0</v>
      </c>
      <c r="AI81" s="65">
        <f>VLOOKUP($E$1,[9]Resumen!$V$10:$AH$11,AI1,0)</f>
        <v>0</v>
      </c>
      <c r="AJ81" s="65">
        <f>VLOOKUP($E$1,[9]Resumen!$V$10:$AH$11,AJ1,0)</f>
        <v>0</v>
      </c>
      <c r="AK81" s="65">
        <f t="shared" si="55"/>
        <v>18528.289999999997</v>
      </c>
      <c r="AL81" s="73">
        <f t="shared" si="49"/>
        <v>9.3298591735210717E-5</v>
      </c>
      <c r="AM81" s="14">
        <f t="shared" si="50"/>
        <v>-3.6991164241164332E-2</v>
      </c>
      <c r="AN81" s="9"/>
    </row>
    <row r="82" spans="1:40" ht="14.45" hidden="1" customHeight="1" outlineLevel="1">
      <c r="A82" s="12"/>
      <c r="I82" s="259" t="s">
        <v>188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/>
      <c r="U82" s="65"/>
      <c r="V82" s="65">
        <f t="shared" si="54"/>
        <v>0</v>
      </c>
      <c r="W82" s="73">
        <f t="shared" si="47"/>
        <v>0</v>
      </c>
      <c r="X82" s="89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>
        <f t="shared" si="55"/>
        <v>0</v>
      </c>
      <c r="AL82" s="73">
        <f t="shared" si="49"/>
        <v>0</v>
      </c>
      <c r="AM82" s="14">
        <f t="shared" si="50"/>
        <v>0</v>
      </c>
      <c r="AN82" s="9"/>
    </row>
    <row r="83" spans="1:40" ht="14.45" hidden="1" customHeight="1" outlineLevel="1">
      <c r="A83" s="12"/>
      <c r="I83" s="259" t="s">
        <v>189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/>
      <c r="U83" s="65"/>
      <c r="V83" s="65">
        <f t="shared" si="54"/>
        <v>0</v>
      </c>
      <c r="W83" s="73">
        <f t="shared" si="47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55"/>
        <v>0</v>
      </c>
      <c r="AL83" s="73">
        <f t="shared" si="49"/>
        <v>0</v>
      </c>
      <c r="AM83" s="14">
        <f t="shared" si="50"/>
        <v>0</v>
      </c>
      <c r="AN83" s="9"/>
    </row>
    <row r="84" spans="1:40" ht="14.45" hidden="1" customHeight="1" outlineLevel="1">
      <c r="A84" s="12"/>
      <c r="I84" s="259" t="s">
        <v>190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54"/>
        <v>0</v>
      </c>
      <c r="W84" s="73">
        <f t="shared" si="47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55"/>
        <v>0</v>
      </c>
      <c r="AL84" s="73">
        <f t="shared" si="49"/>
        <v>0</v>
      </c>
      <c r="AM84" s="14">
        <f t="shared" si="50"/>
        <v>0</v>
      </c>
      <c r="AN84" s="9"/>
    </row>
    <row r="85" spans="1:40" ht="14.45" hidden="1" customHeight="1" outlineLevel="1">
      <c r="A85" s="12"/>
      <c r="I85" s="259" t="s">
        <v>191</v>
      </c>
      <c r="J85" s="65"/>
      <c r="K85" s="65">
        <v>0</v>
      </c>
      <c r="L85" s="65">
        <v>0</v>
      </c>
      <c r="M85" s="65"/>
      <c r="N85" s="65"/>
      <c r="O85" s="65">
        <v>0</v>
      </c>
      <c r="P85" s="65"/>
      <c r="Q85" s="65">
        <v>0</v>
      </c>
      <c r="R85" s="65">
        <v>0</v>
      </c>
      <c r="S85" s="65">
        <v>0</v>
      </c>
      <c r="T85" s="65"/>
      <c r="U85" s="65"/>
      <c r="V85" s="65">
        <f t="shared" si="54"/>
        <v>0</v>
      </c>
      <c r="W85" s="73">
        <f t="shared" si="47"/>
        <v>0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55"/>
        <v>0</v>
      </c>
      <c r="AL85" s="73">
        <f t="shared" si="49"/>
        <v>0</v>
      </c>
      <c r="AM85" s="14">
        <f t="shared" si="50"/>
        <v>0</v>
      </c>
      <c r="AN85" s="9"/>
    </row>
    <row r="86" spans="1:40" ht="14.45" hidden="1" customHeight="1" outlineLevel="1">
      <c r="A86" s="12"/>
      <c r="I86" s="263" t="s">
        <v>192</v>
      </c>
      <c r="J86" s="65"/>
      <c r="K86" s="65">
        <v>0</v>
      </c>
      <c r="L86" s="65">
        <v>0</v>
      </c>
      <c r="M86" s="65"/>
      <c r="N86" s="65"/>
      <c r="O86" s="65">
        <v>0</v>
      </c>
      <c r="P86" s="65"/>
      <c r="Q86" s="65">
        <v>0</v>
      </c>
      <c r="R86" s="65">
        <v>0</v>
      </c>
      <c r="S86" s="65">
        <v>0</v>
      </c>
      <c r="T86" s="65">
        <v>1927.0588235294119</v>
      </c>
      <c r="U86" s="65">
        <v>0</v>
      </c>
      <c r="V86" s="65">
        <f t="shared" si="54"/>
        <v>1927.0588235294119</v>
      </c>
      <c r="W86" s="73">
        <f t="shared" si="47"/>
        <v>1.0622910676136779E-5</v>
      </c>
      <c r="X86" s="89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>
        <f t="shared" si="55"/>
        <v>0</v>
      </c>
      <c r="AL86" s="73">
        <f t="shared" si="49"/>
        <v>0</v>
      </c>
      <c r="AM86" s="14">
        <f t="shared" si="50"/>
        <v>-1</v>
      </c>
      <c r="AN86" s="9"/>
    </row>
    <row r="87" spans="1:40" ht="14.45" hidden="1" customHeight="1" outlineLevel="1">
      <c r="A87" s="12"/>
      <c r="I87" s="259" t="s">
        <v>193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/>
      <c r="U87" s="65"/>
      <c r="V87" s="65">
        <f t="shared" ref="V87:V89" si="67">SUM(J87:U87)</f>
        <v>0</v>
      </c>
      <c r="W87" s="73">
        <f t="shared" ref="W87:W89" si="68">V87/V$6</f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ref="AK87:AK89" si="69">SUM(Y87:AJ87)</f>
        <v>0</v>
      </c>
      <c r="AL87" s="73">
        <f t="shared" ref="AL87:AL89" si="70">AK87/AK$6</f>
        <v>0</v>
      </c>
      <c r="AM87" s="14">
        <f t="shared" ref="AM87:AM89" si="71">IFERROR(AK87/V87-1,0)</f>
        <v>0</v>
      </c>
      <c r="AN87" s="9"/>
    </row>
    <row r="88" spans="1:40" ht="14.45" hidden="1" customHeight="1" outlineLevel="1">
      <c r="A88" s="12"/>
      <c r="I88" s="259" t="s">
        <v>194</v>
      </c>
      <c r="J88" s="65"/>
      <c r="K88" s="65">
        <v>0</v>
      </c>
      <c r="L88" s="65"/>
      <c r="M88" s="65"/>
      <c r="N88" s="65">
        <v>4500</v>
      </c>
      <c r="O88" s="65">
        <v>0</v>
      </c>
      <c r="P88" s="65"/>
      <c r="Q88" s="65">
        <v>2282</v>
      </c>
      <c r="R88" s="65">
        <v>0</v>
      </c>
      <c r="S88" s="65"/>
      <c r="T88" s="65">
        <v>580.32000000000005</v>
      </c>
      <c r="U88" s="65">
        <v>37440</v>
      </c>
      <c r="V88" s="65">
        <f t="shared" si="67"/>
        <v>44802.32</v>
      </c>
      <c r="W88" s="73">
        <f t="shared" si="68"/>
        <v>2.4697276369178378E-4</v>
      </c>
      <c r="X88" s="89"/>
      <c r="Y88" s="65">
        <f>VLOOKUP($E$1,[18]Resumen!$V$8:$AH$9,Y1,0)</f>
        <v>0</v>
      </c>
      <c r="Z88" s="65">
        <f>VLOOKUP($E$1,[18]Resumen!$V$8:$AH$9,Z1,0)</f>
        <v>0</v>
      </c>
      <c r="AA88" s="65">
        <f>VLOOKUP($E$1,[18]Resumen!$V$8:$AH$9,AA1,0)</f>
        <v>0</v>
      </c>
      <c r="AB88" s="65">
        <f>VLOOKUP($E$1,[18]Resumen!$V$8:$AH$9,AB1,0)</f>
        <v>0</v>
      </c>
      <c r="AC88" s="65">
        <f>VLOOKUP($E$1,[18]Resumen!$V$8:$AH$9,AC1,0)</f>
        <v>2903.4554999999996</v>
      </c>
      <c r="AD88" s="65">
        <f>VLOOKUP($E$1,[18]Resumen!$V$8:$AH$9,AD1,0)</f>
        <v>3255.3894999999998</v>
      </c>
      <c r="AE88" s="65">
        <f>VLOOKUP($E$1,[18]Resumen!$V$8:$AH$9,AE1,0)</f>
        <v>0</v>
      </c>
      <c r="AF88" s="65">
        <f>VLOOKUP($E$1,[18]Resumen!$V$8:$AH$9,AF1,0)</f>
        <v>2991.4389999999999</v>
      </c>
      <c r="AG88" s="65">
        <f>VLOOKUP($E$1,[18]Resumen!$V$8:$AH$9,AG1,0)</f>
        <v>0</v>
      </c>
      <c r="AH88" s="65">
        <f>VLOOKUP($E$1,[18]Resumen!$V$8:$AH$9,AH1,0)</f>
        <v>1407.7359999999999</v>
      </c>
      <c r="AI88" s="65">
        <f>VLOOKUP($E$1,[18]Resumen!$V$8:$AH$9,AI1,0)</f>
        <v>879.83499999999992</v>
      </c>
      <c r="AJ88" s="65">
        <f>VLOOKUP($E$1,[18]Resumen!$V$8:$AH$9,AJ1,0)</f>
        <v>29914.389999999996</v>
      </c>
      <c r="AK88" s="65">
        <f t="shared" si="69"/>
        <v>41352.244999999995</v>
      </c>
      <c r="AL88" s="73">
        <f t="shared" si="70"/>
        <v>2.0822786255986973E-4</v>
      </c>
      <c r="AM88" s="14">
        <f t="shared" si="71"/>
        <v>-7.7006614836017562E-2</v>
      </c>
      <c r="AN88" s="9"/>
    </row>
    <row r="89" spans="1:40" ht="14.45" hidden="1" customHeight="1" outlineLevel="1">
      <c r="A89" s="12"/>
      <c r="I89" s="259" t="s">
        <v>195</v>
      </c>
      <c r="J89" s="65"/>
      <c r="K89" s="65"/>
      <c r="L89" s="65"/>
      <c r="M89" s="65"/>
      <c r="N89" s="65"/>
      <c r="O89" s="65">
        <v>0</v>
      </c>
      <c r="P89" s="65"/>
      <c r="Q89" s="65">
        <v>0</v>
      </c>
      <c r="R89" s="65">
        <v>0</v>
      </c>
      <c r="S89" s="65"/>
      <c r="T89" s="65"/>
      <c r="U89" s="65"/>
      <c r="V89" s="65">
        <f t="shared" si="67"/>
        <v>0</v>
      </c>
      <c r="W89" s="73">
        <f t="shared" si="68"/>
        <v>0</v>
      </c>
      <c r="X89" s="89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>
        <f t="shared" si="69"/>
        <v>0</v>
      </c>
      <c r="AL89" s="73">
        <f t="shared" si="70"/>
        <v>0</v>
      </c>
      <c r="AM89" s="14">
        <f t="shared" si="71"/>
        <v>0</v>
      </c>
      <c r="AN89" s="9"/>
    </row>
    <row r="90" spans="1:40" ht="14.45" customHeight="1" collapsed="1">
      <c r="A90" s="12" t="s">
        <v>196</v>
      </c>
      <c r="B90" s="8" t="s">
        <v>89</v>
      </c>
      <c r="I90" s="167" t="s">
        <v>197</v>
      </c>
      <c r="J90" s="15">
        <v>234124</v>
      </c>
      <c r="K90" s="15">
        <v>182893</v>
      </c>
      <c r="L90" s="15">
        <v>219479</v>
      </c>
      <c r="M90" s="15">
        <v>205651</v>
      </c>
      <c r="N90" s="15">
        <v>221759</v>
      </c>
      <c r="O90" s="15">
        <v>240609</v>
      </c>
      <c r="P90" s="15">
        <v>214264</v>
      </c>
      <c r="Q90" s="15">
        <f t="shared" ref="Q90:U90" si="72">SUM(Q91:Q105)</f>
        <v>216595</v>
      </c>
      <c r="R90" s="15">
        <v>245786</v>
      </c>
      <c r="S90" s="15">
        <v>242351</v>
      </c>
      <c r="T90" s="15">
        <f t="shared" si="72"/>
        <v>232163.66666666666</v>
      </c>
      <c r="U90" s="15">
        <f t="shared" si="72"/>
        <v>237443.05555555556</v>
      </c>
      <c r="V90" s="15">
        <f t="shared" ref="V90" si="73">SUM(V91:V105)</f>
        <v>2693116.722222222</v>
      </c>
      <c r="W90" s="72">
        <f t="shared" si="47"/>
        <v>1.4845804409945292E-2</v>
      </c>
      <c r="X90" s="89"/>
      <c r="Y90" s="15">
        <f t="shared" ref="Y90:AK90" si="74">SUM(Y91:Y105)</f>
        <v>262164.776908256</v>
      </c>
      <c r="Z90" s="15">
        <f t="shared" si="74"/>
        <v>239760.86144772801</v>
      </c>
      <c r="AA90" s="15">
        <f t="shared" si="74"/>
        <v>262164.776908256</v>
      </c>
      <c r="AB90" s="15">
        <f t="shared" si="74"/>
        <v>247721.86368528003</v>
      </c>
      <c r="AC90" s="15">
        <f t="shared" si="74"/>
        <v>262164.776908256</v>
      </c>
      <c r="AD90" s="15">
        <f t="shared" si="74"/>
        <v>247721.86368528003</v>
      </c>
      <c r="AE90" s="15">
        <f t="shared" si="74"/>
        <v>255189.83550545597</v>
      </c>
      <c r="AF90" s="15">
        <f t="shared" si="74"/>
        <v>255189.83550545597</v>
      </c>
      <c r="AG90" s="15">
        <f t="shared" si="74"/>
        <v>254696.80508808</v>
      </c>
      <c r="AH90" s="15">
        <f t="shared" si="74"/>
        <v>255189.83550545597</v>
      </c>
      <c r="AI90" s="15">
        <f t="shared" si="74"/>
        <v>254696.80508808</v>
      </c>
      <c r="AJ90" s="15">
        <f t="shared" si="74"/>
        <v>262164.776908256</v>
      </c>
      <c r="AK90" s="15">
        <f t="shared" si="74"/>
        <v>3058826.8131438396</v>
      </c>
      <c r="AL90" s="72">
        <f t="shared" si="49"/>
        <v>1.5402621290373952E-2</v>
      </c>
      <c r="AM90" s="10">
        <f t="shared" si="50"/>
        <v>0.13579437085068191</v>
      </c>
      <c r="AN90" s="9"/>
    </row>
    <row r="91" spans="1:40" ht="14.45" hidden="1" customHeight="1" outlineLevel="1">
      <c r="A91" s="12" t="s">
        <v>196</v>
      </c>
      <c r="B91" s="8" t="s">
        <v>89</v>
      </c>
      <c r="I91" s="223" t="s">
        <v>198</v>
      </c>
      <c r="J91" s="65">
        <v>6629</v>
      </c>
      <c r="K91" s="65">
        <v>5039</v>
      </c>
      <c r="L91" s="65">
        <v>5677</v>
      </c>
      <c r="M91" s="65">
        <v>5848</v>
      </c>
      <c r="N91" s="65">
        <v>6200</v>
      </c>
      <c r="O91" s="65">
        <v>5949</v>
      </c>
      <c r="P91" s="65">
        <v>5840</v>
      </c>
      <c r="Q91" s="65">
        <v>6091</v>
      </c>
      <c r="R91" s="65">
        <v>6183</v>
      </c>
      <c r="S91" s="65">
        <v>6463</v>
      </c>
      <c r="T91" s="65">
        <f t="shared" ref="T91:T105" si="75">+AVERAGE(P91:S91)</f>
        <v>6144.25</v>
      </c>
      <c r="U91" s="65">
        <f t="shared" ref="U91:U105" si="76">+AVERAGE(Q91:T91)</f>
        <v>6220.3125</v>
      </c>
      <c r="V91" s="65">
        <f t="shared" ref="V91:V105" si="77">SUM(J91:U91)</f>
        <v>72283.5625</v>
      </c>
      <c r="W91" s="73">
        <f t="shared" si="47"/>
        <v>3.9846309744925672E-4</v>
      </c>
      <c r="X91" s="89"/>
      <c r="Y91" s="65">
        <f>VLOOKUP($I91,'[19]Gasto Real Vs Presupuesto 2026'!$A$7:$M$28,Y$1,0)</f>
        <v>7404.903544068492</v>
      </c>
      <c r="Z91" s="65">
        <f>VLOOKUP($I91,'[19]Gasto Real Vs Presupuesto 2026'!$A$7:$M$28,Z$1,0)</f>
        <v>6688.2999752876703</v>
      </c>
      <c r="AA91" s="65">
        <f>VLOOKUP($I91,'[19]Gasto Real Vs Presupuesto 2026'!$A$7:$M$28,AA$1,0)</f>
        <v>7404.903544068492</v>
      </c>
      <c r="AB91" s="65">
        <f>VLOOKUP($I91,'[19]Gasto Real Vs Presupuesto 2026'!$A$7:$M$28,AB$1,0)</f>
        <v>7166.0356878082175</v>
      </c>
      <c r="AC91" s="65">
        <f>VLOOKUP($I91,'[19]Gasto Real Vs Presupuesto 2026'!$A$7:$M$28,AC$1,0)</f>
        <v>7404.903544068492</v>
      </c>
      <c r="AD91" s="65">
        <f>VLOOKUP($I91,'[19]Gasto Real Vs Presupuesto 2026'!$A$7:$M$28,AD$1,0)</f>
        <v>7166.0356878082175</v>
      </c>
      <c r="AE91" s="65">
        <f>VLOOKUP($I91,'[19]Gasto Real Vs Presupuesto 2026'!$A$7:$M$28,AE$1,0)</f>
        <v>7404.903544068492</v>
      </c>
      <c r="AF91" s="65">
        <f>VLOOKUP($I91,'[19]Gasto Real Vs Presupuesto 2026'!$A$7:$M$28,AF$1,0)</f>
        <v>7404.903544068492</v>
      </c>
      <c r="AG91" s="65">
        <f>VLOOKUP($I91,'[19]Gasto Real Vs Presupuesto 2026'!$A$7:$M$28,AG$1,0)</f>
        <v>7166.0356878082175</v>
      </c>
      <c r="AH91" s="65">
        <f>VLOOKUP($I91,'[19]Gasto Real Vs Presupuesto 2026'!$A$7:$M$28,AH$1,0)</f>
        <v>7404.903544068492</v>
      </c>
      <c r="AI91" s="65">
        <f>VLOOKUP($I91,'[19]Gasto Real Vs Presupuesto 2026'!$A$7:$M$28,AI$1,0)</f>
        <v>7166.0356878082175</v>
      </c>
      <c r="AJ91" s="65">
        <f>VLOOKUP($I91,'[19]Gasto Real Vs Presupuesto 2026'!$A$7:$M$28,AJ$1,0)</f>
        <v>7404.903544068492</v>
      </c>
      <c r="AK91" s="65">
        <f t="shared" ref="AK91:AK154" si="78">SUM(Y91:AJ91)</f>
        <v>87186.767534999992</v>
      </c>
      <c r="AL91" s="73">
        <f t="shared" si="49"/>
        <v>4.3902608545962361E-4</v>
      </c>
      <c r="AM91" s="14">
        <f t="shared" si="50"/>
        <v>0.20617695807397407</v>
      </c>
      <c r="AN91" s="9"/>
    </row>
    <row r="92" spans="1:40" ht="14.45" hidden="1" customHeight="1" outlineLevel="1">
      <c r="A92" s="12" t="s">
        <v>196</v>
      </c>
      <c r="B92" s="8" t="s">
        <v>89</v>
      </c>
      <c r="I92" s="223" t="s">
        <v>199</v>
      </c>
      <c r="J92" s="65">
        <v>25150</v>
      </c>
      <c r="K92" s="65">
        <v>10739</v>
      </c>
      <c r="L92" s="65">
        <v>24961</v>
      </c>
      <c r="M92" s="65">
        <v>22257</v>
      </c>
      <c r="N92" s="65">
        <v>26868</v>
      </c>
      <c r="O92" s="65">
        <v>39160</v>
      </c>
      <c r="P92" s="65">
        <v>25530</v>
      </c>
      <c r="Q92" s="65">
        <v>0</v>
      </c>
      <c r="R92" s="65">
        <v>41717</v>
      </c>
      <c r="S92" s="65">
        <v>31474</v>
      </c>
      <c r="T92" s="65">
        <f t="shared" si="75"/>
        <v>24680.25</v>
      </c>
      <c r="U92" s="65">
        <f t="shared" si="76"/>
        <v>24467.8125</v>
      </c>
      <c r="V92" s="65">
        <f t="shared" si="77"/>
        <v>297004.0625</v>
      </c>
      <c r="W92" s="73">
        <f t="shared" si="47"/>
        <v>1.6372347267577278E-3</v>
      </c>
      <c r="X92" s="89"/>
      <c r="Y92" s="65">
        <f>VLOOKUP($I92,'[19]Gasto Real Vs Presupuesto 2026'!$A$7:$M$28,Y$1,0)</f>
        <v>23682.709080000001</v>
      </c>
      <c r="Z92" s="65">
        <f>VLOOKUP($I92,'[19]Gasto Real Vs Presupuesto 2026'!$A$7:$M$28,Z$1,0)</f>
        <v>23682.709080000001</v>
      </c>
      <c r="AA92" s="65">
        <f>VLOOKUP($I92,'[19]Gasto Real Vs Presupuesto 2026'!$A$7:$M$28,AA$1,0)</f>
        <v>23682.709080000001</v>
      </c>
      <c r="AB92" s="65">
        <f>VLOOKUP($I92,'[19]Gasto Real Vs Presupuesto 2026'!$A$7:$M$28,AB$1,0)</f>
        <v>23682.709080000001</v>
      </c>
      <c r="AC92" s="65">
        <f>VLOOKUP($I92,'[19]Gasto Real Vs Presupuesto 2026'!$A$7:$M$28,AC$1,0)</f>
        <v>23682.709080000001</v>
      </c>
      <c r="AD92" s="65">
        <f>VLOOKUP($I92,'[19]Gasto Real Vs Presupuesto 2026'!$A$7:$M$28,AD$1,0)</f>
        <v>23682.709080000001</v>
      </c>
      <c r="AE92" s="65">
        <f>VLOOKUP($I92,'[19]Gasto Real Vs Presupuesto 2026'!$A$7:$M$28,AE$1,0)</f>
        <v>23682.709080000001</v>
      </c>
      <c r="AF92" s="65">
        <f>VLOOKUP($I92,'[19]Gasto Real Vs Presupuesto 2026'!$A$7:$M$28,AF$1,0)</f>
        <v>23682.709080000001</v>
      </c>
      <c r="AG92" s="65">
        <f>VLOOKUP($I92,'[19]Gasto Real Vs Presupuesto 2026'!$A$7:$M$28,AG$1,0)</f>
        <v>23682.709080000001</v>
      </c>
      <c r="AH92" s="65">
        <f>VLOOKUP($I92,'[19]Gasto Real Vs Presupuesto 2026'!$A$7:$M$28,AH$1,0)</f>
        <v>23682.709080000001</v>
      </c>
      <c r="AI92" s="65">
        <f>VLOOKUP($I92,'[19]Gasto Real Vs Presupuesto 2026'!$A$7:$M$28,AI$1,0)</f>
        <v>23682.709080000001</v>
      </c>
      <c r="AJ92" s="65">
        <f>VLOOKUP($I92,'[19]Gasto Real Vs Presupuesto 2026'!$A$7:$M$28,AJ$1,0)</f>
        <v>23682.709080000001</v>
      </c>
      <c r="AK92" s="65">
        <f t="shared" si="78"/>
        <v>284192.50896000001</v>
      </c>
      <c r="AL92" s="73">
        <f t="shared" si="49"/>
        <v>1.431041983240993E-3</v>
      </c>
      <c r="AM92" s="14">
        <f t="shared" si="50"/>
        <v>-4.3135953872684762E-2</v>
      </c>
      <c r="AN92" s="9"/>
    </row>
    <row r="93" spans="1:40" ht="14.45" hidden="1" customHeight="1" outlineLevel="1">
      <c r="A93" s="12" t="s">
        <v>196</v>
      </c>
      <c r="B93" s="8" t="s">
        <v>89</v>
      </c>
      <c r="I93" s="223" t="s">
        <v>200</v>
      </c>
      <c r="J93" s="65">
        <v>5961</v>
      </c>
      <c r="K93" s="65">
        <v>6600</v>
      </c>
      <c r="L93" s="65">
        <v>6600</v>
      </c>
      <c r="M93" s="65">
        <v>0</v>
      </c>
      <c r="N93" s="65">
        <v>7421</v>
      </c>
      <c r="O93" s="65">
        <v>0</v>
      </c>
      <c r="P93" s="65">
        <v>0</v>
      </c>
      <c r="Q93" s="65">
        <v>0</v>
      </c>
      <c r="R93" s="65">
        <v>7178</v>
      </c>
      <c r="S93" s="65">
        <v>0</v>
      </c>
      <c r="T93" s="65">
        <f t="shared" si="75"/>
        <v>1794.5</v>
      </c>
      <c r="U93" s="65">
        <f t="shared" si="76"/>
        <v>2243.125</v>
      </c>
      <c r="V93" s="65">
        <f t="shared" si="77"/>
        <v>37797.625</v>
      </c>
      <c r="W93" s="73">
        <f t="shared" si="47"/>
        <v>2.0835938646113995E-4</v>
      </c>
      <c r="X93" s="89"/>
      <c r="Y93" s="65">
        <f>VLOOKUP($I93,'[19]Gasto Real Vs Presupuesto 2026'!$A$7:$M$28,Y$1,0)</f>
        <v>6974.9414027999992</v>
      </c>
      <c r="Z93" s="65">
        <f>VLOOKUP($I93,'[19]Gasto Real Vs Presupuesto 2026'!$A$7:$M$28,Z$1,0)</f>
        <v>6974.9414027999992</v>
      </c>
      <c r="AA93" s="65">
        <f>VLOOKUP($I93,'[19]Gasto Real Vs Presupuesto 2026'!$A$7:$M$28,AA$1,0)</f>
        <v>6974.9414027999992</v>
      </c>
      <c r="AB93" s="65">
        <f>VLOOKUP($I93,'[19]Gasto Real Vs Presupuesto 2026'!$A$7:$M$28,AB$1,0)</f>
        <v>0</v>
      </c>
      <c r="AC93" s="65">
        <f>VLOOKUP($I93,'[19]Gasto Real Vs Presupuesto 2026'!$A$7:$M$28,AC$1,0)</f>
        <v>6974.9414027999992</v>
      </c>
      <c r="AD93" s="65">
        <f>VLOOKUP($I93,'[19]Gasto Real Vs Presupuesto 2026'!$A$7:$M$28,AD$1,0)</f>
        <v>0</v>
      </c>
      <c r="AE93" s="65">
        <f>VLOOKUP($I93,'[19]Gasto Real Vs Presupuesto 2026'!$A$7:$M$28,AE$1,0)</f>
        <v>0</v>
      </c>
      <c r="AF93" s="65">
        <f>VLOOKUP($I93,'[19]Gasto Real Vs Presupuesto 2026'!$A$7:$M$28,AF$1,0)</f>
        <v>0</v>
      </c>
      <c r="AG93" s="65">
        <f>VLOOKUP($I93,'[19]Gasto Real Vs Presupuesto 2026'!$A$7:$M$28,AG$1,0)</f>
        <v>6974.9414027999992</v>
      </c>
      <c r="AH93" s="65">
        <f>VLOOKUP($I93,'[19]Gasto Real Vs Presupuesto 2026'!$A$7:$M$28,AH$1,0)</f>
        <v>0</v>
      </c>
      <c r="AI93" s="65">
        <f>VLOOKUP($I93,'[19]Gasto Real Vs Presupuesto 2026'!$A$7:$M$28,AI$1,0)</f>
        <v>6974.9414027999992</v>
      </c>
      <c r="AJ93" s="65">
        <f>VLOOKUP($I93,'[19]Gasto Real Vs Presupuesto 2026'!$A$7:$M$28,AJ$1,0)</f>
        <v>6974.9414027999992</v>
      </c>
      <c r="AK93" s="65">
        <f t="shared" si="78"/>
        <v>48824.589819600005</v>
      </c>
      <c r="AL93" s="73">
        <f t="shared" si="49"/>
        <v>2.4585460785738925E-4</v>
      </c>
      <c r="AM93" s="14">
        <f t="shared" si="50"/>
        <v>0.29173697605603532</v>
      </c>
      <c r="AN93" s="9"/>
    </row>
    <row r="94" spans="1:40" ht="14.45" hidden="1" customHeight="1" outlineLevel="1">
      <c r="A94" s="12" t="s">
        <v>196</v>
      </c>
      <c r="B94" s="8" t="s">
        <v>89</v>
      </c>
      <c r="I94" s="223" t="s">
        <v>201</v>
      </c>
      <c r="J94" s="65">
        <v>8783</v>
      </c>
      <c r="K94" s="65">
        <v>7153</v>
      </c>
      <c r="L94" s="65">
        <v>8168</v>
      </c>
      <c r="M94" s="65">
        <v>8039</v>
      </c>
      <c r="N94" s="65">
        <v>8185</v>
      </c>
      <c r="O94" s="65">
        <v>8406</v>
      </c>
      <c r="P94" s="65">
        <v>8132</v>
      </c>
      <c r="Q94" s="65">
        <v>7815</v>
      </c>
      <c r="R94" s="65">
        <v>8788</v>
      </c>
      <c r="S94" s="65">
        <v>9174</v>
      </c>
      <c r="T94" s="65">
        <f t="shared" si="75"/>
        <v>8477.25</v>
      </c>
      <c r="U94" s="65">
        <f t="shared" si="76"/>
        <v>8563.5625</v>
      </c>
      <c r="V94" s="65">
        <f t="shared" si="77"/>
        <v>99683.8125</v>
      </c>
      <c r="W94" s="73">
        <f t="shared" si="47"/>
        <v>5.495069600962312E-4</v>
      </c>
      <c r="X94" s="89"/>
      <c r="Y94" s="65">
        <f>VLOOKUP($I94,'[19]Gasto Real Vs Presupuesto 2026'!$A$7:$M$28,Y$1,0)</f>
        <v>9730.0432569059994</v>
      </c>
      <c r="Z94" s="65">
        <f>VLOOKUP($I94,'[19]Gasto Real Vs Presupuesto 2026'!$A$7:$M$28,Z$1,0)</f>
        <v>8788.4261675279995</v>
      </c>
      <c r="AA94" s="65">
        <f>VLOOKUP($I94,'[19]Gasto Real Vs Presupuesto 2026'!$A$7:$M$28,AA$1,0)</f>
        <v>9730.0432569059994</v>
      </c>
      <c r="AB94" s="65">
        <f>VLOOKUP($I94,'[19]Gasto Real Vs Presupuesto 2026'!$A$7:$M$28,AB$1,0)</f>
        <v>9416.1708937799995</v>
      </c>
      <c r="AC94" s="65">
        <f>VLOOKUP($I94,'[19]Gasto Real Vs Presupuesto 2026'!$A$7:$M$28,AC$1,0)</f>
        <v>9730.0432569059994</v>
      </c>
      <c r="AD94" s="65">
        <f>VLOOKUP($I94,'[19]Gasto Real Vs Presupuesto 2026'!$A$7:$M$28,AD$1,0)</f>
        <v>9416.1708937799995</v>
      </c>
      <c r="AE94" s="65">
        <f>VLOOKUP($I94,'[19]Gasto Real Vs Presupuesto 2026'!$A$7:$M$28,AE$1,0)</f>
        <v>9730.0432569059994</v>
      </c>
      <c r="AF94" s="65">
        <f>VLOOKUP($I94,'[19]Gasto Real Vs Presupuesto 2026'!$A$7:$M$28,AF$1,0)</f>
        <v>9730.0432569059994</v>
      </c>
      <c r="AG94" s="65">
        <f>VLOOKUP($I94,'[19]Gasto Real Vs Presupuesto 2026'!$A$7:$M$28,AG$1,0)</f>
        <v>9416.1708937799995</v>
      </c>
      <c r="AH94" s="65">
        <f>VLOOKUP($I94,'[19]Gasto Real Vs Presupuesto 2026'!$A$7:$M$28,AH$1,0)</f>
        <v>9730.0432569059994</v>
      </c>
      <c r="AI94" s="65">
        <f>VLOOKUP($I94,'[19]Gasto Real Vs Presupuesto 2026'!$A$7:$M$28,AI$1,0)</f>
        <v>9416.1708937799995</v>
      </c>
      <c r="AJ94" s="65">
        <f>VLOOKUP($I94,'[19]Gasto Real Vs Presupuesto 2026'!$A$7:$M$28,AJ$1,0)</f>
        <v>9730.0432569059994</v>
      </c>
      <c r="AK94" s="65">
        <f t="shared" si="78"/>
        <v>114563.41254098999</v>
      </c>
      <c r="AL94" s="73">
        <f t="shared" si="49"/>
        <v>5.768802762939454E-4</v>
      </c>
      <c r="AM94" s="14">
        <f t="shared" si="50"/>
        <v>0.14926796706325796</v>
      </c>
      <c r="AN94" s="9"/>
    </row>
    <row r="95" spans="1:40" ht="14.45" hidden="1" customHeight="1" outlineLevel="1">
      <c r="A95" s="12" t="s">
        <v>196</v>
      </c>
      <c r="B95" s="8" t="s">
        <v>89</v>
      </c>
      <c r="I95" s="223" t="s">
        <v>202</v>
      </c>
      <c r="J95" s="65"/>
      <c r="K95" s="65"/>
      <c r="L95" s="65"/>
      <c r="M95" s="65"/>
      <c r="N95" s="65">
        <v>0</v>
      </c>
      <c r="O95" s="65"/>
      <c r="P95" s="65">
        <v>0</v>
      </c>
      <c r="Q95" s="65">
        <v>28970</v>
      </c>
      <c r="R95" s="65">
        <v>0</v>
      </c>
      <c r="S95" s="65"/>
      <c r="T95" s="65">
        <f t="shared" si="75"/>
        <v>9656.6666666666661</v>
      </c>
      <c r="U95" s="65">
        <f t="shared" si="76"/>
        <v>12875.555555555555</v>
      </c>
      <c r="V95" s="65">
        <f t="shared" si="77"/>
        <v>51502.222222222219</v>
      </c>
      <c r="W95" s="73">
        <f t="shared" si="47"/>
        <v>2.8390597090710085E-4</v>
      </c>
      <c r="X95" s="89"/>
      <c r="Y95" s="65">
        <f>VLOOKUP($I95,'[19]Gasto Real Vs Presupuesto 2026'!$A$7:$M$28,Y$1,0)</f>
        <v>0</v>
      </c>
      <c r="Z95" s="65">
        <f>VLOOKUP($I95,'[19]Gasto Real Vs Presupuesto 2026'!$A$7:$M$28,Z$1,0)</f>
        <v>0</v>
      </c>
      <c r="AA95" s="65">
        <f>VLOOKUP($I95,'[19]Gasto Real Vs Presupuesto 2026'!$A$7:$M$28,AA$1,0)</f>
        <v>0</v>
      </c>
      <c r="AB95" s="65">
        <f>VLOOKUP($I95,'[19]Gasto Real Vs Presupuesto 2026'!$A$7:$M$28,AB$1,0)</f>
        <v>0</v>
      </c>
      <c r="AC95" s="65">
        <f>VLOOKUP($I95,'[19]Gasto Real Vs Presupuesto 2026'!$A$7:$M$28,AC$1,0)</f>
        <v>0</v>
      </c>
      <c r="AD95" s="65">
        <f>VLOOKUP($I95,'[19]Gasto Real Vs Presupuesto 2026'!$A$7:$M$28,AD$1,0)</f>
        <v>0</v>
      </c>
      <c r="AE95" s="65">
        <f>VLOOKUP($I95,'[19]Gasto Real Vs Presupuesto 2026'!$A$7:$M$28,AE$1,0)</f>
        <v>0</v>
      </c>
      <c r="AF95" s="65">
        <f>VLOOKUP($I95,'[19]Gasto Real Vs Presupuesto 2026'!$A$7:$M$28,AF$1,0)</f>
        <v>0</v>
      </c>
      <c r="AG95" s="65">
        <f>VLOOKUP($I95,'[19]Gasto Real Vs Presupuesto 2026'!$A$7:$M$28,AG$1,0)</f>
        <v>0</v>
      </c>
      <c r="AH95" s="65">
        <f>VLOOKUP($I95,'[19]Gasto Real Vs Presupuesto 2026'!$A$7:$M$28,AH$1,0)</f>
        <v>0</v>
      </c>
      <c r="AI95" s="65">
        <f>VLOOKUP($I95,'[19]Gasto Real Vs Presupuesto 2026'!$A$7:$M$28,AI$1,0)</f>
        <v>0</v>
      </c>
      <c r="AJ95" s="65">
        <f>VLOOKUP($I95,'[19]Gasto Real Vs Presupuesto 2026'!$A$7:$M$28,AJ$1,0)</f>
        <v>0</v>
      </c>
      <c r="AK95" s="65">
        <f t="shared" si="78"/>
        <v>0</v>
      </c>
      <c r="AL95" s="73">
        <f t="shared" si="49"/>
        <v>0</v>
      </c>
      <c r="AM95" s="14">
        <f t="shared" si="50"/>
        <v>-1</v>
      </c>
      <c r="AN95" s="9"/>
    </row>
    <row r="96" spans="1:40" ht="14.45" hidden="1" customHeight="1" outlineLevel="1">
      <c r="A96" s="12" t="s">
        <v>196</v>
      </c>
      <c r="B96" s="8" t="s">
        <v>89</v>
      </c>
      <c r="I96" s="223" t="s">
        <v>203</v>
      </c>
      <c r="J96" s="65">
        <v>14929</v>
      </c>
      <c r="K96" s="65">
        <v>13264</v>
      </c>
      <c r="L96" s="65">
        <v>14665</v>
      </c>
      <c r="M96" s="65">
        <v>13321</v>
      </c>
      <c r="N96" s="65">
        <v>13788</v>
      </c>
      <c r="O96" s="65">
        <v>15476</v>
      </c>
      <c r="P96" s="65">
        <v>14272</v>
      </c>
      <c r="Q96" s="65">
        <v>13193</v>
      </c>
      <c r="R96" s="65">
        <v>15252</v>
      </c>
      <c r="S96" s="65">
        <v>16356</v>
      </c>
      <c r="T96" s="65">
        <f t="shared" si="75"/>
        <v>14768.25</v>
      </c>
      <c r="U96" s="65">
        <f t="shared" si="76"/>
        <v>14892.3125</v>
      </c>
      <c r="V96" s="65">
        <f t="shared" si="77"/>
        <v>174176.5625</v>
      </c>
      <c r="W96" s="73">
        <f t="shared" si="47"/>
        <v>9.6014820239129824E-4</v>
      </c>
      <c r="X96" s="89"/>
      <c r="Y96" s="65">
        <f>VLOOKUP($I96,'[19]Gasto Real Vs Presupuesto 2026'!$A$7:$M$28,Y$1,0)</f>
        <v>15124.067339999998</v>
      </c>
      <c r="Z96" s="65">
        <f>VLOOKUP($I96,'[19]Gasto Real Vs Presupuesto 2026'!$A$7:$M$28,Z$1,0)</f>
        <v>13660.447919999995</v>
      </c>
      <c r="AA96" s="65">
        <f>VLOOKUP($I96,'[19]Gasto Real Vs Presupuesto 2026'!$A$7:$M$28,AA$1,0)</f>
        <v>15124.067339999998</v>
      </c>
      <c r="AB96" s="65">
        <f>VLOOKUP($I96,'[19]Gasto Real Vs Presupuesto 2026'!$A$7:$M$28,AB$1,0)</f>
        <v>14636.194199999998</v>
      </c>
      <c r="AC96" s="65">
        <f>VLOOKUP($I96,'[19]Gasto Real Vs Presupuesto 2026'!$A$7:$M$28,AC$1,0)</f>
        <v>15124.067339999998</v>
      </c>
      <c r="AD96" s="65">
        <f>VLOOKUP($I96,'[19]Gasto Real Vs Presupuesto 2026'!$A$7:$M$28,AD$1,0)</f>
        <v>14636.194199999998</v>
      </c>
      <c r="AE96" s="65">
        <f>VLOOKUP($I96,'[19]Gasto Real Vs Presupuesto 2026'!$A$7:$M$28,AE$1,0)</f>
        <v>15124.067339999998</v>
      </c>
      <c r="AF96" s="65">
        <f>VLOOKUP($I96,'[19]Gasto Real Vs Presupuesto 2026'!$A$7:$M$28,AF$1,0)</f>
        <v>15124.067339999998</v>
      </c>
      <c r="AG96" s="65">
        <f>VLOOKUP($I96,'[19]Gasto Real Vs Presupuesto 2026'!$A$7:$M$28,AG$1,0)</f>
        <v>14636.194199999998</v>
      </c>
      <c r="AH96" s="65">
        <f>VLOOKUP($I96,'[19]Gasto Real Vs Presupuesto 2026'!$A$7:$M$28,AH$1,0)</f>
        <v>15124.067339999998</v>
      </c>
      <c r="AI96" s="65">
        <f>VLOOKUP($I96,'[19]Gasto Real Vs Presupuesto 2026'!$A$7:$M$28,AI$1,0)</f>
        <v>14636.194199999998</v>
      </c>
      <c r="AJ96" s="65">
        <f>VLOOKUP($I96,'[19]Gasto Real Vs Presupuesto 2026'!$A$7:$M$28,AJ$1,0)</f>
        <v>15124.067339999998</v>
      </c>
      <c r="AK96" s="65">
        <f t="shared" si="78"/>
        <v>178073.69609999997</v>
      </c>
      <c r="AL96" s="73">
        <f t="shared" si="49"/>
        <v>8.9668420945558842E-4</v>
      </c>
      <c r="AM96" s="14">
        <f t="shared" si="50"/>
        <v>2.2374615413597754E-2</v>
      </c>
      <c r="AN96" s="9"/>
    </row>
    <row r="97" spans="1:40" ht="14.45" hidden="1" customHeight="1" outlineLevel="1">
      <c r="A97" s="12" t="s">
        <v>196</v>
      </c>
      <c r="B97" s="8" t="s">
        <v>89</v>
      </c>
      <c r="I97" s="223" t="s">
        <v>204</v>
      </c>
      <c r="J97" s="65">
        <v>11922</v>
      </c>
      <c r="K97" s="65">
        <v>11950</v>
      </c>
      <c r="L97" s="65">
        <v>13617</v>
      </c>
      <c r="M97" s="65">
        <v>12138</v>
      </c>
      <c r="N97" s="65">
        <v>12473</v>
      </c>
      <c r="O97" s="65">
        <v>14698</v>
      </c>
      <c r="P97" s="65">
        <v>12808</v>
      </c>
      <c r="Q97" s="65">
        <v>11707</v>
      </c>
      <c r="R97" s="65">
        <v>13999</v>
      </c>
      <c r="S97" s="65">
        <v>15373</v>
      </c>
      <c r="T97" s="65">
        <f t="shared" si="75"/>
        <v>13471.75</v>
      </c>
      <c r="U97" s="65">
        <f t="shared" si="76"/>
        <v>13637.6875</v>
      </c>
      <c r="V97" s="65">
        <f t="shared" si="77"/>
        <v>157794.4375</v>
      </c>
      <c r="W97" s="73">
        <f t="shared" si="47"/>
        <v>8.6984174758283602E-4</v>
      </c>
      <c r="X97" s="89"/>
      <c r="Y97" s="65">
        <f>VLOOKUP($I97,'[19]Gasto Real Vs Presupuesto 2026'!$A$7:$M$28,Y$1,0)</f>
        <v>13421.32352</v>
      </c>
      <c r="Z97" s="65">
        <f>VLOOKUP($I97,'[19]Gasto Real Vs Presupuesto 2026'!$A$7:$M$28,Z$1,0)</f>
        <v>12122.48576</v>
      </c>
      <c r="AA97" s="65">
        <f>VLOOKUP($I97,'[19]Gasto Real Vs Presupuesto 2026'!$A$7:$M$28,AA$1,0)</f>
        <v>13421.32352</v>
      </c>
      <c r="AB97" s="65">
        <f>VLOOKUP($I97,'[19]Gasto Real Vs Presupuesto 2026'!$A$7:$M$28,AB$1,0)</f>
        <v>12988.377600000002</v>
      </c>
      <c r="AC97" s="65">
        <f>VLOOKUP($I97,'[19]Gasto Real Vs Presupuesto 2026'!$A$7:$M$28,AC$1,0)</f>
        <v>13421.32352</v>
      </c>
      <c r="AD97" s="65">
        <f>VLOOKUP($I97,'[19]Gasto Real Vs Presupuesto 2026'!$A$7:$M$28,AD$1,0)</f>
        <v>12988.377600000002</v>
      </c>
      <c r="AE97" s="65">
        <f>VLOOKUP($I97,'[19]Gasto Real Vs Presupuesto 2026'!$A$7:$M$28,AE$1,0)</f>
        <v>13421.32352</v>
      </c>
      <c r="AF97" s="65">
        <f>VLOOKUP($I97,'[19]Gasto Real Vs Presupuesto 2026'!$A$7:$M$28,AF$1,0)</f>
        <v>13421.32352</v>
      </c>
      <c r="AG97" s="65">
        <f>VLOOKUP($I97,'[19]Gasto Real Vs Presupuesto 2026'!$A$7:$M$28,AG$1,0)</f>
        <v>12988.377600000002</v>
      </c>
      <c r="AH97" s="65">
        <f>VLOOKUP($I97,'[19]Gasto Real Vs Presupuesto 2026'!$A$7:$M$28,AH$1,0)</f>
        <v>13421.32352</v>
      </c>
      <c r="AI97" s="65">
        <f>VLOOKUP($I97,'[19]Gasto Real Vs Presupuesto 2026'!$A$7:$M$28,AI$1,0)</f>
        <v>12988.377600000002</v>
      </c>
      <c r="AJ97" s="65">
        <f>VLOOKUP($I97,'[19]Gasto Real Vs Presupuesto 2026'!$A$7:$M$28,AJ$1,0)</f>
        <v>13421.32352</v>
      </c>
      <c r="AK97" s="65">
        <f t="shared" si="78"/>
        <v>158025.26080000002</v>
      </c>
      <c r="AL97" s="73">
        <f t="shared" si="49"/>
        <v>7.9573097631942301E-4</v>
      </c>
      <c r="AM97" s="14">
        <f t="shared" si="50"/>
        <v>1.4628101196534349E-3</v>
      </c>
      <c r="AN97" s="9"/>
    </row>
    <row r="98" spans="1:40" ht="14.45" hidden="1" customHeight="1" outlineLevel="1">
      <c r="A98" s="12" t="s">
        <v>196</v>
      </c>
      <c r="B98" s="8" t="s">
        <v>89</v>
      </c>
      <c r="I98" s="226" t="s">
        <v>205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f t="shared" si="75"/>
        <v>0</v>
      </c>
      <c r="U98" s="65">
        <f t="shared" si="76"/>
        <v>0</v>
      </c>
      <c r="V98" s="65">
        <f t="shared" si="77"/>
        <v>0</v>
      </c>
      <c r="W98" s="73">
        <f t="shared" si="47"/>
        <v>0</v>
      </c>
      <c r="X98" s="89"/>
      <c r="Y98" s="65">
        <f>VLOOKUP($I98,'[19]Gasto Real Vs Presupuesto 2026'!$A$7:$M$28,Y$1,0)</f>
        <v>0</v>
      </c>
      <c r="Z98" s="65">
        <f>VLOOKUP($I98,'[19]Gasto Real Vs Presupuesto 2026'!$A$7:$M$28,Z$1,0)</f>
        <v>0</v>
      </c>
      <c r="AA98" s="65">
        <f>VLOOKUP($I98,'[19]Gasto Real Vs Presupuesto 2026'!$A$7:$M$28,AA$1,0)</f>
        <v>0</v>
      </c>
      <c r="AB98" s="65">
        <f>VLOOKUP($I98,'[19]Gasto Real Vs Presupuesto 2026'!$A$7:$M$28,AB$1,0)</f>
        <v>0</v>
      </c>
      <c r="AC98" s="65">
        <f>VLOOKUP($I98,'[19]Gasto Real Vs Presupuesto 2026'!$A$7:$M$28,AC$1,0)</f>
        <v>0</v>
      </c>
      <c r="AD98" s="65">
        <f>VLOOKUP($I98,'[19]Gasto Real Vs Presupuesto 2026'!$A$7:$M$28,AD$1,0)</f>
        <v>0</v>
      </c>
      <c r="AE98" s="65">
        <f>VLOOKUP($I98,'[19]Gasto Real Vs Presupuesto 2026'!$A$7:$M$28,AE$1,0)</f>
        <v>0</v>
      </c>
      <c r="AF98" s="65">
        <f>VLOOKUP($I98,'[19]Gasto Real Vs Presupuesto 2026'!$A$7:$M$28,AF$1,0)</f>
        <v>0</v>
      </c>
      <c r="AG98" s="65">
        <f>VLOOKUP($I98,'[19]Gasto Real Vs Presupuesto 2026'!$A$7:$M$28,AG$1,0)</f>
        <v>0</v>
      </c>
      <c r="AH98" s="65">
        <f>VLOOKUP($I98,'[19]Gasto Real Vs Presupuesto 2026'!$A$7:$M$28,AH$1,0)</f>
        <v>0</v>
      </c>
      <c r="AI98" s="65">
        <f>VLOOKUP($I98,'[19]Gasto Real Vs Presupuesto 2026'!$A$7:$M$28,AI$1,0)</f>
        <v>0</v>
      </c>
      <c r="AJ98" s="65">
        <f>VLOOKUP($I98,'[19]Gasto Real Vs Presupuesto 2026'!$A$7:$M$28,AJ$1,0)</f>
        <v>0</v>
      </c>
      <c r="AK98" s="65">
        <f t="shared" si="78"/>
        <v>0</v>
      </c>
      <c r="AL98" s="73">
        <f t="shared" si="49"/>
        <v>0</v>
      </c>
      <c r="AM98" s="14">
        <f t="shared" si="50"/>
        <v>0</v>
      </c>
      <c r="AN98" s="9"/>
    </row>
    <row r="99" spans="1:40" ht="14.45" hidden="1" customHeight="1" outlineLevel="1">
      <c r="A99" s="12" t="s">
        <v>196</v>
      </c>
      <c r="B99" s="8" t="s">
        <v>89</v>
      </c>
      <c r="I99" s="223" t="s">
        <v>206</v>
      </c>
      <c r="J99" s="65">
        <v>3810</v>
      </c>
      <c r="K99" s="65">
        <v>3165</v>
      </c>
      <c r="L99" s="65">
        <v>3425</v>
      </c>
      <c r="M99" s="65">
        <v>3635</v>
      </c>
      <c r="N99" s="65">
        <v>3587</v>
      </c>
      <c r="O99" s="65">
        <v>3693</v>
      </c>
      <c r="P99" s="65">
        <v>3740</v>
      </c>
      <c r="Q99" s="65">
        <v>3279</v>
      </c>
      <c r="R99" s="65">
        <v>3666</v>
      </c>
      <c r="S99" s="65">
        <v>3381</v>
      </c>
      <c r="T99" s="65">
        <f t="shared" si="75"/>
        <v>3516.5</v>
      </c>
      <c r="U99" s="65">
        <f t="shared" si="76"/>
        <v>3460.625</v>
      </c>
      <c r="V99" s="65">
        <f t="shared" si="77"/>
        <v>42358.125</v>
      </c>
      <c r="W99" s="73">
        <f t="shared" si="47"/>
        <v>2.3349914013497602E-4</v>
      </c>
      <c r="X99" s="89"/>
      <c r="Y99" s="65">
        <f>VLOOKUP($I99,'[19]Gasto Real Vs Presupuesto 2026'!$A$7:$M$28,Y$1,0)</f>
        <v>4036.4067575999993</v>
      </c>
      <c r="Z99" s="65">
        <f>VLOOKUP($I99,'[19]Gasto Real Vs Presupuesto 2026'!$A$7:$M$28,Z$1,0)</f>
        <v>3645.7867487999993</v>
      </c>
      <c r="AA99" s="65">
        <f>VLOOKUP($I99,'[19]Gasto Real Vs Presupuesto 2026'!$A$7:$M$28,AA$1,0)</f>
        <v>4036.4067575999993</v>
      </c>
      <c r="AB99" s="65">
        <f>VLOOKUP($I99,'[19]Gasto Real Vs Presupuesto 2026'!$A$7:$M$28,AB$1,0)</f>
        <v>3906.2000879999991</v>
      </c>
      <c r="AC99" s="65">
        <f>VLOOKUP($I99,'[19]Gasto Real Vs Presupuesto 2026'!$A$7:$M$28,AC$1,0)</f>
        <v>4036.4067575999993</v>
      </c>
      <c r="AD99" s="65">
        <f>VLOOKUP($I99,'[19]Gasto Real Vs Presupuesto 2026'!$A$7:$M$28,AD$1,0)</f>
        <v>3906.2000879999991</v>
      </c>
      <c r="AE99" s="65">
        <f>VLOOKUP($I99,'[19]Gasto Real Vs Presupuesto 2026'!$A$7:$M$28,AE$1,0)</f>
        <v>4036.4067575999993</v>
      </c>
      <c r="AF99" s="65">
        <f>VLOOKUP($I99,'[19]Gasto Real Vs Presupuesto 2026'!$A$7:$M$28,AF$1,0)</f>
        <v>4036.4067575999993</v>
      </c>
      <c r="AG99" s="65">
        <f>VLOOKUP($I99,'[19]Gasto Real Vs Presupuesto 2026'!$A$7:$M$28,AG$1,0)</f>
        <v>3906.2000879999991</v>
      </c>
      <c r="AH99" s="65">
        <f>VLOOKUP($I99,'[19]Gasto Real Vs Presupuesto 2026'!$A$7:$M$28,AH$1,0)</f>
        <v>4036.4067575999993</v>
      </c>
      <c r="AI99" s="65">
        <f>VLOOKUP($I99,'[19]Gasto Real Vs Presupuesto 2026'!$A$7:$M$28,AI$1,0)</f>
        <v>3906.2000879999991</v>
      </c>
      <c r="AJ99" s="65">
        <f>VLOOKUP($I99,'[19]Gasto Real Vs Presupuesto 2026'!$A$7:$M$28,AJ$1,0)</f>
        <v>4036.4067575999993</v>
      </c>
      <c r="AK99" s="65">
        <f t="shared" si="78"/>
        <v>47525.434403999992</v>
      </c>
      <c r="AL99" s="73">
        <f t="shared" si="49"/>
        <v>2.3931275371323168E-4</v>
      </c>
      <c r="AM99" s="14">
        <f t="shared" si="50"/>
        <v>0.12199098529502872</v>
      </c>
      <c r="AN99" s="9"/>
    </row>
    <row r="100" spans="1:40" ht="14.45" hidden="1" customHeight="1" outlineLevel="1">
      <c r="A100" s="12" t="s">
        <v>196</v>
      </c>
      <c r="B100" s="8" t="s">
        <v>89</v>
      </c>
      <c r="I100" s="223" t="s">
        <v>207</v>
      </c>
      <c r="J100" s="65">
        <v>1480</v>
      </c>
      <c r="K100" s="65">
        <v>1072</v>
      </c>
      <c r="L100" s="65">
        <v>1248</v>
      </c>
      <c r="M100" s="65">
        <v>1285</v>
      </c>
      <c r="N100" s="65">
        <v>1363</v>
      </c>
      <c r="O100" s="65">
        <v>1329</v>
      </c>
      <c r="P100" s="65">
        <v>1306</v>
      </c>
      <c r="Q100" s="65">
        <v>1380</v>
      </c>
      <c r="R100" s="65">
        <v>1386</v>
      </c>
      <c r="S100" s="65">
        <v>1446</v>
      </c>
      <c r="T100" s="65">
        <f t="shared" si="75"/>
        <v>1379.5</v>
      </c>
      <c r="U100" s="65">
        <f t="shared" si="76"/>
        <v>1397.875</v>
      </c>
      <c r="V100" s="65">
        <f t="shared" si="77"/>
        <v>16072.375</v>
      </c>
      <c r="W100" s="73">
        <f t="shared" si="47"/>
        <v>8.859895810843575E-5</v>
      </c>
      <c r="X100" s="89"/>
      <c r="Y100" s="65">
        <f>VLOOKUP($I100,'[19]Gasto Real Vs Presupuesto 2026'!$A$7:$M$28,Y$1,0)</f>
        <v>1604.395767881507</v>
      </c>
      <c r="Z100" s="65">
        <f>VLOOKUP($I100,'[19]Gasto Real Vs Presupuesto 2026'!$A$7:$M$28,Z$1,0)</f>
        <v>1449.1316613123288</v>
      </c>
      <c r="AA100" s="65">
        <f>VLOOKUP($I100,'[19]Gasto Real Vs Presupuesto 2026'!$A$7:$M$28,AA$1,0)</f>
        <v>1604.395767881507</v>
      </c>
      <c r="AB100" s="65">
        <f>VLOOKUP($I100,'[19]Gasto Real Vs Presupuesto 2026'!$A$7:$M$28,AB$1,0)</f>
        <v>1552.6410656917808</v>
      </c>
      <c r="AC100" s="65">
        <f>VLOOKUP($I100,'[19]Gasto Real Vs Presupuesto 2026'!$A$7:$M$28,AC$1,0)</f>
        <v>1604.395767881507</v>
      </c>
      <c r="AD100" s="65">
        <f>VLOOKUP($I100,'[19]Gasto Real Vs Presupuesto 2026'!$A$7:$M$28,AD$1,0)</f>
        <v>1552.6410656917808</v>
      </c>
      <c r="AE100" s="65">
        <f>VLOOKUP($I100,'[19]Gasto Real Vs Presupuesto 2026'!$A$7:$M$28,AE$1,0)</f>
        <v>1604.395767881507</v>
      </c>
      <c r="AF100" s="65">
        <f>VLOOKUP($I100,'[19]Gasto Real Vs Presupuesto 2026'!$A$7:$M$28,AF$1,0)</f>
        <v>1604.395767881507</v>
      </c>
      <c r="AG100" s="65">
        <f>VLOOKUP($I100,'[19]Gasto Real Vs Presupuesto 2026'!$A$7:$M$28,AG$1,0)</f>
        <v>1552.6410656917808</v>
      </c>
      <c r="AH100" s="65">
        <f>VLOOKUP($I100,'[19]Gasto Real Vs Presupuesto 2026'!$A$7:$M$28,AH$1,0)</f>
        <v>1604.395767881507</v>
      </c>
      <c r="AI100" s="65">
        <f>VLOOKUP($I100,'[19]Gasto Real Vs Presupuesto 2026'!$A$7:$M$28,AI$1,0)</f>
        <v>1552.6410656917808</v>
      </c>
      <c r="AJ100" s="65">
        <f>VLOOKUP($I100,'[19]Gasto Real Vs Presupuesto 2026'!$A$7:$M$28,AJ$1,0)</f>
        <v>1604.395767881507</v>
      </c>
      <c r="AK100" s="65">
        <f t="shared" si="78"/>
        <v>18890.466299250002</v>
      </c>
      <c r="AL100" s="73">
        <f t="shared" si="49"/>
        <v>9.5122318516251801E-5</v>
      </c>
      <c r="AM100" s="14">
        <f t="shared" si="50"/>
        <v>0.17533757762931756</v>
      </c>
      <c r="AN100" s="9"/>
    </row>
    <row r="101" spans="1:40" ht="14.45" hidden="1" customHeight="1" outlineLevel="1">
      <c r="A101" s="12" t="s">
        <v>196</v>
      </c>
      <c r="B101" s="8" t="s">
        <v>89</v>
      </c>
      <c r="I101" s="223" t="s">
        <v>208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5909</v>
      </c>
      <c r="P101" s="65">
        <v>0</v>
      </c>
      <c r="Q101" s="65">
        <v>6080</v>
      </c>
      <c r="R101" s="65">
        <v>0</v>
      </c>
      <c r="S101" s="65">
        <v>0</v>
      </c>
      <c r="T101" s="65">
        <f t="shared" si="75"/>
        <v>1520</v>
      </c>
      <c r="U101" s="65">
        <f t="shared" si="76"/>
        <v>1900</v>
      </c>
      <c r="V101" s="65">
        <f t="shared" si="77"/>
        <v>15409</v>
      </c>
      <c r="W101" s="73">
        <f t="shared" si="47"/>
        <v>8.4942103795667198E-5</v>
      </c>
      <c r="X101" s="89"/>
      <c r="Y101" s="65">
        <f>VLOOKUP($I101,'[19]Gasto Real Vs Presupuesto 2026'!$A$7:$M$28,Y$1,0)</f>
        <v>0</v>
      </c>
      <c r="Z101" s="65">
        <f>VLOOKUP($I101,'[19]Gasto Real Vs Presupuesto 2026'!$A$7:$M$28,Z$1,0)</f>
        <v>0</v>
      </c>
      <c r="AA101" s="65">
        <f>VLOOKUP($I101,'[19]Gasto Real Vs Presupuesto 2026'!$A$7:$M$28,AA$1,0)</f>
        <v>0</v>
      </c>
      <c r="AB101" s="65">
        <f>VLOOKUP($I101,'[19]Gasto Real Vs Presupuesto 2026'!$A$7:$M$28,AB$1,0)</f>
        <v>0</v>
      </c>
      <c r="AC101" s="65">
        <f>VLOOKUP($I101,'[19]Gasto Real Vs Presupuesto 2026'!$A$7:$M$28,AC$1,0)</f>
        <v>0</v>
      </c>
      <c r="AD101" s="65">
        <f>VLOOKUP($I101,'[19]Gasto Real Vs Presupuesto 2026'!$A$7:$M$28,AD$1,0)</f>
        <v>0</v>
      </c>
      <c r="AE101" s="65">
        <f>VLOOKUP($I101,'[19]Gasto Real Vs Presupuesto 2026'!$A$7:$M$28,AE$1,0)</f>
        <v>0</v>
      </c>
      <c r="AF101" s="65">
        <f>VLOOKUP($I101,'[19]Gasto Real Vs Presupuesto 2026'!$A$7:$M$28,AF$1,0)</f>
        <v>0</v>
      </c>
      <c r="AG101" s="65">
        <f>VLOOKUP($I101,'[19]Gasto Real Vs Presupuesto 2026'!$A$7:$M$28,AG$1,0)</f>
        <v>0</v>
      </c>
      <c r="AH101" s="65">
        <f>VLOOKUP($I101,'[19]Gasto Real Vs Presupuesto 2026'!$A$7:$M$28,AH$1,0)</f>
        <v>0</v>
      </c>
      <c r="AI101" s="65">
        <f>VLOOKUP($I101,'[19]Gasto Real Vs Presupuesto 2026'!$A$7:$M$28,AI$1,0)</f>
        <v>0</v>
      </c>
      <c r="AJ101" s="65">
        <f>VLOOKUP($I101,'[19]Gasto Real Vs Presupuesto 2026'!$A$7:$M$28,AJ$1,0)</f>
        <v>0</v>
      </c>
      <c r="AK101" s="65">
        <f t="shared" si="78"/>
        <v>0</v>
      </c>
      <c r="AL101" s="73">
        <f t="shared" si="49"/>
        <v>0</v>
      </c>
      <c r="AM101" s="14">
        <f t="shared" si="50"/>
        <v>-1</v>
      </c>
      <c r="AN101" s="9"/>
    </row>
    <row r="102" spans="1:40" ht="14.45" hidden="1" customHeight="1" outlineLevel="1">
      <c r="A102" s="12" t="s">
        <v>196</v>
      </c>
      <c r="B102" s="8" t="s">
        <v>89</v>
      </c>
      <c r="I102" s="223" t="s">
        <v>209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/>
      <c r="T102" s="65">
        <f t="shared" si="75"/>
        <v>0</v>
      </c>
      <c r="U102" s="65">
        <f t="shared" si="76"/>
        <v>0</v>
      </c>
      <c r="V102" s="65">
        <f t="shared" si="77"/>
        <v>0</v>
      </c>
      <c r="W102" s="73">
        <f t="shared" si="47"/>
        <v>0</v>
      </c>
      <c r="X102" s="89"/>
      <c r="Y102" s="65">
        <f>VLOOKUP($I102,'[19]Gasto Real Vs Presupuesto 2026'!$A$7:$M$28,Y$1,0)</f>
        <v>0</v>
      </c>
      <c r="Z102" s="65">
        <f>VLOOKUP($I102,'[19]Gasto Real Vs Presupuesto 2026'!$A$7:$M$28,Z$1,0)</f>
        <v>0</v>
      </c>
      <c r="AA102" s="65">
        <f>VLOOKUP($I102,'[19]Gasto Real Vs Presupuesto 2026'!$A$7:$M$28,AA$1,0)</f>
        <v>0</v>
      </c>
      <c r="AB102" s="65">
        <f>VLOOKUP($I102,'[19]Gasto Real Vs Presupuesto 2026'!$A$7:$M$28,AB$1,0)</f>
        <v>0</v>
      </c>
      <c r="AC102" s="65">
        <f>VLOOKUP($I102,'[19]Gasto Real Vs Presupuesto 2026'!$A$7:$M$28,AC$1,0)</f>
        <v>0</v>
      </c>
      <c r="AD102" s="65">
        <f>VLOOKUP($I102,'[19]Gasto Real Vs Presupuesto 2026'!$A$7:$M$28,AD$1,0)</f>
        <v>0</v>
      </c>
      <c r="AE102" s="65">
        <f>VLOOKUP($I102,'[19]Gasto Real Vs Presupuesto 2026'!$A$7:$M$28,AE$1,0)</f>
        <v>0</v>
      </c>
      <c r="AF102" s="65">
        <f>VLOOKUP($I102,'[19]Gasto Real Vs Presupuesto 2026'!$A$7:$M$28,AF$1,0)</f>
        <v>0</v>
      </c>
      <c r="AG102" s="65">
        <f>VLOOKUP($I102,'[19]Gasto Real Vs Presupuesto 2026'!$A$7:$M$28,AG$1,0)</f>
        <v>0</v>
      </c>
      <c r="AH102" s="65">
        <f>VLOOKUP($I102,'[19]Gasto Real Vs Presupuesto 2026'!$A$7:$M$28,AH$1,0)</f>
        <v>0</v>
      </c>
      <c r="AI102" s="65">
        <f>VLOOKUP($I102,'[19]Gasto Real Vs Presupuesto 2026'!$A$7:$M$28,AI$1,0)</f>
        <v>0</v>
      </c>
      <c r="AJ102" s="65">
        <f>VLOOKUP($I102,'[19]Gasto Real Vs Presupuesto 2026'!$A$7:$M$28,AJ$1,0)</f>
        <v>0</v>
      </c>
      <c r="AK102" s="65">
        <f t="shared" si="78"/>
        <v>0</v>
      </c>
      <c r="AL102" s="73">
        <f t="shared" si="49"/>
        <v>0</v>
      </c>
      <c r="AM102" s="14">
        <f t="shared" si="50"/>
        <v>0</v>
      </c>
      <c r="AN102" s="9"/>
    </row>
    <row r="103" spans="1:40" ht="14.45" hidden="1" customHeight="1" outlineLevel="1">
      <c r="A103" s="12" t="s">
        <v>196</v>
      </c>
      <c r="B103" s="8" t="s">
        <v>89</v>
      </c>
      <c r="I103" s="223" t="s">
        <v>210</v>
      </c>
      <c r="J103" s="65">
        <v>149395</v>
      </c>
      <c r="K103" s="65">
        <v>119213</v>
      </c>
      <c r="L103" s="65">
        <v>141118</v>
      </c>
      <c r="M103" s="65">
        <v>133987</v>
      </c>
      <c r="N103" s="65">
        <v>136422</v>
      </c>
      <c r="O103" s="65">
        <v>140672</v>
      </c>
      <c r="P103" s="65">
        <v>135536</v>
      </c>
      <c r="Q103" s="65">
        <v>130247</v>
      </c>
      <c r="R103" s="65">
        <v>146462</v>
      </c>
      <c r="S103" s="65">
        <v>152900</v>
      </c>
      <c r="T103" s="65">
        <f t="shared" si="75"/>
        <v>141286.25</v>
      </c>
      <c r="U103" s="65">
        <f t="shared" si="76"/>
        <v>142723.8125</v>
      </c>
      <c r="V103" s="65">
        <f t="shared" si="77"/>
        <v>1669962.0625</v>
      </c>
      <c r="W103" s="73">
        <f t="shared" si="47"/>
        <v>9.2056649261925798E-3</v>
      </c>
      <c r="X103" s="89"/>
      <c r="Y103" s="65">
        <f>VLOOKUP($I103,'[19]Gasto Real Vs Presupuesto 2026'!$A$7:$M$28,Y$1,0)</f>
        <v>180185.98623899999</v>
      </c>
      <c r="Z103" s="65">
        <f>VLOOKUP($I103,'[19]Gasto Real Vs Presupuesto 2026'!$A$7:$M$28,Z$1,0)</f>
        <v>162748.632732</v>
      </c>
      <c r="AA103" s="65">
        <f>VLOOKUP($I103,'[19]Gasto Real Vs Presupuesto 2026'!$A$7:$M$28,AA$1,0)</f>
        <v>180185.98623899999</v>
      </c>
      <c r="AB103" s="65">
        <f>VLOOKUP($I103,'[19]Gasto Real Vs Presupuesto 2026'!$A$7:$M$28,AB$1,0)</f>
        <v>174373.53507000001</v>
      </c>
      <c r="AC103" s="65">
        <f>VLOOKUP($I103,'[19]Gasto Real Vs Presupuesto 2026'!$A$7:$M$28,AC$1,0)</f>
        <v>180185.98623899999</v>
      </c>
      <c r="AD103" s="65">
        <f>VLOOKUP($I103,'[19]Gasto Real Vs Presupuesto 2026'!$A$7:$M$28,AD$1,0)</f>
        <v>174373.53507000001</v>
      </c>
      <c r="AE103" s="65">
        <f>VLOOKUP($I103,'[19]Gasto Real Vs Presupuesto 2026'!$A$7:$M$28,AE$1,0)</f>
        <v>180185.98623899999</v>
      </c>
      <c r="AF103" s="65">
        <f>VLOOKUP($I103,'[19]Gasto Real Vs Presupuesto 2026'!$A$7:$M$28,AF$1,0)</f>
        <v>180185.98623899999</v>
      </c>
      <c r="AG103" s="65">
        <f>VLOOKUP($I103,'[19]Gasto Real Vs Presupuesto 2026'!$A$7:$M$28,AG$1,0)</f>
        <v>174373.53507000001</v>
      </c>
      <c r="AH103" s="65">
        <f>VLOOKUP($I103,'[19]Gasto Real Vs Presupuesto 2026'!$A$7:$M$28,AH$1,0)</f>
        <v>180185.98623899999</v>
      </c>
      <c r="AI103" s="65">
        <f>VLOOKUP($I103,'[19]Gasto Real Vs Presupuesto 2026'!$A$7:$M$28,AI$1,0)</f>
        <v>174373.53507000001</v>
      </c>
      <c r="AJ103" s="65">
        <f>VLOOKUP($I103,'[19]Gasto Real Vs Presupuesto 2026'!$A$7:$M$28,AJ$1,0)</f>
        <v>180185.98623899999</v>
      </c>
      <c r="AK103" s="65">
        <f t="shared" si="78"/>
        <v>2121544.6766849998</v>
      </c>
      <c r="AL103" s="73">
        <f t="shared" si="49"/>
        <v>1.0682968079517508E-2</v>
      </c>
      <c r="AM103" s="14">
        <f t="shared" si="50"/>
        <v>0.27041489404194174</v>
      </c>
      <c r="AN103" s="9"/>
    </row>
    <row r="104" spans="1:40" ht="14.45" hidden="1" customHeight="1" outlineLevel="1">
      <c r="A104" s="12" t="s">
        <v>196</v>
      </c>
      <c r="B104" s="8" t="s">
        <v>89</v>
      </c>
      <c r="I104" s="223" t="s">
        <v>211</v>
      </c>
      <c r="J104" s="65">
        <v>144</v>
      </c>
      <c r="K104" s="65">
        <v>410</v>
      </c>
      <c r="L104" s="65">
        <v>0</v>
      </c>
      <c r="M104" s="65">
        <v>0</v>
      </c>
      <c r="N104" s="65">
        <v>0</v>
      </c>
      <c r="O104" s="65">
        <v>0</v>
      </c>
      <c r="P104" s="65">
        <v>1878</v>
      </c>
      <c r="Q104" s="65">
        <v>2312</v>
      </c>
      <c r="R104" s="65">
        <v>1156</v>
      </c>
      <c r="S104" s="65">
        <v>0</v>
      </c>
      <c r="T104" s="65">
        <f t="shared" si="75"/>
        <v>1336.5</v>
      </c>
      <c r="U104" s="65">
        <f t="shared" si="76"/>
        <v>1201.125</v>
      </c>
      <c r="V104" s="65">
        <f t="shared" si="77"/>
        <v>8437.625</v>
      </c>
      <c r="W104" s="73">
        <f t="shared" si="47"/>
        <v>4.6512403046201338E-5</v>
      </c>
      <c r="X104" s="89"/>
      <c r="Y104" s="65">
        <f>VLOOKUP($I104,'[19]Gasto Real Vs Presupuesto 2026'!$A$7:$M$28,Y$1,0)</f>
        <v>0</v>
      </c>
      <c r="Z104" s="65">
        <f>VLOOKUP($I104,'[19]Gasto Real Vs Presupuesto 2026'!$A$7:$M$28,Z$1,0)</f>
        <v>0</v>
      </c>
      <c r="AA104" s="65">
        <f>VLOOKUP($I104,'[19]Gasto Real Vs Presupuesto 2026'!$A$7:$M$28,AA$1,0)</f>
        <v>0</v>
      </c>
      <c r="AB104" s="65">
        <f>VLOOKUP($I104,'[19]Gasto Real Vs Presupuesto 2026'!$A$7:$M$28,AB$1,0)</f>
        <v>0</v>
      </c>
      <c r="AC104" s="65">
        <f>VLOOKUP($I104,'[19]Gasto Real Vs Presupuesto 2026'!$A$7:$M$28,AC$1,0)</f>
        <v>0</v>
      </c>
      <c r="AD104" s="65">
        <f>VLOOKUP($I104,'[19]Gasto Real Vs Presupuesto 2026'!$A$7:$M$28,AD$1,0)</f>
        <v>0</v>
      </c>
      <c r="AE104" s="65">
        <f>VLOOKUP($I104,'[19]Gasto Real Vs Presupuesto 2026'!$A$7:$M$28,AE$1,0)</f>
        <v>0</v>
      </c>
      <c r="AF104" s="65">
        <f>VLOOKUP($I104,'[19]Gasto Real Vs Presupuesto 2026'!$A$7:$M$28,AF$1,0)</f>
        <v>0</v>
      </c>
      <c r="AG104" s="65">
        <f>VLOOKUP($I104,'[19]Gasto Real Vs Presupuesto 2026'!$A$7:$M$28,AG$1,0)</f>
        <v>0</v>
      </c>
      <c r="AH104" s="65">
        <f>VLOOKUP($I104,'[19]Gasto Real Vs Presupuesto 2026'!$A$7:$M$28,AH$1,0)</f>
        <v>0</v>
      </c>
      <c r="AI104" s="65">
        <f>VLOOKUP($I104,'[19]Gasto Real Vs Presupuesto 2026'!$A$7:$M$28,AI$1,0)</f>
        <v>0</v>
      </c>
      <c r="AJ104" s="65">
        <f>VLOOKUP($I104,'[19]Gasto Real Vs Presupuesto 2026'!$A$7:$M$28,AJ$1,0)</f>
        <v>0</v>
      </c>
      <c r="AK104" s="65">
        <f t="shared" si="78"/>
        <v>0</v>
      </c>
      <c r="AL104" s="73">
        <f t="shared" si="49"/>
        <v>0</v>
      </c>
      <c r="AM104" s="14">
        <f t="shared" si="50"/>
        <v>-1</v>
      </c>
      <c r="AN104" s="9"/>
    </row>
    <row r="105" spans="1:40" ht="14.45" hidden="1" customHeight="1" outlineLevel="1">
      <c r="A105" s="12" t="s">
        <v>196</v>
      </c>
      <c r="B105" s="8" t="s">
        <v>89</v>
      </c>
      <c r="I105" s="223" t="s">
        <v>212</v>
      </c>
      <c r="J105" s="65">
        <v>5920</v>
      </c>
      <c r="K105" s="65">
        <v>4287</v>
      </c>
      <c r="L105" s="65">
        <v>0</v>
      </c>
      <c r="M105" s="65">
        <v>5140</v>
      </c>
      <c r="N105" s="65">
        <v>5452</v>
      </c>
      <c r="O105" s="65">
        <v>5317</v>
      </c>
      <c r="P105" s="65">
        <v>5223</v>
      </c>
      <c r="Q105" s="65">
        <v>5521</v>
      </c>
      <c r="R105" s="65">
        <v>0</v>
      </c>
      <c r="S105" s="65">
        <v>5784</v>
      </c>
      <c r="T105" s="65">
        <f t="shared" si="75"/>
        <v>4132</v>
      </c>
      <c r="U105" s="65">
        <f t="shared" si="76"/>
        <v>3859.25</v>
      </c>
      <c r="V105" s="65">
        <f t="shared" si="77"/>
        <v>50635.25</v>
      </c>
      <c r="W105" s="73">
        <f t="shared" si="47"/>
        <v>2.7912678702184162E-4</v>
      </c>
      <c r="X105" s="89"/>
      <c r="Y105" s="65">
        <f>VLOOKUP($I105,'[19]Gasto Real Vs Presupuesto 2026'!$A$7:$M$28,Y$1,0)</f>
        <v>0</v>
      </c>
      <c r="Z105" s="65">
        <f>VLOOKUP($I105,'[19]Gasto Real Vs Presupuesto 2026'!$A$7:$M$28,Z$1,0)</f>
        <v>0</v>
      </c>
      <c r="AA105" s="65">
        <f>VLOOKUP($I105,'[19]Gasto Real Vs Presupuesto 2026'!$A$7:$M$28,AA$1,0)</f>
        <v>0</v>
      </c>
      <c r="AB105" s="65">
        <f>VLOOKUP($I105,'[19]Gasto Real Vs Presupuesto 2026'!$A$7:$M$28,AB$1,0)</f>
        <v>0</v>
      </c>
      <c r="AC105" s="65">
        <f>VLOOKUP($I105,'[19]Gasto Real Vs Presupuesto 2026'!$A$7:$M$28,AC$1,0)</f>
        <v>0</v>
      </c>
      <c r="AD105" s="65">
        <f>VLOOKUP($I105,'[19]Gasto Real Vs Presupuesto 2026'!$A$7:$M$28,AD$1,0)</f>
        <v>0</v>
      </c>
      <c r="AE105" s="65">
        <f>VLOOKUP($I105,'[19]Gasto Real Vs Presupuesto 2026'!$A$7:$M$28,AE$1,0)</f>
        <v>0</v>
      </c>
      <c r="AF105" s="65">
        <f>VLOOKUP($I105,'[19]Gasto Real Vs Presupuesto 2026'!$A$7:$M$28,AF$1,0)</f>
        <v>0</v>
      </c>
      <c r="AG105" s="65">
        <f>VLOOKUP($I105,'[19]Gasto Real Vs Presupuesto 2026'!$A$7:$M$28,AG$1,0)</f>
        <v>0</v>
      </c>
      <c r="AH105" s="65">
        <f>VLOOKUP($I105,'[19]Gasto Real Vs Presupuesto 2026'!$A$7:$M$28,AH$1,0)</f>
        <v>0</v>
      </c>
      <c r="AI105" s="65">
        <f>VLOOKUP($I105,'[19]Gasto Real Vs Presupuesto 2026'!$A$7:$M$28,AI$1,0)</f>
        <v>0</v>
      </c>
      <c r="AJ105" s="65">
        <f>VLOOKUP($I105,'[19]Gasto Real Vs Presupuesto 2026'!$A$7:$M$28,AJ$1,0)</f>
        <v>0</v>
      </c>
      <c r="AK105" s="65">
        <f t="shared" si="78"/>
        <v>0</v>
      </c>
      <c r="AL105" s="73">
        <f t="shared" si="49"/>
        <v>0</v>
      </c>
      <c r="AM105" s="14">
        <f t="shared" si="50"/>
        <v>-1</v>
      </c>
      <c r="AN105" s="9"/>
    </row>
    <row r="106" spans="1:40" ht="14.45" customHeight="1" collapsed="1">
      <c r="A106" s="12" t="s">
        <v>213</v>
      </c>
      <c r="B106" s="8" t="s">
        <v>89</v>
      </c>
      <c r="I106" s="167" t="s">
        <v>214</v>
      </c>
      <c r="J106" s="15">
        <v>51736</v>
      </c>
      <c r="K106" s="15">
        <v>41151</v>
      </c>
      <c r="L106" s="15">
        <v>46450</v>
      </c>
      <c r="M106" s="15">
        <v>46078</v>
      </c>
      <c r="N106" s="15">
        <v>47917</v>
      </c>
      <c r="O106" s="15">
        <v>50340</v>
      </c>
      <c r="P106" s="15">
        <v>47038</v>
      </c>
      <c r="Q106" s="15">
        <f t="shared" ref="Q106:U106" si="79">SUM(Q107:Q110)</f>
        <v>47971</v>
      </c>
      <c r="R106" s="15">
        <v>50121</v>
      </c>
      <c r="S106" s="15">
        <v>51198</v>
      </c>
      <c r="T106" s="15">
        <f t="shared" si="79"/>
        <v>49082</v>
      </c>
      <c r="U106" s="15">
        <f t="shared" si="79"/>
        <v>49592.75</v>
      </c>
      <c r="V106" s="15">
        <f t="shared" ref="V106" si="80">SUM(V107:V110)</f>
        <v>578675.75</v>
      </c>
      <c r="W106" s="72">
        <f t="shared" si="47"/>
        <v>3.1899497449890042E-3</v>
      </c>
      <c r="X106" s="89"/>
      <c r="Y106" s="15">
        <f>SUM(Y107:Y110)</f>
        <v>52530.634017575343</v>
      </c>
      <c r="Z106" s="15">
        <f t="shared" ref="Z106:AK106" si="81">SUM(Z107:Z110)</f>
        <v>57714.57136026254</v>
      </c>
      <c r="AA106" s="15">
        <f t="shared" si="81"/>
        <v>63129.060663222845</v>
      </c>
      <c r="AB106" s="15">
        <f t="shared" si="81"/>
        <v>59710.652675353937</v>
      </c>
      <c r="AC106" s="15">
        <f t="shared" si="81"/>
        <v>63129.060663222845</v>
      </c>
      <c r="AD106" s="15">
        <f t="shared" si="81"/>
        <v>59710.652675353937</v>
      </c>
      <c r="AE106" s="15">
        <f t="shared" si="81"/>
        <v>61515.76959940797</v>
      </c>
      <c r="AF106" s="15">
        <f t="shared" si="81"/>
        <v>61515.76959940797</v>
      </c>
      <c r="AG106" s="15">
        <f t="shared" si="81"/>
        <v>61324.23089556941</v>
      </c>
      <c r="AH106" s="15">
        <f t="shared" si="81"/>
        <v>61515.76959940797</v>
      </c>
      <c r="AI106" s="15">
        <f t="shared" si="81"/>
        <v>60711.123012083663</v>
      </c>
      <c r="AJ106" s="15">
        <f t="shared" si="81"/>
        <v>63129.060663222845</v>
      </c>
      <c r="AK106" s="15">
        <f t="shared" si="81"/>
        <v>725636.35542409122</v>
      </c>
      <c r="AL106" s="72">
        <f t="shared" si="49"/>
        <v>3.6539178776313708E-3</v>
      </c>
      <c r="AM106" s="10">
        <f t="shared" si="50"/>
        <v>0.25396019346601473</v>
      </c>
      <c r="AN106" s="9"/>
    </row>
    <row r="107" spans="1:40" ht="15" hidden="1" customHeight="1" outlineLevel="1">
      <c r="A107" s="12" t="s">
        <v>213</v>
      </c>
      <c r="B107" s="8" t="s">
        <v>89</v>
      </c>
      <c r="I107" s="213" t="s">
        <v>215</v>
      </c>
      <c r="J107" s="65">
        <v>9617</v>
      </c>
      <c r="K107" s="65">
        <v>7681</v>
      </c>
      <c r="L107" s="65">
        <v>8564</v>
      </c>
      <c r="M107" s="65">
        <v>8707</v>
      </c>
      <c r="N107" s="65">
        <v>9076</v>
      </c>
      <c r="O107" s="65">
        <v>8886</v>
      </c>
      <c r="P107" s="65">
        <v>9352</v>
      </c>
      <c r="Q107" s="65">
        <v>9069</v>
      </c>
      <c r="R107" s="65">
        <v>9038</v>
      </c>
      <c r="S107" s="65">
        <v>9604</v>
      </c>
      <c r="T107" s="65">
        <f t="shared" ref="T107:T110" si="82">+AVERAGE(P107:S107)</f>
        <v>9265.75</v>
      </c>
      <c r="U107" s="65">
        <f t="shared" ref="U107:U110" si="83">+AVERAGE(Q107:T107)</f>
        <v>9244.1875</v>
      </c>
      <c r="V107" s="65">
        <f t="shared" ref="V107:V110" si="84">SUM(J107:U107)</f>
        <v>108103.9375</v>
      </c>
      <c r="W107" s="73">
        <f t="shared" si="47"/>
        <v>5.9592289440231808E-4</v>
      </c>
      <c r="X107" s="89"/>
      <c r="Y107" s="65">
        <f>VLOOKUP($I107,'[19]Gasto Real Vs Presupuesto 2026'!$A$7:$M$28,Y$1,0)</f>
        <v>594.10398592000001</v>
      </c>
      <c r="Z107" s="65">
        <f>VLOOKUP($I107,'[19]Gasto Real Vs Presupuesto 2026'!$A$7:$M$28,Z$1,0)</f>
        <v>10257.725976009999</v>
      </c>
      <c r="AA107" s="65">
        <f>VLOOKUP($I107,'[19]Gasto Real Vs Presupuesto 2026'!$A$7:$M$28,AA$1,0)</f>
        <v>11192.530631567499</v>
      </c>
      <c r="AB107" s="65">
        <f>VLOOKUP($I107,'[19]Gasto Real Vs Presupuesto 2026'!$A$7:$M$28,AB$1,0)</f>
        <v>10534.056049574998</v>
      </c>
      <c r="AC107" s="65">
        <f>VLOOKUP($I107,'[19]Gasto Real Vs Presupuesto 2026'!$A$7:$M$28,AC$1,0)</f>
        <v>11192.530631567499</v>
      </c>
      <c r="AD107" s="65">
        <f>VLOOKUP($I107,'[19]Gasto Real Vs Presupuesto 2026'!$A$7:$M$28,AD$1,0)</f>
        <v>10534.056049574998</v>
      </c>
      <c r="AE107" s="65">
        <f>VLOOKUP($I107,'[19]Gasto Real Vs Presupuesto 2026'!$A$7:$M$28,AE$1,0)</f>
        <v>10845.7200694275</v>
      </c>
      <c r="AF107" s="65">
        <f>VLOOKUP($I107,'[19]Gasto Real Vs Presupuesto 2026'!$A$7:$M$28,AF$1,0)</f>
        <v>10845.7200694275</v>
      </c>
      <c r="AG107" s="65">
        <f>VLOOKUP($I107,'[19]Gasto Real Vs Presupuesto 2026'!$A$7:$M$28,AG$1,0)</f>
        <v>10880.929079714999</v>
      </c>
      <c r="AH107" s="65">
        <f>VLOOKUP($I107,'[19]Gasto Real Vs Presupuesto 2026'!$A$7:$M$28,AH$1,0)</f>
        <v>10845.7200694275</v>
      </c>
      <c r="AI107" s="65">
        <f>VLOOKUP($I107,'[19]Gasto Real Vs Presupuesto 2026'!$A$7:$M$28,AI$1,0)</f>
        <v>10880.929079714999</v>
      </c>
      <c r="AJ107" s="65">
        <f>VLOOKUP($I107,'[19]Gasto Real Vs Presupuesto 2026'!$A$7:$M$28,AJ$1,0)</f>
        <v>11192.530631567499</v>
      </c>
      <c r="AK107" s="65">
        <f t="shared" si="78"/>
        <v>119796.55232349498</v>
      </c>
      <c r="AL107" s="73">
        <f t="shared" si="49"/>
        <v>6.0323157865704651E-4</v>
      </c>
      <c r="AM107" s="14">
        <f t="shared" si="50"/>
        <v>0.10816085976049661</v>
      </c>
      <c r="AN107" s="9"/>
    </row>
    <row r="108" spans="1:40" ht="15" hidden="1" customHeight="1" outlineLevel="1">
      <c r="A108" s="12" t="s">
        <v>213</v>
      </c>
      <c r="B108" s="8" t="s">
        <v>89</v>
      </c>
      <c r="I108" s="213" t="s">
        <v>216</v>
      </c>
      <c r="J108" s="65">
        <v>14615</v>
      </c>
      <c r="K108" s="65">
        <v>11717</v>
      </c>
      <c r="L108" s="65">
        <v>13072</v>
      </c>
      <c r="M108" s="65">
        <v>13190</v>
      </c>
      <c r="N108" s="65">
        <v>13546</v>
      </c>
      <c r="O108" s="65">
        <v>13724</v>
      </c>
      <c r="P108" s="65">
        <v>14050</v>
      </c>
      <c r="Q108" s="65">
        <v>13558</v>
      </c>
      <c r="R108" s="65">
        <v>14012</v>
      </c>
      <c r="S108" s="65">
        <v>14796</v>
      </c>
      <c r="T108" s="65">
        <f t="shared" si="82"/>
        <v>14104</v>
      </c>
      <c r="U108" s="65">
        <f t="shared" si="83"/>
        <v>14117.5</v>
      </c>
      <c r="V108" s="65">
        <f t="shared" si="84"/>
        <v>164501.5</v>
      </c>
      <c r="W108" s="73">
        <f t="shared" si="47"/>
        <v>9.0681442582535841E-4</v>
      </c>
      <c r="X108" s="89"/>
      <c r="Y108" s="65">
        <f>VLOOKUP($I108,'[19]Gasto Real Vs Presupuesto 2026'!$A$7:$M$28,Y$1,0)</f>
        <v>19372.766733875171</v>
      </c>
      <c r="Z108" s="65">
        <f>VLOOKUP($I108,'[19]Gasto Real Vs Presupuesto 2026'!$A$7:$M$28,Z$1,0)</f>
        <v>17758.903868769041</v>
      </c>
      <c r="AA108" s="65">
        <f>VLOOKUP($I108,'[19]Gasto Real Vs Presupuesto 2026'!$A$7:$M$28,AA$1,0)</f>
        <v>19372.766733875171</v>
      </c>
      <c r="AB108" s="65">
        <f>VLOOKUP($I108,'[19]Gasto Real Vs Presupuesto 2026'!$A$7:$M$28,AB$1,0)</f>
        <v>18235.718514128112</v>
      </c>
      <c r="AC108" s="65">
        <f>VLOOKUP($I108,'[19]Gasto Real Vs Presupuesto 2026'!$A$7:$M$28,AC$1,0)</f>
        <v>19372.766733875171</v>
      </c>
      <c r="AD108" s="65">
        <f>VLOOKUP($I108,'[19]Gasto Real Vs Presupuesto 2026'!$A$7:$M$28,AD$1,0)</f>
        <v>18235.718514128112</v>
      </c>
      <c r="AE108" s="65">
        <f>VLOOKUP($I108,'[19]Gasto Real Vs Presupuesto 2026'!$A$7:$M$28,AE$1,0)</f>
        <v>18773.777261486426</v>
      </c>
      <c r="AF108" s="65">
        <f>VLOOKUP($I108,'[19]Gasto Real Vs Presupuesto 2026'!$A$7:$M$28,AF$1,0)</f>
        <v>18773.777261486426</v>
      </c>
      <c r="AG108" s="65">
        <f>VLOOKUP($I108,'[19]Gasto Real Vs Presupuesto 2026'!$A$7:$M$28,AG$1,0)</f>
        <v>18834.812445506461</v>
      </c>
      <c r="AH108" s="65">
        <f>VLOOKUP($I108,'[19]Gasto Real Vs Presupuesto 2026'!$A$7:$M$28,AH$1,0)</f>
        <v>18773.777261486426</v>
      </c>
      <c r="AI108" s="65">
        <f>VLOOKUP($I108,'[19]Gasto Real Vs Presupuesto 2026'!$A$7:$M$28,AI$1,0)</f>
        <v>18834.812445506461</v>
      </c>
      <c r="AJ108" s="65">
        <f>VLOOKUP($I108,'[19]Gasto Real Vs Presupuesto 2026'!$A$7:$M$28,AJ$1,0)</f>
        <v>19372.766733875171</v>
      </c>
      <c r="AK108" s="65">
        <f t="shared" si="78"/>
        <v>225712.36450799814</v>
      </c>
      <c r="AL108" s="73">
        <f t="shared" si="49"/>
        <v>1.1365671492523479E-3</v>
      </c>
      <c r="AM108" s="14">
        <f t="shared" si="50"/>
        <v>0.37209912680430346</v>
      </c>
      <c r="AN108" s="9"/>
    </row>
    <row r="109" spans="1:40" ht="15" hidden="1" customHeight="1" outlineLevel="1">
      <c r="A109" s="12" t="s">
        <v>213</v>
      </c>
      <c r="B109" s="8" t="s">
        <v>89</v>
      </c>
      <c r="I109" s="213" t="s">
        <v>217</v>
      </c>
      <c r="J109" s="65">
        <v>20648</v>
      </c>
      <c r="K109" s="65">
        <v>16555</v>
      </c>
      <c r="L109" s="65">
        <v>18619</v>
      </c>
      <c r="M109" s="65">
        <v>18686</v>
      </c>
      <c r="N109" s="65">
        <v>19202</v>
      </c>
      <c r="O109" s="65">
        <v>19430</v>
      </c>
      <c r="P109" s="65">
        <v>18573</v>
      </c>
      <c r="Q109" s="65">
        <v>18631</v>
      </c>
      <c r="R109" s="65">
        <v>19650</v>
      </c>
      <c r="S109" s="65">
        <v>20435</v>
      </c>
      <c r="T109" s="65">
        <f t="shared" si="82"/>
        <v>19322.25</v>
      </c>
      <c r="U109" s="65">
        <f t="shared" si="83"/>
        <v>19509.5625</v>
      </c>
      <c r="V109" s="65">
        <f t="shared" si="84"/>
        <v>229260.8125</v>
      </c>
      <c r="W109" s="73">
        <f t="shared" si="47"/>
        <v>1.2638000993999607E-3</v>
      </c>
      <c r="X109" s="89"/>
      <c r="Y109" s="65">
        <f>VLOOKUP($I109,'[19]Gasto Real Vs Presupuesto 2026'!$A$7:$M$28,Y$1,0)</f>
        <v>25622.873201768049</v>
      </c>
      <c r="Z109" s="65">
        <f>VLOOKUP($I109,'[19]Gasto Real Vs Presupuesto 2026'!$A$7:$M$28,Z$1,0)</f>
        <v>23347.161552477999</v>
      </c>
      <c r="AA109" s="65">
        <f>VLOOKUP($I109,'[19]Gasto Real Vs Presupuesto 2026'!$A$7:$M$28,AA$1,0)</f>
        <v>25622.873201768049</v>
      </c>
      <c r="AB109" s="65">
        <f>VLOOKUP($I109,'[19]Gasto Real Vs Presupuesto 2026'!$A$7:$M$28,AB$1,0)</f>
        <v>24387.471559884572</v>
      </c>
      <c r="AC109" s="65">
        <f>VLOOKUP($I109,'[19]Gasto Real Vs Presupuesto 2026'!$A$7:$M$28,AC$1,0)</f>
        <v>25622.873201768049</v>
      </c>
      <c r="AD109" s="65">
        <f>VLOOKUP($I109,'[19]Gasto Real Vs Presupuesto 2026'!$A$7:$M$28,AD$1,0)</f>
        <v>24387.471559884572</v>
      </c>
      <c r="AE109" s="65">
        <f>VLOOKUP($I109,'[19]Gasto Real Vs Presupuesto 2026'!$A$7:$M$28,AE$1,0)</f>
        <v>25146.127981658923</v>
      </c>
      <c r="AF109" s="65">
        <f>VLOOKUP($I109,'[19]Gasto Real Vs Presupuesto 2026'!$A$7:$M$28,AF$1,0)</f>
        <v>25146.127981658923</v>
      </c>
      <c r="AG109" s="65">
        <f>VLOOKUP($I109,'[19]Gasto Real Vs Presupuesto 2026'!$A$7:$M$28,AG$1,0)</f>
        <v>24864.302652004702</v>
      </c>
      <c r="AH109" s="65">
        <f>VLOOKUP($I109,'[19]Gasto Real Vs Presupuesto 2026'!$A$7:$M$28,AH$1,0)</f>
        <v>25146.127981658923</v>
      </c>
      <c r="AI109" s="65">
        <f>VLOOKUP($I109,'[19]Gasto Real Vs Presupuesto 2026'!$A$7:$M$28,AI$1,0)</f>
        <v>24864.302652004702</v>
      </c>
      <c r="AJ109" s="65">
        <f>VLOOKUP($I109,'[19]Gasto Real Vs Presupuesto 2026'!$A$7:$M$28,AJ$1,0)</f>
        <v>25622.873201768049</v>
      </c>
      <c r="AK109" s="65">
        <f t="shared" si="78"/>
        <v>299780.58672830544</v>
      </c>
      <c r="AL109" s="73">
        <f t="shared" si="49"/>
        <v>1.5095352334892264E-3</v>
      </c>
      <c r="AM109" s="14">
        <f t="shared" si="50"/>
        <v>0.30759628503150949</v>
      </c>
      <c r="AN109" s="9"/>
    </row>
    <row r="110" spans="1:40" ht="15" hidden="1" customHeight="1" outlineLevel="1">
      <c r="A110" s="12" t="s">
        <v>213</v>
      </c>
      <c r="B110" s="8" t="s">
        <v>89</v>
      </c>
      <c r="I110" t="s">
        <v>218</v>
      </c>
      <c r="J110" s="65">
        <v>6857</v>
      </c>
      <c r="K110" s="65">
        <v>5197</v>
      </c>
      <c r="L110" s="65">
        <v>6195</v>
      </c>
      <c r="M110" s="65">
        <v>5495</v>
      </c>
      <c r="N110" s="65">
        <v>6093</v>
      </c>
      <c r="O110" s="65">
        <v>8301</v>
      </c>
      <c r="P110" s="65">
        <v>5064</v>
      </c>
      <c r="Q110" s="65">
        <v>6713</v>
      </c>
      <c r="R110" s="65">
        <v>7421</v>
      </c>
      <c r="S110" s="65">
        <v>6362</v>
      </c>
      <c r="T110" s="65">
        <f t="shared" si="82"/>
        <v>6390</v>
      </c>
      <c r="U110" s="65">
        <f t="shared" si="83"/>
        <v>6721.5</v>
      </c>
      <c r="V110" s="65">
        <f t="shared" si="84"/>
        <v>76809.5</v>
      </c>
      <c r="W110" s="73">
        <f t="shared" si="47"/>
        <v>4.2341232536136672E-4</v>
      </c>
      <c r="X110" s="89"/>
      <c r="Y110" s="65">
        <f>VLOOKUP($I110,'[19]Gasto Real Vs Presupuesto 2026'!$A$7:$M$28,Y$1,0)</f>
        <v>6940.8900960121255</v>
      </c>
      <c r="Z110" s="65">
        <f>VLOOKUP($I110,'[19]Gasto Real Vs Presupuesto 2026'!$A$7:$M$28,Z$1,0)</f>
        <v>6350.7799630054997</v>
      </c>
      <c r="AA110" s="65">
        <f>VLOOKUP($I110,'[19]Gasto Real Vs Presupuesto 2026'!$A$7:$M$28,AA$1,0)</f>
        <v>6940.8900960121255</v>
      </c>
      <c r="AB110" s="65">
        <f>VLOOKUP($I110,'[19]Gasto Real Vs Presupuesto 2026'!$A$7:$M$28,AB$1,0)</f>
        <v>6553.4065517662493</v>
      </c>
      <c r="AC110" s="65">
        <f>VLOOKUP($I110,'[19]Gasto Real Vs Presupuesto 2026'!$A$7:$M$28,AC$1,0)</f>
        <v>6940.8900960121255</v>
      </c>
      <c r="AD110" s="65">
        <f>VLOOKUP($I110,'[19]Gasto Real Vs Presupuesto 2026'!$A$7:$M$28,AD$1,0)</f>
        <v>6553.4065517662493</v>
      </c>
      <c r="AE110" s="65">
        <f>VLOOKUP($I110,'[19]Gasto Real Vs Presupuesto 2026'!$A$7:$M$28,AE$1,0)</f>
        <v>6750.1442868351251</v>
      </c>
      <c r="AF110" s="65">
        <f>VLOOKUP($I110,'[19]Gasto Real Vs Presupuesto 2026'!$A$7:$M$28,AF$1,0)</f>
        <v>6750.1442868351251</v>
      </c>
      <c r="AG110" s="65">
        <f>VLOOKUP($I110,'[19]Gasto Real Vs Presupuesto 2026'!$A$7:$M$28,AG$1,0)</f>
        <v>6744.1867183432496</v>
      </c>
      <c r="AH110" s="65">
        <f>VLOOKUP($I110,'[19]Gasto Real Vs Presupuesto 2026'!$A$7:$M$28,AH$1,0)</f>
        <v>6750.1442868351251</v>
      </c>
      <c r="AI110" s="65">
        <f>VLOOKUP($I110,'[19]Gasto Real Vs Presupuesto 2026'!$A$7:$M$28,AI$1,0)</f>
        <v>6131.0788348574997</v>
      </c>
      <c r="AJ110" s="65">
        <f>VLOOKUP($I110,'[19]Gasto Real Vs Presupuesto 2026'!$A$7:$M$28,AJ$1,0)</f>
        <v>6940.8900960121255</v>
      </c>
      <c r="AK110" s="65">
        <f t="shared" si="78"/>
        <v>80346.851864292621</v>
      </c>
      <c r="AL110" s="73">
        <f t="shared" si="49"/>
        <v>4.0458391623274958E-4</v>
      </c>
      <c r="AM110" s="14">
        <f t="shared" si="50"/>
        <v>4.6053572335357229E-2</v>
      </c>
      <c r="AN110" s="9"/>
    </row>
    <row r="111" spans="1:40" ht="14.45" customHeight="1" collapsed="1">
      <c r="A111" s="12" t="s">
        <v>219</v>
      </c>
      <c r="B111" s="8" t="s">
        <v>89</v>
      </c>
      <c r="C111" s="8" t="s">
        <v>81</v>
      </c>
      <c r="I111" s="167" t="s">
        <v>220</v>
      </c>
      <c r="J111" s="15">
        <v>52211</v>
      </c>
      <c r="K111" s="15">
        <v>34778</v>
      </c>
      <c r="L111" s="15">
        <v>56248</v>
      </c>
      <c r="M111" s="15">
        <v>30250</v>
      </c>
      <c r="N111" s="15">
        <v>25693</v>
      </c>
      <c r="O111" s="15">
        <v>20320</v>
      </c>
      <c r="P111" s="15">
        <v>42782</v>
      </c>
      <c r="Q111" s="15">
        <f t="shared" ref="Q111:U111" si="85">SUM(Q112:Q146)</f>
        <v>33600</v>
      </c>
      <c r="R111" s="15">
        <v>74288</v>
      </c>
      <c r="S111" s="15">
        <v>73815</v>
      </c>
      <c r="T111" s="15">
        <f t="shared" si="85"/>
        <v>38509.120000000003</v>
      </c>
      <c r="U111" s="15">
        <f t="shared" si="85"/>
        <v>50558.559999999998</v>
      </c>
      <c r="V111" s="15">
        <f t="shared" ref="V111" si="86">SUM(V112:V146)</f>
        <v>533052.67999999993</v>
      </c>
      <c r="W111" s="72">
        <f t="shared" si="47"/>
        <v>2.9384525973858502E-3</v>
      </c>
      <c r="X111" s="89"/>
      <c r="Y111" s="15">
        <f>SUM(Y112:Y146)</f>
        <v>75304.599166666667</v>
      </c>
      <c r="Z111" s="15">
        <f t="shared" ref="Z111:AK111" si="87">SUM(Z112:Z146)</f>
        <v>46240.037166666662</v>
      </c>
      <c r="AA111" s="15">
        <f t="shared" si="87"/>
        <v>63833.413766666665</v>
      </c>
      <c r="AB111" s="15">
        <f t="shared" si="87"/>
        <v>24700.929166666665</v>
      </c>
      <c r="AC111" s="15">
        <f t="shared" si="87"/>
        <v>53805.83216666666</v>
      </c>
      <c r="AD111" s="15">
        <f t="shared" si="87"/>
        <v>27288.679166666665</v>
      </c>
      <c r="AE111" s="15">
        <f t="shared" si="87"/>
        <v>36283.643766666661</v>
      </c>
      <c r="AF111" s="15">
        <f t="shared" si="87"/>
        <v>122371.64216666667</v>
      </c>
      <c r="AG111" s="15">
        <f t="shared" si="87"/>
        <v>67806.579166666663</v>
      </c>
      <c r="AH111" s="15">
        <f t="shared" si="87"/>
        <v>26046.559166666666</v>
      </c>
      <c r="AI111" s="15">
        <f t="shared" si="87"/>
        <v>52979.542166666666</v>
      </c>
      <c r="AJ111" s="15">
        <f t="shared" si="87"/>
        <v>30026.658766666667</v>
      </c>
      <c r="AK111" s="15">
        <f t="shared" si="87"/>
        <v>626688.11580000003</v>
      </c>
      <c r="AL111" s="72">
        <f t="shared" si="49"/>
        <v>3.1556672883106141E-3</v>
      </c>
      <c r="AM111" s="10">
        <f t="shared" si="50"/>
        <v>0.17565887821819048</v>
      </c>
      <c r="AN111" s="9"/>
    </row>
    <row r="112" spans="1:40" ht="14.45" hidden="1" customHeight="1" outlineLevel="1">
      <c r="A112" s="12" t="s">
        <v>219</v>
      </c>
      <c r="B112" s="8" t="s">
        <v>89</v>
      </c>
      <c r="I112" s="224" t="s">
        <v>221</v>
      </c>
      <c r="J112" s="65">
        <v>0</v>
      </c>
      <c r="K112" s="65">
        <v>0</v>
      </c>
      <c r="L112" s="65">
        <v>4300</v>
      </c>
      <c r="M112" s="65">
        <v>0</v>
      </c>
      <c r="N112" s="65">
        <v>0</v>
      </c>
      <c r="O112" s="65">
        <v>0</v>
      </c>
      <c r="P112" s="65">
        <v>0</v>
      </c>
      <c r="Q112" s="65">
        <v>8500</v>
      </c>
      <c r="R112" s="65">
        <v>0</v>
      </c>
      <c r="S112" s="65">
        <v>0</v>
      </c>
      <c r="T112" s="65">
        <v>3450.7200000000003</v>
      </c>
      <c r="U112" s="65">
        <v>5530.72</v>
      </c>
      <c r="V112" s="65">
        <f t="shared" ref="V112:V146" si="88">SUM(J112:U112)</f>
        <v>21781.440000000002</v>
      </c>
      <c r="W112" s="73">
        <f t="shared" si="47"/>
        <v>1.2007017569596324E-4</v>
      </c>
      <c r="X112" s="89"/>
      <c r="Y112" s="65">
        <f>VLOOKUP($E$1,[20]Resumen!$V$8:$AH$9,Y1,0)+VLOOKUP($E$1,[6]Resumen!$C$23:$O$24,Y1,0)</f>
        <v>4000</v>
      </c>
      <c r="Z112" s="65">
        <f>VLOOKUP($E$1,[20]Resumen!$V$8:$AH$9,Z1,0)+VLOOKUP($E$1,[6]Resumen!$C$23:$O$24,Z1,0)</f>
        <v>2500</v>
      </c>
      <c r="AA112" s="65">
        <f>VLOOKUP($E$1,[20]Resumen!$V$8:$AH$9,AA1,0)+VLOOKUP($E$1,[6]Resumen!$C$23:$O$24,AA1,0)</f>
        <v>4000</v>
      </c>
      <c r="AB112" s="65">
        <f>VLOOKUP($E$1,[20]Resumen!$V$8:$AH$9,AB1,0)+VLOOKUP($E$1,[6]Resumen!$C$23:$O$24,AB1,0)</f>
        <v>2500</v>
      </c>
      <c r="AC112" s="65">
        <f>VLOOKUP($E$1,[20]Resumen!$V$8:$AH$9,AC1,0)+VLOOKUP($E$1,[6]Resumen!$C$23:$O$24,AC1,0)</f>
        <v>4000</v>
      </c>
      <c r="AD112" s="65">
        <f>VLOOKUP($E$1,[20]Resumen!$V$8:$AH$9,AD1,0)+VLOOKUP($E$1,[6]Resumen!$C$23:$O$24,AD1,0)</f>
        <v>2500</v>
      </c>
      <c r="AE112" s="65">
        <f>VLOOKUP($E$1,[20]Resumen!$V$8:$AH$9,AE1,0)+VLOOKUP($E$1,[6]Resumen!$C$23:$O$24,AE1,0)</f>
        <v>4000</v>
      </c>
      <c r="AF112" s="65">
        <f>VLOOKUP($E$1,[20]Resumen!$V$8:$AH$9,AF1,0)+VLOOKUP($E$1,[6]Resumen!$C$23:$O$24,AF1,0)</f>
        <v>2500</v>
      </c>
      <c r="AG112" s="65">
        <f>VLOOKUP($E$1,[20]Resumen!$V$8:$AH$9,AG1,0)+VLOOKUP($E$1,[6]Resumen!$C$23:$O$24,AG1,0)</f>
        <v>4000</v>
      </c>
      <c r="AH112" s="65">
        <f>VLOOKUP($E$1,[20]Resumen!$V$8:$AH$9,AH1,0)+VLOOKUP($E$1,[6]Resumen!$C$23:$O$24,AH1,0)</f>
        <v>2500</v>
      </c>
      <c r="AI112" s="65">
        <f>VLOOKUP($E$1,[20]Resumen!$V$8:$AH$9,AI1,0)+VLOOKUP($E$1,[6]Resumen!$C$23:$O$24,AI1,0)</f>
        <v>4000</v>
      </c>
      <c r="AJ112" s="65">
        <f>VLOOKUP($E$1,[20]Resumen!$V$8:$AH$9,AJ1,0)+VLOOKUP($E$1,[6]Resumen!$C$23:$O$24,AJ1,0)</f>
        <v>4000</v>
      </c>
      <c r="AK112" s="65">
        <f t="shared" si="78"/>
        <v>40500</v>
      </c>
      <c r="AL112" s="73">
        <f t="shared" si="49"/>
        <v>2.0393641103825741E-4</v>
      </c>
      <c r="AM112" s="14">
        <f t="shared" si="50"/>
        <v>0.85938119793732626</v>
      </c>
      <c r="AN112" s="9"/>
    </row>
    <row r="113" spans="1:40" ht="14.45" hidden="1" customHeight="1" outlineLevel="1">
      <c r="A113" s="12"/>
      <c r="I113" s="223" t="s">
        <v>222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f t="shared" si="88"/>
        <v>0</v>
      </c>
      <c r="W113" s="73">
        <f t="shared" si="47"/>
        <v>0</v>
      </c>
      <c r="X113" s="89"/>
      <c r="Y113" s="65">
        <f>VLOOKUP($E$1,[9]Resumen!$V$17:$AH$18,Y1,0)</f>
        <v>0</v>
      </c>
      <c r="Z113" s="65">
        <f>VLOOKUP($E$1,[9]Resumen!$V$17:$AH$18,Z1,0)</f>
        <v>0</v>
      </c>
      <c r="AA113" s="65">
        <f>VLOOKUP($E$1,[9]Resumen!$V$17:$AH$18,AA1,0)</f>
        <v>0</v>
      </c>
      <c r="AB113" s="65">
        <f>VLOOKUP($E$1,[9]Resumen!$V$17:$AH$18,AB1,0)</f>
        <v>0</v>
      </c>
      <c r="AC113" s="65">
        <f>VLOOKUP($E$1,[9]Resumen!$V$17:$AH$18,AC1,0)</f>
        <v>0</v>
      </c>
      <c r="AD113" s="65">
        <f>VLOOKUP($E$1,[9]Resumen!$V$17:$AH$18,AD1,0)</f>
        <v>0</v>
      </c>
      <c r="AE113" s="65">
        <f>VLOOKUP($E$1,[9]Resumen!$V$17:$AH$18,AE1,0)</f>
        <v>0</v>
      </c>
      <c r="AF113" s="65">
        <f>VLOOKUP($E$1,[9]Resumen!$V$17:$AH$18,AF1,0)</f>
        <v>0</v>
      </c>
      <c r="AG113" s="65">
        <f>VLOOKUP($E$1,[9]Resumen!$V$17:$AH$18,AG1,0)</f>
        <v>0</v>
      </c>
      <c r="AH113" s="65">
        <f>VLOOKUP($E$1,[9]Resumen!$V$17:$AH$18,AH1,0)</f>
        <v>0</v>
      </c>
      <c r="AI113" s="65">
        <f>VLOOKUP($E$1,[9]Resumen!$V$17:$AH$18,AI1,0)</f>
        <v>0</v>
      </c>
      <c r="AJ113" s="65">
        <f>VLOOKUP($E$1,[9]Resumen!$V$17:$AH$18,AJ1,0)</f>
        <v>0</v>
      </c>
      <c r="AK113" s="65">
        <f t="shared" si="78"/>
        <v>0</v>
      </c>
      <c r="AL113" s="73">
        <f t="shared" si="49"/>
        <v>0</v>
      </c>
      <c r="AM113" s="14">
        <f t="shared" si="50"/>
        <v>0</v>
      </c>
      <c r="AN113" s="9"/>
    </row>
    <row r="114" spans="1:40" ht="14.45" hidden="1" customHeight="1" outlineLevel="1">
      <c r="A114" s="12"/>
      <c r="I114" s="223" t="s">
        <v>223</v>
      </c>
      <c r="J114" s="65">
        <v>0</v>
      </c>
      <c r="K114" s="65">
        <v>2278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16450</v>
      </c>
      <c r="T114" s="65">
        <v>0</v>
      </c>
      <c r="U114" s="65">
        <v>0</v>
      </c>
      <c r="V114" s="65">
        <f t="shared" si="88"/>
        <v>18728</v>
      </c>
      <c r="W114" s="73">
        <f t="shared" si="47"/>
        <v>1.0323808942080961E-4</v>
      </c>
      <c r="X114" s="89"/>
      <c r="Y114" s="65">
        <f>+VLOOKUP($E$1,[9]Resumen!$V$24:$AH$25,Y1,0)</f>
        <v>0</v>
      </c>
      <c r="Z114" s="65">
        <f>+VLOOKUP($E$1,[9]Resumen!$V$24:$AH$25,Z1,0)</f>
        <v>0</v>
      </c>
      <c r="AA114" s="65">
        <f>+VLOOKUP($E$1,[9]Resumen!$V$24:$AH$25,AA1,0)</f>
        <v>0</v>
      </c>
      <c r="AB114" s="65">
        <f>+VLOOKUP($E$1,[9]Resumen!$V$24:$AH$25,AB1,0)</f>
        <v>0</v>
      </c>
      <c r="AC114" s="65">
        <f>+VLOOKUP($E$1,[9]Resumen!$V$24:$AH$25,AC1,0)</f>
        <v>0</v>
      </c>
      <c r="AD114" s="65">
        <f>+VLOOKUP($E$1,[9]Resumen!$V$24:$AH$25,AD1,0)</f>
        <v>0</v>
      </c>
      <c r="AE114" s="65">
        <f>+VLOOKUP($E$1,[9]Resumen!$V$24:$AH$25,AE1,0)</f>
        <v>0</v>
      </c>
      <c r="AF114" s="65">
        <f>+VLOOKUP($E$1,[9]Resumen!$V$24:$AH$25,AF1,0)</f>
        <v>0</v>
      </c>
      <c r="AG114" s="65">
        <f>+VLOOKUP($E$1,[9]Resumen!$V$24:$AH$25,AG1,0)</f>
        <v>32605.649999999998</v>
      </c>
      <c r="AH114" s="65">
        <f>+VLOOKUP($E$1,[9]Resumen!$V$24:$AH$25,AH1,0)</f>
        <v>0</v>
      </c>
      <c r="AI114" s="65">
        <f>+VLOOKUP($E$1,[9]Resumen!$V$24:$AH$25,AI1,0)</f>
        <v>0</v>
      </c>
      <c r="AJ114" s="65">
        <f>+VLOOKUP($E$1,[9]Resumen!$V$24:$AH$25,AJ1,0)</f>
        <v>0</v>
      </c>
      <c r="AK114" s="65">
        <f t="shared" si="78"/>
        <v>32605.649999999998</v>
      </c>
      <c r="AL114" s="73">
        <f t="shared" si="49"/>
        <v>1.6418467260665573E-4</v>
      </c>
      <c r="AM114" s="14">
        <f t="shared" si="50"/>
        <v>0.74101078598889347</v>
      </c>
      <c r="AN114" s="9"/>
    </row>
    <row r="115" spans="1:40" ht="14.45" hidden="1" customHeight="1" outlineLevel="1">
      <c r="A115" s="12"/>
      <c r="E115" s="7" t="s">
        <v>444</v>
      </c>
      <c r="I115" s="223" t="s">
        <v>224</v>
      </c>
      <c r="J115" s="65">
        <v>0</v>
      </c>
      <c r="K115" s="65">
        <v>9500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f t="shared" si="88"/>
        <v>9500</v>
      </c>
      <c r="W115" s="73">
        <f t="shared" si="47"/>
        <v>5.2368744633580271E-5</v>
      </c>
      <c r="X115" s="89"/>
      <c r="Y115" s="65">
        <f>+VLOOKUP($E$1,[9]Resumen!$V$31:$AH$32,Y1,0)</f>
        <v>0</v>
      </c>
      <c r="Z115" s="65">
        <f>+VLOOKUP($E$1,[9]Resumen!$V$31:$AH$32,Z1,0)</f>
        <v>0</v>
      </c>
      <c r="AA115" s="65">
        <f>+VLOOKUP($E$1,[9]Resumen!$V$31:$AH$32,AA1,0)</f>
        <v>7763.2499999999991</v>
      </c>
      <c r="AB115" s="65">
        <f>+VLOOKUP($E$1,[9]Resumen!$V$31:$AH$32,AB1,0)</f>
        <v>0</v>
      </c>
      <c r="AC115" s="65">
        <f>+VLOOKUP($E$1,[9]Resumen!$V$31:$AH$32,AC1,0)</f>
        <v>0</v>
      </c>
      <c r="AD115" s="65">
        <f>+VLOOKUP($E$1,[9]Resumen!$V$31:$AH$32,AD1,0)</f>
        <v>0</v>
      </c>
      <c r="AE115" s="65">
        <f>+VLOOKUP($E$1,[9]Resumen!$V$31:$AH$32,AE1,0)</f>
        <v>0</v>
      </c>
      <c r="AF115" s="65">
        <f>+VLOOKUP($E$1,[9]Resumen!$V$31:$AH$32,AF1,0)</f>
        <v>0</v>
      </c>
      <c r="AG115" s="65">
        <f>+VLOOKUP($E$1,[9]Resumen!$V$31:$AH$32,AG1,0)</f>
        <v>0</v>
      </c>
      <c r="AH115" s="65">
        <f>+VLOOKUP($E$1,[9]Resumen!$V$31:$AH$32,AH1,0)</f>
        <v>0</v>
      </c>
      <c r="AI115" s="65">
        <f>+VLOOKUP($E$1,[9]Resumen!$V$31:$AH$32,AI1,0)</f>
        <v>0</v>
      </c>
      <c r="AJ115" s="65">
        <f>+VLOOKUP($E$1,[9]Resumen!$V$31:$AH$32,AJ1,0)</f>
        <v>0</v>
      </c>
      <c r="AK115" s="65">
        <f t="shared" si="78"/>
        <v>7763.2499999999991</v>
      </c>
      <c r="AL115" s="73">
        <f t="shared" si="49"/>
        <v>3.9091588715870415E-5</v>
      </c>
      <c r="AM115" s="14">
        <f t="shared" si="50"/>
        <v>-0.18281578947368426</v>
      </c>
      <c r="AN115" s="9"/>
    </row>
    <row r="116" spans="1:40" ht="14.45" hidden="1" customHeight="1" outlineLevel="1">
      <c r="A116" s="12"/>
      <c r="I116" s="223" t="s">
        <v>225</v>
      </c>
      <c r="J116" s="65">
        <v>37688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f t="shared" si="88"/>
        <v>37688</v>
      </c>
      <c r="W116" s="73">
        <f t="shared" si="47"/>
        <v>2.077550787105656E-4</v>
      </c>
      <c r="X116" s="89"/>
      <c r="Y116" s="65">
        <f>VLOOKUP($E$1,[8]Resumen!$V$29:$AH$30,Y1,0)</f>
        <v>37515.919999999998</v>
      </c>
      <c r="Z116" s="65">
        <f>VLOOKUP($E$1,[8]Resumen!$V$29:$AH$30,Z1,0)</f>
        <v>0</v>
      </c>
      <c r="AA116" s="65">
        <f>VLOOKUP($E$1,[8]Resumen!$V$29:$AH$30,AA1,0)</f>
        <v>0</v>
      </c>
      <c r="AB116" s="65">
        <f>VLOOKUP($E$1,[8]Resumen!$V$29:$AH$30,AB1,0)</f>
        <v>0</v>
      </c>
      <c r="AC116" s="65">
        <f>VLOOKUP($E$1,[8]Resumen!$V$29:$AH$30,AC1,0)</f>
        <v>0</v>
      </c>
      <c r="AD116" s="65">
        <f>VLOOKUP($E$1,[8]Resumen!$V$29:$AH$30,AD1,0)</f>
        <v>0</v>
      </c>
      <c r="AE116" s="65">
        <f>VLOOKUP($E$1,[8]Resumen!$V$29:$AH$30,AE1,0)</f>
        <v>0</v>
      </c>
      <c r="AF116" s="65">
        <f>VLOOKUP($E$1,[8]Resumen!$V$29:$AH$30,AF1,0)</f>
        <v>0</v>
      </c>
      <c r="AG116" s="65">
        <f>VLOOKUP($E$1,[8]Resumen!$V$29:$AH$30,AG1,0)</f>
        <v>0</v>
      </c>
      <c r="AH116" s="65">
        <f>VLOOKUP($E$1,[8]Resumen!$V$29:$AH$30,AH1,0)</f>
        <v>0</v>
      </c>
      <c r="AI116" s="65">
        <f>VLOOKUP($E$1,[8]Resumen!$V$29:$AH$30,AI1,0)</f>
        <v>0</v>
      </c>
      <c r="AJ116" s="65">
        <f>VLOOKUP($E$1,[8]Resumen!$V$29:$AH$30,AJ1,0)</f>
        <v>0</v>
      </c>
      <c r="AK116" s="65">
        <f t="shared" si="78"/>
        <v>37515.919999999998</v>
      </c>
      <c r="AL116" s="73">
        <f t="shared" si="49"/>
        <v>1.8891017485428104E-4</v>
      </c>
      <c r="AM116" s="14">
        <f t="shared" si="50"/>
        <v>-4.565909573339022E-3</v>
      </c>
      <c r="AN116" s="9"/>
    </row>
    <row r="117" spans="1:40" ht="14.45" hidden="1" customHeight="1" outlineLevel="1">
      <c r="A117" s="12"/>
      <c r="I117" s="223" t="s">
        <v>226</v>
      </c>
      <c r="J117" s="65">
        <v>523</v>
      </c>
      <c r="K117" s="65">
        <v>0</v>
      </c>
      <c r="L117" s="65">
        <v>14140</v>
      </c>
      <c r="M117" s="65">
        <v>4550</v>
      </c>
      <c r="N117" s="65">
        <v>2543</v>
      </c>
      <c r="O117" s="65">
        <v>0</v>
      </c>
      <c r="P117" s="65">
        <v>6779</v>
      </c>
      <c r="Q117" s="65">
        <v>9300</v>
      </c>
      <c r="R117" s="65">
        <v>32608</v>
      </c>
      <c r="S117" s="65">
        <v>3865</v>
      </c>
      <c r="T117" s="65">
        <v>7280</v>
      </c>
      <c r="U117" s="65">
        <v>7280</v>
      </c>
      <c r="V117" s="65">
        <f t="shared" si="88"/>
        <v>88868</v>
      </c>
      <c r="W117" s="73">
        <f t="shared" si="47"/>
        <v>4.8988479979968536E-4</v>
      </c>
      <c r="X117" s="89"/>
      <c r="Y117" s="65">
        <f>+VLOOKUP($E$1,[9]Resumen!$V$38:$AH$39,Y1,0)</f>
        <v>7683.3791666666666</v>
      </c>
      <c r="Z117" s="65">
        <f>+VLOOKUP($E$1,[9]Resumen!$V$38:$AH$39,Z1,0)</f>
        <v>7683.3791666666666</v>
      </c>
      <c r="AA117" s="65">
        <f>+VLOOKUP($E$1,[9]Resumen!$V$38:$AH$39,AA1,0)</f>
        <v>7683.3791666666666</v>
      </c>
      <c r="AB117" s="65">
        <f>+VLOOKUP($E$1,[9]Resumen!$V$38:$AH$39,AB1,0)</f>
        <v>7683.3791666666666</v>
      </c>
      <c r="AC117" s="65">
        <f>+VLOOKUP($E$1,[9]Resumen!$V$38:$AH$39,AC1,0)</f>
        <v>7683.3791666666666</v>
      </c>
      <c r="AD117" s="65">
        <f>+VLOOKUP($E$1,[9]Resumen!$V$38:$AH$39,AD1,0)</f>
        <v>7683.3791666666666</v>
      </c>
      <c r="AE117" s="65">
        <f>+VLOOKUP($E$1,[9]Resumen!$V$38:$AH$39,AE1,0)</f>
        <v>7683.3791666666666</v>
      </c>
      <c r="AF117" s="65">
        <f>+VLOOKUP($E$1,[9]Resumen!$V$38:$AH$39,AF1,0)</f>
        <v>7683.3791666666666</v>
      </c>
      <c r="AG117" s="65">
        <f>+VLOOKUP($E$1,[9]Resumen!$V$38:$AH$39,AG1,0)</f>
        <v>7683.3791666666666</v>
      </c>
      <c r="AH117" s="65">
        <f>+VLOOKUP($E$1,[9]Resumen!$V$38:$AH$39,AH1,0)</f>
        <v>7683.3791666666666</v>
      </c>
      <c r="AI117" s="65">
        <f>+VLOOKUP($E$1,[9]Resumen!$V$38:$AH$39,AI1,0)</f>
        <v>7683.3791666666666</v>
      </c>
      <c r="AJ117" s="65">
        <f>+VLOOKUP($E$1,[9]Resumen!$V$38:$AH$39,AJ1,0)</f>
        <v>7683.3791666666666</v>
      </c>
      <c r="AK117" s="65">
        <f t="shared" si="78"/>
        <v>92200.55</v>
      </c>
      <c r="AL117" s="73">
        <f t="shared" si="49"/>
        <v>4.642728213025532E-4</v>
      </c>
      <c r="AM117" s="14">
        <f t="shared" si="50"/>
        <v>3.7500000000000089E-2</v>
      </c>
      <c r="AN117" s="9"/>
    </row>
    <row r="118" spans="1:40" ht="14.45" hidden="1" customHeight="1" outlineLevel="1">
      <c r="A118" s="12"/>
      <c r="I118" s="223" t="s">
        <v>227</v>
      </c>
      <c r="J118" s="65">
        <v>0</v>
      </c>
      <c r="K118" s="65">
        <v>0</v>
      </c>
      <c r="L118" s="65">
        <v>0</v>
      </c>
      <c r="M118" s="65">
        <v>0</v>
      </c>
      <c r="N118" s="65">
        <v>900</v>
      </c>
      <c r="O118" s="65">
        <v>1220</v>
      </c>
      <c r="P118" s="65">
        <v>295</v>
      </c>
      <c r="Q118" s="65">
        <v>1800</v>
      </c>
      <c r="R118" s="65">
        <v>0</v>
      </c>
      <c r="S118" s="65">
        <v>5100</v>
      </c>
      <c r="T118" s="65">
        <v>0</v>
      </c>
      <c r="U118" s="65">
        <v>0</v>
      </c>
      <c r="V118" s="65">
        <f t="shared" si="88"/>
        <v>9315</v>
      </c>
      <c r="W118" s="73">
        <f>V118/V$6</f>
        <v>5.1348932238084231E-5</v>
      </c>
      <c r="X118" s="89"/>
      <c r="Y118" s="65">
        <f>+VLOOKUP($E$1,[9]Resumen!$V$45:$AH$46,Y1,0)</f>
        <v>0</v>
      </c>
      <c r="Z118" s="65">
        <f>+VLOOKUP($E$1,[9]Resumen!$V$45:$AH$46,Z1,0)</f>
        <v>465.79499999999996</v>
      </c>
      <c r="AA118" s="65">
        <f>+VLOOKUP($E$1,[9]Resumen!$V$45:$AH$46,AA1,0)</f>
        <v>0</v>
      </c>
      <c r="AB118" s="65">
        <f>+VLOOKUP($E$1,[9]Resumen!$V$45:$AH$46,AB1,0)</f>
        <v>0</v>
      </c>
      <c r="AC118" s="65">
        <f>+VLOOKUP($E$1,[9]Resumen!$V$45:$AH$46,AC1,0)</f>
        <v>3931.59</v>
      </c>
      <c r="AD118" s="65">
        <f>+VLOOKUP($E$1,[9]Resumen!$V$45:$AH$46,AD1,0)</f>
        <v>0</v>
      </c>
      <c r="AE118" s="65">
        <f>+VLOOKUP($E$1,[9]Resumen!$V$45:$AH$46,AE1,0)</f>
        <v>465.79499999999996</v>
      </c>
      <c r="AF118" s="65">
        <f>+VLOOKUP($E$1,[9]Resumen!$V$45:$AH$46,AF1,0)</f>
        <v>1863.1799999999998</v>
      </c>
      <c r="AG118" s="65">
        <f>+VLOOKUP($E$1,[9]Resumen!$V$45:$AH$46,AG1,0)</f>
        <v>0</v>
      </c>
      <c r="AH118" s="65">
        <f>+VLOOKUP($E$1,[9]Resumen!$V$45:$AH$46,AH1,0)</f>
        <v>1863.1799999999998</v>
      </c>
      <c r="AI118" s="65">
        <f>+VLOOKUP($E$1,[9]Resumen!$V$45:$AH$46,AI1,0)</f>
        <v>0</v>
      </c>
      <c r="AJ118" s="65">
        <f>+VLOOKUP($E$1,[9]Resumen!$V$45:$AH$46,AJ1,0)</f>
        <v>0</v>
      </c>
      <c r="AK118" s="65">
        <f t="shared" si="78"/>
        <v>8589.5400000000009</v>
      </c>
      <c r="AL118" s="73">
        <f>AK118/AK$6</f>
        <v>4.3252344693075405E-5</v>
      </c>
      <c r="AM118" s="14">
        <f>IFERROR(AK118/V118-1,0)</f>
        <v>-7.7880837359098121E-2</v>
      </c>
      <c r="AN118" s="9"/>
    </row>
    <row r="119" spans="1:40" ht="14.45" hidden="1" customHeight="1" outlineLevel="1">
      <c r="A119" s="12"/>
      <c r="I119" s="223" t="s">
        <v>228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88"/>
        <v>0</v>
      </c>
      <c r="W119" s="73">
        <f>V119/V$6</f>
        <v>0</v>
      </c>
      <c r="X119" s="89"/>
      <c r="Y119" s="65">
        <f>VLOOKUP($E$1,[8]Resumen!$V$36:$AH$37,Y1,0)</f>
        <v>0</v>
      </c>
      <c r="Z119" s="65">
        <f>VLOOKUP($E$1,[8]Resumen!$V$36:$AH$37,Z1,0)</f>
        <v>0</v>
      </c>
      <c r="AA119" s="65">
        <f>VLOOKUP($E$1,[8]Resumen!$V$36:$AH$37,AA1,0)</f>
        <v>3638.96</v>
      </c>
      <c r="AB119" s="65">
        <f>VLOOKUP($E$1,[8]Resumen!$V$36:$AH$37,AB1,0)</f>
        <v>0</v>
      </c>
      <c r="AC119" s="65">
        <f>VLOOKUP($E$1,[8]Resumen!$V$36:$AH$37,AC1,0)</f>
        <v>0</v>
      </c>
      <c r="AD119" s="65">
        <f>VLOOKUP($E$1,[8]Resumen!$V$36:$AH$37,AD1,0)</f>
        <v>0</v>
      </c>
      <c r="AE119" s="65">
        <f>VLOOKUP($E$1,[8]Resumen!$V$36:$AH$37,AE1,0)</f>
        <v>0</v>
      </c>
      <c r="AF119" s="65">
        <f>VLOOKUP($E$1,[8]Resumen!$V$36:$AH$37,AF1,0)</f>
        <v>0</v>
      </c>
      <c r="AG119" s="65">
        <f>VLOOKUP($E$1,[8]Resumen!$V$36:$AH$37,AG1,0)</f>
        <v>0</v>
      </c>
      <c r="AH119" s="65">
        <f>VLOOKUP($E$1,[8]Resumen!$V$36:$AH$37,AH1,0)</f>
        <v>0</v>
      </c>
      <c r="AI119" s="65">
        <f>VLOOKUP($E$1,[8]Resumen!$V$36:$AH$37,AI1,0)</f>
        <v>0</v>
      </c>
      <c r="AJ119" s="65">
        <f>VLOOKUP($E$1,[8]Resumen!$V$36:$AH$37,AJ1,0)</f>
        <v>0</v>
      </c>
      <c r="AK119" s="65">
        <f t="shared" si="78"/>
        <v>3638.96</v>
      </c>
      <c r="AL119" s="73">
        <f>AK119/AK$6</f>
        <v>1.83238627731303E-5</v>
      </c>
      <c r="AM119" s="14">
        <f>IFERROR(AK119/V119-1,0)</f>
        <v>0</v>
      </c>
      <c r="AN119" s="9"/>
    </row>
    <row r="120" spans="1:40" ht="14.45" hidden="1" customHeight="1" outlineLevel="1">
      <c r="A120" s="12"/>
      <c r="I120" s="223" t="s">
        <v>229</v>
      </c>
      <c r="J120" s="65">
        <v>0</v>
      </c>
      <c r="K120" s="65">
        <v>9000</v>
      </c>
      <c r="L120" s="65">
        <v>6000</v>
      </c>
      <c r="M120" s="65">
        <v>7200</v>
      </c>
      <c r="N120" s="65">
        <v>0</v>
      </c>
      <c r="O120" s="65">
        <v>0</v>
      </c>
      <c r="P120" s="65">
        <v>9000</v>
      </c>
      <c r="Q120" s="65">
        <v>0</v>
      </c>
      <c r="R120" s="65">
        <v>0</v>
      </c>
      <c r="S120" s="65">
        <v>9000</v>
      </c>
      <c r="T120" s="65">
        <v>5500</v>
      </c>
      <c r="U120" s="65">
        <v>5500</v>
      </c>
      <c r="V120" s="65">
        <f t="shared" si="88"/>
        <v>51200</v>
      </c>
      <c r="W120" s="73">
        <f>V120/V$6</f>
        <v>2.822399710778221E-4</v>
      </c>
      <c r="X120" s="89"/>
      <c r="Y120" s="65">
        <f>VLOOKUP($E$1,[6]Resumen!$C$29:$P$32,Y1,0)+VLOOKUP($E$1,[9]Resumen!$V$52:$AH$53,Y1,0)</f>
        <v>9000</v>
      </c>
      <c r="Z120" s="65">
        <f>VLOOKUP($E$1,[6]Resumen!$C$29:$P$32,Z1,0)+VLOOKUP($E$1,[9]Resumen!$V$52:$AH$53,Z1,0)</f>
        <v>0</v>
      </c>
      <c r="AA120" s="65">
        <f>VLOOKUP($E$1,[6]Resumen!$C$29:$P$32,AA1,0)+VLOOKUP($E$1,[9]Resumen!$V$52:$AH$53,AA1,0)</f>
        <v>16452.72</v>
      </c>
      <c r="AB120" s="65">
        <f>VLOOKUP($E$1,[6]Resumen!$C$29:$P$32,AB1,0)+VLOOKUP($E$1,[9]Resumen!$V$52:$AH$53,AB1,0)</f>
        <v>0</v>
      </c>
      <c r="AC120" s="65">
        <f>VLOOKUP($E$1,[6]Resumen!$C$29:$P$32,AC1,0)+VLOOKUP($E$1,[9]Resumen!$V$52:$AH$53,AC1,0)</f>
        <v>9000</v>
      </c>
      <c r="AD120" s="65">
        <f>VLOOKUP($E$1,[6]Resumen!$C$29:$P$32,AD1,0)+VLOOKUP($E$1,[9]Resumen!$V$52:$AH$53,AD1,0)</f>
        <v>0</v>
      </c>
      <c r="AE120" s="65">
        <f>VLOOKUP($E$1,[6]Resumen!$C$29:$P$32,AE1,0)+VLOOKUP($E$1,[9]Resumen!$V$52:$AH$53,AE1,0)</f>
        <v>9000</v>
      </c>
      <c r="AF120" s="65">
        <f>VLOOKUP($E$1,[6]Resumen!$C$29:$P$32,AF1,0)+VLOOKUP($E$1,[9]Resumen!$V$52:$AH$53,AF1,0)</f>
        <v>7452.7199999999993</v>
      </c>
      <c r="AG120" s="65">
        <f>VLOOKUP($E$1,[6]Resumen!$C$29:$P$32,AG1,0)+VLOOKUP($E$1,[9]Resumen!$V$52:$AH$53,AG1,0)</f>
        <v>9000</v>
      </c>
      <c r="AH120" s="65">
        <f>VLOOKUP($E$1,[6]Resumen!$C$29:$P$32,AH1,0)+VLOOKUP($E$1,[9]Resumen!$V$52:$AH$53,AH1,0)</f>
        <v>0</v>
      </c>
      <c r="AI120" s="65">
        <f>VLOOKUP($E$1,[6]Resumen!$C$29:$P$32,AI1,0)+VLOOKUP($E$1,[9]Resumen!$V$52:$AH$53,AI1,0)</f>
        <v>9000</v>
      </c>
      <c r="AJ120" s="65">
        <f>VLOOKUP($E$1,[6]Resumen!$C$29:$P$32,AJ1,0)+VLOOKUP($E$1,[9]Resumen!$V$52:$AH$53,AJ1,0)</f>
        <v>0</v>
      </c>
      <c r="AK120" s="65">
        <f t="shared" si="78"/>
        <v>68905.440000000002</v>
      </c>
      <c r="AL120" s="73">
        <f>AK120/AK$6</f>
        <v>3.4697106505214776E-4</v>
      </c>
      <c r="AM120" s="14">
        <f>IFERROR(AK120/V120-1,0)</f>
        <v>0.34580937499999997</v>
      </c>
      <c r="AN120" s="9"/>
    </row>
    <row r="121" spans="1:40" ht="14.45" hidden="1" customHeight="1" outlineLevel="1">
      <c r="A121" s="12"/>
      <c r="I121" s="223" t="s">
        <v>230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88"/>
        <v>0</v>
      </c>
      <c r="W121" s="73">
        <f>V121/V$6</f>
        <v>0</v>
      </c>
      <c r="X121" s="89"/>
      <c r="Y121" s="65">
        <f>+VLOOKUP($E$1,[9]Resumen!$V$59:$AH$60,Y1,0)</f>
        <v>0</v>
      </c>
      <c r="Z121" s="65">
        <f>+VLOOKUP($E$1,[9]Resumen!$V$59:$AH$60,Z1,0)</f>
        <v>0</v>
      </c>
      <c r="AA121" s="65">
        <f>+VLOOKUP($E$1,[9]Resumen!$V$59:$AH$60,AA1,0)</f>
        <v>0</v>
      </c>
      <c r="AB121" s="65">
        <f>+VLOOKUP($E$1,[9]Resumen!$V$59:$AH$60,AB1,0)</f>
        <v>0</v>
      </c>
      <c r="AC121" s="65">
        <f>+VLOOKUP($E$1,[9]Resumen!$V$59:$AH$60,AC1,0)</f>
        <v>0</v>
      </c>
      <c r="AD121" s="65">
        <f>+VLOOKUP($E$1,[9]Resumen!$V$59:$AH$60,AD1,0)</f>
        <v>0</v>
      </c>
      <c r="AE121" s="65">
        <f>+VLOOKUP($E$1,[9]Resumen!$V$59:$AH$60,AE1,0)</f>
        <v>0</v>
      </c>
      <c r="AF121" s="65">
        <f>+VLOOKUP($E$1,[9]Resumen!$V$59:$AH$60,AF1,0)</f>
        <v>0</v>
      </c>
      <c r="AG121" s="65">
        <f>+VLOOKUP($E$1,[9]Resumen!$V$59:$AH$60,AG1,0)</f>
        <v>0</v>
      </c>
      <c r="AH121" s="65">
        <f>+VLOOKUP($E$1,[9]Resumen!$V$59:$AH$60,AH1,0)</f>
        <v>0</v>
      </c>
      <c r="AI121" s="65">
        <f>+VLOOKUP($E$1,[9]Resumen!$V$59:$AH$60,AI1,0)</f>
        <v>0</v>
      </c>
      <c r="AJ121" s="65">
        <f>+VLOOKUP($E$1,[9]Resumen!$V$59:$AH$60,AJ1,0)</f>
        <v>0</v>
      </c>
      <c r="AK121" s="65">
        <f t="shared" si="78"/>
        <v>0</v>
      </c>
      <c r="AL121" s="73">
        <f>AK121/AK$6</f>
        <v>0</v>
      </c>
      <c r="AM121" s="14">
        <f>IFERROR(AK121/V121-1,0)</f>
        <v>0</v>
      </c>
      <c r="AN121" s="9"/>
    </row>
    <row r="122" spans="1:40" ht="14.45" hidden="1" customHeight="1" outlineLevel="1">
      <c r="A122" s="12"/>
      <c r="I122" s="223" t="s">
        <v>231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f t="shared" ref="V122:V146" si="89">SUM(J122:U122)</f>
        <v>0</v>
      </c>
      <c r="W122" s="73">
        <f t="shared" ref="W122:W146" si="90">V122/V$6</f>
        <v>0</v>
      </c>
      <c r="X122" s="89"/>
      <c r="Y122" s="65">
        <f>VLOOKUP($E$1,[9]Resumen!$V$66:$AH$67,Y1,0)</f>
        <v>0</v>
      </c>
      <c r="Z122" s="65">
        <f>VLOOKUP($E$1,[9]Resumen!$V$66:$AH$67,Z1,0)</f>
        <v>0</v>
      </c>
      <c r="AA122" s="65">
        <f>VLOOKUP($E$1,[9]Resumen!$V$66:$AH$67,AA1,0)</f>
        <v>0</v>
      </c>
      <c r="AB122" s="65">
        <f>VLOOKUP($E$1,[9]Resumen!$V$66:$AH$67,AB1,0)</f>
        <v>0</v>
      </c>
      <c r="AC122" s="65">
        <f>VLOOKUP($E$1,[9]Resumen!$V$66:$AH$67,AC1,0)</f>
        <v>0</v>
      </c>
      <c r="AD122" s="65">
        <f>VLOOKUP($E$1,[9]Resumen!$V$66:$AH$67,AD1,0)</f>
        <v>0</v>
      </c>
      <c r="AE122" s="65">
        <f>VLOOKUP($E$1,[9]Resumen!$V$66:$AH$67,AE1,0)</f>
        <v>0</v>
      </c>
      <c r="AF122" s="65">
        <f>VLOOKUP($E$1,[9]Resumen!$V$66:$AH$67,AF1,0)</f>
        <v>0</v>
      </c>
      <c r="AG122" s="65">
        <f>VLOOKUP($E$1,[9]Resumen!$V$66:$AH$67,AG1,0)</f>
        <v>0</v>
      </c>
      <c r="AH122" s="65">
        <f>VLOOKUP($E$1,[9]Resumen!$V$66:$AH$67,AH1,0)</f>
        <v>0</v>
      </c>
      <c r="AI122" s="65">
        <f>VLOOKUP($E$1,[9]Resumen!$V$66:$AH$67,AI1,0)</f>
        <v>0</v>
      </c>
      <c r="AJ122" s="65">
        <f>VLOOKUP($E$1,[9]Resumen!$V$66:$AH$67,AJ1,0)</f>
        <v>0</v>
      </c>
      <c r="AK122" s="65">
        <f t="shared" ref="AK122:AK132" si="91">SUM(Y122:AJ122)</f>
        <v>0</v>
      </c>
      <c r="AL122" s="73">
        <f t="shared" ref="AL122:AL132" si="92">AK122/AK$6</f>
        <v>0</v>
      </c>
      <c r="AM122" s="14">
        <f t="shared" ref="AM122:AM132" si="93">IFERROR(AK122/V122-1,0)</f>
        <v>0</v>
      </c>
      <c r="AN122" s="9"/>
    </row>
    <row r="123" spans="1:40" ht="14.45" hidden="1" customHeight="1" outlineLevel="1">
      <c r="A123" s="12"/>
      <c r="I123" s="223" t="s">
        <v>232</v>
      </c>
      <c r="J123" s="65">
        <v>0</v>
      </c>
      <c r="K123" s="65">
        <v>0</v>
      </c>
      <c r="L123" s="65">
        <v>5908</v>
      </c>
      <c r="M123" s="65">
        <v>0</v>
      </c>
      <c r="N123" s="65">
        <v>0</v>
      </c>
      <c r="O123" s="65">
        <v>0</v>
      </c>
      <c r="P123" s="65">
        <v>5908</v>
      </c>
      <c r="Q123" s="65">
        <v>0</v>
      </c>
      <c r="R123" s="65">
        <v>0</v>
      </c>
      <c r="S123" s="65">
        <v>13500</v>
      </c>
      <c r="T123" s="65">
        <v>3078.4</v>
      </c>
      <c r="U123" s="65">
        <v>1139.8400000000001</v>
      </c>
      <c r="V123" s="65">
        <f t="shared" si="89"/>
        <v>29534.240000000002</v>
      </c>
      <c r="W123" s="73">
        <f t="shared" si="90"/>
        <v>1.6280748131651282E-4</v>
      </c>
      <c r="X123" s="89"/>
      <c r="Y123" s="65">
        <f>VLOOKUP($E$1,[6]Resumen!$C$16:$O$17,Y1,0)+VLOOKUP($E$1,[9]Resumen!$V$73:$AH$74,Y1,0)</f>
        <v>0</v>
      </c>
      <c r="Z123" s="65">
        <f>VLOOKUP($E$1,[6]Resumen!$C$16:$O$17,Z1,0)+VLOOKUP($E$1,[9]Resumen!$V$73:$AH$74,Z1,0)</f>
        <v>8000</v>
      </c>
      <c r="AA123" s="65">
        <f>VLOOKUP($E$1,[6]Resumen!$C$16:$O$17,AA1,0)+VLOOKUP($E$1,[9]Resumen!$V$73:$AH$74,AA1,0)</f>
        <v>1134.4695999999999</v>
      </c>
      <c r="AB123" s="65">
        <f>VLOOKUP($E$1,[6]Resumen!$C$16:$O$17,AB1,0)+VLOOKUP($E$1,[9]Resumen!$V$73:$AH$74,AB1,0)</f>
        <v>0</v>
      </c>
      <c r="AC123" s="65">
        <f>VLOOKUP($E$1,[6]Resumen!$C$16:$O$17,AC1,0)+VLOOKUP($E$1,[9]Resumen!$V$73:$AH$74,AC1,0)</f>
        <v>1600</v>
      </c>
      <c r="AD123" s="65">
        <f>VLOOKUP($E$1,[6]Resumen!$C$16:$O$17,AD1,0)+VLOOKUP($E$1,[9]Resumen!$V$73:$AH$74,AD1,0)</f>
        <v>0</v>
      </c>
      <c r="AE123" s="65">
        <f>VLOOKUP($E$1,[6]Resumen!$C$16:$O$17,AE1,0)+VLOOKUP($E$1,[9]Resumen!$V$73:$AH$74,AE1,0)</f>
        <v>1134.4695999999999</v>
      </c>
      <c r="AF123" s="65">
        <f>VLOOKUP($E$1,[6]Resumen!$C$16:$O$17,AF1,0)+VLOOKUP($E$1,[9]Resumen!$V$73:$AH$74,AF1,0)</f>
        <v>8000</v>
      </c>
      <c r="AG123" s="65">
        <f>VLOOKUP($E$1,[6]Resumen!$C$16:$O$17,AG1,0)+VLOOKUP($E$1,[9]Resumen!$V$73:$AH$74,AG1,0)</f>
        <v>0</v>
      </c>
      <c r="AH123" s="65">
        <f>VLOOKUP($E$1,[6]Resumen!$C$16:$O$17,AH1,0)+VLOOKUP($E$1,[9]Resumen!$V$73:$AH$74,AH1,0)</f>
        <v>0</v>
      </c>
      <c r="AI123" s="65">
        <f>VLOOKUP($E$1,[6]Resumen!$C$16:$O$17,AI1,0)+VLOOKUP($E$1,[9]Resumen!$V$73:$AH$74,AI1,0)</f>
        <v>1600</v>
      </c>
      <c r="AJ123" s="65">
        <f>VLOOKUP($E$1,[6]Resumen!$C$16:$O$17,AJ1,0)+VLOOKUP($E$1,[9]Resumen!$V$73:$AH$74,AJ1,0)</f>
        <v>1134.4695999999999</v>
      </c>
      <c r="AK123" s="65">
        <f t="shared" si="91"/>
        <v>22603.408800000001</v>
      </c>
      <c r="AL123" s="73">
        <f t="shared" si="92"/>
        <v>1.1381871772598926E-4</v>
      </c>
      <c r="AM123" s="14">
        <f t="shared" si="93"/>
        <v>-0.23467105298798951</v>
      </c>
      <c r="AN123" s="9"/>
    </row>
    <row r="124" spans="1:40" ht="14.45" hidden="1" customHeight="1" outlineLevel="1">
      <c r="A124" s="12"/>
      <c r="I124" s="223" t="s">
        <v>233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27680</v>
      </c>
      <c r="S124" s="65">
        <v>0</v>
      </c>
      <c r="T124" s="65">
        <v>0</v>
      </c>
      <c r="U124" s="65">
        <v>0</v>
      </c>
      <c r="V124" s="65">
        <f t="shared" si="89"/>
        <v>27680</v>
      </c>
      <c r="W124" s="73">
        <f t="shared" si="90"/>
        <v>1.5258598436394756E-4</v>
      </c>
      <c r="X124" s="89"/>
      <c r="Y124" s="65">
        <f>+VLOOKUP($E$1,[9]Resumen!$V$80:$AH$81,Y1,0)</f>
        <v>0</v>
      </c>
      <c r="Z124" s="65">
        <f>+VLOOKUP($E$1,[9]Resumen!$V$80:$AH$81,Z1,0)</f>
        <v>0</v>
      </c>
      <c r="AA124" s="65">
        <f>+VLOOKUP($E$1,[9]Resumen!$V$80:$AH$81,AA1,0)</f>
        <v>0</v>
      </c>
      <c r="AB124" s="65">
        <f>+VLOOKUP($E$1,[9]Resumen!$V$80:$AH$81,AB1,0)</f>
        <v>0</v>
      </c>
      <c r="AC124" s="65">
        <f>+VLOOKUP($E$1,[9]Resumen!$V$80:$AH$81,AC1,0)</f>
        <v>0</v>
      </c>
      <c r="AD124" s="65">
        <f>+VLOOKUP($E$1,[9]Resumen!$V$80:$AH$81,AD1,0)</f>
        <v>0</v>
      </c>
      <c r="AE124" s="65">
        <f>+VLOOKUP($E$1,[9]Resumen!$V$80:$AH$81,AE1,0)</f>
        <v>0</v>
      </c>
      <c r="AF124" s="65">
        <f>+VLOOKUP($E$1,[9]Resumen!$V$80:$AH$81,AF1,0)</f>
        <v>67281.5</v>
      </c>
      <c r="AG124" s="65">
        <f>+VLOOKUP($E$1,[9]Resumen!$V$80:$AH$81,AG1,0)</f>
        <v>0</v>
      </c>
      <c r="AH124" s="65">
        <f>+VLOOKUP($E$1,[9]Resumen!$V$80:$AH$81,AH1,0)</f>
        <v>0</v>
      </c>
      <c r="AI124" s="65">
        <f>+VLOOKUP($E$1,[9]Resumen!$V$80:$AH$81,AI1,0)</f>
        <v>0</v>
      </c>
      <c r="AJ124" s="65">
        <f>+VLOOKUP($E$1,[9]Resumen!$V$80:$AH$81,AJ1,0)</f>
        <v>0</v>
      </c>
      <c r="AK124" s="65">
        <f t="shared" si="91"/>
        <v>67281.5</v>
      </c>
      <c r="AL124" s="73">
        <f t="shared" si="92"/>
        <v>3.3879376887087695E-4</v>
      </c>
      <c r="AM124" s="14">
        <f t="shared" si="93"/>
        <v>1.4306900289017341</v>
      </c>
      <c r="AN124" s="9"/>
    </row>
    <row r="125" spans="1:40" ht="14.45" hidden="1" customHeight="1" outlineLevel="1">
      <c r="A125" s="12"/>
      <c r="I125" s="223" t="s">
        <v>234</v>
      </c>
      <c r="J125" s="65">
        <v>0</v>
      </c>
      <c r="K125" s="65">
        <v>0</v>
      </c>
      <c r="L125" s="65">
        <v>0</v>
      </c>
      <c r="M125" s="65">
        <v>4500</v>
      </c>
      <c r="N125" s="65">
        <v>8250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f t="shared" si="89"/>
        <v>12750</v>
      </c>
      <c r="W125" s="73">
        <f t="shared" si="90"/>
        <v>7.0284367797699841E-5</v>
      </c>
      <c r="X125" s="89"/>
      <c r="Y125" s="65">
        <f>+VLOOKUP($E$1,[9]Resumen!$V$87:$AH$88,Y1,0)</f>
        <v>0</v>
      </c>
      <c r="Z125" s="65">
        <f>+VLOOKUP($E$1,[9]Resumen!$V$87:$AH$88,Z1,0)</f>
        <v>0</v>
      </c>
      <c r="AA125" s="65">
        <f>+VLOOKUP($E$1,[9]Resumen!$V$87:$AH$88,AA1,0)</f>
        <v>9160.6349999999984</v>
      </c>
      <c r="AB125" s="65">
        <f>+VLOOKUP($E$1,[9]Resumen!$V$87:$AH$88,AB1,0)</f>
        <v>0</v>
      </c>
      <c r="AC125" s="65">
        <f>+VLOOKUP($E$1,[9]Resumen!$V$87:$AH$88,AC1,0)</f>
        <v>0</v>
      </c>
      <c r="AD125" s="65">
        <f>+VLOOKUP($E$1,[9]Resumen!$V$87:$AH$88,AD1,0)</f>
        <v>0</v>
      </c>
      <c r="AE125" s="65">
        <f>+VLOOKUP($E$1,[9]Resumen!$V$87:$AH$88,AE1,0)</f>
        <v>0</v>
      </c>
      <c r="AF125" s="65">
        <f>+VLOOKUP($E$1,[9]Resumen!$V$87:$AH$88,AF1,0)</f>
        <v>0</v>
      </c>
      <c r="AG125" s="65">
        <f>+VLOOKUP($E$1,[9]Resumen!$V$87:$AH$88,AG1,0)</f>
        <v>0</v>
      </c>
      <c r="AH125" s="65">
        <f>+VLOOKUP($E$1,[9]Resumen!$V$87:$AH$88,AH1,0)</f>
        <v>0</v>
      </c>
      <c r="AI125" s="65">
        <f>+VLOOKUP($E$1,[9]Resumen!$V$87:$AH$88,AI1,0)</f>
        <v>0</v>
      </c>
      <c r="AJ125" s="65">
        <f>+VLOOKUP($E$1,[9]Resumen!$V$87:$AH$88,AJ1,0)</f>
        <v>0</v>
      </c>
      <c r="AK125" s="65">
        <f t="shared" si="91"/>
        <v>9160.6349999999984</v>
      </c>
      <c r="AL125" s="73">
        <f t="shared" si="92"/>
        <v>4.6128074684727081E-5</v>
      </c>
      <c r="AM125" s="14">
        <f t="shared" si="93"/>
        <v>-0.28151882352941193</v>
      </c>
      <c r="AN125" s="9"/>
    </row>
    <row r="126" spans="1:40" ht="14.45" hidden="1" customHeight="1" outlineLevel="1">
      <c r="A126" s="12"/>
      <c r="I126" s="223" t="s">
        <v>235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f t="shared" si="89"/>
        <v>0</v>
      </c>
      <c r="W126" s="73">
        <f t="shared" si="90"/>
        <v>0</v>
      </c>
      <c r="X126" s="89"/>
      <c r="Y126" s="65">
        <f>+VLOOKUP($E$1,[9]Resumen!$V$94:$AH$95,Y1,0)</f>
        <v>0</v>
      </c>
      <c r="Z126" s="65">
        <f>+VLOOKUP($E$1,[9]Resumen!$V$94:$AH$95,Z1,0)</f>
        <v>0</v>
      </c>
      <c r="AA126" s="65">
        <f>+VLOOKUP($E$1,[9]Resumen!$V$94:$AH$95,AA1,0)</f>
        <v>0</v>
      </c>
      <c r="AB126" s="65">
        <f>+VLOOKUP($E$1,[9]Resumen!$V$94:$AH$95,AB1,0)</f>
        <v>0</v>
      </c>
      <c r="AC126" s="65">
        <f>+VLOOKUP($E$1,[9]Resumen!$V$94:$AH$95,AC1,0)</f>
        <v>0</v>
      </c>
      <c r="AD126" s="65">
        <f>+VLOOKUP($E$1,[9]Resumen!$V$94:$AH$95,AD1,0)</f>
        <v>0</v>
      </c>
      <c r="AE126" s="65">
        <f>+VLOOKUP($E$1,[9]Resumen!$V$94:$AH$95,AE1,0)</f>
        <v>0</v>
      </c>
      <c r="AF126" s="65">
        <f>+VLOOKUP($E$1,[9]Resumen!$V$94:$AH$95,AF1,0)</f>
        <v>0</v>
      </c>
      <c r="AG126" s="65">
        <f>+VLOOKUP($E$1,[9]Resumen!$V$94:$AH$95,AG1,0)</f>
        <v>0</v>
      </c>
      <c r="AH126" s="65">
        <f>+VLOOKUP($E$1,[9]Resumen!$V$94:$AH$95,AH1,0)</f>
        <v>0</v>
      </c>
      <c r="AI126" s="65">
        <f>+VLOOKUP($E$1,[9]Resumen!$V$94:$AH$95,AI1,0)</f>
        <v>0</v>
      </c>
      <c r="AJ126" s="65">
        <f>+VLOOKUP($E$1,[9]Resumen!$V$94:$AH$95,AJ1,0)</f>
        <v>0</v>
      </c>
      <c r="AK126" s="65">
        <f t="shared" si="91"/>
        <v>0</v>
      </c>
      <c r="AL126" s="73">
        <f t="shared" si="92"/>
        <v>0</v>
      </c>
      <c r="AM126" s="14">
        <f t="shared" si="93"/>
        <v>0</v>
      </c>
      <c r="AN126" s="9"/>
    </row>
    <row r="127" spans="1:40" ht="14.45" hidden="1" customHeight="1" outlineLevel="1">
      <c r="A127" s="12"/>
      <c r="I127" s="223" t="s">
        <v>236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5200</v>
      </c>
      <c r="U127" s="65">
        <v>0</v>
      </c>
      <c r="V127" s="65">
        <f t="shared" si="89"/>
        <v>5200</v>
      </c>
      <c r="W127" s="73">
        <f t="shared" si="90"/>
        <v>2.8664997062591306E-5</v>
      </c>
      <c r="X127" s="89"/>
      <c r="Y127" s="65">
        <f>+VLOOKUP($E$1,[9]Resumen!$V$101:$AH$102,Y1,0)</f>
        <v>3105.2999999999997</v>
      </c>
      <c r="Z127" s="65">
        <f>+VLOOKUP($E$1,[9]Resumen!$V$101:$AH$102,Z1,0)</f>
        <v>0</v>
      </c>
      <c r="AA127" s="65">
        <f>+VLOOKUP($E$1,[9]Resumen!$V$101:$AH$102,AA1,0)</f>
        <v>0</v>
      </c>
      <c r="AB127" s="65">
        <f>+VLOOKUP($E$1,[9]Resumen!$V$101:$AH$102,AB1,0)</f>
        <v>0</v>
      </c>
      <c r="AC127" s="65">
        <f>+VLOOKUP($E$1,[9]Resumen!$V$101:$AH$102,AC1,0)</f>
        <v>0</v>
      </c>
      <c r="AD127" s="65">
        <f>+VLOOKUP($E$1,[9]Resumen!$V$101:$AH$102,AD1,0)</f>
        <v>3105.2999999999997</v>
      </c>
      <c r="AE127" s="65">
        <f>+VLOOKUP($E$1,[9]Resumen!$V$101:$AH$102,AE1,0)</f>
        <v>0</v>
      </c>
      <c r="AF127" s="65">
        <f>+VLOOKUP($E$1,[9]Resumen!$V$101:$AH$102,AF1,0)</f>
        <v>0</v>
      </c>
      <c r="AG127" s="65">
        <f>+VLOOKUP($E$1,[9]Resumen!$V$101:$AH$102,AG1,0)</f>
        <v>0</v>
      </c>
      <c r="AH127" s="65">
        <f>+VLOOKUP($E$1,[9]Resumen!$V$101:$AH$102,AH1,0)</f>
        <v>0</v>
      </c>
      <c r="AI127" s="65">
        <f>+VLOOKUP($E$1,[9]Resumen!$V$101:$AH$102,AI1,0)</f>
        <v>3105.2999999999997</v>
      </c>
      <c r="AJ127" s="65">
        <f>+VLOOKUP($E$1,[9]Resumen!$V$101:$AH$102,AJ1,0)</f>
        <v>0</v>
      </c>
      <c r="AK127" s="65">
        <f t="shared" si="91"/>
        <v>9315.9</v>
      </c>
      <c r="AL127" s="73">
        <f t="shared" si="92"/>
        <v>4.6909906459044497E-5</v>
      </c>
      <c r="AM127" s="14">
        <f t="shared" si="93"/>
        <v>0.7915192307692307</v>
      </c>
      <c r="AN127" s="9"/>
    </row>
    <row r="128" spans="1:40" ht="14.45" hidden="1" customHeight="1" outlineLevel="1">
      <c r="A128" s="12"/>
      <c r="I128" s="223" t="s">
        <v>237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/>
      <c r="U128" s="65"/>
      <c r="V128" s="65">
        <f t="shared" si="89"/>
        <v>0</v>
      </c>
      <c r="W128" s="73">
        <f t="shared" si="90"/>
        <v>0</v>
      </c>
      <c r="X128" s="89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>
        <f t="shared" si="91"/>
        <v>0</v>
      </c>
      <c r="AL128" s="73">
        <f t="shared" si="92"/>
        <v>0</v>
      </c>
      <c r="AM128" s="14">
        <f t="shared" si="93"/>
        <v>0</v>
      </c>
      <c r="AN128" s="9"/>
    </row>
    <row r="129" spans="1:40" ht="14.45" hidden="1" customHeight="1" outlineLevel="1">
      <c r="A129" s="12"/>
      <c r="I129" s="223" t="s">
        <v>238</v>
      </c>
      <c r="J129" s="65">
        <v>0</v>
      </c>
      <c r="K129" s="65">
        <v>0</v>
      </c>
      <c r="L129" s="65">
        <v>5100</v>
      </c>
      <c r="M129" s="65">
        <v>0</v>
      </c>
      <c r="N129" s="65">
        <v>0</v>
      </c>
      <c r="O129" s="65">
        <v>5100</v>
      </c>
      <c r="P129" s="65">
        <v>0</v>
      </c>
      <c r="Q129" s="65">
        <v>0</v>
      </c>
      <c r="R129" s="65">
        <v>0</v>
      </c>
      <c r="S129" s="65">
        <v>5100</v>
      </c>
      <c r="T129" s="65">
        <v>0</v>
      </c>
      <c r="U129" s="65">
        <v>5408</v>
      </c>
      <c r="V129" s="65">
        <f t="shared" si="89"/>
        <v>20708</v>
      </c>
      <c r="W129" s="73">
        <f t="shared" si="90"/>
        <v>1.1415283830233476E-4</v>
      </c>
      <c r="X129" s="89"/>
      <c r="Y129" s="65">
        <f>VLOOKUP($E$1,[9]Resumen!$V$108:$AH$109,Y1,0)</f>
        <v>0</v>
      </c>
      <c r="Z129" s="65">
        <f>VLOOKUP($E$1,[9]Resumen!$V$108:$AH$109,Z1,0)</f>
        <v>5848.3149999999996</v>
      </c>
      <c r="AA129" s="65">
        <f>VLOOKUP($E$1,[9]Resumen!$V$108:$AH$109,AA1,0)</f>
        <v>0</v>
      </c>
      <c r="AB129" s="65">
        <f>VLOOKUP($E$1,[9]Resumen!$V$108:$AH$109,AB1,0)</f>
        <v>0</v>
      </c>
      <c r="AC129" s="65">
        <f>VLOOKUP($E$1,[9]Resumen!$V$108:$AH$109,AC1,0)</f>
        <v>5848.3149999999996</v>
      </c>
      <c r="AD129" s="65">
        <f>VLOOKUP($E$1,[9]Resumen!$V$108:$AH$109,AD1,0)</f>
        <v>0</v>
      </c>
      <c r="AE129" s="65">
        <f>VLOOKUP($E$1,[9]Resumen!$V$108:$AH$109,AE1,0)</f>
        <v>0</v>
      </c>
      <c r="AF129" s="65">
        <f>VLOOKUP($E$1,[9]Resumen!$V$108:$AH$109,AF1,0)</f>
        <v>5848.3149999999996</v>
      </c>
      <c r="AG129" s="65">
        <f>VLOOKUP($E$1,[9]Resumen!$V$108:$AH$109,AG1,0)</f>
        <v>0</v>
      </c>
      <c r="AH129" s="65">
        <f>VLOOKUP($E$1,[9]Resumen!$V$108:$AH$109,AH1,0)</f>
        <v>0</v>
      </c>
      <c r="AI129" s="65">
        <f>VLOOKUP($E$1,[9]Resumen!$V$108:$AH$109,AI1,0)</f>
        <v>5848.3149999999996</v>
      </c>
      <c r="AJ129" s="65">
        <f>VLOOKUP($E$1,[9]Resumen!$V$108:$AH$109,AJ1,0)</f>
        <v>0</v>
      </c>
      <c r="AK129" s="65">
        <f t="shared" si="91"/>
        <v>23393.26</v>
      </c>
      <c r="AL129" s="73">
        <f t="shared" si="92"/>
        <v>1.1779598733048952E-4</v>
      </c>
      <c r="AM129" s="14">
        <f t="shared" si="93"/>
        <v>0.12967259030326428</v>
      </c>
      <c r="AN129" s="9"/>
    </row>
    <row r="130" spans="1:40" ht="14.45" hidden="1" customHeight="1" outlineLevel="1">
      <c r="A130" s="12"/>
      <c r="I130" s="223" t="s">
        <v>239</v>
      </c>
      <c r="J130" s="65">
        <v>0</v>
      </c>
      <c r="K130" s="65">
        <v>0</v>
      </c>
      <c r="L130" s="65">
        <v>6800</v>
      </c>
      <c r="M130" s="65">
        <v>0</v>
      </c>
      <c r="N130" s="65">
        <v>0</v>
      </c>
      <c r="O130" s="65">
        <v>0</v>
      </c>
      <c r="P130" s="65">
        <v>6800</v>
      </c>
      <c r="Q130" s="65">
        <v>0</v>
      </c>
      <c r="R130" s="65">
        <v>0</v>
      </c>
      <c r="S130" s="65">
        <v>6800</v>
      </c>
      <c r="T130" s="65">
        <v>0</v>
      </c>
      <c r="U130" s="65">
        <v>7540</v>
      </c>
      <c r="V130" s="65">
        <f t="shared" si="89"/>
        <v>27940</v>
      </c>
      <c r="W130" s="73">
        <f t="shared" si="90"/>
        <v>1.5401923421707713E-4</v>
      </c>
      <c r="X130" s="89"/>
      <c r="Y130" s="65">
        <f>VLOOKUP($E$1,[9]Resumen!$V$115:$AH$116,Y1,0)</f>
        <v>0</v>
      </c>
      <c r="Z130" s="65">
        <f>VLOOKUP($E$1,[9]Resumen!$V$115:$AH$116,Z1,0)</f>
        <v>7742.5479999999989</v>
      </c>
      <c r="AA130" s="65">
        <f>VLOOKUP($E$1,[9]Resumen!$V$115:$AH$116,AA1,0)</f>
        <v>0</v>
      </c>
      <c r="AB130" s="65">
        <f>VLOOKUP($E$1,[9]Resumen!$V$115:$AH$116,AB1,0)</f>
        <v>0</v>
      </c>
      <c r="AC130" s="65">
        <f>VLOOKUP($E$1,[9]Resumen!$V$115:$AH$116,AC1,0)</f>
        <v>7742.5479999999989</v>
      </c>
      <c r="AD130" s="65">
        <f>VLOOKUP($E$1,[9]Resumen!$V$115:$AH$116,AD1,0)</f>
        <v>0</v>
      </c>
      <c r="AE130" s="65">
        <f>VLOOKUP($E$1,[9]Resumen!$V$115:$AH$116,AE1,0)</f>
        <v>0</v>
      </c>
      <c r="AF130" s="65">
        <f>VLOOKUP($E$1,[9]Resumen!$V$115:$AH$116,AF1,0)</f>
        <v>7742.5479999999989</v>
      </c>
      <c r="AG130" s="65">
        <f>VLOOKUP($E$1,[9]Resumen!$V$115:$AH$116,AG1,0)</f>
        <v>0</v>
      </c>
      <c r="AH130" s="65">
        <f>VLOOKUP($E$1,[9]Resumen!$V$115:$AH$116,AH1,0)</f>
        <v>0</v>
      </c>
      <c r="AI130" s="65">
        <f>VLOOKUP($E$1,[9]Resumen!$V$115:$AH$116,AI1,0)</f>
        <v>7742.5479999999989</v>
      </c>
      <c r="AJ130" s="65">
        <f>VLOOKUP($E$1,[9]Resumen!$V$115:$AH$116,AJ1,0)</f>
        <v>0</v>
      </c>
      <c r="AK130" s="65">
        <f t="shared" si="91"/>
        <v>30970.191999999995</v>
      </c>
      <c r="AL130" s="73">
        <f t="shared" si="92"/>
        <v>1.5594937791717903E-4</v>
      </c>
      <c r="AM130" s="14">
        <f t="shared" si="93"/>
        <v>0.10845354330708634</v>
      </c>
      <c r="AN130" s="9"/>
    </row>
    <row r="131" spans="1:40" ht="14.45" hidden="1" customHeight="1" outlineLevel="1">
      <c r="A131" s="12"/>
      <c r="I131" s="223" t="s">
        <v>240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/>
      <c r="U131" s="65"/>
      <c r="V131" s="65">
        <f t="shared" si="89"/>
        <v>0</v>
      </c>
      <c r="W131" s="73">
        <f t="shared" si="90"/>
        <v>0</v>
      </c>
      <c r="X131" s="89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>
        <f t="shared" si="91"/>
        <v>0</v>
      </c>
      <c r="AL131" s="73">
        <f t="shared" si="92"/>
        <v>0</v>
      </c>
      <c r="AM131" s="14">
        <f t="shared" si="93"/>
        <v>0</v>
      </c>
      <c r="AN131" s="9"/>
    </row>
    <row r="132" spans="1:40" ht="14.45" hidden="1" customHeight="1" outlineLevel="1">
      <c r="A132" s="12"/>
      <c r="I132" s="223" t="s">
        <v>241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f t="shared" si="89"/>
        <v>0</v>
      </c>
      <c r="W132" s="73">
        <f t="shared" si="90"/>
        <v>0</v>
      </c>
      <c r="X132" s="89"/>
      <c r="Y132" s="65">
        <f>VLOOKUP($E$1,[9]Resumen!$V$122:$AH$123,Y1,0)</f>
        <v>0</v>
      </c>
      <c r="Z132" s="65">
        <f>VLOOKUP($E$1,[9]Resumen!$V$122:$AH$123,Z1,0)</f>
        <v>0</v>
      </c>
      <c r="AA132" s="65">
        <f>VLOOKUP($E$1,[9]Resumen!$V$122:$AH$123,AA1,0)</f>
        <v>0</v>
      </c>
      <c r="AB132" s="65">
        <f>VLOOKUP($E$1,[9]Resumen!$V$122:$AH$123,AB1,0)</f>
        <v>517.54999999999995</v>
      </c>
      <c r="AC132" s="65">
        <f>VLOOKUP($E$1,[9]Resumen!$V$122:$AH$123,AC1,0)</f>
        <v>0</v>
      </c>
      <c r="AD132" s="65">
        <f>VLOOKUP($E$1,[9]Resumen!$V$122:$AH$123,AD1,0)</f>
        <v>0</v>
      </c>
      <c r="AE132" s="65">
        <f>VLOOKUP($E$1,[9]Resumen!$V$122:$AH$123,AE1,0)</f>
        <v>0</v>
      </c>
      <c r="AF132" s="65">
        <f>VLOOKUP($E$1,[9]Resumen!$V$122:$AH$123,AF1,0)</f>
        <v>0</v>
      </c>
      <c r="AG132" s="65">
        <f>VLOOKUP($E$1,[9]Resumen!$V$122:$AH$123,AG1,0)</f>
        <v>517.54999999999995</v>
      </c>
      <c r="AH132" s="65">
        <f>VLOOKUP($E$1,[9]Resumen!$V$122:$AH$123,AH1,0)</f>
        <v>0</v>
      </c>
      <c r="AI132" s="65">
        <f>VLOOKUP($E$1,[9]Resumen!$V$122:$AH$123,AI1,0)</f>
        <v>0</v>
      </c>
      <c r="AJ132" s="65">
        <f>VLOOKUP($E$1,[9]Resumen!$V$122:$AH$123,AJ1,0)</f>
        <v>0</v>
      </c>
      <c r="AK132" s="65">
        <f t="shared" si="91"/>
        <v>1035.0999999999999</v>
      </c>
      <c r="AL132" s="73">
        <f t="shared" si="92"/>
        <v>5.2122118287827219E-6</v>
      </c>
      <c r="AM132" s="14">
        <f t="shared" si="93"/>
        <v>0</v>
      </c>
      <c r="AN132" s="9"/>
    </row>
    <row r="133" spans="1:40" ht="14.45" hidden="1" customHeight="1" outlineLevel="1">
      <c r="A133" s="12"/>
      <c r="I133" s="223" t="s">
        <v>242</v>
      </c>
      <c r="J133" s="65">
        <v>14000</v>
      </c>
      <c r="K133" s="65">
        <v>14000</v>
      </c>
      <c r="L133" s="65">
        <v>14000</v>
      </c>
      <c r="M133" s="65">
        <v>14000</v>
      </c>
      <c r="N133" s="65">
        <v>14000</v>
      </c>
      <c r="O133" s="65">
        <v>14000</v>
      </c>
      <c r="P133" s="65">
        <v>14000</v>
      </c>
      <c r="Q133" s="65">
        <v>14000</v>
      </c>
      <c r="R133" s="65">
        <v>14000</v>
      </c>
      <c r="S133" s="65">
        <v>14000</v>
      </c>
      <c r="T133" s="65">
        <v>14000</v>
      </c>
      <c r="U133" s="65">
        <v>14000</v>
      </c>
      <c r="V133" s="65">
        <f t="shared" si="89"/>
        <v>168000</v>
      </c>
      <c r="W133" s="73">
        <f t="shared" si="90"/>
        <v>9.2609990509910374E-4</v>
      </c>
      <c r="X133" s="89"/>
      <c r="Y133" s="65">
        <f>VLOOKUP($E$1,[8]Resumen!$V$43:$AH$44,Y1,0)</f>
        <v>14000</v>
      </c>
      <c r="Z133" s="65">
        <f>VLOOKUP($E$1,[8]Resumen!$V$43:$AH$44,Z1,0)</f>
        <v>14000</v>
      </c>
      <c r="AA133" s="65">
        <f>VLOOKUP($E$1,[8]Resumen!$V$43:$AH$44,AA1,0)</f>
        <v>14000</v>
      </c>
      <c r="AB133" s="65">
        <f>VLOOKUP($E$1,[8]Resumen!$V$43:$AH$44,AB1,0)</f>
        <v>14000</v>
      </c>
      <c r="AC133" s="65">
        <f>VLOOKUP($E$1,[8]Resumen!$V$43:$AH$44,AC1,0)</f>
        <v>14000</v>
      </c>
      <c r="AD133" s="65">
        <f>VLOOKUP($E$1,[8]Resumen!$V$43:$AH$44,AD1,0)</f>
        <v>14000</v>
      </c>
      <c r="AE133" s="65">
        <f>VLOOKUP($E$1,[8]Resumen!$V$43:$AH$44,AE1,0)</f>
        <v>14000</v>
      </c>
      <c r="AF133" s="65">
        <f>VLOOKUP($E$1,[8]Resumen!$V$43:$AH$44,AF1,0)</f>
        <v>14000</v>
      </c>
      <c r="AG133" s="65">
        <f>VLOOKUP($E$1,[8]Resumen!$V$43:$AH$44,AG1,0)</f>
        <v>14000</v>
      </c>
      <c r="AH133" s="65">
        <f>VLOOKUP($E$1,[8]Resumen!$V$43:$AH$44,AH1,0)</f>
        <v>14000</v>
      </c>
      <c r="AI133" s="65">
        <f>VLOOKUP($E$1,[8]Resumen!$V$43:$AH$44,AI1,0)</f>
        <v>14000</v>
      </c>
      <c r="AJ133" s="65">
        <f>VLOOKUP($E$1,[8]Resumen!$V$43:$AH$44,AJ1,0)</f>
        <v>14000</v>
      </c>
      <c r="AK133" s="65">
        <f t="shared" si="78"/>
        <v>168000</v>
      </c>
      <c r="AL133" s="73">
        <f t="shared" si="49"/>
        <v>8.459584457883271E-4</v>
      </c>
      <c r="AM133" s="14">
        <f t="shared" si="50"/>
        <v>0</v>
      </c>
      <c r="AN133" s="9"/>
    </row>
    <row r="134" spans="1:40" ht="14.45" hidden="1" customHeight="1" outlineLevel="1">
      <c r="A134" s="12"/>
      <c r="I134" s="223" t="s">
        <v>243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4160</v>
      </c>
      <c r="V134" s="65">
        <f t="shared" si="89"/>
        <v>4160</v>
      </c>
      <c r="W134" s="73">
        <f t="shared" si="90"/>
        <v>2.2931997650073045E-5</v>
      </c>
      <c r="X134" s="89"/>
      <c r="Y134" s="65">
        <f>+VLOOKUP($E$1,[9]Resumen!$V$129:$AH$130,Y1,0)</f>
        <v>0</v>
      </c>
      <c r="Z134" s="65">
        <f>+VLOOKUP($E$1,[9]Resumen!$V$129:$AH$130,Z1,0)</f>
        <v>0</v>
      </c>
      <c r="AA134" s="65">
        <f>+VLOOKUP($E$1,[9]Resumen!$V$129:$AH$130,AA1,0)</f>
        <v>0</v>
      </c>
      <c r="AB134" s="65">
        <f>+VLOOKUP($E$1,[9]Resumen!$V$129:$AH$130,AB1,0)</f>
        <v>0</v>
      </c>
      <c r="AC134" s="65">
        <f>+VLOOKUP($E$1,[9]Resumen!$V$129:$AH$130,AC1,0)</f>
        <v>0</v>
      </c>
      <c r="AD134" s="65">
        <f>+VLOOKUP($E$1,[9]Resumen!$V$129:$AH$130,AD1,0)</f>
        <v>0</v>
      </c>
      <c r="AE134" s="65">
        <f>+VLOOKUP($E$1,[9]Resumen!$V$129:$AH$130,AE1,0)</f>
        <v>0</v>
      </c>
      <c r="AF134" s="65">
        <f>+VLOOKUP($E$1,[9]Resumen!$V$129:$AH$130,AF1,0)</f>
        <v>0</v>
      </c>
      <c r="AG134" s="65">
        <f>+VLOOKUP($E$1,[9]Resumen!$V$129:$AH$130,AG1,0)</f>
        <v>0</v>
      </c>
      <c r="AH134" s="65">
        <f>+VLOOKUP($E$1,[9]Resumen!$V$129:$AH$130,AH1,0)</f>
        <v>0</v>
      </c>
      <c r="AI134" s="65">
        <f>+VLOOKUP($E$1,[9]Resumen!$V$129:$AH$130,AI1,0)</f>
        <v>0</v>
      </c>
      <c r="AJ134" s="65">
        <f>+VLOOKUP($E$1,[9]Resumen!$V$129:$AH$130,AJ1,0)</f>
        <v>3208.8099999999995</v>
      </c>
      <c r="AK134" s="65">
        <f t="shared" si="78"/>
        <v>3208.8099999999995</v>
      </c>
      <c r="AL134" s="73">
        <f t="shared" si="49"/>
        <v>1.6157856669226437E-5</v>
      </c>
      <c r="AM134" s="14">
        <f t="shared" si="50"/>
        <v>-0.22865144230769241</v>
      </c>
      <c r="AN134" s="9"/>
    </row>
    <row r="135" spans="1:40" ht="14.45" hidden="1" customHeight="1" outlineLevel="1">
      <c r="A135" s="12"/>
      <c r="I135" s="223" t="s">
        <v>244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/>
      <c r="U135" s="65"/>
      <c r="V135" s="65">
        <f t="shared" si="89"/>
        <v>0</v>
      </c>
      <c r="W135" s="73">
        <f t="shared" si="90"/>
        <v>0</v>
      </c>
      <c r="X135" s="89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>
        <f t="shared" si="78"/>
        <v>0</v>
      </c>
      <c r="AL135" s="73">
        <f t="shared" si="49"/>
        <v>0</v>
      </c>
      <c r="AM135" s="14">
        <f t="shared" si="50"/>
        <v>0</v>
      </c>
      <c r="AN135" s="9"/>
    </row>
    <row r="136" spans="1:40" ht="14.45" hidden="1" customHeight="1" outlineLevel="1">
      <c r="A136" s="12"/>
      <c r="I136" s="223" t="s">
        <v>245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89"/>
        <v>0</v>
      </c>
      <c r="W136" s="73">
        <f t="shared" si="90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78"/>
        <v>0</v>
      </c>
      <c r="AL136" s="73">
        <f t="shared" si="49"/>
        <v>0</v>
      </c>
      <c r="AM136" s="14">
        <f t="shared" si="50"/>
        <v>0</v>
      </c>
      <c r="AN136" s="9"/>
    </row>
    <row r="137" spans="1:40" ht="14.45" hidden="1" customHeight="1" outlineLevel="1">
      <c r="A137" s="12"/>
      <c r="I137" s="223" t="s">
        <v>246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/>
      <c r="U137" s="65"/>
      <c r="V137" s="65">
        <f t="shared" si="89"/>
        <v>0</v>
      </c>
      <c r="W137" s="73">
        <f t="shared" si="90"/>
        <v>0</v>
      </c>
      <c r="X137" s="89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>
        <f t="shared" si="78"/>
        <v>0</v>
      </c>
      <c r="AL137" s="73">
        <f t="shared" si="49"/>
        <v>0</v>
      </c>
      <c r="AM137" s="14">
        <f t="shared" si="50"/>
        <v>0</v>
      </c>
      <c r="AN137" s="9"/>
    </row>
    <row r="138" spans="1:40" ht="14.45" hidden="1" customHeight="1" outlineLevel="1">
      <c r="A138" s="12"/>
      <c r="E138" s="7" t="s">
        <v>445</v>
      </c>
      <c r="I138" s="223" t="s">
        <v>247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/>
      <c r="U138" s="65"/>
      <c r="V138" s="65">
        <f t="shared" si="89"/>
        <v>0</v>
      </c>
      <c r="W138" s="73">
        <f t="shared" si="90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78"/>
        <v>0</v>
      </c>
      <c r="AL138" s="73">
        <f t="shared" si="49"/>
        <v>0</v>
      </c>
      <c r="AM138" s="14">
        <f t="shared" si="50"/>
        <v>0</v>
      </c>
      <c r="AN138" s="9"/>
    </row>
    <row r="139" spans="1:40" ht="14.45" hidden="1" customHeight="1" outlineLevel="1">
      <c r="A139" s="12"/>
      <c r="I139" s="223" t="s">
        <v>248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/>
      <c r="U139" s="65"/>
      <c r="V139" s="65">
        <f t="shared" si="89"/>
        <v>0</v>
      </c>
      <c r="W139" s="73">
        <f t="shared" si="90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78"/>
        <v>0</v>
      </c>
      <c r="AL139" s="73">
        <f t="shared" si="49"/>
        <v>0</v>
      </c>
      <c r="AM139" s="14">
        <f t="shared" si="50"/>
        <v>0</v>
      </c>
      <c r="AN139" s="9"/>
    </row>
    <row r="140" spans="1:40" ht="14.45" hidden="1" customHeight="1" outlineLevel="1">
      <c r="A140" s="12"/>
      <c r="I140" s="223" t="s">
        <v>249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/>
      <c r="U140" s="65"/>
      <c r="V140" s="65">
        <f t="shared" si="89"/>
        <v>0</v>
      </c>
      <c r="W140" s="73">
        <f t="shared" si="90"/>
        <v>0</v>
      </c>
      <c r="X140" s="89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>
        <f t="shared" si="78"/>
        <v>0</v>
      </c>
      <c r="AL140" s="73">
        <f t="shared" si="49"/>
        <v>0</v>
      </c>
      <c r="AM140" s="14">
        <f t="shared" si="50"/>
        <v>0</v>
      </c>
      <c r="AN140" s="9"/>
    </row>
    <row r="141" spans="1:40" ht="14.45" hidden="1" customHeight="1" outlineLevel="1">
      <c r="A141" s="12"/>
      <c r="I141" s="223" t="s">
        <v>250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/>
      <c r="U141" s="65"/>
      <c r="V141" s="65">
        <f t="shared" si="89"/>
        <v>0</v>
      </c>
      <c r="W141" s="73">
        <f t="shared" si="90"/>
        <v>0</v>
      </c>
      <c r="X141" s="89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>
        <f t="shared" si="78"/>
        <v>0</v>
      </c>
      <c r="AL141" s="73">
        <f t="shared" si="49"/>
        <v>0</v>
      </c>
      <c r="AM141" s="14">
        <f t="shared" si="50"/>
        <v>0</v>
      </c>
      <c r="AN141" s="9"/>
    </row>
    <row r="142" spans="1:40" ht="14.45" hidden="1" customHeight="1" outlineLevel="1">
      <c r="A142" s="12"/>
      <c r="I142" s="223" t="s">
        <v>251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/>
      <c r="U142" s="65"/>
      <c r="V142" s="65">
        <f t="shared" si="89"/>
        <v>0</v>
      </c>
      <c r="W142" s="73">
        <f t="shared" si="90"/>
        <v>0</v>
      </c>
      <c r="X142" s="89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>
        <f t="shared" si="78"/>
        <v>0</v>
      </c>
      <c r="AL142" s="73">
        <f t="shared" si="49"/>
        <v>0</v>
      </c>
      <c r="AM142" s="14">
        <f t="shared" ref="AM142:AM159" si="94">IFERROR(AK142/V142-1,0)</f>
        <v>0</v>
      </c>
      <c r="AN142" s="9"/>
    </row>
    <row r="143" spans="1:40" ht="14.45" hidden="1" customHeight="1" outlineLevel="1">
      <c r="A143" s="12"/>
      <c r="I143" s="223" t="s">
        <v>252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/>
      <c r="U143" s="65"/>
      <c r="V143" s="65">
        <f t="shared" si="89"/>
        <v>0</v>
      </c>
      <c r="W143" s="73">
        <f t="shared" si="90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78"/>
        <v>0</v>
      </c>
      <c r="AL143" s="73">
        <f t="shared" si="49"/>
        <v>0</v>
      </c>
      <c r="AM143" s="14">
        <f t="shared" si="94"/>
        <v>0</v>
      </c>
      <c r="AN143" s="9"/>
    </row>
    <row r="144" spans="1:40" ht="14.45" hidden="1" customHeight="1" outlineLevel="1">
      <c r="A144" s="12"/>
      <c r="I144" s="223" t="s">
        <v>253</v>
      </c>
      <c r="J144" s="65"/>
      <c r="K144" s="65">
        <v>0</v>
      </c>
      <c r="L144" s="65"/>
      <c r="M144" s="65">
        <v>0</v>
      </c>
      <c r="N144" s="65"/>
      <c r="O144" s="65"/>
      <c r="P144" s="65"/>
      <c r="Q144" s="65"/>
      <c r="R144" s="65">
        <v>0</v>
      </c>
      <c r="S144" s="65"/>
      <c r="T144" s="65"/>
      <c r="U144" s="65"/>
      <c r="V144" s="65">
        <f t="shared" si="89"/>
        <v>0</v>
      </c>
      <c r="W144" s="73">
        <f t="shared" si="90"/>
        <v>0</v>
      </c>
      <c r="X144" s="89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>
        <f t="shared" si="78"/>
        <v>0</v>
      </c>
      <c r="AL144" s="73">
        <f t="shared" si="49"/>
        <v>0</v>
      </c>
      <c r="AM144" s="14">
        <f t="shared" si="94"/>
        <v>0</v>
      </c>
      <c r="AN144" s="9"/>
    </row>
    <row r="145" spans="1:40" ht="14.45" hidden="1" customHeight="1" outlineLevel="1">
      <c r="A145" s="12"/>
      <c r="I145" s="223" t="s">
        <v>254</v>
      </c>
      <c r="J145" s="65"/>
      <c r="K145" s="65">
        <v>0</v>
      </c>
      <c r="L145" s="65"/>
      <c r="M145" s="65"/>
      <c r="N145" s="65"/>
      <c r="O145" s="65"/>
      <c r="P145" s="65"/>
      <c r="Q145" s="65"/>
      <c r="R145" s="65">
        <v>0</v>
      </c>
      <c r="S145" s="65"/>
      <c r="T145" s="65"/>
      <c r="U145" s="65"/>
      <c r="V145" s="65">
        <f t="shared" si="89"/>
        <v>0</v>
      </c>
      <c r="W145" s="73">
        <f t="shared" si="90"/>
        <v>0</v>
      </c>
      <c r="X145" s="89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>
        <f t="shared" si="78"/>
        <v>0</v>
      </c>
      <c r="AL145" s="73">
        <f t="shared" si="49"/>
        <v>0</v>
      </c>
      <c r="AM145" s="14">
        <f t="shared" si="94"/>
        <v>0</v>
      </c>
      <c r="AN145" s="9"/>
    </row>
    <row r="146" spans="1:40" ht="14.45" hidden="1" customHeight="1" outlineLevel="1">
      <c r="A146" s="12"/>
      <c r="I146" s="223" t="s">
        <v>255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/>
      <c r="U146" s="65"/>
      <c r="V146" s="65">
        <f t="shared" si="89"/>
        <v>0</v>
      </c>
      <c r="W146" s="73">
        <f t="shared" si="90"/>
        <v>0</v>
      </c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78"/>
        <v>0</v>
      </c>
      <c r="AL146" s="73">
        <f t="shared" si="49"/>
        <v>0</v>
      </c>
      <c r="AM146" s="14">
        <f t="shared" si="94"/>
        <v>0</v>
      </c>
      <c r="AN146" s="9"/>
    </row>
    <row r="147" spans="1:40" ht="14.45" customHeight="1" collapsed="1">
      <c r="A147" s="12" t="s">
        <v>256</v>
      </c>
      <c r="B147" s="8" t="s">
        <v>89</v>
      </c>
      <c r="I147" s="119" t="s">
        <v>257</v>
      </c>
      <c r="J147" s="15">
        <v>34311</v>
      </c>
      <c r="K147" s="15">
        <v>30575</v>
      </c>
      <c r="L147" s="15">
        <v>26100</v>
      </c>
      <c r="M147" s="15">
        <v>30478</v>
      </c>
      <c r="N147" s="15">
        <v>36412</v>
      </c>
      <c r="O147" s="15">
        <v>33263</v>
      </c>
      <c r="P147" s="15">
        <v>36335</v>
      </c>
      <c r="Q147" s="15">
        <f t="shared" ref="Q147:U147" si="95">SUM(Q148:Q153)</f>
        <v>43105</v>
      </c>
      <c r="R147" s="15">
        <v>36711</v>
      </c>
      <c r="S147" s="15">
        <v>39252</v>
      </c>
      <c r="T147" s="15">
        <f t="shared" si="95"/>
        <v>38850.75</v>
      </c>
      <c r="U147" s="15">
        <f t="shared" si="95"/>
        <v>39479.6875</v>
      </c>
      <c r="V147" s="15">
        <f>SUM(V148:V153)</f>
        <v>424872.4375</v>
      </c>
      <c r="W147" s="72">
        <f t="shared" si="47"/>
        <v>2.3421090717141361E-3</v>
      </c>
      <c r="X147" s="89"/>
      <c r="Y147" s="15">
        <f t="shared" ref="Y147:AK147" si="96">SUM(Y148:Y153)</f>
        <v>34759.919999999998</v>
      </c>
      <c r="Z147" s="15">
        <f t="shared" si="96"/>
        <v>32903.520000000004</v>
      </c>
      <c r="AA147" s="15">
        <f t="shared" si="96"/>
        <v>33830.160000000003</v>
      </c>
      <c r="AB147" s="15">
        <f t="shared" si="96"/>
        <v>33552.479999999996</v>
      </c>
      <c r="AC147" s="15">
        <f t="shared" si="96"/>
        <v>36645.440000000002</v>
      </c>
      <c r="AD147" s="15">
        <f t="shared" si="96"/>
        <v>32531.200000000001</v>
      </c>
      <c r="AE147" s="15">
        <f t="shared" si="96"/>
        <v>35497.279999999999</v>
      </c>
      <c r="AF147" s="15">
        <f t="shared" si="96"/>
        <v>33776.080000000002</v>
      </c>
      <c r="AG147" s="15">
        <f t="shared" si="96"/>
        <v>30619.68</v>
      </c>
      <c r="AH147" s="15">
        <f t="shared" si="96"/>
        <v>33610.720000000001</v>
      </c>
      <c r="AI147" s="15">
        <f t="shared" si="96"/>
        <v>27627.600000000002</v>
      </c>
      <c r="AJ147" s="15">
        <f t="shared" si="96"/>
        <v>30619.68</v>
      </c>
      <c r="AK147" s="15">
        <f t="shared" si="96"/>
        <v>395973.76</v>
      </c>
      <c r="AL147" s="72">
        <f t="shared" si="49"/>
        <v>1.9939127772771433E-3</v>
      </c>
      <c r="AM147" s="10">
        <f t="shared" si="94"/>
        <v>-6.8017303428867359E-2</v>
      </c>
      <c r="AN147" s="9"/>
    </row>
    <row r="148" spans="1:40" ht="14.45" hidden="1" customHeight="1" outlineLevel="1">
      <c r="A148" s="12" t="s">
        <v>256</v>
      </c>
      <c r="B148" s="8" t="s">
        <v>89</v>
      </c>
      <c r="I148" s="226" t="s">
        <v>258</v>
      </c>
      <c r="J148" s="67">
        <v>0</v>
      </c>
      <c r="K148" s="67">
        <v>0</v>
      </c>
      <c r="L148" s="67">
        <v>0</v>
      </c>
      <c r="M148" s="67">
        <v>0</v>
      </c>
      <c r="N148" s="67">
        <v>0</v>
      </c>
      <c r="O148" s="67">
        <v>0</v>
      </c>
      <c r="P148" s="67">
        <v>0</v>
      </c>
      <c r="Q148" s="67">
        <v>0</v>
      </c>
      <c r="R148" s="67">
        <v>0</v>
      </c>
      <c r="S148" s="67">
        <v>0</v>
      </c>
      <c r="T148" s="67">
        <v>0</v>
      </c>
      <c r="U148" s="67">
        <v>0</v>
      </c>
      <c r="V148" s="65">
        <f t="shared" ref="V148:V154" si="97">SUM(J148:U148)</f>
        <v>0</v>
      </c>
      <c r="W148" s="73">
        <f t="shared" si="47"/>
        <v>0</v>
      </c>
      <c r="X148" s="89"/>
      <c r="Y148" s="67">
        <f>VLOOKUP($E$1,[21]Resumen!$V$8:$AH$14,Y1,0)</f>
        <v>0</v>
      </c>
      <c r="Z148" s="67">
        <f>VLOOKUP($E$1,[21]Resumen!$V$8:$AH$14,Z1,0)</f>
        <v>0</v>
      </c>
      <c r="AA148" s="67">
        <f>VLOOKUP($E$1,[21]Resumen!$V$8:$AH$14,AA1,0)</f>
        <v>0</v>
      </c>
      <c r="AB148" s="67">
        <f>VLOOKUP($E$1,[21]Resumen!$V$8:$AH$14,AB1,0)</f>
        <v>0</v>
      </c>
      <c r="AC148" s="67">
        <f>VLOOKUP($E$1,[21]Resumen!$V$8:$AH$14,AC1,0)</f>
        <v>0</v>
      </c>
      <c r="AD148" s="67">
        <f>VLOOKUP($E$1,[21]Resumen!$V$8:$AH$14,AD1,0)</f>
        <v>0</v>
      </c>
      <c r="AE148" s="67">
        <f>VLOOKUP($E$1,[21]Resumen!$V$8:$AH$14,AE1,0)</f>
        <v>0</v>
      </c>
      <c r="AF148" s="67">
        <f>VLOOKUP($E$1,[21]Resumen!$V$8:$AH$14,AF1,0)</f>
        <v>0</v>
      </c>
      <c r="AG148" s="67">
        <f>VLOOKUP($E$1,[21]Resumen!$V$8:$AH$14,AG1,0)</f>
        <v>0</v>
      </c>
      <c r="AH148" s="67">
        <f>VLOOKUP($E$1,[21]Resumen!$V$8:$AH$14,AH1,0)</f>
        <v>0</v>
      </c>
      <c r="AI148" s="67">
        <f>VLOOKUP($E$1,[21]Resumen!$V$8:$AH$14,AI1,0)</f>
        <v>0</v>
      </c>
      <c r="AJ148" s="67">
        <f>VLOOKUP($E$1,[21]Resumen!$V$8:$AH$14,AJ1,0)</f>
        <v>0</v>
      </c>
      <c r="AK148" s="65">
        <f t="shared" si="78"/>
        <v>0</v>
      </c>
      <c r="AL148" s="73">
        <f t="shared" si="49"/>
        <v>0</v>
      </c>
      <c r="AM148" s="14">
        <f t="shared" si="94"/>
        <v>0</v>
      </c>
      <c r="AN148" s="9"/>
    </row>
    <row r="149" spans="1:40" ht="14.45" hidden="1" customHeight="1" outlineLevel="1">
      <c r="A149" s="12" t="s">
        <v>256</v>
      </c>
      <c r="B149" s="8" t="s">
        <v>89</v>
      </c>
      <c r="I149" s="226" t="s">
        <v>259</v>
      </c>
      <c r="J149" s="67">
        <v>0</v>
      </c>
      <c r="K149" s="67">
        <v>0</v>
      </c>
      <c r="L149" s="67">
        <v>0</v>
      </c>
      <c r="M149" s="67">
        <v>0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0</v>
      </c>
      <c r="T149" s="67">
        <v>0</v>
      </c>
      <c r="U149" s="67">
        <v>0</v>
      </c>
      <c r="V149" s="65">
        <f t="shared" si="97"/>
        <v>0</v>
      </c>
      <c r="W149" s="73">
        <f t="shared" si="47"/>
        <v>0</v>
      </c>
      <c r="X149" s="89"/>
      <c r="Y149" s="67">
        <f>VLOOKUP($E$1,[21]Resumen!$V$15:$AH$16,Y1,0)</f>
        <v>0</v>
      </c>
      <c r="Z149" s="67">
        <f>VLOOKUP($E$1,[21]Resumen!$V$15:$AH$16,Z1,0)</f>
        <v>0</v>
      </c>
      <c r="AA149" s="67">
        <f>VLOOKUP($E$1,[21]Resumen!$V$15:$AH$16,AA1,0)</f>
        <v>0</v>
      </c>
      <c r="AB149" s="67">
        <f>VLOOKUP($E$1,[21]Resumen!$V$15:$AH$16,AB1,0)</f>
        <v>0</v>
      </c>
      <c r="AC149" s="67">
        <f>VLOOKUP($E$1,[21]Resumen!$V$15:$AH$16,AC1,0)</f>
        <v>0</v>
      </c>
      <c r="AD149" s="67">
        <f>VLOOKUP($E$1,[21]Resumen!$V$15:$AH$16,AD1,0)</f>
        <v>0</v>
      </c>
      <c r="AE149" s="67">
        <f>VLOOKUP($E$1,[21]Resumen!$V$15:$AH$16,AE1,0)</f>
        <v>0</v>
      </c>
      <c r="AF149" s="67">
        <f>VLOOKUP($E$1,[21]Resumen!$V$15:$AH$16,AF1,0)</f>
        <v>0</v>
      </c>
      <c r="AG149" s="67">
        <f>VLOOKUP($E$1,[21]Resumen!$V$15:$AH$16,AG1,0)</f>
        <v>0</v>
      </c>
      <c r="AH149" s="67">
        <f>VLOOKUP($E$1,[21]Resumen!$V$15:$AH$16,AH1,0)</f>
        <v>0</v>
      </c>
      <c r="AI149" s="67">
        <f>VLOOKUP($E$1,[21]Resumen!$V$15:$AH$16,AI1,0)</f>
        <v>0</v>
      </c>
      <c r="AJ149" s="67">
        <f>VLOOKUP($E$1,[21]Resumen!$V$15:$AH$16,AJ1,0)</f>
        <v>0</v>
      </c>
      <c r="AK149" s="65">
        <f t="shared" si="78"/>
        <v>0</v>
      </c>
      <c r="AL149" s="73">
        <f t="shared" si="49"/>
        <v>0</v>
      </c>
      <c r="AM149" s="14">
        <f t="shared" si="94"/>
        <v>0</v>
      </c>
      <c r="AN149" s="9"/>
    </row>
    <row r="150" spans="1:40" ht="14.45" hidden="1" customHeight="1" outlineLevel="1">
      <c r="A150" s="12" t="s">
        <v>256</v>
      </c>
      <c r="B150" s="8" t="s">
        <v>89</v>
      </c>
      <c r="I150" s="262" t="s">
        <v>260</v>
      </c>
      <c r="J150" s="65">
        <v>16111</v>
      </c>
      <c r="K150" s="65">
        <v>18575</v>
      </c>
      <c r="L150" s="65">
        <v>16100</v>
      </c>
      <c r="M150" s="65">
        <v>16478</v>
      </c>
      <c r="N150" s="65">
        <v>17212</v>
      </c>
      <c r="O150" s="65">
        <v>17263</v>
      </c>
      <c r="P150" s="65">
        <v>16853</v>
      </c>
      <c r="Q150" s="65">
        <v>16605</v>
      </c>
      <c r="R150" s="65">
        <v>19511</v>
      </c>
      <c r="S150" s="65">
        <v>16252</v>
      </c>
      <c r="T150" s="65">
        <f t="shared" ref="T150:T151" si="98">+AVERAGE(P150:S150)</f>
        <v>17305.25</v>
      </c>
      <c r="U150" s="65">
        <f t="shared" ref="U150:U151" si="99">+AVERAGE(Q150:T150)</f>
        <v>17418.3125</v>
      </c>
      <c r="V150" s="65">
        <f t="shared" si="97"/>
        <v>205683.5625</v>
      </c>
      <c r="W150" s="73">
        <f t="shared" si="47"/>
        <v>1.133830522093426E-3</v>
      </c>
      <c r="X150" s="89"/>
      <c r="Y150" s="65">
        <f>VLOOKUP($E$1,[8]Resumen!$V$50:$AH$51,Y1,0)</f>
        <v>19160.96</v>
      </c>
      <c r="Z150" s="65">
        <f>VLOOKUP($E$1,[8]Resumen!$V$50:$AH$51,Z1,0)</f>
        <v>17304.560000000001</v>
      </c>
      <c r="AA150" s="65">
        <f>VLOOKUP($E$1,[8]Resumen!$V$50:$AH$51,AA1,0)</f>
        <v>18231.2</v>
      </c>
      <c r="AB150" s="65">
        <f>VLOOKUP($E$1,[8]Resumen!$V$50:$AH$51,AB1,0)</f>
        <v>17953.52</v>
      </c>
      <c r="AC150" s="65">
        <f>VLOOKUP($E$1,[8]Resumen!$V$50:$AH$51,AC1,0)</f>
        <v>21046.48</v>
      </c>
      <c r="AD150" s="65">
        <f>VLOOKUP($E$1,[8]Resumen!$V$50:$AH$51,AD1,0)</f>
        <v>16932.240000000002</v>
      </c>
      <c r="AE150" s="65">
        <f>VLOOKUP($E$1,[8]Resumen!$V$50:$AH$51,AE1,0)</f>
        <v>19898.32</v>
      </c>
      <c r="AF150" s="65">
        <f>VLOOKUP($E$1,[8]Resumen!$V$50:$AH$51,AF1,0)</f>
        <v>18177.12</v>
      </c>
      <c r="AG150" s="65">
        <f>VLOOKUP($E$1,[8]Resumen!$V$50:$AH$51,AG1,0)</f>
        <v>15020.720000000001</v>
      </c>
      <c r="AH150" s="65">
        <f>VLOOKUP($E$1,[8]Resumen!$V$50:$AH$51,AH1,0)</f>
        <v>18011.760000000002</v>
      </c>
      <c r="AI150" s="65">
        <f>VLOOKUP($E$1,[8]Resumen!$V$50:$AH$51,AI1,0)</f>
        <v>12028.640000000001</v>
      </c>
      <c r="AJ150" s="65">
        <f>VLOOKUP($E$1,[8]Resumen!$V$50:$AH$51,AJ1,0)</f>
        <v>15020.720000000001</v>
      </c>
      <c r="AK150" s="65">
        <f t="shared" si="78"/>
        <v>208786.24000000002</v>
      </c>
      <c r="AL150" s="73">
        <f t="shared" si="49"/>
        <v>1.0513362088832659E-3</v>
      </c>
      <c r="AM150" s="14">
        <f t="shared" si="94"/>
        <v>1.5084712955611312E-2</v>
      </c>
      <c r="AN150" s="9"/>
    </row>
    <row r="151" spans="1:40" ht="14.45" hidden="1" customHeight="1" outlineLevel="1">
      <c r="A151" s="12" t="s">
        <v>256</v>
      </c>
      <c r="B151" s="8" t="s">
        <v>89</v>
      </c>
      <c r="I151" s="262" t="s">
        <v>263</v>
      </c>
      <c r="J151" s="65">
        <v>10200</v>
      </c>
      <c r="K151" s="65">
        <v>4000</v>
      </c>
      <c r="L151" s="65">
        <v>2000</v>
      </c>
      <c r="M151" s="65">
        <v>6000</v>
      </c>
      <c r="N151" s="65">
        <v>11200</v>
      </c>
      <c r="O151" s="65">
        <v>8000</v>
      </c>
      <c r="P151" s="65">
        <v>11482</v>
      </c>
      <c r="Q151" s="65">
        <v>18500</v>
      </c>
      <c r="R151" s="65">
        <v>9200</v>
      </c>
      <c r="S151" s="65">
        <v>15000</v>
      </c>
      <c r="T151" s="65">
        <f t="shared" si="98"/>
        <v>13545.5</v>
      </c>
      <c r="U151" s="65">
        <f t="shared" si="99"/>
        <v>14061.375</v>
      </c>
      <c r="V151" s="65">
        <f t="shared" si="97"/>
        <v>123188.875</v>
      </c>
      <c r="W151" s="73">
        <f t="shared" si="47"/>
        <v>6.790786038497938E-4</v>
      </c>
      <c r="X151" s="89"/>
      <c r="Y151" s="65">
        <f>VLOOKUP($E$1,[8]Resumen!$V$57:$AH$58,Y1,0)</f>
        <v>7278.96</v>
      </c>
      <c r="Z151" s="65">
        <f>VLOOKUP($E$1,[8]Resumen!$V$57:$AH$58,Z1,0)</f>
        <v>7278.96</v>
      </c>
      <c r="AA151" s="65">
        <f>VLOOKUP($E$1,[8]Resumen!$V$57:$AH$58,AA1,0)</f>
        <v>7278.96</v>
      </c>
      <c r="AB151" s="65">
        <f>VLOOKUP($E$1,[8]Resumen!$V$57:$AH$58,AB1,0)</f>
        <v>7278.96</v>
      </c>
      <c r="AC151" s="65">
        <f>VLOOKUP($E$1,[8]Resumen!$V$57:$AH$58,AC1,0)</f>
        <v>7278.96</v>
      </c>
      <c r="AD151" s="65">
        <f>VLOOKUP($E$1,[8]Resumen!$V$57:$AH$58,AD1,0)</f>
        <v>7278.96</v>
      </c>
      <c r="AE151" s="65">
        <f>VLOOKUP($E$1,[8]Resumen!$V$57:$AH$58,AE1,0)</f>
        <v>7278.96</v>
      </c>
      <c r="AF151" s="65">
        <f>VLOOKUP($E$1,[8]Resumen!$V$57:$AH$58,AF1,0)</f>
        <v>7278.96</v>
      </c>
      <c r="AG151" s="65">
        <f>VLOOKUP($E$1,[8]Resumen!$V$57:$AH$58,AG1,0)</f>
        <v>7278.96</v>
      </c>
      <c r="AH151" s="65">
        <f>VLOOKUP($E$1,[8]Resumen!$V$57:$AH$58,AH1,0)</f>
        <v>7278.96</v>
      </c>
      <c r="AI151" s="65">
        <f>VLOOKUP($E$1,[8]Resumen!$V$57:$AH$58,AI1,0)</f>
        <v>7278.96</v>
      </c>
      <c r="AJ151" s="65">
        <f>VLOOKUP($E$1,[8]Resumen!$V$57:$AH$58,AJ1,0)</f>
        <v>7278.96</v>
      </c>
      <c r="AK151" s="65">
        <f t="shared" si="78"/>
        <v>87347.520000000019</v>
      </c>
      <c r="AL151" s="73">
        <f t="shared" si="49"/>
        <v>4.3983554918252874E-4</v>
      </c>
      <c r="AM151" s="14">
        <f t="shared" si="94"/>
        <v>-0.29094636183665112</v>
      </c>
      <c r="AN151" s="9"/>
    </row>
    <row r="152" spans="1:40" ht="14.45" hidden="1" customHeight="1" outlineLevel="1">
      <c r="A152" s="12" t="s">
        <v>256</v>
      </c>
      <c r="B152" s="8" t="s">
        <v>89</v>
      </c>
      <c r="C152" s="19" t="s">
        <v>262</v>
      </c>
      <c r="D152" s="12"/>
      <c r="E152" s="20"/>
      <c r="F152" s="12"/>
      <c r="G152" s="12"/>
      <c r="H152" s="12"/>
      <c r="I152" s="262" t="s">
        <v>426</v>
      </c>
      <c r="J152" s="65"/>
      <c r="K152" s="65"/>
      <c r="L152" s="65"/>
      <c r="M152" s="65"/>
      <c r="N152" s="65"/>
      <c r="O152" s="65"/>
      <c r="P152" s="65"/>
      <c r="Q152" s="65">
        <v>0</v>
      </c>
      <c r="R152" s="65">
        <v>0</v>
      </c>
      <c r="S152" s="65">
        <v>0</v>
      </c>
      <c r="T152" s="65"/>
      <c r="U152" s="65"/>
      <c r="V152" s="65">
        <f t="shared" si="97"/>
        <v>0</v>
      </c>
      <c r="W152" s="73">
        <f t="shared" si="47"/>
        <v>0</v>
      </c>
      <c r="X152" s="89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>
        <f t="shared" si="78"/>
        <v>0</v>
      </c>
      <c r="AL152" s="73">
        <f t="shared" si="49"/>
        <v>0</v>
      </c>
      <c r="AM152" s="14">
        <f t="shared" si="94"/>
        <v>0</v>
      </c>
      <c r="AN152" s="9"/>
    </row>
    <row r="153" spans="1:40" ht="14.45" hidden="1" customHeight="1" outlineLevel="1">
      <c r="A153" s="12" t="s">
        <v>256</v>
      </c>
      <c r="B153" s="8" t="s">
        <v>89</v>
      </c>
      <c r="I153" s="226" t="s">
        <v>264</v>
      </c>
      <c r="J153" s="65">
        <v>8000</v>
      </c>
      <c r="K153" s="65">
        <v>8000</v>
      </c>
      <c r="L153" s="65">
        <v>8000</v>
      </c>
      <c r="M153" s="65">
        <v>8000</v>
      </c>
      <c r="N153" s="65">
        <v>8000</v>
      </c>
      <c r="O153" s="65">
        <v>8000</v>
      </c>
      <c r="P153" s="65">
        <v>8000</v>
      </c>
      <c r="Q153" s="65">
        <v>8000</v>
      </c>
      <c r="R153" s="65">
        <v>8000</v>
      </c>
      <c r="S153" s="65">
        <v>8000</v>
      </c>
      <c r="T153" s="65">
        <f t="shared" ref="T153" si="100">+AVERAGE(P153:S153)</f>
        <v>8000</v>
      </c>
      <c r="U153" s="65">
        <f t="shared" ref="U153" si="101">+AVERAGE(Q153:T153)</f>
        <v>8000</v>
      </c>
      <c r="V153" s="65">
        <f t="shared" si="97"/>
        <v>96000</v>
      </c>
      <c r="W153" s="73">
        <f t="shared" si="47"/>
        <v>5.2919994577091639E-4</v>
      </c>
      <c r="X153" s="89"/>
      <c r="Y153" s="65">
        <f>VLOOKUP($E$1,[22]Resumen!$V$8:$AH$9,Y1,0)</f>
        <v>8320</v>
      </c>
      <c r="Z153" s="65">
        <f>VLOOKUP($E$1,[22]Resumen!$V$8:$AH$9,Z1,0)</f>
        <v>8320</v>
      </c>
      <c r="AA153" s="65">
        <f>VLOOKUP($E$1,[22]Resumen!$V$8:$AH$9,AA1,0)</f>
        <v>8320</v>
      </c>
      <c r="AB153" s="65">
        <f>VLOOKUP($E$1,[22]Resumen!$V$8:$AH$9,AB1,0)</f>
        <v>8320</v>
      </c>
      <c r="AC153" s="65">
        <f>VLOOKUP($E$1,[22]Resumen!$V$8:$AH$9,AC1,0)</f>
        <v>8320</v>
      </c>
      <c r="AD153" s="65">
        <f>VLOOKUP($E$1,[22]Resumen!$V$8:$AH$9,AD1,0)</f>
        <v>8320</v>
      </c>
      <c r="AE153" s="65">
        <f>VLOOKUP($E$1,[22]Resumen!$V$8:$AH$9,AE1,0)</f>
        <v>8320</v>
      </c>
      <c r="AF153" s="65">
        <f>VLOOKUP($E$1,[22]Resumen!$V$8:$AH$9,AF1,0)</f>
        <v>8320</v>
      </c>
      <c r="AG153" s="65">
        <f>VLOOKUP($E$1,[22]Resumen!$V$8:$AH$9,AG1,0)</f>
        <v>8320</v>
      </c>
      <c r="AH153" s="65">
        <f>VLOOKUP($E$1,[22]Resumen!$V$8:$AH$9,AH1,0)</f>
        <v>8320</v>
      </c>
      <c r="AI153" s="65">
        <f>VLOOKUP($E$1,[22]Resumen!$V$8:$AH$9,AI1,0)</f>
        <v>8320</v>
      </c>
      <c r="AJ153" s="65">
        <f>VLOOKUP($E$1,[22]Resumen!$V$8:$AH$9,AJ1,0)</f>
        <v>8320</v>
      </c>
      <c r="AK153" s="65">
        <f t="shared" si="78"/>
        <v>99840</v>
      </c>
      <c r="AL153" s="73">
        <f t="shared" si="49"/>
        <v>5.0274101921134867E-4</v>
      </c>
      <c r="AM153" s="14">
        <f t="shared" si="94"/>
        <v>4.0000000000000036E-2</v>
      </c>
      <c r="AN153" s="9"/>
    </row>
    <row r="154" spans="1:40" ht="14.45" customHeight="1">
      <c r="A154" s="12"/>
      <c r="I154" s="119" t="s">
        <v>427</v>
      </c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15">
        <f t="shared" si="97"/>
        <v>0</v>
      </c>
      <c r="W154" s="72">
        <f t="shared" ref="W154" si="102">V154/V$6</f>
        <v>0</v>
      </c>
      <c r="X154" s="89"/>
      <c r="Y154" s="15">
        <f>+'EDO RESULTADOS MISMAS EST'!Y154*55%</f>
        <v>39853.020625000005</v>
      </c>
      <c r="Z154" s="15">
        <f>+'EDO RESULTADOS MISMAS EST'!Z154*55%</f>
        <v>40160.587500000001</v>
      </c>
      <c r="AA154" s="15">
        <f>+'EDO RESULTADOS MISMAS EST'!AA154*55%</f>
        <v>40606.245625000003</v>
      </c>
      <c r="AB154" s="15">
        <f>+'EDO RESULTADOS MISMAS EST'!AB154*55%</f>
        <v>53508.647500000014</v>
      </c>
      <c r="AC154" s="15">
        <f>+'EDO RESULTADOS MISMAS EST'!AC154*55%</f>
        <v>47086.263125000012</v>
      </c>
      <c r="AD154" s="15">
        <f>+'EDO RESULTADOS MISMAS EST'!AD154*55%</f>
        <v>43792.615625000006</v>
      </c>
      <c r="AE154" s="15">
        <f>+'EDO RESULTADOS MISMAS EST'!AE154*55%</f>
        <v>50094.027500000004</v>
      </c>
      <c r="AF154" s="15">
        <f>+'EDO RESULTADOS MISMAS EST'!AF154*55%</f>
        <v>49834.393125000002</v>
      </c>
      <c r="AG154" s="15">
        <f>+'EDO RESULTADOS MISMAS EST'!AG154*55%</f>
        <v>51078.355625000004</v>
      </c>
      <c r="AH154" s="15">
        <f>+'EDO RESULTADOS MISMAS EST'!AH154*55%</f>
        <v>49397.294375000012</v>
      </c>
      <c r="AI154" s="15">
        <f>+'EDO RESULTADOS MISMAS EST'!AI154*55%</f>
        <v>49224.395000000011</v>
      </c>
      <c r="AJ154" s="15">
        <f>+'EDO RESULTADOS MISMAS EST'!AJ154*55%</f>
        <v>49882.325625000012</v>
      </c>
      <c r="AK154" s="15">
        <f t="shared" si="78"/>
        <v>564518.17125000013</v>
      </c>
      <c r="AL154" s="72">
        <f t="shared" ref="AL154" si="103">AK154/AK$6</f>
        <v>2.8426125879161832E-3</v>
      </c>
      <c r="AM154" s="10">
        <f t="shared" ref="AM154" si="104">IFERROR(AK154/V154-1,0)</f>
        <v>0</v>
      </c>
      <c r="AN154" s="9"/>
    </row>
    <row r="155" spans="1:40" ht="14.45" customHeight="1">
      <c r="I155" s="28" t="s">
        <v>265</v>
      </c>
      <c r="J155" s="27">
        <v>462185</v>
      </c>
      <c r="K155" s="27">
        <v>362991</v>
      </c>
      <c r="L155" s="27">
        <v>418320</v>
      </c>
      <c r="M155" s="27">
        <v>391556</v>
      </c>
      <c r="N155" s="27">
        <v>414819</v>
      </c>
      <c r="O155" s="27">
        <v>462384</v>
      </c>
      <c r="P155" s="27">
        <v>428972</v>
      </c>
      <c r="Q155" s="27">
        <f t="shared" ref="Q155:U155" si="105">Q50+Q90+Q106+Q111+Q147</f>
        <v>457312</v>
      </c>
      <c r="R155" s="27">
        <v>482876</v>
      </c>
      <c r="S155" s="27">
        <v>499296</v>
      </c>
      <c r="T155" s="27">
        <f t="shared" si="105"/>
        <v>468502.83431372547</v>
      </c>
      <c r="U155" s="27">
        <f t="shared" si="105"/>
        <v>501528.21805555554</v>
      </c>
      <c r="V155" s="27">
        <f>V50+V90+V106+V111+V147</f>
        <v>5350738.0523692807</v>
      </c>
      <c r="W155" s="76">
        <f t="shared" si="47"/>
        <v>2.9495940491127106E-2</v>
      </c>
      <c r="X155" s="89"/>
      <c r="Y155" s="27">
        <f>Y50+Y90+Y106+Y111+Y147+Y154</f>
        <v>546848.07798327552</v>
      </c>
      <c r="Z155" s="27">
        <f t="shared" ref="Z155:AK155" si="106">Z50+Z90+Z106+Z111+Z147+Z154</f>
        <v>490354.98857659078</v>
      </c>
      <c r="AA155" s="27">
        <f t="shared" si="106"/>
        <v>567482.03467518266</v>
      </c>
      <c r="AB155" s="27">
        <f t="shared" si="106"/>
        <v>498592.46841196524</v>
      </c>
      <c r="AC155" s="27">
        <f t="shared" si="106"/>
        <v>586967.6880780044</v>
      </c>
      <c r="AD155" s="27">
        <f t="shared" si="106"/>
        <v>495624.89379834244</v>
      </c>
      <c r="AE155" s="27">
        <f t="shared" si="106"/>
        <v>517969.82639067451</v>
      </c>
      <c r="AF155" s="27">
        <f t="shared" si="106"/>
        <v>605930.09862855659</v>
      </c>
      <c r="AG155" s="27">
        <f t="shared" si="106"/>
        <v>563189.76509546698</v>
      </c>
      <c r="AH155" s="27">
        <f t="shared" si="106"/>
        <v>554469.73536005116</v>
      </c>
      <c r="AI155" s="27">
        <f t="shared" si="106"/>
        <v>516454.0942557205</v>
      </c>
      <c r="AJ155" s="27">
        <f t="shared" si="106"/>
        <v>563641.96593480557</v>
      </c>
      <c r="AK155" s="27">
        <f t="shared" si="106"/>
        <v>6507525.6371886358</v>
      </c>
      <c r="AL155" s="76">
        <f t="shared" si="49"/>
        <v>3.2768430202165424E-2</v>
      </c>
      <c r="AM155" s="10">
        <f t="shared" si="94"/>
        <v>0.21619215396035596</v>
      </c>
      <c r="AN155" s="9"/>
    </row>
    <row r="156" spans="1:40" ht="14.45" customHeight="1">
      <c r="I156" s="26" t="s">
        <v>266</v>
      </c>
      <c r="J156" s="17">
        <v>0.69</v>
      </c>
      <c r="K156" s="17">
        <v>0.59</v>
      </c>
      <c r="L156" s="17">
        <v>0.59</v>
      </c>
      <c r="M156" s="17">
        <v>0.56000000000000005</v>
      </c>
      <c r="N156" s="17">
        <v>0.59</v>
      </c>
      <c r="O156" s="17">
        <v>0.65</v>
      </c>
      <c r="P156" s="17">
        <v>0.56000000000000005</v>
      </c>
      <c r="Q156" s="17">
        <v>0.61</v>
      </c>
      <c r="R156" s="17">
        <v>0.64</v>
      </c>
      <c r="S156" s="17">
        <v>0.6</v>
      </c>
      <c r="T156" s="17">
        <v>0.87350047480950632</v>
      </c>
      <c r="U156" s="17">
        <v>0.87692337089898009</v>
      </c>
      <c r="V156" s="17">
        <f>IFERROR(V155/V39,0)</f>
        <v>0.61172419232897135</v>
      </c>
      <c r="W156" s="73">
        <f t="shared" si="47"/>
        <v>3.3721292646588467E-9</v>
      </c>
      <c r="X156" s="89"/>
      <c r="Y156" s="17">
        <f t="shared" ref="Y156:AK156" si="107">IFERROR(Y155/Y39,0)</f>
        <v>0.78004407401200315</v>
      </c>
      <c r="Z156" s="17">
        <f t="shared" si="107"/>
        <v>0.76166718826213042</v>
      </c>
      <c r="AA156" s="17">
        <f t="shared" si="107"/>
        <v>0.79284876857748754</v>
      </c>
      <c r="AB156" s="17">
        <f t="shared" si="107"/>
        <v>0.68137120178599375</v>
      </c>
      <c r="AC156" s="17">
        <f t="shared" si="107"/>
        <v>0.79314848828837292</v>
      </c>
      <c r="AD156" s="17">
        <f t="shared" si="107"/>
        <v>0.67945881885528125</v>
      </c>
      <c r="AE156" s="17">
        <f t="shared" si="107"/>
        <v>0.65923820001876154</v>
      </c>
      <c r="AF156" s="17">
        <f t="shared" si="107"/>
        <v>0.77109015621919874</v>
      </c>
      <c r="AG156" s="17">
        <f t="shared" si="107"/>
        <v>0.72124879364353833</v>
      </c>
      <c r="AH156" s="17">
        <f t="shared" si="107"/>
        <v>0.65852398887402031</v>
      </c>
      <c r="AI156" s="17">
        <f t="shared" si="107"/>
        <v>0.63465420980357012</v>
      </c>
      <c r="AJ156" s="17">
        <f t="shared" si="107"/>
        <v>0.70724558968690221</v>
      </c>
      <c r="AK156" s="17">
        <f t="shared" si="107"/>
        <v>0.7177234065570417</v>
      </c>
      <c r="AL156" s="73">
        <f t="shared" si="49"/>
        <v>3.6140724852196346E-9</v>
      </c>
      <c r="AM156" s="16">
        <f t="shared" si="94"/>
        <v>0.17327942160421594</v>
      </c>
      <c r="AN156" s="9"/>
    </row>
    <row r="157" spans="1:40" ht="14.45" customHeight="1">
      <c r="I157" s="26" t="s">
        <v>267</v>
      </c>
      <c r="J157" s="17">
        <v>0.69</v>
      </c>
      <c r="K157" s="17">
        <v>0.59</v>
      </c>
      <c r="L157" s="17">
        <v>0.59</v>
      </c>
      <c r="M157" s="17">
        <v>0.56000000000000005</v>
      </c>
      <c r="N157" s="17">
        <v>0.59</v>
      </c>
      <c r="O157" s="17">
        <v>0.65</v>
      </c>
      <c r="P157" s="17">
        <v>0.56000000000000005</v>
      </c>
      <c r="Q157" s="17">
        <v>0.61</v>
      </c>
      <c r="R157" s="17">
        <v>0.64</v>
      </c>
      <c r="S157" s="17">
        <v>0.6</v>
      </c>
      <c r="T157" s="17">
        <v>2.14261207108353E-6</v>
      </c>
      <c r="U157" s="17">
        <v>2.0357663421761102E-6</v>
      </c>
      <c r="V157" s="17">
        <f>IFERROR((V155-V148)/V39,0)</f>
        <v>0.61172419232897135</v>
      </c>
      <c r="W157" s="73">
        <f t="shared" si="47"/>
        <v>3.3721292646588467E-9</v>
      </c>
      <c r="X157" s="89"/>
      <c r="Y157" s="17">
        <f t="shared" ref="Y157:AJ157" si="108">IFERROR(Y156/Y40,0)</f>
        <v>1.6122053737390781E-6</v>
      </c>
      <c r="Z157" s="17">
        <f t="shared" si="108"/>
        <v>1.7705257371397864E-6</v>
      </c>
      <c r="AA157" s="17">
        <f t="shared" si="108"/>
        <v>1.6794168337571824E-6</v>
      </c>
      <c r="AB157" s="17">
        <f t="shared" si="108"/>
        <v>1.4162816257773743E-6</v>
      </c>
      <c r="AC157" s="17">
        <f t="shared" si="108"/>
        <v>1.6353318572044006E-6</v>
      </c>
      <c r="AD157" s="17">
        <f t="shared" si="108"/>
        <v>1.4053397574725671E-6</v>
      </c>
      <c r="AE157" s="17">
        <f t="shared" si="108"/>
        <v>1.279012056690971E-6</v>
      </c>
      <c r="AF157" s="17">
        <f t="shared" si="108"/>
        <v>1.4844795807862882E-6</v>
      </c>
      <c r="AG157" s="17">
        <f t="shared" si="108"/>
        <v>1.3997202695557598E-6</v>
      </c>
      <c r="AH157" s="17">
        <f t="shared" si="108"/>
        <v>1.1879131111980023E-6</v>
      </c>
      <c r="AI157" s="17">
        <f t="shared" si="108"/>
        <v>1.1611546088257475E-6</v>
      </c>
      <c r="AJ157" s="17">
        <f t="shared" si="108"/>
        <v>1.3143589345438087E-6</v>
      </c>
      <c r="AK157" s="17">
        <f>IFERROR((AK155-AK148)/AK39,0)</f>
        <v>0.7177234065570417</v>
      </c>
      <c r="AL157" s="73">
        <f t="shared" si="49"/>
        <v>3.6140724852196346E-9</v>
      </c>
      <c r="AM157" s="16">
        <f t="shared" si="94"/>
        <v>0.17327942160421594</v>
      </c>
      <c r="AN157" s="9"/>
    </row>
    <row r="158" spans="1:40" ht="15.6" customHeight="1">
      <c r="I158" s="25" t="s">
        <v>268</v>
      </c>
      <c r="J158" s="24">
        <v>903746</v>
      </c>
      <c r="K158" s="24">
        <v>1021993</v>
      </c>
      <c r="L158" s="24">
        <v>1147489</v>
      </c>
      <c r="M158" s="24">
        <v>1241518</v>
      </c>
      <c r="N158" s="24">
        <v>1401677</v>
      </c>
      <c r="O158" s="24">
        <v>1227250</v>
      </c>
      <c r="P158" s="24">
        <v>1203107</v>
      </c>
      <c r="Q158" s="24">
        <v>1153086</v>
      </c>
      <c r="R158" s="24">
        <v>1162967</v>
      </c>
      <c r="S158" s="24">
        <v>1312593</v>
      </c>
      <c r="T158" s="24">
        <v>737495.81018538191</v>
      </c>
      <c r="U158" s="24">
        <v>773967.19671245548</v>
      </c>
      <c r="V158" s="24">
        <f>V33-V155</f>
        <v>14226233.225408498</v>
      </c>
      <c r="W158" s="77">
        <f t="shared" si="47"/>
        <v>7.8422102618860276E-2</v>
      </c>
      <c r="X158" s="89"/>
      <c r="Y158" s="24">
        <f t="shared" ref="Y158:AK158" si="109">Y33-Y155</f>
        <v>955459.12535005761</v>
      </c>
      <c r="Z158" s="24">
        <f t="shared" si="109"/>
        <v>834203.28809007839</v>
      </c>
      <c r="AA158" s="24">
        <f t="shared" si="109"/>
        <v>1043788.4919914865</v>
      </c>
      <c r="AB158" s="24">
        <f t="shared" si="109"/>
        <v>1090201.2182547003</v>
      </c>
      <c r="AC158" s="24">
        <f t="shared" si="109"/>
        <v>1022236.2352553294</v>
      </c>
      <c r="AD158" s="24">
        <f t="shared" si="109"/>
        <v>1055994.4262016597</v>
      </c>
      <c r="AE158" s="24">
        <f t="shared" si="109"/>
        <v>1235163.3536093251</v>
      </c>
      <c r="AF158" s="24">
        <f t="shared" si="109"/>
        <v>1088539.7347047792</v>
      </c>
      <c r="AG158" s="24">
        <f t="shared" si="109"/>
        <v>1113886.1015712002</v>
      </c>
      <c r="AH158" s="24">
        <f t="shared" si="109"/>
        <v>1310460.8546399488</v>
      </c>
      <c r="AI158" s="24">
        <f t="shared" si="109"/>
        <v>1211270.505744281</v>
      </c>
      <c r="AJ158" s="24">
        <f t="shared" si="109"/>
        <v>1133336.964065196</v>
      </c>
      <c r="AK158" s="24">
        <f t="shared" si="109"/>
        <v>13094540.299478032</v>
      </c>
      <c r="AL158" s="77">
        <f t="shared" si="49"/>
        <v>6.5937124762256258E-2</v>
      </c>
      <c r="AM158" s="23">
        <f t="shared" si="94"/>
        <v>-7.9549723950063433E-2</v>
      </c>
      <c r="AN158" s="9"/>
    </row>
    <row r="159" spans="1:40" ht="14.45" customHeight="1">
      <c r="I159" s="26" t="s">
        <v>446</v>
      </c>
      <c r="J159" s="17">
        <f t="shared" ref="J159:U159" si="110">+J158/J39</f>
        <v>1.3498779689978522</v>
      </c>
      <c r="K159" s="17">
        <f t="shared" si="110"/>
        <v>1.6675308952189505</v>
      </c>
      <c r="L159" s="17">
        <f t="shared" si="110"/>
        <v>1.6318845567488851</v>
      </c>
      <c r="M159" s="17">
        <f t="shared" si="110"/>
        <v>1.7886550632683433</v>
      </c>
      <c r="N159" s="17">
        <f t="shared" si="110"/>
        <v>1.978663064161853</v>
      </c>
      <c r="O159" s="17">
        <f t="shared" si="110"/>
        <v>1.7331860825404717</v>
      </c>
      <c r="P159" s="17">
        <f t="shared" si="110"/>
        <v>1.5828460013340508</v>
      </c>
      <c r="Q159" s="17">
        <f t="shared" si="110"/>
        <v>1.5394081797488803</v>
      </c>
      <c r="R159" s="17">
        <f t="shared" si="110"/>
        <v>1.5363144580143595</v>
      </c>
      <c r="S159" s="17">
        <f t="shared" si="110"/>
        <v>1.5816850832058034</v>
      </c>
      <c r="T159" s="17">
        <f t="shared" si="110"/>
        <v>0.93832206727887846</v>
      </c>
      <c r="U159" s="17">
        <f t="shared" si="110"/>
        <v>1.0066242280431585</v>
      </c>
      <c r="V159" s="17">
        <f>+V158/V39</f>
        <v>1.626416943704271</v>
      </c>
      <c r="W159" s="73">
        <f t="shared" ref="W159" si="111">V159/V$6</f>
        <v>8.9656224834291647E-9</v>
      </c>
      <c r="X159" s="89"/>
      <c r="Y159" s="17">
        <f t="shared" ref="Y159:AJ159" si="112">+Y158/Y39</f>
        <v>1.3629017979520044</v>
      </c>
      <c r="Z159" s="17">
        <f t="shared" si="112"/>
        <v>1.2957658995639039</v>
      </c>
      <c r="AA159" s="17">
        <f t="shared" si="112"/>
        <v>1.4583129860745074</v>
      </c>
      <c r="AB159" s="17">
        <f t="shared" si="112"/>
        <v>1.4898574714469817</v>
      </c>
      <c r="AC159" s="17">
        <f t="shared" si="112"/>
        <v>1.3813113415514171</v>
      </c>
      <c r="AD159" s="17">
        <f t="shared" si="112"/>
        <v>1.4476769317335281</v>
      </c>
      <c r="AE159" s="17">
        <f t="shared" si="112"/>
        <v>1.5720353280741</v>
      </c>
      <c r="AF159" s="17">
        <f t="shared" si="112"/>
        <v>1.385246047331367</v>
      </c>
      <c r="AG159" s="17">
        <f t="shared" si="112"/>
        <v>1.4264978818966081</v>
      </c>
      <c r="AH159" s="17">
        <f t="shared" si="112"/>
        <v>1.5563877597401734</v>
      </c>
      <c r="AI159" s="17">
        <f t="shared" si="112"/>
        <v>1.4884922672350225</v>
      </c>
      <c r="AJ159" s="17">
        <f t="shared" si="112"/>
        <v>1.4220863915533308</v>
      </c>
      <c r="AK159" s="17">
        <f>+AK158/AK39</f>
        <v>1.4442137603471736</v>
      </c>
      <c r="AL159" s="73">
        <f t="shared" ref="AL159" si="113">AK159/AK$6</f>
        <v>7.2722906433893476E-9</v>
      </c>
      <c r="AM159" s="16">
        <f t="shared" si="94"/>
        <v>-0.11202735194218882</v>
      </c>
      <c r="AN159" s="9"/>
    </row>
  </sheetData>
  <mergeCells count="4">
    <mergeCell ref="J2:U2"/>
    <mergeCell ref="V2:W2"/>
    <mergeCell ref="Y2:AJ2"/>
    <mergeCell ref="AK2:AL2"/>
  </mergeCells>
  <conditionalFormatting sqref="AM1:AM159">
    <cfRule type="cellIs" dxfId="4" priority="2" operator="lessThan">
      <formula>0</formula>
    </cfRule>
  </conditionalFormatting>
  <conditionalFormatting sqref="AO43:AO46">
    <cfRule type="cellIs" dxfId="3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4">
    <outlinePr summaryBelow="0" summaryRight="0"/>
  </sheetPr>
  <dimension ref="A1:AO159"/>
  <sheetViews>
    <sheetView showGridLines="0" zoomScale="70" zoomScaleNormal="70" workbookViewId="0">
      <pane xSplit="9" ySplit="3" topLeftCell="AE12" activePane="bottomRight" state="frozen"/>
      <selection pane="bottomRight" activeCell="AK155" sqref="AK155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41.28515625" style="5" customWidth="1"/>
    <col min="10" max="10" width="16" style="4" customWidth="1" outlineLevel="1"/>
    <col min="11" max="12" width="16.42578125" style="4" customWidth="1" outlineLevel="1"/>
    <col min="13" max="14" width="16.42578125" style="3" customWidth="1" outlineLevel="1"/>
    <col min="15" max="15" width="16" style="3" customWidth="1" outlineLevel="1"/>
    <col min="16" max="16" width="16.42578125" style="3" customWidth="1" outlineLevel="1"/>
    <col min="17" max="17" width="17.42578125" style="4" customWidth="1" outlineLevel="1"/>
    <col min="18" max="18" width="16" style="3" customWidth="1" outlineLevel="1"/>
    <col min="19" max="19" width="17.42578125" style="3" customWidth="1" outlineLevel="1"/>
    <col min="20" max="20" width="18.28515625" style="3" customWidth="1" outlineLevel="1"/>
    <col min="21" max="21" width="17.42578125" style="4" customWidth="1" outlineLevel="1"/>
    <col min="22" max="22" width="12.42578125" style="4" bestFit="1" customWidth="1"/>
    <col min="23" max="23" width="11.42578125" style="83" customWidth="1"/>
    <col min="24" max="24" width="2.285156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4.7109375" style="4" bestFit="1" customWidth="1"/>
    <col min="38" max="38" width="11.42578125" style="83" customWidth="1"/>
    <col min="39" max="39" width="11.42578125" style="2" customWidth="1"/>
    <col min="40" max="41" width="11.42578125" style="1" customWidth="1"/>
    <col min="42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447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.75">
      <c r="A2" s="55"/>
      <c r="B2" s="55"/>
      <c r="C2" s="55"/>
      <c r="D2" s="55"/>
      <c r="E2" s="56"/>
      <c r="F2" s="55"/>
      <c r="G2" s="55"/>
      <c r="H2" s="55"/>
      <c r="I2" s="54"/>
      <c r="J2" s="300">
        <v>2025</v>
      </c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2"/>
      <c r="V2" s="303" t="s">
        <v>82</v>
      </c>
      <c r="W2" s="304"/>
      <c r="X2" s="85"/>
      <c r="Y2" s="300">
        <v>2026</v>
      </c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2"/>
      <c r="AK2" s="303" t="s">
        <v>82</v>
      </c>
      <c r="AL2" s="305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1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83</v>
      </c>
      <c r="X3" s="86"/>
      <c r="Y3" s="131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83</v>
      </c>
      <c r="AM3" s="45" t="s">
        <v>84</v>
      </c>
    </row>
    <row r="4" spans="1:40" ht="14.45" customHeight="1">
      <c r="I4" s="43" t="s">
        <v>85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 collapsed="1">
      <c r="A6" s="12" t="s">
        <v>86</v>
      </c>
      <c r="B6" s="19"/>
      <c r="C6" s="19"/>
      <c r="D6" s="12"/>
      <c r="E6" s="7" t="s">
        <v>87</v>
      </c>
      <c r="I6" s="167" t="s">
        <v>88</v>
      </c>
      <c r="J6" s="15">
        <v>12094533</v>
      </c>
      <c r="K6" s="15">
        <v>11964006</v>
      </c>
      <c r="L6" s="15">
        <v>13039742</v>
      </c>
      <c r="M6" s="15">
        <v>11617644</v>
      </c>
      <c r="N6" s="15">
        <v>12052510</v>
      </c>
      <c r="O6" s="15">
        <v>11477034</v>
      </c>
      <c r="P6" s="15">
        <v>11529513</v>
      </c>
      <c r="Q6" s="15">
        <v>12093447</v>
      </c>
      <c r="R6" s="15">
        <v>12579107</v>
      </c>
      <c r="S6" s="15">
        <v>13160349</v>
      </c>
      <c r="T6" s="15">
        <v>13334719.96886963</v>
      </c>
      <c r="U6" s="15">
        <v>13263673.020173695</v>
      </c>
      <c r="V6" s="15">
        <f>SUM(V7:V11)</f>
        <v>148206274.98904333</v>
      </c>
      <c r="W6" s="72">
        <f t="shared" ref="W6:W33" si="1">V6/V$6</f>
        <v>1</v>
      </c>
      <c r="X6" s="89"/>
      <c r="Y6" s="15">
        <f t="shared" ref="Y6:AK6" si="2">SUM(Y7:Y11)</f>
        <v>12708298.189655174</v>
      </c>
      <c r="Z6" s="15">
        <f t="shared" si="2"/>
        <v>12601495.484614659</v>
      </c>
      <c r="AA6" s="15">
        <f t="shared" si="2"/>
        <v>13982357.891996715</v>
      </c>
      <c r="AB6" s="15">
        <f t="shared" si="2"/>
        <v>12688007.228539925</v>
      </c>
      <c r="AC6" s="15">
        <f t="shared" si="2"/>
        <v>13100604.294435017</v>
      </c>
      <c r="AD6" s="15">
        <f t="shared" si="2"/>
        <v>12536998.762924116</v>
      </c>
      <c r="AE6" s="15">
        <f t="shared" si="2"/>
        <v>12628256.739370685</v>
      </c>
      <c r="AF6" s="15">
        <f t="shared" si="2"/>
        <v>13504221.781094924</v>
      </c>
      <c r="AG6" s="15">
        <f t="shared" si="2"/>
        <v>13827085.585468348</v>
      </c>
      <c r="AH6" s="15">
        <f t="shared" si="2"/>
        <v>14400126.541540397</v>
      </c>
      <c r="AI6" s="15">
        <f t="shared" si="2"/>
        <v>14213709.908806749</v>
      </c>
      <c r="AJ6" s="15">
        <f t="shared" si="2"/>
        <v>14016701.119023481</v>
      </c>
      <c r="AK6" s="15">
        <f t="shared" si="2"/>
        <v>160207863.5274702</v>
      </c>
      <c r="AL6" s="72">
        <f t="shared" ref="AL6:AL33" si="3">AK6/AK$6</f>
        <v>1</v>
      </c>
      <c r="AM6" s="10">
        <f>IFERROR(AK6/V6-1,0)</f>
        <v>8.0978950043202547E-2</v>
      </c>
      <c r="AN6" s="9"/>
    </row>
    <row r="7" spans="1:40" ht="15" hidden="1" customHeight="1" outlineLevel="1">
      <c r="A7" s="12" t="s">
        <v>86</v>
      </c>
      <c r="B7" s="19" t="s">
        <v>89</v>
      </c>
      <c r="C7" s="19" t="s">
        <v>90</v>
      </c>
      <c r="D7" s="12" t="s">
        <v>91</v>
      </c>
      <c r="E7" s="20"/>
      <c r="F7" s="12"/>
      <c r="G7" s="12"/>
      <c r="H7" s="12"/>
      <c r="I7" s="117" t="s">
        <v>22</v>
      </c>
      <c r="J7" s="65">
        <v>9216809</v>
      </c>
      <c r="K7" s="65">
        <v>9141838</v>
      </c>
      <c r="L7" s="65">
        <v>9778567</v>
      </c>
      <c r="M7" s="65">
        <v>8772242</v>
      </c>
      <c r="N7" s="65">
        <v>8675770</v>
      </c>
      <c r="O7" s="65">
        <v>8682029</v>
      </c>
      <c r="P7" s="65">
        <v>8726986</v>
      </c>
      <c r="Q7" s="65">
        <v>9036343</v>
      </c>
      <c r="R7" s="65">
        <v>9381269</v>
      </c>
      <c r="S7" s="65">
        <v>9922700</v>
      </c>
      <c r="T7" s="65">
        <v>10481194.908723582</v>
      </c>
      <c r="U7" s="65">
        <v>10464920.663945163</v>
      </c>
      <c r="V7" s="11">
        <f t="shared" ref="V7:V18" si="4">SUM(J7:U7)</f>
        <v>112280668.57266875</v>
      </c>
      <c r="W7" s="73">
        <f t="shared" si="1"/>
        <v>0.75759726489967782</v>
      </c>
      <c r="X7" s="89"/>
      <c r="Y7" s="65">
        <f>IFERROR(Y40*'[4]Margen Ctvs-Ltr'!W$31,0)</f>
        <v>9771046.2155172434</v>
      </c>
      <c r="Z7" s="65">
        <f>IFERROR(Z40*'[4]Margen Ctvs-Ltr'!X$31,0)</f>
        <v>9712437.1658844855</v>
      </c>
      <c r="AA7" s="65">
        <f>IFERROR(AA40*'[4]Margen Ctvs-Ltr'!Y$31,0)</f>
        <v>10626097.562191436</v>
      </c>
      <c r="AB7" s="65">
        <f>IFERROR(AB40*'[4]Margen Ctvs-Ltr'!Z$31,0)</f>
        <v>9711884.9012869243</v>
      </c>
      <c r="AC7" s="65">
        <f>IFERROR(AC40*'[4]Margen Ctvs-Ltr'!AA$31,0)</f>
        <v>9602379.2332375292</v>
      </c>
      <c r="AD7" s="65">
        <f>IFERROR(AD40*'[4]Margen Ctvs-Ltr'!AB$31,0)</f>
        <v>9640100.7412430011</v>
      </c>
      <c r="AE7" s="65">
        <f>IFERROR(AE40*'[4]Margen Ctvs-Ltr'!AC$31,0)</f>
        <v>9699426.091648588</v>
      </c>
      <c r="AF7" s="65">
        <f>IFERROR(AF40*'[4]Margen Ctvs-Ltr'!AD$31,0)</f>
        <v>10241149.149488518</v>
      </c>
      <c r="AG7" s="65">
        <f>IFERROR(AG40*'[4]Margen Ctvs-Ltr'!AE$31,0)</f>
        <v>10463124.143524233</v>
      </c>
      <c r="AH7" s="65">
        <f>IFERROR(AH40*'[4]Margen Ctvs-Ltr'!AF$31,0)</f>
        <v>10994861.390112417</v>
      </c>
      <c r="AI7" s="65">
        <f>IFERROR(AI40*'[4]Margen Ctvs-Ltr'!AG$31,0)</f>
        <v>10856489.474930728</v>
      </c>
      <c r="AJ7" s="65">
        <f>IFERROR(AJ40*'[4]Margen Ctvs-Ltr'!AH$31,0)</f>
        <v>10704292.097006636</v>
      </c>
      <c r="AK7" s="65">
        <f t="shared" ref="AK7:AK18" si="5">SUM(Y7:AJ7)</f>
        <v>122023288.16607174</v>
      </c>
      <c r="AL7" s="73">
        <f t="shared" si="3"/>
        <v>0.76165604783281371</v>
      </c>
      <c r="AM7" s="14">
        <f t="shared" ref="AM7:AM46" si="6">IFERROR(AK7/V7-1,0)</f>
        <v>8.6770231396489317E-2</v>
      </c>
      <c r="AN7" s="9"/>
    </row>
    <row r="8" spans="1:40" ht="15" hidden="1" customHeight="1" outlineLevel="1">
      <c r="A8" s="12" t="s">
        <v>86</v>
      </c>
      <c r="B8" s="19" t="s">
        <v>89</v>
      </c>
      <c r="C8" s="19" t="s">
        <v>93</v>
      </c>
      <c r="D8" s="12" t="s">
        <v>94</v>
      </c>
      <c r="E8" s="20"/>
      <c r="F8" s="12"/>
      <c r="G8" s="12"/>
      <c r="H8" s="12"/>
      <c r="I8" s="117" t="s">
        <v>23</v>
      </c>
      <c r="J8" s="65">
        <v>2832216</v>
      </c>
      <c r="K8" s="65">
        <v>2786302</v>
      </c>
      <c r="L8" s="65">
        <v>3231713</v>
      </c>
      <c r="M8" s="65">
        <v>2834993</v>
      </c>
      <c r="N8" s="65">
        <v>3336395</v>
      </c>
      <c r="O8" s="65">
        <v>2758268</v>
      </c>
      <c r="P8" s="65">
        <v>2765730</v>
      </c>
      <c r="Q8" s="65">
        <v>3015732</v>
      </c>
      <c r="R8" s="65">
        <v>3157964</v>
      </c>
      <c r="S8" s="65">
        <v>3199935</v>
      </c>
      <c r="T8" s="65">
        <v>2826225.0601460482</v>
      </c>
      <c r="U8" s="65">
        <v>2770852.3562285327</v>
      </c>
      <c r="V8" s="11">
        <f t="shared" si="4"/>
        <v>35516325.416374579</v>
      </c>
      <c r="W8" s="73">
        <f t="shared" si="1"/>
        <v>0.23964117186671247</v>
      </c>
      <c r="X8" s="89"/>
      <c r="Y8" s="65">
        <f>IFERROR(Y41*'[4]Margen Ctvs-Ltr'!W$32,0)</f>
        <v>2906471.9741379311</v>
      </c>
      <c r="Z8" s="65">
        <f>IFERROR(Z41*'[4]Margen Ctvs-Ltr'!X$32,0)</f>
        <v>2864338.3187301727</v>
      </c>
      <c r="AA8" s="65">
        <f>IFERROR(AA41*'[4]Margen Ctvs-Ltr'!Y$32,0)</f>
        <v>3329020.3298052796</v>
      </c>
      <c r="AB8" s="65">
        <f>IFERROR(AB41*'[4]Margen Ctvs-Ltr'!Z$32,0)</f>
        <v>2950562.3272530013</v>
      </c>
      <c r="AC8" s="65">
        <f>IFERROR(AC41*'[4]Margen Ctvs-Ltr'!AA$32,0)</f>
        <v>3469485.0611974872</v>
      </c>
      <c r="AD8" s="65">
        <f>IFERROR(AD41*'[4]Margen Ctvs-Ltr'!AB$32,0)</f>
        <v>2870438.021681115</v>
      </c>
      <c r="AE8" s="65">
        <f>IFERROR(AE41*'[4]Margen Ctvs-Ltr'!AC$32,0)</f>
        <v>2901110.6477220976</v>
      </c>
      <c r="AF8" s="65">
        <f>IFERROR(AF41*'[4]Margen Ctvs-Ltr'!AD$32,0)</f>
        <v>3234452.6316064056</v>
      </c>
      <c r="AG8" s="65">
        <f>IFERROR(AG41*'[4]Margen Ctvs-Ltr'!AE$32,0)</f>
        <v>3335941.4419441144</v>
      </c>
      <c r="AH8" s="65">
        <f>IFERROR(AH41*'[4]Margen Ctvs-Ltr'!AF$32,0)</f>
        <v>3375745.15142798</v>
      </c>
      <c r="AI8" s="65">
        <f>IFERROR(AI41*'[4]Margen Ctvs-Ltr'!AG$32,0)</f>
        <v>3331420.4338760213</v>
      </c>
      <c r="AJ8" s="65">
        <f>IFERROR(AJ41*'[4]Margen Ctvs-Ltr'!AH$32,0)</f>
        <v>3282709.0220168452</v>
      </c>
      <c r="AK8" s="65">
        <f t="shared" si="5"/>
        <v>37851695.361398451</v>
      </c>
      <c r="AL8" s="73">
        <f t="shared" si="3"/>
        <v>0.23626615153574015</v>
      </c>
      <c r="AM8" s="14">
        <f t="shared" si="6"/>
        <v>6.575483014206096E-2</v>
      </c>
      <c r="AN8" s="9"/>
    </row>
    <row r="9" spans="1:40" ht="15" hidden="1" customHeight="1" outlineLevel="1">
      <c r="A9" s="12" t="s">
        <v>86</v>
      </c>
      <c r="B9" s="19" t="s">
        <v>89</v>
      </c>
      <c r="C9" s="19" t="s">
        <v>96</v>
      </c>
      <c r="D9" s="12" t="s">
        <v>97</v>
      </c>
      <c r="E9" s="20"/>
      <c r="F9" s="12"/>
      <c r="G9" s="12"/>
      <c r="H9" s="12"/>
      <c r="I9" s="117" t="s">
        <v>5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11">
        <f t="shared" si="4"/>
        <v>0</v>
      </c>
      <c r="W9" s="73">
        <f t="shared" si="1"/>
        <v>0</v>
      </c>
      <c r="X9" s="89"/>
      <c r="Y9" s="65">
        <f>IFERROR(Y42*'[4]Margen Ctvs-Ltr'!W$33,0)</f>
        <v>0</v>
      </c>
      <c r="Z9" s="65">
        <f>IFERROR(Z42*'[4]Margen Ctvs-Ltr'!X$33,0)</f>
        <v>0</v>
      </c>
      <c r="AA9" s="65">
        <f>IFERROR(AA42*'[4]Margen Ctvs-Ltr'!Y$33,0)</f>
        <v>0</v>
      </c>
      <c r="AB9" s="65">
        <f>IFERROR(AB42*'[4]Margen Ctvs-Ltr'!Z$33,0)</f>
        <v>0</v>
      </c>
      <c r="AC9" s="65">
        <f>IFERROR(AC42*'[4]Margen Ctvs-Ltr'!AA$33,0)</f>
        <v>0</v>
      </c>
      <c r="AD9" s="65">
        <f>IFERROR(AD42*'[4]Margen Ctvs-Ltr'!AB$33,0)</f>
        <v>0</v>
      </c>
      <c r="AE9" s="65">
        <f>IFERROR(AE42*'[4]Margen Ctvs-Ltr'!AC$33,0)</f>
        <v>0</v>
      </c>
      <c r="AF9" s="65">
        <f>IFERROR(AF42*'[4]Margen Ctvs-Ltr'!AD$33,0)</f>
        <v>0</v>
      </c>
      <c r="AG9" s="65">
        <f>IFERROR(AG42*'[4]Margen Ctvs-Ltr'!AE$33,0)</f>
        <v>0</v>
      </c>
      <c r="AH9" s="65">
        <f>IFERROR(AH42*'[4]Margen Ctvs-Ltr'!AF$33,0)</f>
        <v>0</v>
      </c>
      <c r="AI9" s="65">
        <f>IFERROR(AI42*'[4]Margen Ctvs-Ltr'!AG$33,0)</f>
        <v>0</v>
      </c>
      <c r="AJ9" s="65">
        <f>IFERROR(AJ42*'[4]Margen Ctvs-Ltr'!AH$33,0)</f>
        <v>0</v>
      </c>
      <c r="AK9" s="65">
        <f t="shared" si="5"/>
        <v>0</v>
      </c>
      <c r="AL9" s="73">
        <f t="shared" si="3"/>
        <v>0</v>
      </c>
      <c r="AM9" s="14">
        <f t="shared" si="6"/>
        <v>0</v>
      </c>
      <c r="AN9" s="9"/>
    </row>
    <row r="10" spans="1:40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105</v>
      </c>
      <c r="J10" s="65">
        <v>45508</v>
      </c>
      <c r="K10" s="65">
        <v>35866</v>
      </c>
      <c r="L10" s="65">
        <v>29462</v>
      </c>
      <c r="M10" s="65">
        <v>10409</v>
      </c>
      <c r="N10" s="65">
        <v>40345</v>
      </c>
      <c r="O10" s="65">
        <v>36736</v>
      </c>
      <c r="P10" s="65">
        <v>36796</v>
      </c>
      <c r="Q10" s="65">
        <v>41371</v>
      </c>
      <c r="R10" s="65">
        <v>0</v>
      </c>
      <c r="S10" s="65">
        <v>37715</v>
      </c>
      <c r="T10" s="65">
        <v>27300</v>
      </c>
      <c r="U10" s="65">
        <v>27900</v>
      </c>
      <c r="V10" s="11">
        <f t="shared" si="4"/>
        <v>369408</v>
      </c>
      <c r="W10" s="73">
        <f t="shared" si="1"/>
        <v>2.4925260420134692E-3</v>
      </c>
      <c r="X10" s="89"/>
      <c r="Y10" s="65">
        <f>VLOOKUP($E$1,'[4]Resumen x Tipo Combustible'!$C$35:$O$36,Y1,0)</f>
        <v>30780</v>
      </c>
      <c r="Z10" s="65">
        <f>VLOOKUP($E$1,'[4]Resumen x Tipo Combustible'!$C$35:$O$36,Z1,0)</f>
        <v>24720</v>
      </c>
      <c r="AA10" s="65">
        <f>VLOOKUP($E$1,'[4]Resumen x Tipo Combustible'!$C$35:$O$36,AA1,0)</f>
        <v>27240</v>
      </c>
      <c r="AB10" s="65">
        <f>VLOOKUP($E$1,'[4]Resumen x Tipo Combustible'!$C$35:$O$36,AB1,0)</f>
        <v>25560</v>
      </c>
      <c r="AC10" s="65">
        <f>VLOOKUP($E$1,'[4]Resumen x Tipo Combustible'!$C$35:$O$36,AC1,0)</f>
        <v>28740</v>
      </c>
      <c r="AD10" s="65">
        <f>VLOOKUP($E$1,'[4]Resumen x Tipo Combustible'!$C$35:$O$36,AD1,0)</f>
        <v>26460</v>
      </c>
      <c r="AE10" s="65">
        <f>VLOOKUP($E$1,'[4]Resumen x Tipo Combustible'!$C$35:$O$36,AE1,0)</f>
        <v>27720</v>
      </c>
      <c r="AF10" s="65">
        <f>VLOOKUP($E$1,'[4]Resumen x Tipo Combustible'!$C$35:$O$36,AF1,0)</f>
        <v>28620</v>
      </c>
      <c r="AG10" s="65">
        <f>VLOOKUP($E$1,'[4]Resumen x Tipo Combustible'!$C$35:$O$36,AG1,0)</f>
        <v>28020</v>
      </c>
      <c r="AH10" s="65">
        <f>VLOOKUP($E$1,'[4]Resumen x Tipo Combustible'!$C$35:$O$36,AH1,0)</f>
        <v>29520</v>
      </c>
      <c r="AI10" s="65">
        <f>VLOOKUP($E$1,'[4]Resumen x Tipo Combustible'!$C$35:$O$36,AI1,0)</f>
        <v>25800</v>
      </c>
      <c r="AJ10" s="65">
        <f>VLOOKUP($E$1,'[4]Resumen x Tipo Combustible'!$C$35:$O$36,AJ1,0)</f>
        <v>29700</v>
      </c>
      <c r="AK10" s="65">
        <f t="shared" si="5"/>
        <v>332880</v>
      </c>
      <c r="AL10" s="73">
        <f t="shared" si="3"/>
        <v>2.077800631446049E-3</v>
      </c>
      <c r="AM10" s="14">
        <f t="shared" si="6"/>
        <v>-9.8882536382536412E-2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106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39873</v>
      </c>
      <c r="S11" s="65">
        <v>0</v>
      </c>
      <c r="T11" s="65">
        <v>0</v>
      </c>
      <c r="U11" s="65">
        <v>0</v>
      </c>
      <c r="V11" s="11">
        <f t="shared" si="4"/>
        <v>39873</v>
      </c>
      <c r="W11" s="73">
        <f t="shared" si="1"/>
        <v>2.6903719159629207E-4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5"/>
        <v>0</v>
      </c>
      <c r="AL11" s="73">
        <f t="shared" si="3"/>
        <v>0</v>
      </c>
      <c r="AM11" s="14">
        <f t="shared" si="6"/>
        <v>-1</v>
      </c>
      <c r="AN11" s="9"/>
    </row>
    <row r="12" spans="1:40" ht="14.45" customHeight="1" collapsed="1">
      <c r="A12" s="12" t="s">
        <v>107</v>
      </c>
      <c r="B12" s="19"/>
      <c r="E12" s="7" t="s">
        <v>108</v>
      </c>
      <c r="I12" s="167" t="s">
        <v>109</v>
      </c>
      <c r="J12" s="15">
        <v>11025494</v>
      </c>
      <c r="K12" s="15">
        <v>10773522</v>
      </c>
      <c r="L12" s="15">
        <v>11789085</v>
      </c>
      <c r="M12" s="15">
        <v>10329544</v>
      </c>
      <c r="N12" s="15">
        <v>10706093</v>
      </c>
      <c r="O12" s="15">
        <v>10244273</v>
      </c>
      <c r="P12" s="15">
        <v>10367083</v>
      </c>
      <c r="Q12" s="15">
        <v>10884475</v>
      </c>
      <c r="R12" s="15">
        <v>11307673</v>
      </c>
      <c r="S12" s="15">
        <v>11828899</v>
      </c>
      <c r="T12" s="15">
        <v>12016929.040669629</v>
      </c>
      <c r="U12" s="15">
        <v>11956083.697473697</v>
      </c>
      <c r="V12" s="15">
        <f t="shared" ref="V12" si="7">SUM(V13:V32)</f>
        <v>133229149.73814332</v>
      </c>
      <c r="W12" s="72">
        <f t="shared" si="1"/>
        <v>0.8989440544807753</v>
      </c>
      <c r="X12" s="89"/>
      <c r="Y12" s="15">
        <f>SUM(Y13:Y32)</f>
        <v>11451686.029655175</v>
      </c>
      <c r="Z12" s="15">
        <f t="shared" ref="Z12:AK12" si="8">SUM(Z13:Z32)</f>
        <v>11364899.534614658</v>
      </c>
      <c r="AA12" s="15">
        <f t="shared" si="8"/>
        <v>12537978.861996714</v>
      </c>
      <c r="AB12" s="15">
        <f t="shared" si="8"/>
        <v>11498014.158539925</v>
      </c>
      <c r="AC12" s="15">
        <f t="shared" si="8"/>
        <v>11778968.964435017</v>
      </c>
      <c r="AD12" s="15">
        <f t="shared" si="8"/>
        <v>11330264.862924118</v>
      </c>
      <c r="AE12" s="15">
        <f t="shared" si="8"/>
        <v>11386154.639370687</v>
      </c>
      <c r="AF12" s="15">
        <f t="shared" si="8"/>
        <v>12135834.601094924</v>
      </c>
      <c r="AG12" s="15">
        <f t="shared" si="8"/>
        <v>12451281.185468348</v>
      </c>
      <c r="AH12" s="15">
        <f t="shared" si="8"/>
        <v>12965400.031540398</v>
      </c>
      <c r="AI12" s="15">
        <f t="shared" si="8"/>
        <v>12832462.978806749</v>
      </c>
      <c r="AJ12" s="15">
        <f t="shared" si="8"/>
        <v>12657335.719023481</v>
      </c>
      <c r="AK12" s="15">
        <f t="shared" si="8"/>
        <v>144390281.56747019</v>
      </c>
      <c r="AL12" s="72">
        <f t="shared" si="3"/>
        <v>0.90126837964300155</v>
      </c>
      <c r="AM12" s="10">
        <f t="shared" si="6"/>
        <v>8.37739477529027E-2</v>
      </c>
      <c r="AN12" s="9"/>
    </row>
    <row r="13" spans="1:40" ht="14.45" hidden="1" customHeight="1" outlineLevel="1">
      <c r="A13" s="37" t="s">
        <v>107</v>
      </c>
      <c r="B13" s="39"/>
      <c r="C13" s="39" t="s">
        <v>110</v>
      </c>
      <c r="D13" s="37" t="s">
        <v>111</v>
      </c>
      <c r="E13" s="38"/>
      <c r="F13" s="37"/>
      <c r="G13" s="37"/>
      <c r="H13" s="37"/>
      <c r="I13" s="171" t="s">
        <v>112</v>
      </c>
      <c r="J13" s="65">
        <v>8477974</v>
      </c>
      <c r="K13" s="65">
        <v>8265722</v>
      </c>
      <c r="L13" s="65">
        <v>8857797</v>
      </c>
      <c r="M13" s="65">
        <v>7894685</v>
      </c>
      <c r="N13" s="65">
        <v>7886855</v>
      </c>
      <c r="O13" s="65">
        <v>7904940</v>
      </c>
      <c r="P13" s="65">
        <v>7927997</v>
      </c>
      <c r="Q13" s="65">
        <v>8195043</v>
      </c>
      <c r="R13" s="65">
        <v>8503423</v>
      </c>
      <c r="S13" s="65">
        <v>8994315</v>
      </c>
      <c r="T13" s="65">
        <v>9466940.0140235815</v>
      </c>
      <c r="U13" s="65">
        <v>9442967.2402451634</v>
      </c>
      <c r="V13" s="11">
        <f t="shared" si="4"/>
        <v>101818658.25426875</v>
      </c>
      <c r="W13" s="73">
        <f t="shared" si="1"/>
        <v>0.68700639201542613</v>
      </c>
      <c r="X13" s="89"/>
      <c r="Y13" s="65">
        <f>Y7-Y24-Y34</f>
        <v>8894224.4255172443</v>
      </c>
      <c r="Z13" s="65">
        <f t="shared" ref="Z13:AJ13" si="9">Z7-Z24-Z34</f>
        <v>8846390.5658844858</v>
      </c>
      <c r="AA13" s="65">
        <f t="shared" si="9"/>
        <v>9634789.0121914353</v>
      </c>
      <c r="AB13" s="65">
        <f t="shared" si="9"/>
        <v>8888720.4312869236</v>
      </c>
      <c r="AC13" s="65">
        <f t="shared" si="9"/>
        <v>8753457.3832375295</v>
      </c>
      <c r="AD13" s="65">
        <f t="shared" si="9"/>
        <v>8779771.8012430016</v>
      </c>
      <c r="AE13" s="65">
        <f t="shared" si="9"/>
        <v>8834753.8116485886</v>
      </c>
      <c r="AF13" s="65">
        <f t="shared" si="9"/>
        <v>9305313.8294885177</v>
      </c>
      <c r="AG13" s="65">
        <f t="shared" si="9"/>
        <v>9522673.7435242329</v>
      </c>
      <c r="AH13" s="65">
        <f t="shared" si="9"/>
        <v>9997473.4401124176</v>
      </c>
      <c r="AI13" s="65">
        <f t="shared" si="9"/>
        <v>9903005.2649307288</v>
      </c>
      <c r="AJ13" s="65">
        <f t="shared" si="9"/>
        <v>9765207.797006635</v>
      </c>
      <c r="AK13" s="65">
        <f t="shared" si="5"/>
        <v>111125781.50607173</v>
      </c>
      <c r="AL13" s="73">
        <f t="shared" si="3"/>
        <v>0.6936350005505032</v>
      </c>
      <c r="AM13" s="14">
        <f t="shared" si="6"/>
        <v>9.1408818495334776E-2</v>
      </c>
      <c r="AN13" s="9"/>
    </row>
    <row r="14" spans="1:40" ht="14.45" hidden="1" customHeight="1" outlineLevel="1">
      <c r="A14" s="37" t="s">
        <v>107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172" t="s">
        <v>115</v>
      </c>
      <c r="J14" s="65">
        <v>2503038</v>
      </c>
      <c r="K14" s="65">
        <v>2465559</v>
      </c>
      <c r="L14" s="65">
        <v>2844174</v>
      </c>
      <c r="M14" s="65">
        <v>2486906</v>
      </c>
      <c r="N14" s="65">
        <v>2853657</v>
      </c>
      <c r="O14" s="65">
        <v>2359261</v>
      </c>
      <c r="P14" s="65">
        <v>2440935</v>
      </c>
      <c r="Q14" s="65">
        <v>2692556</v>
      </c>
      <c r="R14" s="65">
        <v>2806093</v>
      </c>
      <c r="S14" s="65">
        <v>2834188</v>
      </c>
      <c r="T14" s="65">
        <v>2526784.0266460483</v>
      </c>
      <c r="U14" s="65">
        <v>2489401.457228533</v>
      </c>
      <c r="V14" s="11">
        <f t="shared" si="4"/>
        <v>31302552.483874582</v>
      </c>
      <c r="W14" s="73">
        <f t="shared" si="1"/>
        <v>0.21120935996933149</v>
      </c>
      <c r="X14" s="89"/>
      <c r="Y14" s="65">
        <f>Y8-Y25-Y35</f>
        <v>2531298.604137931</v>
      </c>
      <c r="Z14" s="65">
        <f t="shared" ref="Z14:AJ14" si="10">Z8-Z25-Z35</f>
        <v>2497496.9687301726</v>
      </c>
      <c r="AA14" s="65">
        <f t="shared" si="10"/>
        <v>2880035.8498052796</v>
      </c>
      <c r="AB14" s="65">
        <f t="shared" si="10"/>
        <v>2587567.7272530012</v>
      </c>
      <c r="AC14" s="65">
        <f t="shared" si="10"/>
        <v>3001082.5811974872</v>
      </c>
      <c r="AD14" s="65">
        <f t="shared" si="10"/>
        <v>2528002.0616811151</v>
      </c>
      <c r="AE14" s="65">
        <f t="shared" si="10"/>
        <v>2527838.8277220977</v>
      </c>
      <c r="AF14" s="65">
        <f t="shared" si="10"/>
        <v>2806193.7716064057</v>
      </c>
      <c r="AG14" s="65">
        <f t="shared" si="10"/>
        <v>2904790.4419441144</v>
      </c>
      <c r="AH14" s="65">
        <f t="shared" si="10"/>
        <v>2942834.59142798</v>
      </c>
      <c r="AI14" s="65">
        <f t="shared" si="10"/>
        <v>2907527.7138760211</v>
      </c>
      <c r="AJ14" s="65">
        <f t="shared" si="10"/>
        <v>2866882.9220168451</v>
      </c>
      <c r="AK14" s="65">
        <f t="shared" si="5"/>
        <v>32981552.06139845</v>
      </c>
      <c r="AL14" s="73">
        <f t="shared" si="3"/>
        <v>0.20586724855576916</v>
      </c>
      <c r="AM14" s="14">
        <f t="shared" si="6"/>
        <v>5.3637784918300291E-2</v>
      </c>
      <c r="AN14" s="9"/>
    </row>
    <row r="15" spans="1:40" ht="14.45" hidden="1" customHeight="1" outlineLevel="1">
      <c r="A15" s="37" t="s">
        <v>107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167" t="s">
        <v>5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11">
        <f t="shared" si="4"/>
        <v>0</v>
      </c>
      <c r="W15" s="73">
        <f t="shared" si="1"/>
        <v>0</v>
      </c>
      <c r="X15" s="89"/>
      <c r="Y15" s="65">
        <f>Y9-Y36</f>
        <v>0</v>
      </c>
      <c r="Z15" s="65">
        <f t="shared" ref="Z15:AJ15" si="11">Z9-Z36</f>
        <v>0</v>
      </c>
      <c r="AA15" s="65">
        <f t="shared" si="11"/>
        <v>0</v>
      </c>
      <c r="AB15" s="65">
        <f t="shared" si="11"/>
        <v>0</v>
      </c>
      <c r="AC15" s="65">
        <f t="shared" si="11"/>
        <v>0</v>
      </c>
      <c r="AD15" s="65">
        <f t="shared" si="11"/>
        <v>0</v>
      </c>
      <c r="AE15" s="65">
        <f t="shared" si="11"/>
        <v>0</v>
      </c>
      <c r="AF15" s="65">
        <f t="shared" si="11"/>
        <v>0</v>
      </c>
      <c r="AG15" s="65">
        <f t="shared" si="11"/>
        <v>0</v>
      </c>
      <c r="AH15" s="65">
        <f t="shared" si="11"/>
        <v>0</v>
      </c>
      <c r="AI15" s="65">
        <f t="shared" si="11"/>
        <v>0</v>
      </c>
      <c r="AJ15" s="65">
        <f t="shared" si="11"/>
        <v>0</v>
      </c>
      <c r="AK15" s="65">
        <f t="shared" si="5"/>
        <v>0</v>
      </c>
      <c r="AL15" s="73">
        <f t="shared" si="3"/>
        <v>0</v>
      </c>
      <c r="AM15" s="14">
        <f t="shared" si="6"/>
        <v>0</v>
      </c>
      <c r="AN15" s="9"/>
    </row>
    <row r="16" spans="1:40" ht="14.45" hidden="1" customHeight="1" outlineLevel="1">
      <c r="A16" s="37" t="s">
        <v>107</v>
      </c>
      <c r="B16" s="39"/>
      <c r="C16" s="39" t="s">
        <v>118</v>
      </c>
      <c r="D16" s="37"/>
      <c r="E16" s="38"/>
      <c r="F16" s="37"/>
      <c r="G16" s="37"/>
      <c r="H16" s="37"/>
      <c r="I16" s="171" t="s">
        <v>119</v>
      </c>
      <c r="J16" s="65">
        <v>0</v>
      </c>
      <c r="K16" s="65">
        <v>0</v>
      </c>
      <c r="L16" s="65">
        <v>49100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/>
      <c r="U16" s="65"/>
      <c r="V16" s="11">
        <f t="shared" si="4"/>
        <v>49100</v>
      </c>
      <c r="W16" s="73">
        <f t="shared" si="1"/>
        <v>3.3129501435502575E-4</v>
      </c>
      <c r="X16" s="89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5">
        <f t="shared" si="5"/>
        <v>0</v>
      </c>
      <c r="AL16" s="73">
        <f t="shared" si="3"/>
        <v>0</v>
      </c>
      <c r="AM16" s="14">
        <f t="shared" si="6"/>
        <v>-1</v>
      </c>
      <c r="AN16" s="9"/>
    </row>
    <row r="17" spans="1:40" ht="14.45" hidden="1" customHeight="1" outlineLevel="1">
      <c r="A17" s="37" t="s">
        <v>107</v>
      </c>
      <c r="B17" s="39"/>
      <c r="C17" s="39" t="s">
        <v>120</v>
      </c>
      <c r="D17" s="37"/>
      <c r="E17" s="38"/>
      <c r="F17" s="37"/>
      <c r="G17" s="37"/>
      <c r="H17" s="37"/>
      <c r="I17" s="172" t="s">
        <v>121</v>
      </c>
      <c r="J17" s="65">
        <v>4322</v>
      </c>
      <c r="K17" s="65">
        <v>10243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/>
      <c r="U17" s="65"/>
      <c r="V17" s="11">
        <f t="shared" si="4"/>
        <v>14565</v>
      </c>
      <c r="W17" s="73">
        <f t="shared" si="1"/>
        <v>9.8275191121811604E-5</v>
      </c>
      <c r="X17" s="89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5">
        <f t="shared" si="5"/>
        <v>0</v>
      </c>
      <c r="AL17" s="73">
        <f t="shared" si="3"/>
        <v>0</v>
      </c>
      <c r="AM17" s="14">
        <f t="shared" si="6"/>
        <v>-1</v>
      </c>
      <c r="AN17" s="9"/>
    </row>
    <row r="18" spans="1:40" ht="14.45" hidden="1" customHeight="1" outlineLevel="1">
      <c r="A18" s="37" t="s">
        <v>107</v>
      </c>
      <c r="B18" s="39"/>
      <c r="C18" s="39" t="s">
        <v>122</v>
      </c>
      <c r="D18" s="37"/>
      <c r="E18" s="38"/>
      <c r="F18" s="37"/>
      <c r="G18" s="37"/>
      <c r="H18" s="37"/>
      <c r="I18" s="167" t="s">
        <v>123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/>
      <c r="U18" s="65"/>
      <c r="V18" s="11">
        <f t="shared" si="4"/>
        <v>0</v>
      </c>
      <c r="W18" s="73">
        <f t="shared" si="1"/>
        <v>0</v>
      </c>
      <c r="X18" s="89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5">
        <f t="shared" si="5"/>
        <v>0</v>
      </c>
      <c r="AL18" s="73">
        <f t="shared" si="3"/>
        <v>0</v>
      </c>
      <c r="AM18" s="14">
        <f t="shared" si="6"/>
        <v>0</v>
      </c>
      <c r="AN18" s="9"/>
    </row>
    <row r="19" spans="1:40" ht="14.45" hidden="1" customHeight="1" outlineLevel="1">
      <c r="A19" s="37" t="s">
        <v>107</v>
      </c>
      <c r="B19" s="39"/>
      <c r="C19" s="39" t="s">
        <v>124</v>
      </c>
      <c r="D19" s="37" t="s">
        <v>125</v>
      </c>
      <c r="E19" s="38"/>
      <c r="F19" s="37"/>
      <c r="G19" s="37"/>
      <c r="H19" s="37"/>
      <c r="I19" s="171" t="s">
        <v>126</v>
      </c>
      <c r="J19" s="65">
        <v>18172</v>
      </c>
      <c r="K19" s="65">
        <v>14955</v>
      </c>
      <c r="L19" s="65">
        <v>20925</v>
      </c>
      <c r="M19" s="65">
        <v>14764</v>
      </c>
      <c r="N19" s="65">
        <v>16998</v>
      </c>
      <c r="O19" s="65">
        <v>15996</v>
      </c>
      <c r="P19" s="65">
        <v>16543</v>
      </c>
      <c r="Q19" s="65">
        <v>18267</v>
      </c>
      <c r="R19" s="65">
        <v>19202</v>
      </c>
      <c r="S19" s="65">
        <v>18596</v>
      </c>
      <c r="T19" s="65"/>
      <c r="U19" s="65"/>
      <c r="V19" s="11">
        <f t="shared" ref="V19:V28" si="12">SUM(J19:U19)</f>
        <v>174418</v>
      </c>
      <c r="W19" s="73">
        <f t="shared" ref="W19:W28" si="13">V19/V$6</f>
        <v>1.1768597518080424E-3</v>
      </c>
      <c r="X19" s="89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>
        <f t="shared" ref="AK19:AK28" si="14">SUM(Y19:AJ19)</f>
        <v>0</v>
      </c>
      <c r="AL19" s="73">
        <f t="shared" ref="AL19:AL28" si="15">AK19/AK$6</f>
        <v>0</v>
      </c>
      <c r="AM19" s="14">
        <f t="shared" ref="AM19:AM28" si="16">IFERROR(AK19/V19-1,0)</f>
        <v>-1</v>
      </c>
      <c r="AN19" s="9"/>
    </row>
    <row r="20" spans="1:40" ht="14.45" hidden="1" customHeight="1" outlineLevel="1">
      <c r="A20" s="37" t="s">
        <v>107</v>
      </c>
      <c r="B20" s="39"/>
      <c r="C20" s="39" t="s">
        <v>127</v>
      </c>
      <c r="D20" s="37"/>
      <c r="E20" s="38"/>
      <c r="F20" s="37"/>
      <c r="G20" s="37"/>
      <c r="H20" s="37"/>
      <c r="I20" s="172" t="s">
        <v>128</v>
      </c>
      <c r="J20" s="65">
        <v>5366</v>
      </c>
      <c r="K20" s="65">
        <v>3759</v>
      </c>
      <c r="L20" s="65">
        <v>6387</v>
      </c>
      <c r="M20" s="65">
        <v>4747</v>
      </c>
      <c r="N20" s="65">
        <v>5157</v>
      </c>
      <c r="O20" s="65">
        <v>4941</v>
      </c>
      <c r="P20" s="65">
        <v>5741</v>
      </c>
      <c r="Q20" s="65">
        <v>4541</v>
      </c>
      <c r="R20" s="65">
        <v>5135</v>
      </c>
      <c r="S20" s="65">
        <v>5673</v>
      </c>
      <c r="T20" s="65"/>
      <c r="U20" s="65"/>
      <c r="V20" s="11">
        <f t="shared" si="12"/>
        <v>51447</v>
      </c>
      <c r="W20" s="73">
        <f t="shared" si="13"/>
        <v>3.4713105098824865E-4</v>
      </c>
      <c r="X20" s="89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>
        <f t="shared" si="14"/>
        <v>0</v>
      </c>
      <c r="AL20" s="73">
        <f t="shared" si="15"/>
        <v>0</v>
      </c>
      <c r="AM20" s="14">
        <f t="shared" si="16"/>
        <v>-1</v>
      </c>
      <c r="AN20" s="9"/>
    </row>
    <row r="21" spans="1:40" ht="14.45" hidden="1" customHeight="1" outlineLevel="1">
      <c r="A21" s="37" t="s">
        <v>107</v>
      </c>
      <c r="B21" s="39"/>
      <c r="C21" s="39" t="s">
        <v>129</v>
      </c>
      <c r="D21" s="37"/>
      <c r="E21" s="38"/>
      <c r="F21" s="37"/>
      <c r="G21" s="37"/>
      <c r="H21" s="37"/>
      <c r="I21" s="171" t="s">
        <v>130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/>
      <c r="U21" s="65"/>
      <c r="V21" s="11">
        <f t="shared" si="12"/>
        <v>0</v>
      </c>
      <c r="W21" s="73">
        <f t="shared" si="13"/>
        <v>0</v>
      </c>
      <c r="X21" s="89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>
        <f t="shared" si="14"/>
        <v>0</v>
      </c>
      <c r="AL21" s="73">
        <f t="shared" si="15"/>
        <v>0</v>
      </c>
      <c r="AM21" s="14">
        <f t="shared" si="16"/>
        <v>0</v>
      </c>
      <c r="AN21" s="9"/>
    </row>
    <row r="22" spans="1:40" ht="14.45" hidden="1" customHeight="1" outlineLevel="1">
      <c r="A22" s="37" t="s">
        <v>107</v>
      </c>
      <c r="B22" s="39"/>
      <c r="C22" s="39" t="s">
        <v>131</v>
      </c>
      <c r="D22" s="37"/>
      <c r="E22" s="38"/>
      <c r="F22" s="37"/>
      <c r="G22" s="37"/>
      <c r="H22" s="37"/>
      <c r="I22" s="172" t="s">
        <v>132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/>
      <c r="P22" s="65">
        <v>0</v>
      </c>
      <c r="Q22" s="65">
        <v>0</v>
      </c>
      <c r="R22" s="65">
        <v>0</v>
      </c>
      <c r="S22" s="65">
        <v>0</v>
      </c>
      <c r="T22" s="65"/>
      <c r="U22" s="65"/>
      <c r="V22" s="11">
        <f t="shared" si="12"/>
        <v>0</v>
      </c>
      <c r="W22" s="73">
        <f t="shared" si="13"/>
        <v>0</v>
      </c>
      <c r="X22" s="89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>
        <f t="shared" si="14"/>
        <v>0</v>
      </c>
      <c r="AL22" s="73">
        <f t="shared" si="15"/>
        <v>0</v>
      </c>
      <c r="AM22" s="14">
        <f t="shared" si="16"/>
        <v>0</v>
      </c>
      <c r="AN22" s="9"/>
    </row>
    <row r="23" spans="1:40" ht="14.45" hidden="1" customHeight="1" outlineLevel="1">
      <c r="A23" s="37" t="s">
        <v>107</v>
      </c>
      <c r="B23" s="39"/>
      <c r="C23" s="39" t="s">
        <v>133</v>
      </c>
      <c r="D23" s="37"/>
      <c r="E23" s="38"/>
      <c r="F23" s="37"/>
      <c r="G23" s="37"/>
      <c r="H23" s="37"/>
      <c r="I23" s="167" t="s">
        <v>133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/>
      <c r="U23" s="65"/>
      <c r="V23" s="11">
        <f t="shared" si="12"/>
        <v>0</v>
      </c>
      <c r="W23" s="73">
        <f t="shared" si="13"/>
        <v>0</v>
      </c>
      <c r="X23" s="89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>
        <f t="shared" si="14"/>
        <v>0</v>
      </c>
      <c r="AL23" s="73">
        <f t="shared" si="15"/>
        <v>0</v>
      </c>
      <c r="AM23" s="14">
        <f t="shared" si="16"/>
        <v>0</v>
      </c>
      <c r="AN23" s="9"/>
    </row>
    <row r="24" spans="1:40" ht="14.45" hidden="1" customHeight="1" outlineLevel="1">
      <c r="A24" s="37" t="s">
        <v>107</v>
      </c>
      <c r="B24" s="39"/>
      <c r="C24" s="39" t="s">
        <v>134</v>
      </c>
      <c r="D24" s="37" t="s">
        <v>91</v>
      </c>
      <c r="E24" s="38"/>
      <c r="F24" s="37"/>
      <c r="G24" s="37"/>
      <c r="H24" s="37"/>
      <c r="I24" s="171" t="s">
        <v>135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/>
      <c r="U24" s="65"/>
      <c r="V24" s="11">
        <f t="shared" si="12"/>
        <v>0</v>
      </c>
      <c r="W24" s="73">
        <f t="shared" si="13"/>
        <v>0</v>
      </c>
      <c r="X24" s="89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5">
        <f t="shared" si="14"/>
        <v>0</v>
      </c>
      <c r="AL24" s="73">
        <f t="shared" si="15"/>
        <v>0</v>
      </c>
      <c r="AM24" s="14">
        <f t="shared" si="16"/>
        <v>0</v>
      </c>
      <c r="AN24" s="9"/>
    </row>
    <row r="25" spans="1:40" ht="14.45" hidden="1" customHeight="1" outlineLevel="1">
      <c r="A25" s="37" t="s">
        <v>107</v>
      </c>
      <c r="B25" s="39"/>
      <c r="C25" s="39" t="s">
        <v>136</v>
      </c>
      <c r="D25" s="37" t="s">
        <v>91</v>
      </c>
      <c r="E25" s="38"/>
      <c r="F25" s="37"/>
      <c r="G25" s="37"/>
      <c r="H25" s="37"/>
      <c r="I25" s="172" t="s">
        <v>137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/>
      <c r="U25" s="65"/>
      <c r="V25" s="11">
        <f t="shared" si="12"/>
        <v>0</v>
      </c>
      <c r="W25" s="73">
        <f t="shared" si="13"/>
        <v>0</v>
      </c>
      <c r="X25" s="89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5">
        <f t="shared" si="14"/>
        <v>0</v>
      </c>
      <c r="AL25" s="73">
        <f t="shared" si="15"/>
        <v>0</v>
      </c>
      <c r="AM25" s="14">
        <f t="shared" si="16"/>
        <v>0</v>
      </c>
      <c r="AN25" s="9"/>
    </row>
    <row r="26" spans="1:40" ht="14.45" hidden="1" customHeight="1" outlineLevel="1">
      <c r="A26" s="37"/>
      <c r="B26" s="39"/>
      <c r="C26" s="39"/>
      <c r="D26" s="37"/>
      <c r="E26" s="38"/>
      <c r="F26" s="37"/>
      <c r="G26" s="37"/>
      <c r="H26" s="37"/>
      <c r="I26" s="167" t="s">
        <v>138</v>
      </c>
      <c r="J26" s="65">
        <v>-16996</v>
      </c>
      <c r="K26" s="65">
        <v>-12570</v>
      </c>
      <c r="L26" s="65">
        <v>0</v>
      </c>
      <c r="M26" s="65">
        <v>-64162</v>
      </c>
      <c r="N26" s="65">
        <v>-52808</v>
      </c>
      <c r="O26" s="65">
        <v>-58790</v>
      </c>
      <c r="P26" s="65">
        <v>-48346</v>
      </c>
      <c r="Q26" s="65">
        <v>-49198</v>
      </c>
      <c r="R26" s="65">
        <v>-44025</v>
      </c>
      <c r="S26" s="65">
        <v>-47246</v>
      </c>
      <c r="T26" s="65"/>
      <c r="U26" s="65"/>
      <c r="V26" s="11">
        <f t="shared" si="12"/>
        <v>-394141</v>
      </c>
      <c r="W26" s="73">
        <f t="shared" si="13"/>
        <v>-2.6594083147230998E-3</v>
      </c>
      <c r="X26" s="89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5">
        <f t="shared" si="14"/>
        <v>0</v>
      </c>
      <c r="AL26" s="73">
        <f t="shared" si="15"/>
        <v>0</v>
      </c>
      <c r="AM26" s="14">
        <f t="shared" si="16"/>
        <v>-1</v>
      </c>
      <c r="AN26" s="9"/>
    </row>
    <row r="27" spans="1:40" ht="14.45" hidden="1" customHeight="1" outlineLevel="1">
      <c r="A27" s="37"/>
      <c r="B27" s="39"/>
      <c r="C27" s="39"/>
      <c r="D27" s="37"/>
      <c r="E27" s="38"/>
      <c r="F27" s="37"/>
      <c r="G27" s="37"/>
      <c r="H27" s="37"/>
      <c r="I27" s="167" t="s">
        <v>139</v>
      </c>
      <c r="J27" s="65">
        <v>0</v>
      </c>
      <c r="K27" s="65">
        <v>0</v>
      </c>
      <c r="L27" s="65">
        <v>-12734</v>
      </c>
      <c r="M27" s="65">
        <v>-9007</v>
      </c>
      <c r="N27" s="65">
        <v>-30658</v>
      </c>
      <c r="O27" s="65">
        <v>-9878</v>
      </c>
      <c r="P27" s="65">
        <v>-12153</v>
      </c>
      <c r="Q27" s="65">
        <v>-8260</v>
      </c>
      <c r="R27" s="65">
        <v>-12247</v>
      </c>
      <c r="S27" s="65">
        <v>-4711</v>
      </c>
      <c r="T27" s="65"/>
      <c r="U27" s="65"/>
      <c r="V27" s="11">
        <f t="shared" si="12"/>
        <v>-99648</v>
      </c>
      <c r="W27" s="73">
        <f t="shared" si="13"/>
        <v>-6.723601953248392E-4</v>
      </c>
      <c r="X27" s="89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5">
        <f t="shared" si="14"/>
        <v>0</v>
      </c>
      <c r="AL27" s="73">
        <f t="shared" si="15"/>
        <v>0</v>
      </c>
      <c r="AM27" s="14">
        <f t="shared" si="16"/>
        <v>-1</v>
      </c>
      <c r="AN27" s="9"/>
    </row>
    <row r="28" spans="1:40" ht="14.45" hidden="1" customHeight="1" outlineLevel="1">
      <c r="A28" s="37"/>
      <c r="B28" s="39"/>
      <c r="C28" s="39"/>
      <c r="D28" s="37"/>
      <c r="E28" s="38"/>
      <c r="F28" s="37"/>
      <c r="G28" s="37"/>
      <c r="H28" s="37"/>
      <c r="I28" s="167" t="s">
        <v>140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/>
      <c r="U28" s="65"/>
      <c r="V28" s="11">
        <f t="shared" si="12"/>
        <v>0</v>
      </c>
      <c r="W28" s="73">
        <f t="shared" si="13"/>
        <v>0</v>
      </c>
      <c r="X28" s="89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5">
        <f t="shared" si="14"/>
        <v>0</v>
      </c>
      <c r="AL28" s="73">
        <f t="shared" si="15"/>
        <v>0</v>
      </c>
      <c r="AM28" s="14">
        <f t="shared" si="16"/>
        <v>0</v>
      </c>
      <c r="AN28" s="9"/>
    </row>
    <row r="29" spans="1:40" ht="14.45" hidden="1" customHeight="1" outlineLevel="1">
      <c r="A29" s="37"/>
      <c r="B29" s="39"/>
      <c r="C29" s="39"/>
      <c r="D29" s="37"/>
      <c r="E29" s="38"/>
      <c r="F29" s="37"/>
      <c r="G29" s="37"/>
      <c r="H29" s="37"/>
      <c r="I29" s="172" t="s">
        <v>141</v>
      </c>
      <c r="J29" s="65">
        <v>33618</v>
      </c>
      <c r="K29" s="65">
        <v>25853</v>
      </c>
      <c r="L29" s="65">
        <v>23435</v>
      </c>
      <c r="M29" s="65">
        <v>1612</v>
      </c>
      <c r="N29" s="65">
        <v>26892</v>
      </c>
      <c r="O29" s="65">
        <v>27803</v>
      </c>
      <c r="P29" s="65">
        <v>36365</v>
      </c>
      <c r="Q29" s="65">
        <v>31526</v>
      </c>
      <c r="R29" s="65">
        <v>30091</v>
      </c>
      <c r="S29" s="65">
        <v>28083</v>
      </c>
      <c r="T29" s="65">
        <v>23205</v>
      </c>
      <c r="U29" s="65">
        <v>23715</v>
      </c>
      <c r="V29" s="11">
        <f t="shared" ref="V29:V32" si="17">SUM(J29:U29)</f>
        <v>312198</v>
      </c>
      <c r="W29" s="73">
        <f t="shared" ref="W29:W32" si="18">V29/V$6</f>
        <v>2.1065099977924709E-3</v>
      </c>
      <c r="X29" s="89"/>
      <c r="Y29" s="65">
        <f t="shared" ref="Y29:AJ29" si="19">+Y10*0.85</f>
        <v>26163</v>
      </c>
      <c r="Z29" s="65">
        <f t="shared" si="19"/>
        <v>21012</v>
      </c>
      <c r="AA29" s="65">
        <f t="shared" si="19"/>
        <v>23154</v>
      </c>
      <c r="AB29" s="65">
        <f t="shared" si="19"/>
        <v>21726</v>
      </c>
      <c r="AC29" s="65">
        <f t="shared" si="19"/>
        <v>24429</v>
      </c>
      <c r="AD29" s="65">
        <f t="shared" si="19"/>
        <v>22491</v>
      </c>
      <c r="AE29" s="65">
        <f t="shared" si="19"/>
        <v>23562</v>
      </c>
      <c r="AF29" s="65">
        <f t="shared" si="19"/>
        <v>24327</v>
      </c>
      <c r="AG29" s="65">
        <f t="shared" si="19"/>
        <v>23817</v>
      </c>
      <c r="AH29" s="65">
        <f t="shared" si="19"/>
        <v>25092</v>
      </c>
      <c r="AI29" s="65">
        <f t="shared" si="19"/>
        <v>21930</v>
      </c>
      <c r="AJ29" s="65">
        <f t="shared" si="19"/>
        <v>25245</v>
      </c>
      <c r="AK29" s="65">
        <f t="shared" ref="AK29:AK32" si="20">SUM(Y29:AJ29)</f>
        <v>282948</v>
      </c>
      <c r="AL29" s="73">
        <f t="shared" ref="AL29:AL32" si="21">AK29/AK$6</f>
        <v>1.7661305367291415E-3</v>
      </c>
      <c r="AM29" s="14">
        <f t="shared" ref="AM29:AM32" si="22">IFERROR(AK29/V29-1,0)</f>
        <v>-9.369054254031095E-2</v>
      </c>
      <c r="AN29" s="9"/>
    </row>
    <row r="30" spans="1:40" ht="14.45" hidden="1" customHeight="1" outlineLevel="1">
      <c r="A30" s="37"/>
      <c r="B30" s="39"/>
      <c r="C30" s="39"/>
      <c r="D30" s="37"/>
      <c r="E30" s="38"/>
      <c r="F30" s="37"/>
      <c r="G30" s="37"/>
      <c r="H30" s="37"/>
      <c r="I30" s="172" t="s">
        <v>142</v>
      </c>
      <c r="J30" s="65"/>
      <c r="K30" s="65"/>
      <c r="L30" s="65"/>
      <c r="M30" s="65"/>
      <c r="N30" s="65"/>
      <c r="O30" s="65"/>
      <c r="P30" s="65"/>
      <c r="Q30" s="65">
        <v>0</v>
      </c>
      <c r="R30" s="65">
        <v>0</v>
      </c>
      <c r="S30" s="65">
        <v>0</v>
      </c>
      <c r="T30" s="65"/>
      <c r="U30" s="65"/>
      <c r="V30" s="11">
        <f t="shared" si="17"/>
        <v>0</v>
      </c>
      <c r="W30" s="73">
        <f t="shared" si="18"/>
        <v>0</v>
      </c>
      <c r="X30" s="89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>
        <f t="shared" si="20"/>
        <v>0</v>
      </c>
      <c r="AL30" s="73">
        <f t="shared" si="21"/>
        <v>0</v>
      </c>
      <c r="AM30" s="14">
        <f t="shared" si="22"/>
        <v>0</v>
      </c>
      <c r="AN30" s="9"/>
    </row>
    <row r="31" spans="1:40" ht="14.45" hidden="1" customHeight="1" outlineLevel="1">
      <c r="A31" s="37"/>
      <c r="B31" s="39"/>
      <c r="C31" s="39"/>
      <c r="D31" s="37"/>
      <c r="E31" s="38"/>
      <c r="F31" s="37"/>
      <c r="G31" s="37"/>
      <c r="H31" s="37"/>
      <c r="I31" s="172" t="s">
        <v>143</v>
      </c>
      <c r="J31" s="65"/>
      <c r="K31" s="65"/>
      <c r="L31" s="65"/>
      <c r="M31" s="65"/>
      <c r="N31" s="65"/>
      <c r="O31" s="65"/>
      <c r="P31" s="65"/>
      <c r="Q31" s="65">
        <v>0</v>
      </c>
      <c r="R31" s="65">
        <v>0</v>
      </c>
      <c r="S31" s="65">
        <v>0</v>
      </c>
      <c r="T31" s="65"/>
      <c r="U31" s="65"/>
      <c r="V31" s="11">
        <f t="shared" si="17"/>
        <v>0</v>
      </c>
      <c r="W31" s="73">
        <f t="shared" si="18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20"/>
        <v>0</v>
      </c>
      <c r="AL31" s="73">
        <f t="shared" si="21"/>
        <v>0</v>
      </c>
      <c r="AM31" s="14">
        <f t="shared" si="22"/>
        <v>0</v>
      </c>
      <c r="AN31" s="9"/>
    </row>
    <row r="32" spans="1:40" ht="14.45" hidden="1" customHeight="1" outlineLevel="1">
      <c r="A32" s="37"/>
      <c r="B32" s="39"/>
      <c r="C32" s="39"/>
      <c r="D32" s="37"/>
      <c r="E32" s="38"/>
      <c r="F32" s="37"/>
      <c r="G32" s="37"/>
      <c r="H32" s="37"/>
      <c r="I32" s="172" t="s">
        <v>144</v>
      </c>
      <c r="J32" s="65"/>
      <c r="K32" s="65"/>
      <c r="L32" s="65"/>
      <c r="M32" s="65"/>
      <c r="N32" s="65"/>
      <c r="O32" s="65"/>
      <c r="P32" s="65"/>
      <c r="Q32" s="65">
        <v>0</v>
      </c>
      <c r="R32" s="65">
        <v>0</v>
      </c>
      <c r="S32" s="65">
        <v>0</v>
      </c>
      <c r="T32" s="65"/>
      <c r="U32" s="65"/>
      <c r="V32" s="11">
        <f t="shared" si="17"/>
        <v>0</v>
      </c>
      <c r="W32" s="73">
        <f t="shared" si="18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20"/>
        <v>0</v>
      </c>
      <c r="AL32" s="73">
        <f t="shared" si="21"/>
        <v>0</v>
      </c>
      <c r="AM32" s="14">
        <f t="shared" si="22"/>
        <v>0</v>
      </c>
      <c r="AN32" s="9"/>
    </row>
    <row r="33" spans="1:41" ht="15.6" customHeight="1" collapsed="1">
      <c r="I33" s="36" t="s">
        <v>145</v>
      </c>
      <c r="J33" s="35">
        <v>1069039</v>
      </c>
      <c r="K33" s="35">
        <v>1190483</v>
      </c>
      <c r="L33" s="35">
        <v>1250657</v>
      </c>
      <c r="M33" s="35">
        <v>1288100</v>
      </c>
      <c r="N33" s="35">
        <v>1346417</v>
      </c>
      <c r="O33" s="35">
        <v>1232761</v>
      </c>
      <c r="P33" s="35">
        <v>1162430</v>
      </c>
      <c r="Q33" s="35">
        <f>SUM(Q34:Q38)</f>
        <v>1208972</v>
      </c>
      <c r="R33" s="35">
        <v>1271434</v>
      </c>
      <c r="S33" s="35">
        <v>1331450</v>
      </c>
      <c r="T33" s="35">
        <f t="shared" ref="S33:V33" si="23">SUM(T34:T38)</f>
        <v>1275495</v>
      </c>
      <c r="U33" s="35">
        <f t="shared" si="23"/>
        <v>1298466.6666666667</v>
      </c>
      <c r="V33" s="35">
        <f t="shared" si="23"/>
        <v>14925705.666666668</v>
      </c>
      <c r="W33" s="73">
        <f t="shared" si="1"/>
        <v>0.10070899945208193</v>
      </c>
      <c r="X33" s="89"/>
      <c r="Y33" s="35">
        <f t="shared" ref="Y33:AK33" si="24">Y6-Y12</f>
        <v>1256612.1599999983</v>
      </c>
      <c r="Z33" s="35">
        <f t="shared" si="24"/>
        <v>1236595.9500000011</v>
      </c>
      <c r="AA33" s="35">
        <f t="shared" si="24"/>
        <v>1444379.0300000012</v>
      </c>
      <c r="AB33" s="35">
        <f t="shared" si="24"/>
        <v>1189993.0700000003</v>
      </c>
      <c r="AC33" s="35">
        <f t="shared" si="24"/>
        <v>1321635.33</v>
      </c>
      <c r="AD33" s="35">
        <f t="shared" si="24"/>
        <v>1206733.8999999985</v>
      </c>
      <c r="AE33" s="35">
        <f t="shared" si="24"/>
        <v>1242102.0999999978</v>
      </c>
      <c r="AF33" s="35">
        <f t="shared" si="24"/>
        <v>1368387.1799999997</v>
      </c>
      <c r="AG33" s="35">
        <f t="shared" si="24"/>
        <v>1375804.4000000004</v>
      </c>
      <c r="AH33" s="35">
        <f t="shared" si="24"/>
        <v>1434726.5099999998</v>
      </c>
      <c r="AI33" s="35">
        <f t="shared" si="24"/>
        <v>1381246.9299999997</v>
      </c>
      <c r="AJ33" s="35">
        <f t="shared" si="24"/>
        <v>1359365.4000000004</v>
      </c>
      <c r="AK33" s="35">
        <f t="shared" si="24"/>
        <v>15817581.960000008</v>
      </c>
      <c r="AL33" s="73">
        <f t="shared" si="3"/>
        <v>9.8731620356998465E-2</v>
      </c>
      <c r="AM33" s="34">
        <f t="shared" si="6"/>
        <v>5.975438034565772E-2</v>
      </c>
      <c r="AN33" s="9"/>
    </row>
    <row r="34" spans="1:41" ht="14.45" hidden="1" customHeight="1" outlineLevel="1">
      <c r="I34" s="222" t="s">
        <v>401</v>
      </c>
      <c r="J34" s="30">
        <v>737659</v>
      </c>
      <c r="K34" s="30">
        <v>873730</v>
      </c>
      <c r="L34" s="30">
        <v>850745</v>
      </c>
      <c r="M34" s="30">
        <v>926956</v>
      </c>
      <c r="N34" s="30">
        <v>824725</v>
      </c>
      <c r="O34" s="30">
        <v>819884</v>
      </c>
      <c r="P34" s="30">
        <v>830792</v>
      </c>
      <c r="Q34" s="30">
        <v>872231</v>
      </c>
      <c r="R34" s="30">
        <v>902670</v>
      </c>
      <c r="S34" s="30">
        <v>957035</v>
      </c>
      <c r="T34" s="30">
        <f t="shared" ref="S34:U34" si="25">+AVERAGE(Q34:S34)</f>
        <v>910645.33333333337</v>
      </c>
      <c r="U34" s="30">
        <f t="shared" si="25"/>
        <v>923450.11111111112</v>
      </c>
      <c r="V34" s="32">
        <f>SUM(J34:U34)</f>
        <v>10430522.444444446</v>
      </c>
      <c r="W34" s="74">
        <f t="shared" ref="W34:W46" si="26">V34/V$39</f>
        <v>1.5134312024638015</v>
      </c>
      <c r="X34" s="90"/>
      <c r="Y34" s="30">
        <f>+Y40*Y44</f>
        <v>876821.78999999992</v>
      </c>
      <c r="Z34" s="30">
        <f t="shared" ref="Z34:AJ34" si="27">+Z40*Z44</f>
        <v>866046.6</v>
      </c>
      <c r="AA34" s="30">
        <f t="shared" si="27"/>
        <v>991308.55</v>
      </c>
      <c r="AB34" s="30">
        <f t="shared" si="27"/>
        <v>823164.47</v>
      </c>
      <c r="AC34" s="30">
        <f t="shared" si="27"/>
        <v>848921.85</v>
      </c>
      <c r="AD34" s="30">
        <f t="shared" si="27"/>
        <v>860328.94</v>
      </c>
      <c r="AE34" s="30">
        <f t="shared" si="27"/>
        <v>864672.27999999991</v>
      </c>
      <c r="AF34" s="30">
        <f t="shared" si="27"/>
        <v>935835.32</v>
      </c>
      <c r="AG34" s="30">
        <f t="shared" si="27"/>
        <v>940450.4</v>
      </c>
      <c r="AH34" s="30">
        <f t="shared" si="27"/>
        <v>997387.95</v>
      </c>
      <c r="AI34" s="30">
        <f t="shared" si="27"/>
        <v>953484.21</v>
      </c>
      <c r="AJ34" s="30">
        <f t="shared" si="27"/>
        <v>939084.29999999993</v>
      </c>
      <c r="AK34" s="30">
        <f t="shared" ref="AK34:AK42" si="28">SUM(Y34:AJ34)</f>
        <v>10897506.66</v>
      </c>
      <c r="AL34" s="74">
        <f t="shared" ref="AL34:AL46" si="29">AK34/AK$39</f>
        <v>1.4861566464744049</v>
      </c>
      <c r="AM34" s="29">
        <f>IFERROR(AK34/V34-1,0)</f>
        <v>4.4770932428632282E-2</v>
      </c>
      <c r="AN34" s="9"/>
    </row>
    <row r="35" spans="1:41" ht="14.45" hidden="1" customHeight="1" outlineLevel="1">
      <c r="I35" s="222" t="s">
        <v>402</v>
      </c>
      <c r="J35" s="30">
        <v>319491</v>
      </c>
      <c r="K35" s="30">
        <v>306740</v>
      </c>
      <c r="L35" s="30">
        <v>393885</v>
      </c>
      <c r="M35" s="30">
        <v>352347</v>
      </c>
      <c r="N35" s="30">
        <v>508239</v>
      </c>
      <c r="O35" s="30">
        <v>403944</v>
      </c>
      <c r="P35" s="30">
        <v>331207</v>
      </c>
      <c r="Q35" s="30">
        <v>326896</v>
      </c>
      <c r="R35" s="30">
        <v>358982</v>
      </c>
      <c r="S35" s="30">
        <v>364784</v>
      </c>
      <c r="T35" s="30">
        <f t="shared" ref="R35:U35" si="30">+AVERAGE(Q35:S35)</f>
        <v>350220.66666666669</v>
      </c>
      <c r="U35" s="30">
        <f t="shared" si="30"/>
        <v>357995.55555555556</v>
      </c>
      <c r="V35" s="32">
        <f t="shared" ref="V35:V38" si="31">SUM(J35:U35)</f>
        <v>4374731.222222222</v>
      </c>
      <c r="W35" s="74">
        <f t="shared" si="26"/>
        <v>0.6347577285191639</v>
      </c>
      <c r="X35" s="90"/>
      <c r="Y35" s="30">
        <f t="shared" ref="Y35:AJ36" si="32">+Y41*Y45</f>
        <v>375173.37000000005</v>
      </c>
      <c r="Z35" s="30">
        <f t="shared" si="32"/>
        <v>366841.35000000003</v>
      </c>
      <c r="AA35" s="30">
        <f t="shared" si="32"/>
        <v>448984.48</v>
      </c>
      <c r="AB35" s="30">
        <f t="shared" si="32"/>
        <v>362994.6</v>
      </c>
      <c r="AC35" s="30">
        <f t="shared" si="32"/>
        <v>468402.48000000004</v>
      </c>
      <c r="AD35" s="30">
        <f t="shared" si="32"/>
        <v>342435.95999999996</v>
      </c>
      <c r="AE35" s="30">
        <f t="shared" si="32"/>
        <v>373271.82</v>
      </c>
      <c r="AF35" s="30">
        <f t="shared" si="32"/>
        <v>428258.86</v>
      </c>
      <c r="AG35" s="30">
        <f t="shared" si="32"/>
        <v>431151</v>
      </c>
      <c r="AH35" s="30">
        <f t="shared" si="32"/>
        <v>432910.56</v>
      </c>
      <c r="AI35" s="30">
        <f t="shared" si="32"/>
        <v>423892.72</v>
      </c>
      <c r="AJ35" s="30">
        <f t="shared" si="32"/>
        <v>415826.10000000003</v>
      </c>
      <c r="AK35" s="30">
        <f t="shared" si="28"/>
        <v>4870143.3</v>
      </c>
      <c r="AL35" s="74">
        <f t="shared" si="29"/>
        <v>0.66416989320544184</v>
      </c>
      <c r="AM35" s="29">
        <f>IFERROR(AK35/V35-1,0)</f>
        <v>0.11324400348557284</v>
      </c>
      <c r="AN35" s="9"/>
    </row>
    <row r="36" spans="1:41" ht="14.45" hidden="1" customHeight="1" outlineLevel="1">
      <c r="I36" s="222" t="s">
        <v>403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 t="s">
        <v>448</v>
      </c>
      <c r="S36" s="30" t="s">
        <v>448</v>
      </c>
      <c r="T36" s="30">
        <f t="shared" ref="R36:U36" si="33">+AVERAGE(Q36:S36)</f>
        <v>0</v>
      </c>
      <c r="U36" s="30">
        <f t="shared" si="33"/>
        <v>0</v>
      </c>
      <c r="V36" s="32">
        <f t="shared" si="31"/>
        <v>0</v>
      </c>
      <c r="W36" s="74">
        <f t="shared" si="26"/>
        <v>0</v>
      </c>
      <c r="X36" s="90"/>
      <c r="Y36" s="30">
        <f t="shared" si="32"/>
        <v>0</v>
      </c>
      <c r="Z36" s="30">
        <f t="shared" si="32"/>
        <v>0</v>
      </c>
      <c r="AA36" s="30">
        <f t="shared" si="32"/>
        <v>0</v>
      </c>
      <c r="AB36" s="30">
        <f t="shared" si="32"/>
        <v>0</v>
      </c>
      <c r="AC36" s="30">
        <f t="shared" si="32"/>
        <v>0</v>
      </c>
      <c r="AD36" s="30">
        <f t="shared" si="32"/>
        <v>0</v>
      </c>
      <c r="AE36" s="30">
        <f t="shared" si="32"/>
        <v>0</v>
      </c>
      <c r="AF36" s="30">
        <f t="shared" si="32"/>
        <v>0</v>
      </c>
      <c r="AG36" s="30">
        <f t="shared" si="32"/>
        <v>0</v>
      </c>
      <c r="AH36" s="30">
        <f t="shared" si="32"/>
        <v>0</v>
      </c>
      <c r="AI36" s="30">
        <f t="shared" si="32"/>
        <v>0</v>
      </c>
      <c r="AJ36" s="30">
        <f t="shared" si="32"/>
        <v>0</v>
      </c>
      <c r="AK36" s="30">
        <f t="shared" si="28"/>
        <v>0</v>
      </c>
      <c r="AL36" s="74">
        <f t="shared" si="29"/>
        <v>0</v>
      </c>
      <c r="AM36" s="29">
        <f>IFERROR(AK36/V36-1,0)</f>
        <v>0</v>
      </c>
      <c r="AN36" s="9"/>
    </row>
    <row r="37" spans="1:41" ht="14.45" hidden="1" customHeight="1" outlineLevel="1">
      <c r="I37" s="222" t="s">
        <v>149</v>
      </c>
      <c r="J37" s="30">
        <v>11890</v>
      </c>
      <c r="K37" s="30">
        <v>10013</v>
      </c>
      <c r="L37" s="30">
        <v>6027</v>
      </c>
      <c r="M37" s="30">
        <v>8797</v>
      </c>
      <c r="N37" s="30">
        <v>13453</v>
      </c>
      <c r="O37" s="30">
        <v>8933</v>
      </c>
      <c r="P37" s="30">
        <v>431</v>
      </c>
      <c r="Q37" s="30">
        <v>9845</v>
      </c>
      <c r="R37" s="30"/>
      <c r="S37" s="30">
        <v>9631</v>
      </c>
      <c r="T37" s="30">
        <f t="shared" ref="R37:U37" si="34">+AVERAGE(Q37:S37)</f>
        <v>9738</v>
      </c>
      <c r="U37" s="30">
        <f t="shared" si="34"/>
        <v>9684.5</v>
      </c>
      <c r="V37" s="32">
        <f t="shared" si="31"/>
        <v>98442.5</v>
      </c>
      <c r="W37" s="74"/>
      <c r="X37" s="9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74"/>
      <c r="AM37" s="29"/>
      <c r="AN37" s="9"/>
    </row>
    <row r="38" spans="1:41" ht="14.25" hidden="1" customHeight="1" outlineLevel="1">
      <c r="I38" s="222" t="s">
        <v>150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0">
        <v>9782</v>
      </c>
      <c r="S38" s="30"/>
      <c r="T38" s="30">
        <f t="shared" ref="R38:U38" si="35">+AVERAGE(Q38:S38)</f>
        <v>4891</v>
      </c>
      <c r="U38" s="30">
        <f t="shared" si="35"/>
        <v>7336.5</v>
      </c>
      <c r="V38" s="32">
        <f t="shared" si="31"/>
        <v>22009.5</v>
      </c>
      <c r="W38" s="74">
        <f t="shared" si="26"/>
        <v>3.1934991011278342E-3</v>
      </c>
      <c r="X38" s="90"/>
      <c r="Y38" s="32">
        <f>Y10-Y29</f>
        <v>4617</v>
      </c>
      <c r="Z38" s="32">
        <f t="shared" ref="Z38:AJ38" si="36">Z10-Z29</f>
        <v>3708</v>
      </c>
      <c r="AA38" s="32">
        <f t="shared" si="36"/>
        <v>4086</v>
      </c>
      <c r="AB38" s="32">
        <f t="shared" si="36"/>
        <v>3834</v>
      </c>
      <c r="AC38" s="32">
        <f t="shared" si="36"/>
        <v>4311</v>
      </c>
      <c r="AD38" s="32">
        <f t="shared" si="36"/>
        <v>3969</v>
      </c>
      <c r="AE38" s="32">
        <f t="shared" si="36"/>
        <v>4158</v>
      </c>
      <c r="AF38" s="32">
        <f t="shared" si="36"/>
        <v>4293</v>
      </c>
      <c r="AG38" s="32">
        <f t="shared" si="36"/>
        <v>4203</v>
      </c>
      <c r="AH38" s="32">
        <f t="shared" si="36"/>
        <v>4428</v>
      </c>
      <c r="AI38" s="32">
        <f t="shared" si="36"/>
        <v>3870</v>
      </c>
      <c r="AJ38" s="32">
        <f t="shared" si="36"/>
        <v>4455</v>
      </c>
      <c r="AK38" s="30">
        <f t="shared" si="28"/>
        <v>49932</v>
      </c>
      <c r="AL38" s="74">
        <f t="shared" si="29"/>
        <v>6.8095185428186733E-3</v>
      </c>
      <c r="AM38" s="29">
        <f>IFERROR(AK38/V38-1,0)</f>
        <v>1.2686567164179103</v>
      </c>
      <c r="AN38" s="9"/>
    </row>
    <row r="39" spans="1:41" ht="14.45" customHeight="1" collapsed="1">
      <c r="I39" s="18" t="s">
        <v>151</v>
      </c>
      <c r="J39" s="33">
        <v>553662</v>
      </c>
      <c r="K39" s="33">
        <v>548014</v>
      </c>
      <c r="L39" s="33">
        <v>610152</v>
      </c>
      <c r="M39" s="33">
        <v>546655</v>
      </c>
      <c r="N39" s="33">
        <v>563955</v>
      </c>
      <c r="O39" s="33">
        <v>539315</v>
      </c>
      <c r="P39" s="33">
        <v>542155</v>
      </c>
      <c r="Q39" s="33">
        <v>567888</v>
      </c>
      <c r="R39" s="33">
        <v>590773</v>
      </c>
      <c r="S39" s="33">
        <v>618683</v>
      </c>
      <c r="T39" s="33">
        <f t="shared" ref="R39:T39" si="37">SUM(T40:T42)</f>
        <v>610446</v>
      </c>
      <c r="U39" s="33">
        <f>SUM(U40:U42)</f>
        <v>600272</v>
      </c>
      <c r="V39" s="33">
        <f>SUM(J39:U39)</f>
        <v>6891970</v>
      </c>
      <c r="W39" s="74">
        <f t="shared" si="26"/>
        <v>1</v>
      </c>
      <c r="X39" s="90"/>
      <c r="Y39" s="33">
        <f t="shared" ref="Y39:AJ39" si="38">SUM(Y40:Y42)</f>
        <v>585390</v>
      </c>
      <c r="Z39" s="33">
        <f t="shared" si="38"/>
        <v>580167</v>
      </c>
      <c r="AA39" s="33">
        <f t="shared" si="38"/>
        <v>642513</v>
      </c>
      <c r="AB39" s="33">
        <f t="shared" si="38"/>
        <v>582602</v>
      </c>
      <c r="AC39" s="33">
        <f t="shared" si="38"/>
        <v>599294</v>
      </c>
      <c r="AD39" s="33">
        <f t="shared" si="38"/>
        <v>574505</v>
      </c>
      <c r="AE39" s="33">
        <f t="shared" si="38"/>
        <v>577967</v>
      </c>
      <c r="AF39" s="33">
        <f t="shared" si="38"/>
        <v>616965</v>
      </c>
      <c r="AG39" s="33">
        <f t="shared" si="38"/>
        <v>630997</v>
      </c>
      <c r="AH39" s="33">
        <f t="shared" si="38"/>
        <v>656753</v>
      </c>
      <c r="AI39" s="33">
        <f t="shared" si="38"/>
        <v>647696</v>
      </c>
      <c r="AJ39" s="33">
        <f t="shared" si="38"/>
        <v>637828</v>
      </c>
      <c r="AK39" s="33">
        <f t="shared" si="28"/>
        <v>7332677</v>
      </c>
      <c r="AL39" s="74">
        <f t="shared" si="29"/>
        <v>1</v>
      </c>
      <c r="AM39" s="16">
        <f>IFERROR(AK39/V39-1,0)</f>
        <v>6.394499685866295E-2</v>
      </c>
      <c r="AN39" s="9"/>
    </row>
    <row r="40" spans="1:41" ht="14.45" hidden="1" customHeight="1" outlineLevel="1">
      <c r="E40" s="127"/>
      <c r="I40" s="31" t="s">
        <v>405</v>
      </c>
      <c r="J40" s="32">
        <v>430060</v>
      </c>
      <c r="K40" s="32">
        <v>426457</v>
      </c>
      <c r="L40" s="32">
        <v>468753</v>
      </c>
      <c r="M40" s="32">
        <v>422562</v>
      </c>
      <c r="N40" s="32">
        <v>417915</v>
      </c>
      <c r="O40" s="32">
        <v>418742</v>
      </c>
      <c r="P40" s="32">
        <v>420544</v>
      </c>
      <c r="Q40" s="32">
        <v>435284</v>
      </c>
      <c r="R40" s="32">
        <v>451915</v>
      </c>
      <c r="S40" s="32">
        <v>477980</v>
      </c>
      <c r="T40" s="32">
        <v>471274</v>
      </c>
      <c r="U40" s="32">
        <v>463420</v>
      </c>
      <c r="V40" s="32">
        <f>SUM(J40:U40)</f>
        <v>5304906</v>
      </c>
      <c r="W40" s="74">
        <f t="shared" si="26"/>
        <v>0.76972273529919599</v>
      </c>
      <c r="X40" s="90"/>
      <c r="Y40" s="32">
        <f>VLOOKUP($E$1,'[4]Resumen x Tipo Combustible'!$C$4:$O$10,Y$1,0)</f>
        <v>459069</v>
      </c>
      <c r="Z40" s="32">
        <f>VLOOKUP($E$1,'[4]Resumen x Tipo Combustible'!$C$4:$O$10,Z$1,0)</f>
        <v>455814</v>
      </c>
      <c r="AA40" s="32">
        <f>VLOOKUP($E$1,'[4]Resumen x Tipo Combustible'!$C$4:$O$10,AA$1,0)</f>
        <v>498145</v>
      </c>
      <c r="AB40" s="32">
        <f>VLOOKUP($E$1,'[4]Resumen x Tipo Combustible'!$C$4:$O$10,AB$1,0)</f>
        <v>454787</v>
      </c>
      <c r="AC40" s="32">
        <f>VLOOKUP($E$1,'[4]Resumen x Tipo Combustible'!$C$4:$O$10,AC$1,0)</f>
        <v>449165</v>
      </c>
      <c r="AD40" s="32">
        <f>VLOOKUP($E$1,'[4]Resumen x Tipo Combustible'!$C$4:$O$10,AD$1,0)</f>
        <v>450434</v>
      </c>
      <c r="AE40" s="32">
        <f>VLOOKUP($E$1,'[4]Resumen x Tipo Combustible'!$C$4:$O$10,AE$1,0)</f>
        <v>452708</v>
      </c>
      <c r="AF40" s="32">
        <f>VLOOKUP($E$1,'[4]Resumen x Tipo Combustible'!$C$4:$O$10,AF$1,0)</f>
        <v>477467</v>
      </c>
      <c r="AG40" s="32">
        <f>VLOOKUP($E$1,'[4]Resumen x Tipo Combustible'!$C$4:$O$10,AG$1,0)</f>
        <v>487280</v>
      </c>
      <c r="AH40" s="32">
        <f>VLOOKUP($E$1,'[4]Resumen x Tipo Combustible'!$C$4:$O$10,AH$1,0)</f>
        <v>511481</v>
      </c>
      <c r="AI40" s="32">
        <f>VLOOKUP($E$1,'[4]Resumen x Tipo Combustible'!$C$4:$O$10,AI$1,0)</f>
        <v>504489</v>
      </c>
      <c r="AJ40" s="32">
        <f>VLOOKUP($E$1,'[4]Resumen x Tipo Combustible'!$C$4:$O$10,AJ$1,0)</f>
        <v>496870</v>
      </c>
      <c r="AK40" s="32">
        <f t="shared" si="28"/>
        <v>5697709</v>
      </c>
      <c r="AL40" s="74">
        <f t="shared" si="29"/>
        <v>0.77702986235449889</v>
      </c>
      <c r="AM40" s="29">
        <f t="shared" si="6"/>
        <v>7.4045232846727149E-2</v>
      </c>
      <c r="AN40" s="9"/>
    </row>
    <row r="41" spans="1:41" ht="14.45" hidden="1" customHeight="1" outlineLevel="1">
      <c r="E41" s="127"/>
      <c r="I41" s="31" t="s">
        <v>406</v>
      </c>
      <c r="J41" s="32">
        <v>123602</v>
      </c>
      <c r="K41" s="32">
        <v>121557</v>
      </c>
      <c r="L41" s="32">
        <v>141399</v>
      </c>
      <c r="M41" s="32">
        <v>124092</v>
      </c>
      <c r="N41" s="32">
        <v>146040</v>
      </c>
      <c r="O41" s="32">
        <v>120574</v>
      </c>
      <c r="P41" s="32">
        <v>121611</v>
      </c>
      <c r="Q41" s="32">
        <v>132604</v>
      </c>
      <c r="R41" s="32">
        <v>138858</v>
      </c>
      <c r="S41" s="32">
        <v>140703</v>
      </c>
      <c r="T41" s="32">
        <v>139172</v>
      </c>
      <c r="U41" s="32">
        <v>136852</v>
      </c>
      <c r="V41" s="32">
        <f>SUM(J41:U41)</f>
        <v>1587064</v>
      </c>
      <c r="W41" s="74">
        <f t="shared" si="26"/>
        <v>0.23027726470080398</v>
      </c>
      <c r="X41" s="90"/>
      <c r="Y41" s="32">
        <f>VLOOKUP($E$1,'[4]Resumen x Tipo Combustible'!$C$10:$O$11,Y$1,0)</f>
        <v>126321</v>
      </c>
      <c r="Z41" s="32">
        <f>VLOOKUP($E$1,'[4]Resumen x Tipo Combustible'!$C$10:$O$11,Z$1,0)</f>
        <v>124353</v>
      </c>
      <c r="AA41" s="32">
        <f>VLOOKUP($E$1,'[4]Resumen x Tipo Combustible'!$C$10:$O$11,AA$1,0)</f>
        <v>144368</v>
      </c>
      <c r="AB41" s="32">
        <f>VLOOKUP($E$1,'[4]Resumen x Tipo Combustible'!$C$10:$O$11,AB$1,0)</f>
        <v>127815</v>
      </c>
      <c r="AC41" s="32">
        <f>VLOOKUP($E$1,'[4]Resumen x Tipo Combustible'!$C$10:$O$11,AC$1,0)</f>
        <v>150129</v>
      </c>
      <c r="AD41" s="32">
        <f>VLOOKUP($E$1,'[4]Resumen x Tipo Combustible'!$C$10:$O$11,AD$1,0)</f>
        <v>124071</v>
      </c>
      <c r="AE41" s="32">
        <f>VLOOKUP($E$1,'[4]Resumen x Tipo Combustible'!$C$10:$O$11,AE$1,0)</f>
        <v>125259</v>
      </c>
      <c r="AF41" s="32">
        <f>VLOOKUP($E$1,'[4]Resumen x Tipo Combustible'!$C$10:$O$11,AF$1,0)</f>
        <v>139498</v>
      </c>
      <c r="AG41" s="32">
        <f>VLOOKUP($E$1,'[4]Resumen x Tipo Combustible'!$C$10:$O$11,AG$1,0)</f>
        <v>143717</v>
      </c>
      <c r="AH41" s="32">
        <f>VLOOKUP($E$1,'[4]Resumen x Tipo Combustible'!$C$10:$O$11,AH$1,0)</f>
        <v>145272</v>
      </c>
      <c r="AI41" s="32">
        <f>VLOOKUP($E$1,'[4]Resumen x Tipo Combustible'!$C$10:$O$11,AI$1,0)</f>
        <v>143207</v>
      </c>
      <c r="AJ41" s="32">
        <f>VLOOKUP($E$1,'[4]Resumen x Tipo Combustible'!$C$10:$O$11,AJ$1,0)</f>
        <v>140958</v>
      </c>
      <c r="AK41" s="32">
        <f t="shared" si="28"/>
        <v>1634968</v>
      </c>
      <c r="AL41" s="74">
        <f t="shared" si="29"/>
        <v>0.22297013764550108</v>
      </c>
      <c r="AM41" s="29">
        <f t="shared" si="6"/>
        <v>3.0184037946799913E-2</v>
      </c>
      <c r="AN41" s="9"/>
    </row>
    <row r="42" spans="1:41" ht="14.45" hidden="1" customHeight="1" outlineLevel="1">
      <c r="E42" s="127"/>
      <c r="I42" s="31" t="s">
        <v>148</v>
      </c>
      <c r="J42" s="32" t="s">
        <v>448</v>
      </c>
      <c r="K42" s="32" t="s">
        <v>448</v>
      </c>
      <c r="L42" s="32" t="s">
        <v>448</v>
      </c>
      <c r="M42" s="32" t="s">
        <v>448</v>
      </c>
      <c r="N42" s="32" t="s">
        <v>448</v>
      </c>
      <c r="O42" s="32" t="s">
        <v>448</v>
      </c>
      <c r="P42" s="32" t="s">
        <v>448</v>
      </c>
      <c r="Q42" s="32" t="s">
        <v>448</v>
      </c>
      <c r="R42" s="32" t="s">
        <v>448</v>
      </c>
      <c r="S42" s="32" t="s">
        <v>448</v>
      </c>
      <c r="T42" s="32" t="s">
        <v>448</v>
      </c>
      <c r="U42" s="32" t="s">
        <v>448</v>
      </c>
      <c r="V42" s="32">
        <f>SUM(J42:U42)</f>
        <v>0</v>
      </c>
      <c r="W42" s="74">
        <f t="shared" si="26"/>
        <v>0</v>
      </c>
      <c r="X42" s="90"/>
      <c r="Y42" s="32">
        <f>VLOOKUP($E$1,'[4]Resumen x Tipo Combustible'!$C$16:$O$17,Y$1,0)</f>
        <v>0</v>
      </c>
      <c r="Z42" s="32">
        <f>VLOOKUP($E$1,'[4]Resumen x Tipo Combustible'!$C$16:$O$17,Z$1,0)</f>
        <v>0</v>
      </c>
      <c r="AA42" s="32">
        <f>VLOOKUP($E$1,'[4]Resumen x Tipo Combustible'!$C$16:$O$17,AA$1,0)</f>
        <v>0</v>
      </c>
      <c r="AB42" s="32">
        <f>VLOOKUP($E$1,'[4]Resumen x Tipo Combustible'!$C$16:$O$17,AB$1,0)</f>
        <v>0</v>
      </c>
      <c r="AC42" s="32">
        <f>VLOOKUP($E$1,'[4]Resumen x Tipo Combustible'!$C$16:$O$17,AC$1,0)</f>
        <v>0</v>
      </c>
      <c r="AD42" s="32">
        <f>VLOOKUP($E$1,'[4]Resumen x Tipo Combustible'!$C$16:$O$17,AD$1,0)</f>
        <v>0</v>
      </c>
      <c r="AE42" s="32">
        <f>VLOOKUP($E$1,'[4]Resumen x Tipo Combustible'!$C$16:$O$17,AE$1,0)</f>
        <v>0</v>
      </c>
      <c r="AF42" s="32">
        <f>VLOOKUP($E$1,'[4]Resumen x Tipo Combustible'!$C$16:$O$17,AF$1,0)</f>
        <v>0</v>
      </c>
      <c r="AG42" s="32">
        <f>VLOOKUP($E$1,'[4]Resumen x Tipo Combustible'!$C$16:$O$17,AG$1,0)</f>
        <v>0</v>
      </c>
      <c r="AH42" s="32">
        <f>VLOOKUP($E$1,'[4]Resumen x Tipo Combustible'!$C$16:$O$17,AH$1,0)</f>
        <v>0</v>
      </c>
      <c r="AI42" s="32">
        <f>VLOOKUP($E$1,'[4]Resumen x Tipo Combustible'!$C$16:$O$17,AI$1,0)</f>
        <v>0</v>
      </c>
      <c r="AJ42" s="32">
        <f>VLOOKUP($E$1,'[4]Resumen x Tipo Combustible'!$C$16:$O$17,AJ$1,0)</f>
        <v>0</v>
      </c>
      <c r="AK42" s="32">
        <f t="shared" si="28"/>
        <v>0</v>
      </c>
      <c r="AL42" s="74">
        <f t="shared" si="29"/>
        <v>0</v>
      </c>
      <c r="AM42" s="29">
        <f t="shared" si="6"/>
        <v>0</v>
      </c>
      <c r="AN42" s="9"/>
    </row>
    <row r="43" spans="1:41" ht="14.45" customHeight="1" collapsed="1">
      <c r="I43" s="18" t="s">
        <v>152</v>
      </c>
      <c r="J43" s="17">
        <v>1.93</v>
      </c>
      <c r="K43" s="17">
        <v>2.17</v>
      </c>
      <c r="L43" s="17">
        <v>2.0499999999999998</v>
      </c>
      <c r="M43" s="17">
        <v>2.36</v>
      </c>
      <c r="N43" s="17">
        <v>2.39</v>
      </c>
      <c r="O43" s="17">
        <v>2.29</v>
      </c>
      <c r="P43" s="17">
        <v>2.14</v>
      </c>
      <c r="Q43" s="17">
        <f t="shared" ref="Q43:V43" si="39">+Q33/Q39</f>
        <v>2.1288916124306203</v>
      </c>
      <c r="R43" s="17">
        <v>2.15</v>
      </c>
      <c r="S43" s="17">
        <v>2.15</v>
      </c>
      <c r="T43" s="17">
        <f t="shared" si="39"/>
        <v>2.0894477152770268</v>
      </c>
      <c r="U43" s="17">
        <f t="shared" si="39"/>
        <v>2.1631304919547585</v>
      </c>
      <c r="V43" s="17">
        <f>+V33/V39</f>
        <v>2.1656660819281957</v>
      </c>
      <c r="W43" s="74">
        <f t="shared" si="26"/>
        <v>3.1423034080650315E-7</v>
      </c>
      <c r="X43" s="90"/>
      <c r="Y43" s="17">
        <f>AVERAGE(Y44:Y44)</f>
        <v>1.91</v>
      </c>
      <c r="Z43" s="17">
        <f t="shared" ref="Z43:AJ43" si="40">AVERAGE(Z44:Z44)</f>
        <v>1.9</v>
      </c>
      <c r="AA43" s="17">
        <f t="shared" si="40"/>
        <v>1.99</v>
      </c>
      <c r="AB43" s="17">
        <f t="shared" si="40"/>
        <v>1.81</v>
      </c>
      <c r="AC43" s="17">
        <f t="shared" si="40"/>
        <v>1.89</v>
      </c>
      <c r="AD43" s="17">
        <f t="shared" si="40"/>
        <v>1.91</v>
      </c>
      <c r="AE43" s="17">
        <f t="shared" si="40"/>
        <v>1.91</v>
      </c>
      <c r="AF43" s="17">
        <f t="shared" si="40"/>
        <v>1.96</v>
      </c>
      <c r="AG43" s="17">
        <f t="shared" si="40"/>
        <v>1.93</v>
      </c>
      <c r="AH43" s="17">
        <f t="shared" si="40"/>
        <v>1.95</v>
      </c>
      <c r="AI43" s="17">
        <f t="shared" si="40"/>
        <v>1.89</v>
      </c>
      <c r="AJ43" s="17">
        <f t="shared" si="40"/>
        <v>1.89</v>
      </c>
      <c r="AK43" s="17">
        <f>+AK33/AK39</f>
        <v>2.1571360582226666</v>
      </c>
      <c r="AL43" s="74">
        <f t="shared" si="29"/>
        <v>2.9418124625190318E-7</v>
      </c>
      <c r="AM43" s="16">
        <f t="shared" si="6"/>
        <v>-3.9387529669090426E-3</v>
      </c>
      <c r="AN43" s="284" t="s">
        <v>408</v>
      </c>
      <c r="AO43" s="285">
        <f>+AK43-V43</f>
        <v>-8.5300237055290218E-3</v>
      </c>
    </row>
    <row r="44" spans="1:41" ht="14.45" hidden="1" customHeight="1" outlineLevel="1">
      <c r="I44" s="31" t="s">
        <v>405</v>
      </c>
      <c r="J44" s="30">
        <v>1.72</v>
      </c>
      <c r="K44" s="30">
        <v>2.0499999999999998</v>
      </c>
      <c r="L44" s="30">
        <v>1.81</v>
      </c>
      <c r="M44" s="30">
        <v>2.19</v>
      </c>
      <c r="N44" s="30">
        <v>1.97</v>
      </c>
      <c r="O44" s="30">
        <v>1.96</v>
      </c>
      <c r="P44" s="30">
        <v>1.98</v>
      </c>
      <c r="Q44" s="30">
        <f t="shared" ref="Q44:V44" si="41">+Q34/Q40</f>
        <v>2.0038204942060815</v>
      </c>
      <c r="R44" s="30">
        <v>2</v>
      </c>
      <c r="S44" s="30">
        <v>2</v>
      </c>
      <c r="T44" s="30">
        <f t="shared" si="41"/>
        <v>1.9323054811708971</v>
      </c>
      <c r="U44" s="30">
        <f t="shared" si="41"/>
        <v>1.9926850613074774</v>
      </c>
      <c r="V44" s="30">
        <f>+V34/V40</f>
        <v>1.9662030664529109</v>
      </c>
      <c r="W44" s="74">
        <f t="shared" si="26"/>
        <v>2.8528897636712158E-7</v>
      </c>
      <c r="X44" s="90"/>
      <c r="Y44" s="30">
        <f>VLOOKUP(Y3,'[4]Margen Ctvs-Ltr'!$J$28:$O$39,$Y$1,0)</f>
        <v>1.91</v>
      </c>
      <c r="Z44" s="30">
        <f>VLOOKUP(Z3,'[4]Margen Ctvs-Ltr'!$J$28:$O$39,$Y$1,0)</f>
        <v>1.9</v>
      </c>
      <c r="AA44" s="30">
        <f>VLOOKUP(AA3,'[4]Margen Ctvs-Ltr'!$J$28:$O$39,$Y$1,0)</f>
        <v>1.99</v>
      </c>
      <c r="AB44" s="30">
        <f>VLOOKUP(AB3,'[4]Margen Ctvs-Ltr'!$J$28:$O$39,$Y$1,0)</f>
        <v>1.81</v>
      </c>
      <c r="AC44" s="30">
        <f>VLOOKUP(AC3,'[4]Margen Ctvs-Ltr'!$J$28:$O$39,$Y$1,0)</f>
        <v>1.89</v>
      </c>
      <c r="AD44" s="30">
        <f>VLOOKUP(AD3,'[4]Margen Ctvs-Ltr'!$J$28:$O$39,$Y$1,0)</f>
        <v>1.91</v>
      </c>
      <c r="AE44" s="30">
        <f>VLOOKUP(AE3,'[4]Margen Ctvs-Ltr'!$J$28:$O$39,$Y$1,0)</f>
        <v>1.91</v>
      </c>
      <c r="AF44" s="30">
        <f>VLOOKUP(AF3,'[4]Margen Ctvs-Ltr'!$J$28:$O$39,$Y$1,0)</f>
        <v>1.96</v>
      </c>
      <c r="AG44" s="30">
        <f>VLOOKUP(AG3,'[4]Margen Ctvs-Ltr'!$J$28:$O$39,$Y$1,0)</f>
        <v>1.93</v>
      </c>
      <c r="AH44" s="30">
        <f>VLOOKUP(AH3,'[4]Margen Ctvs-Ltr'!$J$28:$O$39,$Y$1,0)</f>
        <v>1.95</v>
      </c>
      <c r="AI44" s="30">
        <f>VLOOKUP(AI3,'[4]Margen Ctvs-Ltr'!$J$28:$O$39,$Y$1,0)</f>
        <v>1.89</v>
      </c>
      <c r="AJ44" s="30">
        <f>VLOOKUP(AJ3,'[4]Margen Ctvs-Ltr'!$J$28:$O$39,$Y$1,0)</f>
        <v>1.89</v>
      </c>
      <c r="AK44" s="30">
        <f>+AK34/AK40</f>
        <v>1.9126120094936403</v>
      </c>
      <c r="AL44" s="74">
        <f t="shared" si="29"/>
        <v>2.6083407321686748E-7</v>
      </c>
      <c r="AM44" s="29">
        <f t="shared" si="6"/>
        <v>-2.7256115033911787E-2</v>
      </c>
      <c r="AN44" s="9"/>
      <c r="AO44" s="285">
        <f>+AK44-V44</f>
        <v>-5.3591056959270578E-2</v>
      </c>
    </row>
    <row r="45" spans="1:41" ht="14.45" hidden="1" customHeight="1" outlineLevel="1">
      <c r="I45" s="31" t="s">
        <v>406</v>
      </c>
      <c r="J45" s="30">
        <v>2.58</v>
      </c>
      <c r="K45" s="30">
        <v>2.52</v>
      </c>
      <c r="L45" s="30">
        <v>2.79</v>
      </c>
      <c r="M45" s="30">
        <v>2.84</v>
      </c>
      <c r="N45" s="30">
        <v>3.48</v>
      </c>
      <c r="O45" s="30">
        <v>3.35</v>
      </c>
      <c r="P45" s="30">
        <v>2.72</v>
      </c>
      <c r="Q45" s="30">
        <f t="shared" ref="Q45:V45" si="42">+Q35/Q41</f>
        <v>2.465204669542397</v>
      </c>
      <c r="R45" s="30">
        <v>2.59</v>
      </c>
      <c r="S45" s="30">
        <v>2.59</v>
      </c>
      <c r="T45" s="30">
        <f t="shared" si="42"/>
        <v>2.5164592494658891</v>
      </c>
      <c r="U45" s="30">
        <f t="shared" si="42"/>
        <v>2.6159322154996314</v>
      </c>
      <c r="V45" s="30">
        <f>+V35/V41</f>
        <v>2.7564932619114426</v>
      </c>
      <c r="W45" s="74">
        <f t="shared" si="26"/>
        <v>3.9995723456594307E-7</v>
      </c>
      <c r="X45" s="90"/>
      <c r="Y45" s="30">
        <f>VLOOKUP(Y3,'[4]Margen Ctvs-Ltr'!$J$28:$O$39,$AA$1,0)</f>
        <v>2.97</v>
      </c>
      <c r="Z45" s="30">
        <f>VLOOKUP(Z3,'[4]Margen Ctvs-Ltr'!$J$28:$O$39,$AA$1,0)</f>
        <v>2.95</v>
      </c>
      <c r="AA45" s="30">
        <f>VLOOKUP(AA3,'[4]Margen Ctvs-Ltr'!$J$28:$O$39,$AA$1,0)</f>
        <v>3.11</v>
      </c>
      <c r="AB45" s="30">
        <f>VLOOKUP(AB3,'[4]Margen Ctvs-Ltr'!$J$28:$O$39,$AA$1,0)</f>
        <v>2.84</v>
      </c>
      <c r="AC45" s="30">
        <f>VLOOKUP(AC3,'[4]Margen Ctvs-Ltr'!$J$28:$O$39,$AA$1,0)</f>
        <v>3.12</v>
      </c>
      <c r="AD45" s="30">
        <f>VLOOKUP(AD3,'[4]Margen Ctvs-Ltr'!$J$28:$O$39,$AA$1,0)</f>
        <v>2.76</v>
      </c>
      <c r="AE45" s="30">
        <f>VLOOKUP(AE3,'[4]Margen Ctvs-Ltr'!$J$28:$O$39,$AA$1,0)</f>
        <v>2.98</v>
      </c>
      <c r="AF45" s="30">
        <f>VLOOKUP(AF3,'[4]Margen Ctvs-Ltr'!$J$28:$O$39,$AA$1,0)</f>
        <v>3.07</v>
      </c>
      <c r="AG45" s="30">
        <f>VLOOKUP(AG3,'[4]Margen Ctvs-Ltr'!$J$28:$O$39,$AA$1,0)</f>
        <v>3</v>
      </c>
      <c r="AH45" s="30">
        <f>VLOOKUP(AH3,'[4]Margen Ctvs-Ltr'!$J$28:$O$39,$AA$1,0)</f>
        <v>2.98</v>
      </c>
      <c r="AI45" s="30">
        <f>VLOOKUP(AI3,'[4]Margen Ctvs-Ltr'!$J$28:$O$39,$AA$1,0)</f>
        <v>2.96</v>
      </c>
      <c r="AJ45" s="30">
        <f>VLOOKUP(AJ3,'[4]Margen Ctvs-Ltr'!$J$28:$O$39,$AA$1,0)</f>
        <v>2.95</v>
      </c>
      <c r="AK45" s="30">
        <f>+AK35/AK41</f>
        <v>2.9787392169143372</v>
      </c>
      <c r="AL45" s="74">
        <f t="shared" si="29"/>
        <v>4.0622806880956808E-7</v>
      </c>
      <c r="AM45" s="29">
        <f t="shared" si="6"/>
        <v>8.0626337119642288E-2</v>
      </c>
      <c r="AN45" s="9"/>
      <c r="AO45" s="285">
        <f>+AK45-V45</f>
        <v>0.22224595500289457</v>
      </c>
    </row>
    <row r="46" spans="1:41" ht="14.45" hidden="1" customHeight="1" outlineLevel="1">
      <c r="I46" s="31" t="s">
        <v>148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74">
        <f t="shared" si="26"/>
        <v>0</v>
      </c>
      <c r="X46" s="90"/>
      <c r="Y46" s="30">
        <f>VLOOKUP(Y3,'[4]Margen Ctvs-Ltr'!$J$28:$O$39,$AC$1,0)</f>
        <v>0</v>
      </c>
      <c r="Z46" s="30">
        <f>VLOOKUP(Z3,'[4]Margen Ctvs-Ltr'!$J$28:$O$39,$AC$1,0)</f>
        <v>0</v>
      </c>
      <c r="AA46" s="30">
        <f>VLOOKUP(AA3,'[4]Margen Ctvs-Ltr'!$J$28:$O$39,$AC$1,0)</f>
        <v>0</v>
      </c>
      <c r="AB46" s="30">
        <f>VLOOKUP(AB3,'[4]Margen Ctvs-Ltr'!$J$28:$O$39,$AC$1,0)</f>
        <v>0</v>
      </c>
      <c r="AC46" s="30">
        <f>VLOOKUP(AC3,'[4]Margen Ctvs-Ltr'!$J$28:$O$39,$AC$1,0)</f>
        <v>0</v>
      </c>
      <c r="AD46" s="30">
        <f>VLOOKUP(AD3,'[4]Margen Ctvs-Ltr'!$J$28:$O$39,$AC$1,0)</f>
        <v>0</v>
      </c>
      <c r="AE46" s="30">
        <f>VLOOKUP(AE3,'[4]Margen Ctvs-Ltr'!$J$28:$O$39,$AC$1,0)</f>
        <v>0</v>
      </c>
      <c r="AF46" s="30">
        <f>VLOOKUP(AF3,'[4]Margen Ctvs-Ltr'!$J$28:$O$39,$AC$1,0)</f>
        <v>0</v>
      </c>
      <c r="AG46" s="30">
        <f>VLOOKUP(AG3,'[4]Margen Ctvs-Ltr'!$J$28:$O$39,$AC$1,0)</f>
        <v>0</v>
      </c>
      <c r="AH46" s="30">
        <f>VLOOKUP(AH3,'[4]Margen Ctvs-Ltr'!$J$28:$O$39,$AC$1,0)</f>
        <v>0</v>
      </c>
      <c r="AI46" s="30">
        <f>VLOOKUP(AI3,'[4]Margen Ctvs-Ltr'!$J$28:$O$39,$AC$1,0)</f>
        <v>0</v>
      </c>
      <c r="AJ46" s="30">
        <f>VLOOKUP(AJ3,'[4]Margen Ctvs-Ltr'!$J$28:$O$39,$AC$1,0)</f>
        <v>0</v>
      </c>
      <c r="AK46" s="30">
        <f>IFERROR(+AK38/AK42,0)</f>
        <v>0</v>
      </c>
      <c r="AL46" s="74">
        <f t="shared" si="29"/>
        <v>0</v>
      </c>
      <c r="AM46" s="29">
        <f t="shared" si="6"/>
        <v>0</v>
      </c>
      <c r="AN46" s="9"/>
      <c r="AO46" s="285">
        <f>+AK46-V46</f>
        <v>0</v>
      </c>
    </row>
    <row r="47" spans="1:41" ht="14.45" customHeight="1"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21"/>
      <c r="B48" s="21"/>
      <c r="C48" s="21"/>
      <c r="D48" s="21"/>
      <c r="E48" s="7" t="s">
        <v>108</v>
      </c>
      <c r="I48" s="138" t="s">
        <v>153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6" customHeight="1">
      <c r="A49" s="21"/>
      <c r="B49" s="21"/>
      <c r="C49" s="21"/>
      <c r="D49" s="21"/>
      <c r="E49" s="22"/>
      <c r="F49" s="21"/>
      <c r="G49" s="21"/>
      <c r="H49" s="21"/>
      <c r="I49" s="138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 collapsed="1">
      <c r="A50" s="12" t="s">
        <v>154</v>
      </c>
      <c r="B50" s="19" t="s">
        <v>89</v>
      </c>
      <c r="I50" s="166" t="s">
        <v>155</v>
      </c>
      <c r="J50" s="15">
        <v>59533</v>
      </c>
      <c r="K50" s="15">
        <v>67041</v>
      </c>
      <c r="L50" s="15">
        <v>74051</v>
      </c>
      <c r="M50" s="15">
        <v>67709</v>
      </c>
      <c r="N50" s="15">
        <v>50677</v>
      </c>
      <c r="O50" s="15">
        <v>93300</v>
      </c>
      <c r="P50" s="15">
        <v>83303</v>
      </c>
      <c r="Q50" s="15">
        <v>116122</v>
      </c>
      <c r="R50" s="15">
        <v>69170</v>
      </c>
      <c r="S50" s="15">
        <v>85783</v>
      </c>
      <c r="T50" s="15">
        <f t="shared" ref="R50:U50" si="43">SUM(T51:T89)</f>
        <v>100225.58235294117</v>
      </c>
      <c r="U50" s="15">
        <f t="shared" si="43"/>
        <v>105806.30499999999</v>
      </c>
      <c r="V50" s="15">
        <f>SUM(V51:V89)</f>
        <v>972717.88735294121</v>
      </c>
      <c r="W50" s="72">
        <f t="shared" ref="W50:W158" si="44">V50/V$6</f>
        <v>6.5632705998774537E-3</v>
      </c>
      <c r="X50" s="89"/>
      <c r="Y50" s="15">
        <f t="shared" ref="Y50:AK50" si="45">SUM(Y51:Y89)</f>
        <v>91087.993105532019</v>
      </c>
      <c r="Z50" s="15">
        <f t="shared" si="45"/>
        <v>78326.109841175479</v>
      </c>
      <c r="AA50" s="15">
        <f t="shared" si="45"/>
        <v>92791.741689217044</v>
      </c>
      <c r="AB50" s="15">
        <f t="shared" si="45"/>
        <v>69621.999331773142</v>
      </c>
      <c r="AC50" s="15">
        <f t="shared" si="45"/>
        <v>121513.40036649682</v>
      </c>
      <c r="AD50" s="15">
        <f t="shared" si="45"/>
        <v>83077.676175746688</v>
      </c>
      <c r="AE50" s="15">
        <f t="shared" si="45"/>
        <v>68074.751580307813</v>
      </c>
      <c r="AF50" s="15">
        <f t="shared" si="45"/>
        <v>88974.363873527836</v>
      </c>
      <c r="AG50" s="15">
        <f t="shared" si="45"/>
        <v>106559.21407191562</v>
      </c>
      <c r="AH50" s="15">
        <f t="shared" si="45"/>
        <v>115950.10796755344</v>
      </c>
      <c r="AI50" s="15">
        <f t="shared" si="45"/>
        <v>67170.728977439314</v>
      </c>
      <c r="AJ50" s="15">
        <f t="shared" si="45"/>
        <v>118824.25615960686</v>
      </c>
      <c r="AK50" s="15">
        <f t="shared" si="45"/>
        <v>1101972.343140292</v>
      </c>
      <c r="AL50" s="72">
        <f t="shared" ref="AL50:AL158" si="46">AK50/AK$6</f>
        <v>6.8783911031392118E-3</v>
      </c>
      <c r="AM50" s="10">
        <f t="shared" ref="AM50:AM141" si="47">IFERROR(AK50/V50-1,0)</f>
        <v>0.13287969458348425</v>
      </c>
      <c r="AN50" s="9"/>
    </row>
    <row r="51" spans="1:40" ht="14.45" hidden="1" customHeight="1" outlineLevel="1">
      <c r="A51" s="12" t="s">
        <v>154</v>
      </c>
      <c r="B51" s="8" t="s">
        <v>89</v>
      </c>
      <c r="C51" s="19" t="s">
        <v>156</v>
      </c>
      <c r="D51" s="12"/>
      <c r="E51" s="20"/>
      <c r="F51" s="12"/>
      <c r="G51" s="12"/>
      <c r="H51" s="12"/>
      <c r="I51" s="259" t="s">
        <v>157</v>
      </c>
      <c r="J51" s="65">
        <v>30274</v>
      </c>
      <c r="K51" s="65">
        <v>29169</v>
      </c>
      <c r="L51" s="65">
        <v>29152</v>
      </c>
      <c r="M51" s="65">
        <v>31356</v>
      </c>
      <c r="N51" s="65">
        <v>31062</v>
      </c>
      <c r="O51" s="65">
        <v>29914</v>
      </c>
      <c r="P51" s="65">
        <v>29675</v>
      </c>
      <c r="Q51" s="65">
        <v>27795</v>
      </c>
      <c r="R51" s="65">
        <v>33234</v>
      </c>
      <c r="S51" s="65">
        <v>29689</v>
      </c>
      <c r="T51" s="65">
        <f t="shared" ref="S51:U51" si="48">+AVERAGE(P51:S51)</f>
        <v>30098.25</v>
      </c>
      <c r="U51" s="65">
        <f t="shared" si="48"/>
        <v>30204.0625</v>
      </c>
      <c r="V51" s="65">
        <f>SUM(J51:U51)</f>
        <v>361622.3125</v>
      </c>
      <c r="W51" s="73">
        <f t="shared" si="44"/>
        <v>2.43999326294878E-3</v>
      </c>
      <c r="X51" s="89"/>
      <c r="Y51" s="65">
        <f>VLOOKUP($E$1,'[5]PPTO 2025'!$C$2:$P$4,Y1,0)*1.213</f>
        <v>27632.753416490941</v>
      </c>
      <c r="Z51" s="65">
        <f>VLOOKUP($E$1,'[5]PPTO 2025'!$C$2:$P$4,Z1,0)*1.213</f>
        <v>31714.753594279799</v>
      </c>
      <c r="AA51" s="65">
        <f>VLOOKUP($E$1,'[5]PPTO 2025'!$C$2:$P$4,AA1,0)*1.213</f>
        <v>35480.061323252878</v>
      </c>
      <c r="AB51" s="65">
        <f>VLOOKUP($E$1,'[5]PPTO 2025'!$C$2:$P$4,AB1,0)*1.213</f>
        <v>33462.679883088218</v>
      </c>
      <c r="AC51" s="65">
        <f>VLOOKUP($E$1,'[5]PPTO 2025'!$C$2:$P$4,AC1,0)*1.213</f>
        <v>36303.687283455736</v>
      </c>
      <c r="AD51" s="65">
        <f>VLOOKUP($E$1,'[5]PPTO 2025'!$C$2:$P$4,AD1,0)*1.213</f>
        <v>35682.028335061761</v>
      </c>
      <c r="AE51" s="65">
        <f>VLOOKUP($E$1,'[5]PPTO 2025'!$C$2:$P$4,AE1,0)*1.213</f>
        <v>35599.201693266725</v>
      </c>
      <c r="AF51" s="65">
        <f>VLOOKUP($E$1,'[5]PPTO 2025'!$C$2:$P$4,AF1,0)*1.213</f>
        <v>36121.876790486742</v>
      </c>
      <c r="AG51" s="65">
        <f>VLOOKUP($E$1,'[5]PPTO 2025'!$C$2:$P$4,AG1,0)*1.213</f>
        <v>36069.809427230692</v>
      </c>
      <c r="AH51" s="65">
        <f>VLOOKUP($E$1,'[5]PPTO 2025'!$C$2:$P$4,AH1,0)*1.213</f>
        <v>36977.866080512358</v>
      </c>
      <c r="AI51" s="65">
        <f>VLOOKUP($E$1,'[5]PPTO 2025'!$C$2:$P$4,AI1,0)*1.213</f>
        <v>36252.100126754391</v>
      </c>
      <c r="AJ51" s="65">
        <f>VLOOKUP($E$1,'[5]PPTO 2025'!$C$2:$P$4,AJ1,0)*1.213</f>
        <v>35137.526478565778</v>
      </c>
      <c r="AK51" s="65">
        <f>SUM(Y51:AJ51)</f>
        <v>416434.34443244594</v>
      </c>
      <c r="AL51" s="73">
        <f t="shared" si="46"/>
        <v>2.5993377307665152E-3</v>
      </c>
      <c r="AM51" s="14">
        <f t="shared" si="47"/>
        <v>0.15157259394066269</v>
      </c>
      <c r="AN51" s="9"/>
    </row>
    <row r="52" spans="1:40" ht="14.45" hidden="1" customHeight="1" outlineLevel="1">
      <c r="A52" s="12" t="s">
        <v>154</v>
      </c>
      <c r="B52" s="8" t="s">
        <v>89</v>
      </c>
      <c r="I52" s="259" t="s">
        <v>156</v>
      </c>
      <c r="J52" s="65">
        <v>2000</v>
      </c>
      <c r="K52" s="65">
        <v>2500</v>
      </c>
      <c r="L52" s="65">
        <v>2000</v>
      </c>
      <c r="M52" s="65">
        <v>2000</v>
      </c>
      <c r="N52" s="65">
        <v>2500</v>
      </c>
      <c r="O52" s="65">
        <v>2000</v>
      </c>
      <c r="P52" s="65">
        <v>2000</v>
      </c>
      <c r="Q52" s="65">
        <v>2500</v>
      </c>
      <c r="R52" s="65">
        <v>2000</v>
      </c>
      <c r="S52" s="65">
        <v>2500</v>
      </c>
      <c r="T52" s="65">
        <f t="shared" ref="T52:T53" si="49">+AVERAGE(P52:S52)</f>
        <v>2250</v>
      </c>
      <c r="U52" s="65">
        <f t="shared" ref="U52:U53" si="50">+AVERAGE(Q52:T52)</f>
        <v>2312.5</v>
      </c>
      <c r="V52" s="65">
        <f t="shared" ref="V52:V89" si="51">SUM(J52:U52)</f>
        <v>26562.5</v>
      </c>
      <c r="W52" s="73">
        <f t="shared" si="44"/>
        <v>1.792265543544882E-4</v>
      </c>
      <c r="X52" s="89"/>
      <c r="Y52" s="65">
        <f>VLOOKUP($E$1,[6]Resumen!$C$9:$O$10,Y1,0)</f>
        <v>2100</v>
      </c>
      <c r="Z52" s="65">
        <f>VLOOKUP($E$1,[6]Resumen!$C$9:$O$10,Z1,0)</f>
        <v>2100</v>
      </c>
      <c r="AA52" s="65">
        <f>VLOOKUP($E$1,[6]Resumen!$C$9:$O$10,AA1,0)</f>
        <v>2100</v>
      </c>
      <c r="AB52" s="65">
        <f>VLOOKUP($E$1,[6]Resumen!$C$9:$O$10,AB1,0)</f>
        <v>2100</v>
      </c>
      <c r="AC52" s="65">
        <f>VLOOKUP($E$1,[6]Resumen!$C$9:$O$10,AC1,0)</f>
        <v>2100</v>
      </c>
      <c r="AD52" s="65">
        <f>VLOOKUP($E$1,[6]Resumen!$C$9:$O$10,AD1,0)</f>
        <v>2100</v>
      </c>
      <c r="AE52" s="65">
        <f>VLOOKUP($E$1,[6]Resumen!$C$9:$O$10,AE1,0)</f>
        <v>2100</v>
      </c>
      <c r="AF52" s="65">
        <f>VLOOKUP($E$1,[6]Resumen!$C$9:$O$10,AF1,0)</f>
        <v>2100</v>
      </c>
      <c r="AG52" s="65">
        <f>VLOOKUP($E$1,[6]Resumen!$C$9:$O$10,AG1,0)</f>
        <v>2100</v>
      </c>
      <c r="AH52" s="65">
        <f>VLOOKUP($E$1,[6]Resumen!$C$9:$O$10,AH1,0)</f>
        <v>2100</v>
      </c>
      <c r="AI52" s="65">
        <f>VLOOKUP($E$1,[6]Resumen!$C$9:$O$10,AI1,0)</f>
        <v>2100</v>
      </c>
      <c r="AJ52" s="65">
        <f>VLOOKUP($E$1,[6]Resumen!$C$9:$O$10,AJ1,0)</f>
        <v>2100</v>
      </c>
      <c r="AK52" s="65">
        <f t="shared" ref="AK52:AK89" si="52">SUM(Y52:AJ52)</f>
        <v>25200</v>
      </c>
      <c r="AL52" s="73">
        <f t="shared" si="46"/>
        <v>1.5729564982107795E-4</v>
      </c>
      <c r="AM52" s="14">
        <f t="shared" si="47"/>
        <v>-5.1294117647058823E-2</v>
      </c>
      <c r="AN52" s="9"/>
    </row>
    <row r="53" spans="1:40" ht="14.45" hidden="1" customHeight="1" outlineLevel="1">
      <c r="A53" s="12" t="s">
        <v>154</v>
      </c>
      <c r="B53" s="8" t="s">
        <v>89</v>
      </c>
      <c r="I53" s="259" t="s">
        <v>158</v>
      </c>
      <c r="J53" s="65">
        <v>386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4841</v>
      </c>
      <c r="Q53" s="65">
        <v>0</v>
      </c>
      <c r="R53" s="65">
        <v>0</v>
      </c>
      <c r="S53" s="65">
        <v>0</v>
      </c>
      <c r="T53" s="65">
        <f t="shared" si="49"/>
        <v>1210.25</v>
      </c>
      <c r="U53" s="65">
        <f t="shared" si="50"/>
        <v>302.5625</v>
      </c>
      <c r="V53" s="65">
        <f t="shared" si="51"/>
        <v>6739.8125</v>
      </c>
      <c r="W53" s="73">
        <f t="shared" si="44"/>
        <v>4.5475891628058693E-5</v>
      </c>
      <c r="X53" s="89"/>
      <c r="Y53" s="65">
        <f>+VLOOKUP($E$1,[7]Resumen!$C$9:$O$10,Y1,0)</f>
        <v>520</v>
      </c>
      <c r="Z53" s="65">
        <f>+VLOOKUP($E$1,[7]Resumen!$C$9:$O$10,Z1,0)</f>
        <v>520</v>
      </c>
      <c r="AA53" s="65">
        <f>+VLOOKUP($E$1,[7]Resumen!$C$9:$O$10,AA1,0)</f>
        <v>520</v>
      </c>
      <c r="AB53" s="65">
        <f>+VLOOKUP($E$1,[7]Resumen!$C$9:$O$10,AB1,0)</f>
        <v>520</v>
      </c>
      <c r="AC53" s="65">
        <f>+VLOOKUP($E$1,[7]Resumen!$C$9:$O$10,AC1,0)</f>
        <v>520</v>
      </c>
      <c r="AD53" s="65">
        <f>+VLOOKUP($E$1,[7]Resumen!$C$9:$O$10,AD1,0)</f>
        <v>520</v>
      </c>
      <c r="AE53" s="65">
        <f>+VLOOKUP($E$1,[7]Resumen!$C$9:$O$10,AE1,0)</f>
        <v>520</v>
      </c>
      <c r="AF53" s="65">
        <f>+VLOOKUP($E$1,[7]Resumen!$C$9:$O$10,AF1,0)</f>
        <v>520</v>
      </c>
      <c r="AG53" s="65">
        <f>+VLOOKUP($E$1,[7]Resumen!$C$9:$O$10,AG1,0)</f>
        <v>520</v>
      </c>
      <c r="AH53" s="65">
        <f>+VLOOKUP($E$1,[7]Resumen!$C$9:$O$10,AH1,0)</f>
        <v>520</v>
      </c>
      <c r="AI53" s="65">
        <f>+VLOOKUP($E$1,[7]Resumen!$C$9:$O$10,AI1,0)</f>
        <v>520</v>
      </c>
      <c r="AJ53" s="65">
        <f>+VLOOKUP($E$1,[7]Resumen!$C$9:$O$10,AJ1,0)</f>
        <v>1768</v>
      </c>
      <c r="AK53" s="65">
        <f t="shared" si="52"/>
        <v>7488</v>
      </c>
      <c r="AL53" s="73">
        <f t="shared" si="46"/>
        <v>4.6739278803977451E-5</v>
      </c>
      <c r="AM53" s="14">
        <f t="shared" si="47"/>
        <v>0.11101013566772067</v>
      </c>
      <c r="AN53" s="9"/>
    </row>
    <row r="54" spans="1:40" ht="14.45" hidden="1" customHeight="1" outlineLevel="1">
      <c r="A54" s="12" t="s">
        <v>154</v>
      </c>
      <c r="B54" s="8" t="s">
        <v>89</v>
      </c>
      <c r="I54" s="259" t="s">
        <v>159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f t="shared" si="51"/>
        <v>0</v>
      </c>
      <c r="W54" s="73">
        <f t="shared" si="44"/>
        <v>0</v>
      </c>
      <c r="X54" s="89"/>
      <c r="Y54" s="65">
        <f>VLOOKUP($E$1,[8]Resumen!$V$71:$AH$72,Y1,0)</f>
        <v>0</v>
      </c>
      <c r="Z54" s="65">
        <f>VLOOKUP($E$1,[8]Resumen!$V$71:$AH$72,Z1,0)</f>
        <v>0</v>
      </c>
      <c r="AA54" s="65">
        <f>VLOOKUP($E$1,[8]Resumen!$V$71:$AH$72,AA1,0)</f>
        <v>0</v>
      </c>
      <c r="AB54" s="65">
        <f>VLOOKUP($E$1,[8]Resumen!$V$71:$AH$72,AB1,0)</f>
        <v>0</v>
      </c>
      <c r="AC54" s="65">
        <f>VLOOKUP($E$1,[8]Resumen!$V$71:$AH$72,AC1,0)</f>
        <v>0</v>
      </c>
      <c r="AD54" s="65">
        <f>VLOOKUP($E$1,[8]Resumen!$V$71:$AH$72,AD1,0)</f>
        <v>11948.560000000001</v>
      </c>
      <c r="AE54" s="65">
        <f>VLOOKUP($E$1,[8]Resumen!$V$71:$AH$72,AE1,0)</f>
        <v>0</v>
      </c>
      <c r="AF54" s="65">
        <f>VLOOKUP($E$1,[8]Resumen!$V$71:$AH$72,AF1,0)</f>
        <v>0</v>
      </c>
      <c r="AG54" s="65">
        <f>VLOOKUP($E$1,[8]Resumen!$V$71:$AH$72,AG1,0)</f>
        <v>0</v>
      </c>
      <c r="AH54" s="65">
        <f>VLOOKUP($E$1,[8]Resumen!$V$71:$AH$72,AH1,0)</f>
        <v>0</v>
      </c>
      <c r="AI54" s="65">
        <f>VLOOKUP($E$1,[8]Resumen!$V$71:$AH$72,AI1,0)</f>
        <v>0</v>
      </c>
      <c r="AJ54" s="65">
        <f>VLOOKUP($E$1,[8]Resumen!$V$71:$AH$72,AJ1,0)</f>
        <v>0</v>
      </c>
      <c r="AK54" s="65">
        <f t="shared" si="52"/>
        <v>11948.560000000001</v>
      </c>
      <c r="AL54" s="73">
        <f t="shared" si="46"/>
        <v>7.4581607524846805E-5</v>
      </c>
      <c r="AM54" s="14">
        <f t="shared" si="47"/>
        <v>0</v>
      </c>
      <c r="AN54" s="9"/>
    </row>
    <row r="55" spans="1:40" ht="14.45" hidden="1" customHeight="1" outlineLevel="1">
      <c r="A55" s="12" t="s">
        <v>154</v>
      </c>
      <c r="B55" s="8" t="s">
        <v>89</v>
      </c>
      <c r="C55" s="8" t="s">
        <v>160</v>
      </c>
      <c r="I55" s="259" t="s">
        <v>161</v>
      </c>
      <c r="J55" s="65">
        <v>1921</v>
      </c>
      <c r="K55" s="65">
        <v>1896</v>
      </c>
      <c r="L55" s="65">
        <v>0</v>
      </c>
      <c r="M55" s="65">
        <v>2545</v>
      </c>
      <c r="N55" s="65">
        <v>2116</v>
      </c>
      <c r="O55" s="65">
        <v>2170</v>
      </c>
      <c r="P55" s="65">
        <v>1996</v>
      </c>
      <c r="Q55" s="65">
        <v>2119</v>
      </c>
      <c r="R55" s="65">
        <v>2021</v>
      </c>
      <c r="S55" s="65">
        <v>1902</v>
      </c>
      <c r="T55" s="65">
        <f t="shared" ref="T55" si="53">+AVERAGE(P55:S55)</f>
        <v>2009.5</v>
      </c>
      <c r="U55" s="65">
        <f t="shared" ref="U55" si="54">+AVERAGE(Q55:T55)</f>
        <v>2012.875</v>
      </c>
      <c r="V55" s="65">
        <f t="shared" si="51"/>
        <v>22708.375</v>
      </c>
      <c r="W55" s="73">
        <f t="shared" si="44"/>
        <v>1.5322141388196146E-4</v>
      </c>
      <c r="X55" s="89"/>
      <c r="Y55" s="65">
        <f>VLOOKUP($E$1,[9]Resumen!$V$143:$AH$144,Y1,0)</f>
        <v>2618.8029999999999</v>
      </c>
      <c r="Z55" s="65">
        <f>VLOOKUP($E$1,[9]Resumen!$V$143:$AH$144,Z1,0)</f>
        <v>2618.8029999999999</v>
      </c>
      <c r="AA55" s="65">
        <f>VLOOKUP($E$1,[9]Resumen!$V$143:$AH$144,AA1,0)</f>
        <v>2618.8029999999999</v>
      </c>
      <c r="AB55" s="65">
        <f>VLOOKUP($E$1,[9]Resumen!$V$143:$AH$144,AB1,0)</f>
        <v>2618.8029999999999</v>
      </c>
      <c r="AC55" s="65">
        <f>VLOOKUP($E$1,[9]Resumen!$V$143:$AH$144,AC1,0)</f>
        <v>2618.8029999999999</v>
      </c>
      <c r="AD55" s="65">
        <f>VLOOKUP($E$1,[9]Resumen!$V$143:$AH$144,AD1,0)</f>
        <v>2618.8029999999999</v>
      </c>
      <c r="AE55" s="65">
        <f>VLOOKUP($E$1,[9]Resumen!$V$143:$AH$144,AE1,0)</f>
        <v>2618.8029999999999</v>
      </c>
      <c r="AF55" s="65">
        <f>VLOOKUP($E$1,[9]Resumen!$V$143:$AH$144,AF1,0)</f>
        <v>2618.8029999999999</v>
      </c>
      <c r="AG55" s="65">
        <f>VLOOKUP($E$1,[9]Resumen!$V$143:$AH$144,AG1,0)</f>
        <v>2618.8029999999999</v>
      </c>
      <c r="AH55" s="65">
        <f>VLOOKUP($E$1,[9]Resumen!$V$143:$AH$144,AH1,0)</f>
        <v>2618.8029999999999</v>
      </c>
      <c r="AI55" s="65">
        <f>VLOOKUP($E$1,[9]Resumen!$V$143:$AH$144,AI1,0)</f>
        <v>2618.8029999999999</v>
      </c>
      <c r="AJ55" s="65">
        <f>VLOOKUP($E$1,[9]Resumen!$V$143:$AH$144,AJ1,0)</f>
        <v>2618.8029999999999</v>
      </c>
      <c r="AK55" s="65">
        <f t="shared" si="52"/>
        <v>31425.635999999999</v>
      </c>
      <c r="AL55" s="73">
        <f t="shared" si="46"/>
        <v>1.9615539030399447E-4</v>
      </c>
      <c r="AM55" s="14">
        <f t="shared" si="47"/>
        <v>0.38387867912168971</v>
      </c>
      <c r="AN55" s="9"/>
    </row>
    <row r="56" spans="1:40" ht="14.45" hidden="1" customHeight="1" outlineLevel="1">
      <c r="A56" s="12" t="s">
        <v>154</v>
      </c>
      <c r="B56" s="8" t="s">
        <v>89</v>
      </c>
      <c r="I56" s="259" t="s">
        <v>162</v>
      </c>
      <c r="J56" s="65">
        <v>15594</v>
      </c>
      <c r="K56" s="65">
        <v>18436</v>
      </c>
      <c r="L56" s="65">
        <v>31279</v>
      </c>
      <c r="M56" s="65">
        <v>20986</v>
      </c>
      <c r="N56" s="65">
        <v>4500</v>
      </c>
      <c r="O56" s="65">
        <v>13998</v>
      </c>
      <c r="P56" s="65">
        <v>33356</v>
      </c>
      <c r="Q56" s="65">
        <v>59500</v>
      </c>
      <c r="R56" s="65">
        <v>23000</v>
      </c>
      <c r="S56" s="65">
        <v>23000</v>
      </c>
      <c r="T56" s="65">
        <v>25000</v>
      </c>
      <c r="U56" s="65">
        <v>25000</v>
      </c>
      <c r="V56" s="65">
        <f t="shared" si="51"/>
        <v>293649</v>
      </c>
      <c r="W56" s="73">
        <f t="shared" si="44"/>
        <v>1.9813533537747239E-3</v>
      </c>
      <c r="X56" s="89"/>
      <c r="Y56" s="65">
        <f>VLOOKUP($E$1,[10]Resumen!$V$8:$AH$9,Y1,0)</f>
        <v>24780.293999999998</v>
      </c>
      <c r="Z56" s="65">
        <f>VLOOKUP($E$1,[10]Resumen!$V$8:$AH$9,Z1,0)</f>
        <v>22296.053999999996</v>
      </c>
      <c r="AA56" s="65">
        <f>VLOOKUP($E$1,[10]Resumen!$V$8:$AH$9,AA1,0)</f>
        <v>41238.383999999998</v>
      </c>
      <c r="AB56" s="65">
        <f>VLOOKUP($E$1,[10]Resumen!$V$8:$AH$9,AB1,0)</f>
        <v>17845.124</v>
      </c>
      <c r="AC56" s="65">
        <f>VLOOKUP($E$1,[10]Resumen!$V$8:$AH$9,AC1,0)</f>
        <v>58421.043999999994</v>
      </c>
      <c r="AD56" s="65">
        <f>VLOOKUP($E$1,[10]Resumen!$V$8:$AH$9,AD1,0)</f>
        <v>2629.1539999999995</v>
      </c>
      <c r="AE56" s="65">
        <f>VLOOKUP($E$1,[10]Resumen!$V$8:$AH$9,AE1,0)</f>
        <v>13083.663999999999</v>
      </c>
      <c r="AF56" s="65">
        <f>VLOOKUP($E$1,[10]Resumen!$V$8:$AH$9,AF1,0)</f>
        <v>22813.603999999999</v>
      </c>
      <c r="AG56" s="65">
        <f>VLOOKUP($E$1,[10]Resumen!$V$8:$AH$9,AG1,0)</f>
        <v>25815.393999999997</v>
      </c>
      <c r="AH56" s="65">
        <f>VLOOKUP($E$1,[10]Resumen!$V$8:$AH$9,AH1,0)</f>
        <v>39892.753999999994</v>
      </c>
      <c r="AI56" s="65">
        <f>VLOOKUP($E$1,[10]Resumen!$V$8:$AH$9,AI1,0)</f>
        <v>14636.313999999998</v>
      </c>
      <c r="AJ56" s="65">
        <f>VLOOKUP($E$1,[10]Resumen!$V$8:$AH$9,AJ1,0)</f>
        <v>27368.043999999998</v>
      </c>
      <c r="AK56" s="65">
        <f t="shared" si="52"/>
        <v>310819.82799999998</v>
      </c>
      <c r="AL56" s="73">
        <f t="shared" si="46"/>
        <v>1.9401034453387174E-3</v>
      </c>
      <c r="AM56" s="14">
        <f t="shared" si="47"/>
        <v>5.8473987651924464E-2</v>
      </c>
      <c r="AN56" s="9"/>
    </row>
    <row r="57" spans="1:40" ht="14.45" hidden="1" customHeight="1" outlineLevel="1">
      <c r="A57" s="12" t="s">
        <v>154</v>
      </c>
      <c r="B57" s="8" t="s">
        <v>89</v>
      </c>
      <c r="I57" s="259" t="s">
        <v>163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1712.9411764705883</v>
      </c>
      <c r="U57" s="65">
        <v>0</v>
      </c>
      <c r="V57" s="65">
        <f t="shared" si="51"/>
        <v>1712.9411764705883</v>
      </c>
      <c r="W57" s="73">
        <f t="shared" si="44"/>
        <v>1.1557818159839881E-5</v>
      </c>
      <c r="X57" s="89"/>
      <c r="Y57" s="65">
        <f>VLOOKUP($E$1,[11]Resumen!$V$8:$AH$9,Y1,0)</f>
        <v>0</v>
      </c>
      <c r="Z57" s="65">
        <f>VLOOKUP($E$1,[11]Resumen!$V$8:$AH$9,Z1,0)</f>
        <v>3184.9230769230767</v>
      </c>
      <c r="AA57" s="65">
        <f>VLOOKUP($E$1,[11]Resumen!$V$8:$AH$9,AA1,0)</f>
        <v>597.17307692307691</v>
      </c>
      <c r="AB57" s="65">
        <f>VLOOKUP($E$1,[11]Resumen!$V$8:$AH$9,AB1,0)</f>
        <v>0</v>
      </c>
      <c r="AC57" s="65">
        <f>VLOOKUP($E$1,[11]Resumen!$V$8:$AH$9,AC1,0)</f>
        <v>0</v>
      </c>
      <c r="AD57" s="65">
        <f>VLOOKUP($E$1,[11]Resumen!$V$8:$AH$9,AD1,0)</f>
        <v>0</v>
      </c>
      <c r="AE57" s="65">
        <f>VLOOKUP($E$1,[11]Resumen!$V$8:$AH$9,AE1,0)</f>
        <v>0</v>
      </c>
      <c r="AF57" s="65">
        <f>VLOOKUP($E$1,[11]Resumen!$V$8:$AH$9,AF1,0)</f>
        <v>0</v>
      </c>
      <c r="AG57" s="65">
        <f>VLOOKUP($E$1,[11]Resumen!$V$8:$AH$9,AG1,0)</f>
        <v>0</v>
      </c>
      <c r="AH57" s="65">
        <f>VLOOKUP($E$1,[11]Resumen!$V$8:$AH$9,AH1,0)</f>
        <v>0</v>
      </c>
      <c r="AI57" s="65">
        <f>VLOOKUP($E$1,[11]Resumen!$V$8:$AH$9,AI1,0)</f>
        <v>0</v>
      </c>
      <c r="AJ57" s="65">
        <f>VLOOKUP($E$1,[11]Resumen!$V$8:$AH$9,AJ1,0)</f>
        <v>0</v>
      </c>
      <c r="AK57" s="65">
        <f t="shared" si="52"/>
        <v>3782.0961538461534</v>
      </c>
      <c r="AL57" s="73">
        <f t="shared" si="46"/>
        <v>2.3607431436707553E-5</v>
      </c>
      <c r="AM57" s="14">
        <f t="shared" si="47"/>
        <v>1.2079544854184272</v>
      </c>
      <c r="AN57" s="9"/>
    </row>
    <row r="58" spans="1:40" ht="14.45" hidden="1" customHeight="1" outlineLevel="1">
      <c r="A58" s="12" t="s">
        <v>154</v>
      </c>
      <c r="B58" s="8" t="s">
        <v>89</v>
      </c>
      <c r="I58" s="259" t="s">
        <v>164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/>
      <c r="U58" s="65"/>
      <c r="V58" s="65">
        <f t="shared" si="51"/>
        <v>0</v>
      </c>
      <c r="W58" s="73">
        <f t="shared" si="44"/>
        <v>0</v>
      </c>
      <c r="X58" s="89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>
        <f t="shared" si="52"/>
        <v>0</v>
      </c>
      <c r="AL58" s="73">
        <f t="shared" si="46"/>
        <v>0</v>
      </c>
      <c r="AM58" s="14">
        <f t="shared" si="47"/>
        <v>0</v>
      </c>
      <c r="AN58" s="9"/>
    </row>
    <row r="59" spans="1:40" ht="14.45" hidden="1" customHeight="1" outlineLevel="1">
      <c r="A59" s="12" t="s">
        <v>154</v>
      </c>
      <c r="B59" s="8" t="s">
        <v>89</v>
      </c>
      <c r="I59" s="259" t="s">
        <v>165</v>
      </c>
      <c r="J59" s="65"/>
      <c r="K59" s="65"/>
      <c r="L59" s="65"/>
      <c r="M59" s="65">
        <v>0</v>
      </c>
      <c r="N59" s="65"/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/>
      <c r="U59" s="65"/>
      <c r="V59" s="65">
        <f t="shared" si="51"/>
        <v>0</v>
      </c>
      <c r="W59" s="73">
        <f t="shared" si="44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52"/>
        <v>0</v>
      </c>
      <c r="AL59" s="73">
        <f t="shared" si="46"/>
        <v>0</v>
      </c>
      <c r="AM59" s="14">
        <f t="shared" si="47"/>
        <v>0</v>
      </c>
      <c r="AN59" s="9"/>
    </row>
    <row r="60" spans="1:40" ht="14.45" hidden="1" customHeight="1" outlineLevel="1">
      <c r="A60" s="12" t="s">
        <v>154</v>
      </c>
      <c r="B60" s="8" t="s">
        <v>89</v>
      </c>
      <c r="I60" s="259" t="s">
        <v>166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/>
      <c r="U60" s="65"/>
      <c r="V60" s="65">
        <f t="shared" si="51"/>
        <v>0</v>
      </c>
      <c r="W60" s="73">
        <f t="shared" si="44"/>
        <v>0</v>
      </c>
      <c r="X60" s="89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>
        <f t="shared" si="52"/>
        <v>0</v>
      </c>
      <c r="AL60" s="73">
        <f t="shared" si="46"/>
        <v>0</v>
      </c>
      <c r="AM60" s="14">
        <f t="shared" si="47"/>
        <v>0</v>
      </c>
      <c r="AN60" s="9"/>
    </row>
    <row r="61" spans="1:40" ht="14.45" hidden="1" customHeight="1" outlineLevel="1">
      <c r="A61" s="12" t="s">
        <v>154</v>
      </c>
      <c r="B61" s="8" t="s">
        <v>89</v>
      </c>
      <c r="I61" s="259" t="s">
        <v>167</v>
      </c>
      <c r="J61" s="65">
        <v>0</v>
      </c>
      <c r="K61" s="65">
        <v>296</v>
      </c>
      <c r="L61" s="65">
        <v>-296</v>
      </c>
      <c r="M61" s="65">
        <v>0</v>
      </c>
      <c r="N61" s="65">
        <v>0</v>
      </c>
      <c r="O61" s="65">
        <v>-2728</v>
      </c>
      <c r="P61" s="65">
        <v>1</v>
      </c>
      <c r="Q61" s="65">
        <v>783</v>
      </c>
      <c r="R61" s="65">
        <v>1001</v>
      </c>
      <c r="S61" s="65">
        <v>0</v>
      </c>
      <c r="T61" s="65"/>
      <c r="U61" s="65"/>
      <c r="V61" s="65">
        <f t="shared" si="51"/>
        <v>-943</v>
      </c>
      <c r="W61" s="73">
        <f t="shared" si="44"/>
        <v>-6.3627535343541602E-6</v>
      </c>
      <c r="X61" s="89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>
        <f t="shared" si="52"/>
        <v>0</v>
      </c>
      <c r="AL61" s="73">
        <f t="shared" si="46"/>
        <v>0</v>
      </c>
      <c r="AM61" s="14">
        <f t="shared" si="47"/>
        <v>-1</v>
      </c>
      <c r="AN61" s="9"/>
    </row>
    <row r="62" spans="1:40" ht="14.45" hidden="1" customHeight="1" outlineLevel="1">
      <c r="A62" s="12" t="s">
        <v>154</v>
      </c>
      <c r="B62" s="8" t="s">
        <v>89</v>
      </c>
      <c r="I62" s="259" t="s">
        <v>168</v>
      </c>
      <c r="J62" s="65">
        <v>1962</v>
      </c>
      <c r="K62" s="65">
        <v>2640</v>
      </c>
      <c r="L62" s="65">
        <v>1962</v>
      </c>
      <c r="M62" s="65">
        <v>1320</v>
      </c>
      <c r="N62" s="65">
        <v>1320</v>
      </c>
      <c r="O62" s="65">
        <v>2782</v>
      </c>
      <c r="P62" s="65">
        <v>0</v>
      </c>
      <c r="Q62" s="65">
        <v>2640</v>
      </c>
      <c r="R62" s="65">
        <v>1039</v>
      </c>
      <c r="S62" s="65">
        <v>1190</v>
      </c>
      <c r="T62" s="65">
        <f t="shared" ref="T62" si="55">+AVERAGE(P62:S62)</f>
        <v>1217.25</v>
      </c>
      <c r="U62" s="65">
        <f t="shared" ref="U62" si="56">+AVERAGE(Q62:T62)</f>
        <v>1521.5625</v>
      </c>
      <c r="V62" s="65">
        <f t="shared" si="51"/>
        <v>19593.8125</v>
      </c>
      <c r="W62" s="73">
        <f t="shared" si="44"/>
        <v>1.3220636239220332E-4</v>
      </c>
      <c r="X62" s="89"/>
      <c r="Y62" s="65">
        <f>VLOOKUP($E$1,[9]Resumen!$V$136:$AH$137,Y1,0)</f>
        <v>1449.1399999999999</v>
      </c>
      <c r="Z62" s="65">
        <f>VLOOKUP($E$1,[9]Resumen!$V$136:$AH$137,Z1,0)</f>
        <v>1449.1399999999999</v>
      </c>
      <c r="AA62" s="65">
        <f>VLOOKUP($E$1,[9]Resumen!$V$136:$AH$137,AA1,0)</f>
        <v>1449.1399999999999</v>
      </c>
      <c r="AB62" s="65">
        <f>VLOOKUP($E$1,[9]Resumen!$V$136:$AH$137,AB1,0)</f>
        <v>1449.1399999999999</v>
      </c>
      <c r="AC62" s="65">
        <f>VLOOKUP($E$1,[9]Resumen!$V$136:$AH$137,AC1,0)</f>
        <v>1449.1399999999999</v>
      </c>
      <c r="AD62" s="65">
        <f>VLOOKUP($E$1,[9]Resumen!$V$136:$AH$137,AD1,0)</f>
        <v>1449.1399999999999</v>
      </c>
      <c r="AE62" s="65">
        <f>VLOOKUP($E$1,[9]Resumen!$V$136:$AH$137,AE1,0)</f>
        <v>1449.1399999999999</v>
      </c>
      <c r="AF62" s="65">
        <f>VLOOKUP($E$1,[9]Resumen!$V$136:$AH$137,AF1,0)</f>
        <v>1449.1399999999999</v>
      </c>
      <c r="AG62" s="65">
        <f>VLOOKUP($E$1,[9]Resumen!$V$136:$AH$137,AG1,0)</f>
        <v>1449.1399999999999</v>
      </c>
      <c r="AH62" s="65">
        <f>VLOOKUP($E$1,[9]Resumen!$V$136:$AH$137,AH1,0)</f>
        <v>1449.1399999999999</v>
      </c>
      <c r="AI62" s="65">
        <f>VLOOKUP($E$1,[9]Resumen!$V$136:$AH$137,AI1,0)</f>
        <v>1449.1399999999999</v>
      </c>
      <c r="AJ62" s="65">
        <f>VLOOKUP($E$1,[9]Resumen!$V$136:$AH$137,AJ1,0)</f>
        <v>1449.1399999999999</v>
      </c>
      <c r="AK62" s="65">
        <f t="shared" si="52"/>
        <v>17389.679999999997</v>
      </c>
      <c r="AL62" s="73">
        <f t="shared" si="46"/>
        <v>1.085444847531985E-4</v>
      </c>
      <c r="AM62" s="14">
        <f t="shared" si="47"/>
        <v>-0.11249125202152477</v>
      </c>
      <c r="AN62" s="9"/>
    </row>
    <row r="63" spans="1:40" ht="14.45" hidden="1" customHeight="1" outlineLevel="1">
      <c r="A63" s="12" t="s">
        <v>154</v>
      </c>
      <c r="B63" s="8" t="s">
        <v>89</v>
      </c>
      <c r="I63" s="259" t="s">
        <v>169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/>
      <c r="U63" s="65"/>
      <c r="V63" s="65">
        <f t="shared" si="51"/>
        <v>0</v>
      </c>
      <c r="W63" s="73">
        <f t="shared" si="44"/>
        <v>0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52"/>
        <v>0</v>
      </c>
      <c r="AL63" s="73">
        <f t="shared" si="46"/>
        <v>0</v>
      </c>
      <c r="AM63" s="14">
        <f t="shared" si="47"/>
        <v>0</v>
      </c>
      <c r="AN63" s="9"/>
    </row>
    <row r="64" spans="1:40" ht="14.45" hidden="1" customHeight="1" outlineLevel="1">
      <c r="A64" s="12" t="s">
        <v>154</v>
      </c>
      <c r="B64" s="8" t="s">
        <v>89</v>
      </c>
      <c r="I64" s="259" t="s">
        <v>170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f t="shared" si="51"/>
        <v>0</v>
      </c>
      <c r="W64" s="73">
        <f t="shared" si="44"/>
        <v>0</v>
      </c>
      <c r="X64" s="89"/>
      <c r="Y64" s="65">
        <f>VLOOKUP($E$1,[8]Resumen!$V$8:$AH$9,Y1,0)</f>
        <v>0</v>
      </c>
      <c r="Z64" s="65">
        <f>VLOOKUP($E$1,[8]Resumen!$V$8:$AH$9,Z1,0)</f>
        <v>0</v>
      </c>
      <c r="AA64" s="65">
        <f>VLOOKUP($E$1,[8]Resumen!$V$8:$AH$9,AA1,0)</f>
        <v>0</v>
      </c>
      <c r="AB64" s="65">
        <f>VLOOKUP($E$1,[8]Resumen!$V$8:$AH$9,AB1,0)</f>
        <v>0</v>
      </c>
      <c r="AC64" s="65">
        <f>VLOOKUP($E$1,[8]Resumen!$V$8:$AH$9,AC1,0)</f>
        <v>0</v>
      </c>
      <c r="AD64" s="65">
        <f>VLOOKUP($E$1,[8]Resumen!$V$8:$AH$9,AD1,0)</f>
        <v>0</v>
      </c>
      <c r="AE64" s="65">
        <f>P64*1.04</f>
        <v>0</v>
      </c>
      <c r="AF64" s="65">
        <f>VLOOKUP($E$1,[8]Resumen!$V$8:$AH$9,AF1,0)</f>
        <v>0</v>
      </c>
      <c r="AG64" s="65">
        <f>VLOOKUP($E$1,[8]Resumen!$V$8:$AH$9,AG1,0)</f>
        <v>0</v>
      </c>
      <c r="AH64" s="65">
        <f>VLOOKUP($E$1,[8]Resumen!$V$8:$AH$9,AH1,0)</f>
        <v>0</v>
      </c>
      <c r="AI64" s="65">
        <f>VLOOKUP($E$1,[8]Resumen!$V$8:$AH$9,AI1,0)</f>
        <v>0</v>
      </c>
      <c r="AJ64" s="65">
        <f>VLOOKUP($E$1,[8]Resumen!$V$8:$AH$9,AJ1,0)</f>
        <v>0</v>
      </c>
      <c r="AK64" s="65">
        <f t="shared" si="52"/>
        <v>0</v>
      </c>
      <c r="AL64" s="73">
        <f t="shared" si="46"/>
        <v>0</v>
      </c>
      <c r="AM64" s="14">
        <f t="shared" si="47"/>
        <v>0</v>
      </c>
      <c r="AN64" s="9"/>
    </row>
    <row r="65" spans="1:41" ht="14.45" hidden="1" customHeight="1" outlineLevel="1">
      <c r="A65" s="12" t="s">
        <v>154</v>
      </c>
      <c r="B65" s="8" t="s">
        <v>89</v>
      </c>
      <c r="I65" s="259" t="s">
        <v>171</v>
      </c>
      <c r="J65" s="65">
        <v>3628</v>
      </c>
      <c r="K65" s="65">
        <v>3628</v>
      </c>
      <c r="L65" s="65">
        <v>3628</v>
      </c>
      <c r="M65" s="65">
        <v>3628</v>
      </c>
      <c r="N65" s="65">
        <v>3628</v>
      </c>
      <c r="O65" s="65">
        <v>3628</v>
      </c>
      <c r="P65" s="65">
        <v>3628</v>
      </c>
      <c r="Q65" s="65">
        <v>3628</v>
      </c>
      <c r="R65" s="65">
        <v>3628</v>
      </c>
      <c r="S65" s="65">
        <v>3628</v>
      </c>
      <c r="T65" s="65">
        <f t="shared" ref="T65" si="57">+AVERAGE(P65:S65)</f>
        <v>3628</v>
      </c>
      <c r="U65" s="65">
        <f t="shared" ref="U65" si="58">+AVERAGE(Q65:T65)</f>
        <v>3628</v>
      </c>
      <c r="V65" s="65">
        <f t="shared" si="51"/>
        <v>43536</v>
      </c>
      <c r="W65" s="73">
        <f t="shared" si="44"/>
        <v>2.9375274429654583E-4</v>
      </c>
      <c r="X65" s="89"/>
      <c r="Y65" s="65">
        <f>VLOOKUP($E$1,[12]Resumen!$V$8:$AH$9,Y1,0)</f>
        <v>5834.8586999999998</v>
      </c>
      <c r="Z65" s="65">
        <f>VLOOKUP($E$1,[12]Resumen!$V$8:$AH$9,Z1,0)</f>
        <v>5834.8586999999998</v>
      </c>
      <c r="AA65" s="65">
        <f>VLOOKUP($E$1,[12]Resumen!$V$8:$AH$9,AA1,0)</f>
        <v>5834.8586999999998</v>
      </c>
      <c r="AB65" s="65">
        <f>VLOOKUP($E$1,[12]Resumen!$V$8:$AH$9,AB1,0)</f>
        <v>5834.8586999999998</v>
      </c>
      <c r="AC65" s="65">
        <f>VLOOKUP($E$1,[12]Resumen!$V$8:$AH$9,AC1,0)</f>
        <v>5834.8586999999998</v>
      </c>
      <c r="AD65" s="65">
        <f>VLOOKUP($E$1,[12]Resumen!$V$8:$AH$9,AD1,0)</f>
        <v>5834.8586999999998</v>
      </c>
      <c r="AE65" s="65">
        <f>VLOOKUP($E$1,[12]Resumen!$V$8:$AH$9,AE1,0)</f>
        <v>5834.8586999999998</v>
      </c>
      <c r="AF65" s="65">
        <f>VLOOKUP($E$1,[12]Resumen!$V$8:$AH$9,AF1,0)</f>
        <v>5834.8586999999998</v>
      </c>
      <c r="AG65" s="65">
        <f>VLOOKUP($E$1,[12]Resumen!$V$8:$AH$9,AG1,0)</f>
        <v>5834.8586999999998</v>
      </c>
      <c r="AH65" s="65">
        <f>VLOOKUP($E$1,[12]Resumen!$V$8:$AH$9,AH1,0)</f>
        <v>5834.8586999999998</v>
      </c>
      <c r="AI65" s="65">
        <f>VLOOKUP($E$1,[12]Resumen!$V$8:$AH$9,AI1,0)</f>
        <v>5834.8586999999998</v>
      </c>
      <c r="AJ65" s="65">
        <f>VLOOKUP($E$1,[12]Resumen!$V$8:$AH$9,AJ1,0)</f>
        <v>5834.8586999999998</v>
      </c>
      <c r="AK65" s="65">
        <f t="shared" si="52"/>
        <v>70018.304399999979</v>
      </c>
      <c r="AL65" s="73">
        <f t="shared" si="46"/>
        <v>4.3704661468127139E-4</v>
      </c>
      <c r="AM65" s="14">
        <f t="shared" si="47"/>
        <v>0.60828519845644946</v>
      </c>
      <c r="AN65" s="9"/>
    </row>
    <row r="66" spans="1:41" ht="14.45" hidden="1" customHeight="1" outlineLevel="1">
      <c r="A66" s="12" t="s">
        <v>154</v>
      </c>
      <c r="B66" s="8" t="s">
        <v>89</v>
      </c>
      <c r="I66" s="259" t="s">
        <v>172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/>
      <c r="U66" s="65"/>
      <c r="V66" s="65">
        <f t="shared" si="51"/>
        <v>0</v>
      </c>
      <c r="W66" s="73">
        <f t="shared" si="44"/>
        <v>0</v>
      </c>
      <c r="X66" s="89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>
        <f t="shared" si="52"/>
        <v>0</v>
      </c>
      <c r="AL66" s="73">
        <f t="shared" si="46"/>
        <v>0</v>
      </c>
      <c r="AM66" s="14">
        <f t="shared" si="47"/>
        <v>0</v>
      </c>
      <c r="AN66" s="9"/>
    </row>
    <row r="67" spans="1:41" ht="14.45" hidden="1" customHeight="1" outlineLevel="1">
      <c r="A67" s="12" t="s">
        <v>154</v>
      </c>
      <c r="B67" s="8" t="s">
        <v>89</v>
      </c>
      <c r="I67" s="259" t="s">
        <v>173</v>
      </c>
      <c r="J67" s="65">
        <v>0</v>
      </c>
      <c r="K67" s="65">
        <v>0</v>
      </c>
      <c r="L67" s="65">
        <v>0</v>
      </c>
      <c r="M67" s="65">
        <v>1434</v>
      </c>
      <c r="N67" s="65">
        <v>0</v>
      </c>
      <c r="O67" s="65">
        <v>2669</v>
      </c>
      <c r="P67" s="65">
        <v>0</v>
      </c>
      <c r="Q67" s="65">
        <v>0</v>
      </c>
      <c r="R67" s="65">
        <v>0</v>
      </c>
      <c r="S67" s="65">
        <v>0</v>
      </c>
      <c r="T67" s="65"/>
      <c r="U67" s="65"/>
      <c r="V67" s="65">
        <f t="shared" si="51"/>
        <v>4103</v>
      </c>
      <c r="W67" s="73">
        <f t="shared" si="44"/>
        <v>2.7684387859443393E-5</v>
      </c>
      <c r="X67" s="89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>
        <f t="shared" si="52"/>
        <v>0</v>
      </c>
      <c r="AL67" s="73">
        <f t="shared" si="46"/>
        <v>0</v>
      </c>
      <c r="AM67" s="14">
        <f t="shared" si="47"/>
        <v>-1</v>
      </c>
      <c r="AN67" s="9"/>
    </row>
    <row r="68" spans="1:41" ht="14.45" hidden="1" customHeight="1" outlineLevel="1">
      <c r="A68" s="12" t="s">
        <v>154</v>
      </c>
      <c r="B68" s="8" t="s">
        <v>89</v>
      </c>
      <c r="I68" s="259" t="s">
        <v>174</v>
      </c>
      <c r="J68" s="65">
        <v>832</v>
      </c>
      <c r="K68" s="65">
        <v>832</v>
      </c>
      <c r="L68" s="65">
        <v>832</v>
      </c>
      <c r="M68" s="65">
        <v>832</v>
      </c>
      <c r="N68" s="65">
        <v>832</v>
      </c>
      <c r="O68" s="65">
        <v>832</v>
      </c>
      <c r="P68" s="65">
        <v>1664</v>
      </c>
      <c r="Q68" s="65">
        <v>832</v>
      </c>
      <c r="R68" s="65">
        <v>0</v>
      </c>
      <c r="S68" s="65">
        <v>1664</v>
      </c>
      <c r="T68" s="65">
        <v>832</v>
      </c>
      <c r="U68" s="65">
        <f t="shared" ref="U68" si="59">+AVERAGE(Q68:T68)</f>
        <v>832</v>
      </c>
      <c r="V68" s="65">
        <f t="shared" si="51"/>
        <v>10816</v>
      </c>
      <c r="W68" s="73">
        <f t="shared" si="44"/>
        <v>7.2979366094988967E-5</v>
      </c>
      <c r="X68" s="89"/>
      <c r="Y68" s="65">
        <f>VLOOKUP($E$1,[8]Resumen!$V$15:$AH$16,Y1,0)</f>
        <v>865.28</v>
      </c>
      <c r="Z68" s="65">
        <f>VLOOKUP($E$1,[8]Resumen!$V$15:$AH$16,Z1,0)</f>
        <v>865.28</v>
      </c>
      <c r="AA68" s="65">
        <f>VLOOKUP($E$1,[8]Resumen!$V$15:$AH$16,AA1,0)</f>
        <v>865.28</v>
      </c>
      <c r="AB68" s="65">
        <f>VLOOKUP($E$1,[8]Resumen!$V$15:$AH$16,AB1,0)</f>
        <v>865.28</v>
      </c>
      <c r="AC68" s="65">
        <f>VLOOKUP($E$1,[8]Resumen!$V$15:$AH$16,AC1,0)</f>
        <v>865.28</v>
      </c>
      <c r="AD68" s="65">
        <f>VLOOKUP($E$1,[8]Resumen!$V$15:$AH$16,AD1,0)</f>
        <v>865.28</v>
      </c>
      <c r="AE68" s="65">
        <f>VLOOKUP($E$1,[8]Resumen!$V$15:$AH$16,AE1,0)</f>
        <v>865.28</v>
      </c>
      <c r="AF68" s="65">
        <f>VLOOKUP($E$1,[8]Resumen!$V$15:$AH$16,AF1,0)</f>
        <v>865.28</v>
      </c>
      <c r="AG68" s="65">
        <f>VLOOKUP($E$1,[8]Resumen!$V$15:$AH$16,AG1,0)</f>
        <v>865.28</v>
      </c>
      <c r="AH68" s="65">
        <f>VLOOKUP($E$1,[8]Resumen!$V$15:$AH$16,AH1,0)</f>
        <v>865.28</v>
      </c>
      <c r="AI68" s="65">
        <f>VLOOKUP($E$1,[8]Resumen!$V$15:$AH$16,AI1,0)</f>
        <v>865.28</v>
      </c>
      <c r="AJ68" s="65">
        <f>VLOOKUP($E$1,[8]Resumen!$V$15:$AH$16,AJ1,0)</f>
        <v>865.28</v>
      </c>
      <c r="AK68" s="65">
        <f t="shared" si="52"/>
        <v>10383.36</v>
      </c>
      <c r="AL68" s="73">
        <f t="shared" si="46"/>
        <v>6.4811799941515399E-5</v>
      </c>
      <c r="AM68" s="14">
        <f t="shared" si="47"/>
        <v>-3.9999999999999925E-2</v>
      </c>
      <c r="AN68" s="9"/>
      <c r="AO68" s="1">
        <f>+V68/12</f>
        <v>901.33333333333337</v>
      </c>
    </row>
    <row r="69" spans="1:41" ht="14.45" hidden="1" customHeight="1" outlineLevel="1">
      <c r="A69" s="12" t="s">
        <v>154</v>
      </c>
      <c r="B69" s="8" t="s">
        <v>89</v>
      </c>
      <c r="I69" s="259" t="s">
        <v>175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/>
      <c r="U69" s="65"/>
      <c r="V69" s="65">
        <f t="shared" si="51"/>
        <v>0</v>
      </c>
      <c r="W69" s="73">
        <f t="shared" si="44"/>
        <v>0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52"/>
        <v>0</v>
      </c>
      <c r="AL69" s="73">
        <f t="shared" si="46"/>
        <v>0</v>
      </c>
      <c r="AM69" s="14">
        <f t="shared" si="47"/>
        <v>0</v>
      </c>
      <c r="AN69" s="9"/>
    </row>
    <row r="70" spans="1:41" ht="14.45" hidden="1" customHeight="1" outlineLevel="1">
      <c r="A70" s="12" t="s">
        <v>154</v>
      </c>
      <c r="B70" s="8" t="s">
        <v>89</v>
      </c>
      <c r="I70" s="259" t="s">
        <v>176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f t="shared" ref="T70" si="60">+AVERAGE(P70:S70)</f>
        <v>0</v>
      </c>
      <c r="U70" s="65">
        <f t="shared" ref="U70" si="61">+AVERAGE(Q70:T70)</f>
        <v>0</v>
      </c>
      <c r="V70" s="65">
        <f t="shared" si="51"/>
        <v>0</v>
      </c>
      <c r="W70" s="73">
        <f t="shared" si="44"/>
        <v>0</v>
      </c>
      <c r="X70" s="89"/>
      <c r="Y70" s="65">
        <f>VLOOKUP($E$1,[8]Resumen!$V$64:$AH$65,Y1,0)</f>
        <v>374.40000000000003</v>
      </c>
      <c r="Z70" s="65">
        <f>VLOOKUP($E$1,[8]Resumen!$V$64:$AH$65,Z1,0)</f>
        <v>374.40000000000003</v>
      </c>
      <c r="AA70" s="65">
        <f>VLOOKUP($E$1,[8]Resumen!$V$64:$AH$65,AA1,0)</f>
        <v>374.40000000000003</v>
      </c>
      <c r="AB70" s="65">
        <f>VLOOKUP($E$1,[8]Resumen!$V$64:$AH$65,AB1,0)</f>
        <v>374.40000000000003</v>
      </c>
      <c r="AC70" s="65">
        <f>VLOOKUP($E$1,[8]Resumen!$V$64:$AH$65,AC1,0)</f>
        <v>374.40000000000003</v>
      </c>
      <c r="AD70" s="65">
        <f>VLOOKUP($E$1,[8]Resumen!$V$64:$AH$65,AD1,0)</f>
        <v>374.40000000000003</v>
      </c>
      <c r="AE70" s="65">
        <f>VLOOKUP($E$1,[8]Resumen!$V$64:$AH$65,AE1,0)</f>
        <v>374.40000000000003</v>
      </c>
      <c r="AF70" s="65">
        <f>VLOOKUP($E$1,[8]Resumen!$V$64:$AH$65,AF1,0)</f>
        <v>374.40000000000003</v>
      </c>
      <c r="AG70" s="65">
        <f>VLOOKUP($E$1,[8]Resumen!$V$64:$AH$65,AG1,0)</f>
        <v>374.40000000000003</v>
      </c>
      <c r="AH70" s="65">
        <f>VLOOKUP($E$1,[8]Resumen!$V$64:$AH$65,AH1,0)</f>
        <v>374.40000000000003</v>
      </c>
      <c r="AI70" s="65">
        <f>VLOOKUP($E$1,[8]Resumen!$V$64:$AH$65,AI1,0)</f>
        <v>374.40000000000003</v>
      </c>
      <c r="AJ70" s="65">
        <f>VLOOKUP($E$1,[8]Resumen!$V$64:$AH$65,AJ1,0)</f>
        <v>374.40000000000003</v>
      </c>
      <c r="AK70" s="65">
        <f t="shared" si="52"/>
        <v>4492.8</v>
      </c>
      <c r="AL70" s="73">
        <f t="shared" si="46"/>
        <v>2.804356728238647E-5</v>
      </c>
      <c r="AM70" s="14">
        <f t="shared" si="47"/>
        <v>0</v>
      </c>
      <c r="AN70" s="9"/>
    </row>
    <row r="71" spans="1:41" ht="14.45" hidden="1" customHeight="1" outlineLevel="1">
      <c r="A71" s="12" t="s">
        <v>154</v>
      </c>
      <c r="B71" s="8" t="s">
        <v>89</v>
      </c>
      <c r="I71" s="259" t="s">
        <v>177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/>
      <c r="U71" s="65"/>
      <c r="V71" s="65">
        <f t="shared" si="51"/>
        <v>0</v>
      </c>
      <c r="W71" s="73">
        <f t="shared" si="44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52"/>
        <v>0</v>
      </c>
      <c r="AL71" s="73">
        <f t="shared" si="46"/>
        <v>0</v>
      </c>
      <c r="AM71" s="14">
        <f t="shared" si="47"/>
        <v>0</v>
      </c>
      <c r="AN71" s="9"/>
    </row>
    <row r="72" spans="1:41" ht="14.45" hidden="1" customHeight="1" outlineLevel="1">
      <c r="A72" s="12"/>
      <c r="I72" s="259" t="s">
        <v>178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/>
      <c r="U72" s="65"/>
      <c r="V72" s="65">
        <f t="shared" si="51"/>
        <v>0</v>
      </c>
      <c r="W72" s="73">
        <f t="shared" si="44"/>
        <v>0</v>
      </c>
      <c r="X72" s="89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>
        <f t="shared" si="52"/>
        <v>0</v>
      </c>
      <c r="AL72" s="73">
        <f t="shared" si="46"/>
        <v>0</v>
      </c>
      <c r="AM72" s="14">
        <f t="shared" si="47"/>
        <v>0</v>
      </c>
      <c r="AN72" s="9"/>
    </row>
    <row r="73" spans="1:41" ht="14.45" hidden="1" customHeight="1" outlineLevel="1">
      <c r="A73" s="12"/>
      <c r="I73" s="259" t="s">
        <v>179</v>
      </c>
      <c r="J73" s="65">
        <v>0</v>
      </c>
      <c r="K73" s="65">
        <v>4719</v>
      </c>
      <c r="L73" s="65">
        <v>553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297</v>
      </c>
      <c r="S73" s="65">
        <v>0</v>
      </c>
      <c r="T73" s="65"/>
      <c r="U73" s="65"/>
      <c r="V73" s="65">
        <f t="shared" si="51"/>
        <v>5569</v>
      </c>
      <c r="W73" s="73">
        <f t="shared" si="44"/>
        <v>3.757600682165251E-5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52"/>
        <v>0</v>
      </c>
      <c r="AL73" s="73">
        <f t="shared" si="46"/>
        <v>0</v>
      </c>
      <c r="AM73" s="14">
        <f t="shared" si="47"/>
        <v>-1</v>
      </c>
      <c r="AN73" s="9"/>
    </row>
    <row r="74" spans="1:41" ht="14.45" hidden="1" customHeight="1" outlineLevel="1">
      <c r="A74" s="12"/>
      <c r="I74" s="259" t="s">
        <v>180</v>
      </c>
      <c r="J74" s="65">
        <v>768</v>
      </c>
      <c r="K74" s="65">
        <v>781</v>
      </c>
      <c r="L74" s="65">
        <v>757</v>
      </c>
      <c r="M74" s="65">
        <v>759</v>
      </c>
      <c r="N74" s="65">
        <v>722</v>
      </c>
      <c r="O74" s="65">
        <v>768</v>
      </c>
      <c r="P74" s="65">
        <v>777</v>
      </c>
      <c r="Q74" s="65">
        <v>767</v>
      </c>
      <c r="R74" s="65">
        <v>777</v>
      </c>
      <c r="S74" s="65">
        <v>754</v>
      </c>
      <c r="T74" s="65">
        <f t="shared" ref="T74:T75" si="62">+AVERAGE(P74:S74)</f>
        <v>768.75</v>
      </c>
      <c r="U74" s="65">
        <f t="shared" ref="U74:U75" si="63">+AVERAGE(Q74:T74)</f>
        <v>766.6875</v>
      </c>
      <c r="V74" s="65">
        <f t="shared" si="51"/>
        <v>9165.4375</v>
      </c>
      <c r="W74" s="73">
        <f t="shared" si="44"/>
        <v>6.1842438862170896E-5</v>
      </c>
      <c r="X74" s="89"/>
      <c r="Y74" s="65">
        <f>VLOOKUP($E$1,[13]Resumen!$V$10:$AH$11,Y1,0)</f>
        <v>1035.0999999999999</v>
      </c>
      <c r="Z74" s="65">
        <f>VLOOKUP($E$1,[13]Resumen!$V$10:$AH$11,Z1,0)</f>
        <v>1035.0999999999999</v>
      </c>
      <c r="AA74" s="65">
        <f>VLOOKUP($E$1,[13]Resumen!$V$10:$AH$11,AA1,0)</f>
        <v>1035.0999999999999</v>
      </c>
      <c r="AB74" s="65">
        <f>VLOOKUP($E$1,[13]Resumen!$V$10:$AH$11,AB1,0)</f>
        <v>1035.0999999999999</v>
      </c>
      <c r="AC74" s="65">
        <f>VLOOKUP($E$1,[13]Resumen!$V$10:$AH$11,AC1,0)</f>
        <v>1035.0999999999999</v>
      </c>
      <c r="AD74" s="65">
        <f>VLOOKUP($E$1,[13]Resumen!$V$10:$AH$11,AD1,0)</f>
        <v>1035.0999999999999</v>
      </c>
      <c r="AE74" s="65">
        <f>VLOOKUP($E$1,[13]Resumen!$V$10:$AH$11,AE1,0)</f>
        <v>1035.0999999999999</v>
      </c>
      <c r="AF74" s="65">
        <f>VLOOKUP($E$1,[13]Resumen!$V$10:$AH$11,AF1,0)</f>
        <v>1035.0999999999999</v>
      </c>
      <c r="AG74" s="65">
        <f>VLOOKUP($E$1,[13]Resumen!$V$10:$AH$11,AG1,0)</f>
        <v>1035.0999999999999</v>
      </c>
      <c r="AH74" s="65">
        <f>VLOOKUP($E$1,[13]Resumen!$V$10:$AH$11,AH1,0)</f>
        <v>1035.0999999999999</v>
      </c>
      <c r="AI74" s="65">
        <f>VLOOKUP($E$1,[13]Resumen!$V$10:$AH$11,AI1,0)</f>
        <v>1035.0999999999999</v>
      </c>
      <c r="AJ74" s="65">
        <f>VLOOKUP($E$1,[13]Resumen!$V$10:$AH$11,AJ1,0)</f>
        <v>1035.0999999999999</v>
      </c>
      <c r="AK74" s="65">
        <f t="shared" si="52"/>
        <v>12421.200000000003</v>
      </c>
      <c r="AL74" s="73">
        <f t="shared" si="46"/>
        <v>7.7531774823713247E-5</v>
      </c>
      <c r="AM74" s="14">
        <f t="shared" si="47"/>
        <v>0.35522172291284537</v>
      </c>
      <c r="AN74" s="9"/>
    </row>
    <row r="75" spans="1:41" ht="14.45" hidden="1" customHeight="1" outlineLevel="1">
      <c r="A75" s="12"/>
      <c r="I75" s="263" t="s">
        <v>181</v>
      </c>
      <c r="J75" s="65">
        <v>775</v>
      </c>
      <c r="K75" s="65">
        <v>752</v>
      </c>
      <c r="L75" s="65">
        <v>751</v>
      </c>
      <c r="M75" s="65">
        <v>836</v>
      </c>
      <c r="N75" s="65">
        <v>740</v>
      </c>
      <c r="O75" s="65">
        <v>2666</v>
      </c>
      <c r="P75" s="65">
        <v>1923</v>
      </c>
      <c r="Q75" s="65">
        <v>1923</v>
      </c>
      <c r="R75" s="65">
        <v>780</v>
      </c>
      <c r="S75" s="65">
        <v>824</v>
      </c>
      <c r="T75" s="65">
        <f t="shared" si="62"/>
        <v>1362.5</v>
      </c>
      <c r="U75" s="65">
        <f t="shared" si="63"/>
        <v>1222.375</v>
      </c>
      <c r="V75" s="65">
        <f t="shared" si="51"/>
        <v>14554.875</v>
      </c>
      <c r="W75" s="73">
        <f t="shared" si="44"/>
        <v>9.8206874176387068E-5</v>
      </c>
      <c r="X75" s="89"/>
      <c r="Y75" s="65">
        <f>VLOOKUP($E$1,[14]Resumen!$V$8:$AH$9,Y1,0)</f>
        <v>678.5415890410959</v>
      </c>
      <c r="Z75" s="65">
        <f>VLOOKUP($E$1,[14]Resumen!$V$8:$AH$9,Z1,0)</f>
        <v>612.8762739726028</v>
      </c>
      <c r="AA75" s="65">
        <f>VLOOKUP($E$1,[14]Resumen!$V$8:$AH$9,AA1,0)</f>
        <v>678.5415890410959</v>
      </c>
      <c r="AB75" s="65">
        <f>VLOOKUP($E$1,[14]Resumen!$V$8:$AH$9,AB1,0)</f>
        <v>656.65315068493157</v>
      </c>
      <c r="AC75" s="65">
        <f>VLOOKUP($E$1,[14]Resumen!$V$8:$AH$9,AC1,0)</f>
        <v>678.5415890410959</v>
      </c>
      <c r="AD75" s="65">
        <f>VLOOKUP($E$1,[14]Resumen!$V$8:$AH$9,AD1,0)</f>
        <v>656.65315068493157</v>
      </c>
      <c r="AE75" s="65">
        <f>VLOOKUP($E$1,[14]Resumen!$V$8:$AH$9,AE1,0)</f>
        <v>678.5415890410959</v>
      </c>
      <c r="AF75" s="65">
        <f>VLOOKUP($E$1,[14]Resumen!$V$8:$AH$9,AF1,0)</f>
        <v>678.5415890410959</v>
      </c>
      <c r="AG75" s="65">
        <f>VLOOKUP($E$1,[14]Resumen!$V$8:$AH$9,AG1,0)</f>
        <v>656.65315068493157</v>
      </c>
      <c r="AH75" s="65">
        <f>VLOOKUP($E$1,[14]Resumen!$V$8:$AH$9,AH1,0)</f>
        <v>678.5415890410959</v>
      </c>
      <c r="AI75" s="65">
        <f>VLOOKUP($E$1,[14]Resumen!$V$8:$AH$9,AI1,0)</f>
        <v>656.65315068493157</v>
      </c>
      <c r="AJ75" s="65">
        <f>VLOOKUP($E$1,[14]Resumen!$V$8:$AH$9,AJ1,0)</f>
        <v>678.5415890410959</v>
      </c>
      <c r="AK75" s="65">
        <f t="shared" si="52"/>
        <v>7989.28</v>
      </c>
      <c r="AL75" s="73">
        <f t="shared" si="46"/>
        <v>4.986821385724372E-5</v>
      </c>
      <c r="AM75" s="14">
        <f t="shared" si="47"/>
        <v>-0.45109250337086371</v>
      </c>
      <c r="AN75" s="9"/>
    </row>
    <row r="76" spans="1:41" ht="14.45" hidden="1" customHeight="1" outlineLevel="1">
      <c r="A76" s="12"/>
      <c r="I76" s="259" t="s">
        <v>182</v>
      </c>
      <c r="J76" s="65">
        <v>0</v>
      </c>
      <c r="K76" s="65">
        <v>0</v>
      </c>
      <c r="L76" s="65">
        <v>2041</v>
      </c>
      <c r="M76" s="65">
        <v>620</v>
      </c>
      <c r="N76" s="65">
        <v>0</v>
      </c>
      <c r="O76" s="65">
        <v>33209</v>
      </c>
      <c r="P76" s="65">
        <v>2050</v>
      </c>
      <c r="Q76" s="65">
        <v>6869</v>
      </c>
      <c r="R76" s="65">
        <v>0</v>
      </c>
      <c r="S76" s="65">
        <v>0</v>
      </c>
      <c r="T76" s="65">
        <v>27647.360000000001</v>
      </c>
      <c r="U76" s="65">
        <v>4463.68</v>
      </c>
      <c r="V76" s="65">
        <f t="shared" si="51"/>
        <v>76900.040000000008</v>
      </c>
      <c r="W76" s="73">
        <f t="shared" si="44"/>
        <v>5.1887168748884023E-4</v>
      </c>
      <c r="X76" s="89"/>
      <c r="Y76" s="65">
        <f>VLOOKUP($E$1,[15]Resumen!$V$8:$AH$9,Y1,0)</f>
        <v>0</v>
      </c>
      <c r="Z76" s="65">
        <f>VLOOKUP($E$1,[15]Resumen!$V$8:$AH$9,Z1,0)</f>
        <v>5719.9211959999993</v>
      </c>
      <c r="AA76" s="65">
        <f>VLOOKUP($E$1,[15]Resumen!$V$8:$AH$9,AA1,0)</f>
        <v>0</v>
      </c>
      <c r="AB76" s="65">
        <f>VLOOKUP($E$1,[15]Resumen!$V$8:$AH$9,AB1,0)</f>
        <v>2859.9605979999997</v>
      </c>
      <c r="AC76" s="65">
        <f>VLOOKUP($E$1,[15]Resumen!$V$8:$AH$9,AC1,0)</f>
        <v>8579.8817939999972</v>
      </c>
      <c r="AD76" s="65">
        <f>VLOOKUP($E$1,[15]Resumen!$V$8:$AH$9,AD1,0)</f>
        <v>14299.802989999998</v>
      </c>
      <c r="AE76" s="65">
        <f>VLOOKUP($E$1,[15]Resumen!$V$8:$AH$9,AE1,0)</f>
        <v>2859.9605979999997</v>
      </c>
      <c r="AF76" s="65">
        <f>VLOOKUP($E$1,[15]Resumen!$V$8:$AH$9,AF1,0)</f>
        <v>8579.8817939999972</v>
      </c>
      <c r="AG76" s="65">
        <f>VLOOKUP($E$1,[15]Resumen!$V$8:$AH$9,AG1,0)</f>
        <v>8579.881793999999</v>
      </c>
      <c r="AH76" s="65">
        <f>VLOOKUP($E$1,[15]Resumen!$V$8:$AH$9,AH1,0)</f>
        <v>22278.436597999997</v>
      </c>
      <c r="AI76" s="65">
        <f>VLOOKUP($E$1,[15]Resumen!$V$8:$AH$9,AI1,0)</f>
        <v>0</v>
      </c>
      <c r="AJ76" s="65">
        <f>VLOOKUP($E$1,[15]Resumen!$V$8:$AH$9,AJ1,0)</f>
        <v>11439.842391999999</v>
      </c>
      <c r="AK76" s="65">
        <f t="shared" si="52"/>
        <v>85197.569753999996</v>
      </c>
      <c r="AL76" s="73">
        <f t="shared" si="46"/>
        <v>5.3179393244571615E-4</v>
      </c>
      <c r="AM76" s="14">
        <f t="shared" si="47"/>
        <v>0.10790020075412166</v>
      </c>
      <c r="AN76" s="9"/>
    </row>
    <row r="77" spans="1:41" ht="14.45" hidden="1" customHeight="1" outlineLevel="1">
      <c r="A77" s="12"/>
      <c r="I77" s="259" t="s">
        <v>183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730</v>
      </c>
      <c r="R77" s="65">
        <v>0</v>
      </c>
      <c r="S77" s="65">
        <v>0</v>
      </c>
      <c r="T77" s="65">
        <v>260</v>
      </c>
      <c r="U77" s="65">
        <v>260</v>
      </c>
      <c r="V77" s="65">
        <f t="shared" si="51"/>
        <v>1250</v>
      </c>
      <c r="W77" s="73">
        <f t="shared" si="44"/>
        <v>8.4341907931523859E-6</v>
      </c>
      <c r="X77" s="89"/>
      <c r="Y77" s="65">
        <f>VLOOKUP($E$1,[16]Resumen!$V$8:$AH$9,Y1,0)</f>
        <v>0</v>
      </c>
      <c r="Z77" s="65">
        <f>VLOOKUP($E$1,[16]Resumen!$V$8:$AH$9,Z1,0)</f>
        <v>0</v>
      </c>
      <c r="AA77" s="65">
        <f>VLOOKUP($E$1,[16]Resumen!$V$8:$AH$9,AA1,0)</f>
        <v>0</v>
      </c>
      <c r="AB77" s="65">
        <f>VLOOKUP($E$1,[16]Resumen!$V$8:$AH$9,AB1,0)</f>
        <v>0</v>
      </c>
      <c r="AC77" s="65">
        <f>VLOOKUP($E$1,[16]Resumen!$V$8:$AH$9,AC1,0)</f>
        <v>0</v>
      </c>
      <c r="AD77" s="65">
        <f>VLOOKUP($E$1,[16]Resumen!$V$8:$AH$9,AD1,0)</f>
        <v>0</v>
      </c>
      <c r="AE77" s="65">
        <f>VLOOKUP($E$1,[16]Resumen!$V$8:$AH$9,AE1,0)</f>
        <v>1055.8019999999999</v>
      </c>
      <c r="AF77" s="65">
        <f>VLOOKUP($E$1,[16]Resumen!$V$8:$AH$9,AF1,0)</f>
        <v>3167.4059999999999</v>
      </c>
      <c r="AG77" s="65">
        <f>VLOOKUP($E$1,[16]Resumen!$V$8:$AH$9,AG1,0)</f>
        <v>2111.6039999999998</v>
      </c>
      <c r="AH77" s="65">
        <f>VLOOKUP($E$1,[16]Resumen!$V$8:$AH$9,AH1,0)</f>
        <v>0</v>
      </c>
      <c r="AI77" s="65">
        <f>VLOOKUP($E$1,[16]Resumen!$V$8:$AH$9,AI1,0)</f>
        <v>0</v>
      </c>
      <c r="AJ77" s="65">
        <f>VLOOKUP($E$1,[16]Resumen!$V$8:$AH$9,AJ1,0)</f>
        <v>0</v>
      </c>
      <c r="AK77" s="65">
        <f t="shared" si="52"/>
        <v>6334.8119999999999</v>
      </c>
      <c r="AL77" s="73">
        <f t="shared" si="46"/>
        <v>3.9541205160093747E-5</v>
      </c>
      <c r="AM77" s="14">
        <f t="shared" si="47"/>
        <v>4.0678495999999997</v>
      </c>
      <c r="AN77" s="9"/>
    </row>
    <row r="78" spans="1:41" ht="14.45" hidden="1" customHeight="1" outlineLevel="1">
      <c r="A78" s="12" t="s">
        <v>154</v>
      </c>
      <c r="B78" s="8" t="s">
        <v>89</v>
      </c>
      <c r="I78" s="259" t="s">
        <v>184</v>
      </c>
      <c r="J78" s="65">
        <v>1392</v>
      </c>
      <c r="K78" s="65">
        <v>1392</v>
      </c>
      <c r="L78" s="65">
        <v>1392</v>
      </c>
      <c r="M78" s="65">
        <v>1392</v>
      </c>
      <c r="N78" s="65">
        <v>1392</v>
      </c>
      <c r="O78" s="65">
        <v>1392</v>
      </c>
      <c r="P78" s="65">
        <v>1392</v>
      </c>
      <c r="Q78" s="65">
        <v>1392</v>
      </c>
      <c r="R78" s="65">
        <v>1392</v>
      </c>
      <c r="S78" s="65">
        <v>1392</v>
      </c>
      <c r="T78" s="65">
        <v>0</v>
      </c>
      <c r="U78" s="65">
        <v>0</v>
      </c>
      <c r="V78" s="65">
        <f t="shared" si="51"/>
        <v>13920</v>
      </c>
      <c r="W78" s="73">
        <f t="shared" si="44"/>
        <v>9.392314867254498E-5</v>
      </c>
      <c r="X78" s="89"/>
      <c r="Y78" s="65">
        <f>VLOOKUP($E$1,[17]Resumen!$V$8:$AH$9,Y1,0)</f>
        <v>946.98239999999998</v>
      </c>
      <c r="Z78" s="65">
        <f>VLOOKUP($E$1,[17]Resumen!$V$8:$AH$9,Z1,0)</f>
        <v>0</v>
      </c>
      <c r="AA78" s="65">
        <f>VLOOKUP($E$1,[17]Resumen!$V$8:$AH$9,AA1,0)</f>
        <v>0</v>
      </c>
      <c r="AB78" s="65">
        <f>VLOOKUP($E$1,[17]Resumen!$V$8:$AH$9,AB1,0)</f>
        <v>0</v>
      </c>
      <c r="AC78" s="65">
        <f>VLOOKUP($E$1,[17]Resumen!$V$8:$AH$9,AC1,0)</f>
        <v>0</v>
      </c>
      <c r="AD78" s="65">
        <f>VLOOKUP($E$1,[17]Resumen!$V$8:$AH$9,AD1,0)</f>
        <v>0</v>
      </c>
      <c r="AE78" s="65">
        <f>VLOOKUP($E$1,[17]Resumen!$V$8:$AH$9,AE1,0)</f>
        <v>0</v>
      </c>
      <c r="AF78" s="65">
        <f>VLOOKUP($E$1,[17]Resumen!$V$8:$AH$9,AF1,0)</f>
        <v>0</v>
      </c>
      <c r="AG78" s="65">
        <f>VLOOKUP($E$1,[17]Resumen!$V$8:$AH$9,AG1,0)</f>
        <v>0</v>
      </c>
      <c r="AH78" s="65">
        <f>VLOOKUP($E$1,[17]Resumen!$V$8:$AH$9,AH1,0)</f>
        <v>0</v>
      </c>
      <c r="AI78" s="65">
        <f>VLOOKUP($E$1,[17]Resumen!$V$8:$AH$9,AI1,0)</f>
        <v>0</v>
      </c>
      <c r="AJ78" s="65">
        <f>VLOOKUP($E$1,[17]Resumen!$V$8:$AH$9,AJ1,0)</f>
        <v>0</v>
      </c>
      <c r="AK78" s="65">
        <f t="shared" si="52"/>
        <v>946.98239999999998</v>
      </c>
      <c r="AL78" s="73">
        <f t="shared" si="46"/>
        <v>5.9109607927430147E-6</v>
      </c>
      <c r="AM78" s="14">
        <f t="shared" si="47"/>
        <v>-0.93196965517241381</v>
      </c>
      <c r="AN78" s="9"/>
    </row>
    <row r="79" spans="1:41" ht="14.45" hidden="1" customHeight="1" outlineLevel="1">
      <c r="A79" s="12" t="s">
        <v>154</v>
      </c>
      <c r="B79" s="8" t="s">
        <v>89</v>
      </c>
      <c r="I79" s="259" t="s">
        <v>185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/>
      <c r="U79" s="65"/>
      <c r="V79" s="65">
        <f t="shared" si="51"/>
        <v>0</v>
      </c>
      <c r="W79" s="73">
        <f t="shared" si="44"/>
        <v>0</v>
      </c>
      <c r="X79" s="89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>
        <f t="shared" si="52"/>
        <v>0</v>
      </c>
      <c r="AL79" s="73">
        <f t="shared" si="46"/>
        <v>0</v>
      </c>
      <c r="AM79" s="14">
        <f t="shared" si="47"/>
        <v>0</v>
      </c>
      <c r="AN79" s="9"/>
    </row>
    <row r="80" spans="1:41" ht="14.45" hidden="1" customHeight="1" outlineLevel="1">
      <c r="A80" s="12"/>
      <c r="I80" s="259" t="s">
        <v>186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f t="shared" si="51"/>
        <v>0</v>
      </c>
      <c r="W80" s="73">
        <f t="shared" si="44"/>
        <v>0</v>
      </c>
      <c r="X80" s="89"/>
      <c r="Y80" s="65">
        <f>VLOOKUP($E$1,[8]Resumen!$V$22:$AH$23,Y1,0)</f>
        <v>22251.84</v>
      </c>
      <c r="Z80" s="65">
        <f>VLOOKUP($E$1,[8]Resumen!$V$22:$AH$23,Z1,0)</f>
        <v>0</v>
      </c>
      <c r="AA80" s="65">
        <f>VLOOKUP($E$1,[8]Resumen!$V$22:$AH$23,AA1,0)</f>
        <v>0</v>
      </c>
      <c r="AB80" s="65">
        <f>VLOOKUP($E$1,[8]Resumen!$V$22:$AH$23,AB1,0)</f>
        <v>0</v>
      </c>
      <c r="AC80" s="65">
        <f>VLOOKUP($E$1,[8]Resumen!$V$22:$AH$23,AC1,0)</f>
        <v>0</v>
      </c>
      <c r="AD80" s="65">
        <f>VLOOKUP($E$1,[8]Resumen!$V$22:$AH$23,AD1,0)</f>
        <v>0</v>
      </c>
      <c r="AE80" s="65">
        <f>VLOOKUP($E$1,[8]Resumen!$V$22:$AH$23,AE1,0)</f>
        <v>0</v>
      </c>
      <c r="AF80" s="65">
        <f>VLOOKUP($E$1,[8]Resumen!$V$22:$AH$23,AF1,0)</f>
        <v>0</v>
      </c>
      <c r="AG80" s="65">
        <f>VLOOKUP($E$1,[8]Resumen!$V$22:$AH$23,AG1,0)</f>
        <v>0</v>
      </c>
      <c r="AH80" s="65">
        <f>VLOOKUP($E$1,[8]Resumen!$V$22:$AH$23,AH1,0)</f>
        <v>0</v>
      </c>
      <c r="AI80" s="65">
        <f>VLOOKUP($E$1,[8]Resumen!$V$22:$AH$23,AI1,0)</f>
        <v>0</v>
      </c>
      <c r="AJ80" s="65">
        <f>VLOOKUP($E$1,[8]Resumen!$V$22:$AH$23,AJ1,0)</f>
        <v>0</v>
      </c>
      <c r="AK80" s="65">
        <f t="shared" si="52"/>
        <v>22251.84</v>
      </c>
      <c r="AL80" s="73">
        <f t="shared" si="46"/>
        <v>1.3889355684581966E-4</v>
      </c>
      <c r="AM80" s="14">
        <f t="shared" si="47"/>
        <v>0</v>
      </c>
      <c r="AN80" s="9"/>
    </row>
    <row r="81" spans="1:40" ht="14.45" hidden="1" customHeight="1" outlineLevel="1">
      <c r="A81" s="12" t="s">
        <v>154</v>
      </c>
      <c r="B81" s="8" t="s">
        <v>89</v>
      </c>
      <c r="I81" s="259" t="s">
        <v>187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19240</v>
      </c>
      <c r="T81" s="65">
        <v>0</v>
      </c>
      <c r="U81" s="65">
        <v>0</v>
      </c>
      <c r="V81" s="65">
        <f t="shared" si="51"/>
        <v>19240</v>
      </c>
      <c r="W81" s="73">
        <f t="shared" si="44"/>
        <v>1.2981906468820153E-4</v>
      </c>
      <c r="X81" s="89"/>
      <c r="Y81" s="65">
        <f>VLOOKUP($E$1,[9]Resumen!$V$10:$AH$11,Y1,0)</f>
        <v>0</v>
      </c>
      <c r="Z81" s="65">
        <f>VLOOKUP($E$1,[9]Resumen!$V$10:$AH$11,Z1,0)</f>
        <v>0</v>
      </c>
      <c r="AA81" s="65">
        <f>VLOOKUP($E$1,[9]Resumen!$V$10:$AH$11,AA1,0)</f>
        <v>0</v>
      </c>
      <c r="AB81" s="65">
        <f>VLOOKUP($E$1,[9]Resumen!$V$10:$AH$11,AB1,0)</f>
        <v>0</v>
      </c>
      <c r="AC81" s="65">
        <f>VLOOKUP($E$1,[9]Resumen!$V$10:$AH$11,AC1,0)</f>
        <v>0</v>
      </c>
      <c r="AD81" s="65">
        <f>VLOOKUP($E$1,[9]Resumen!$V$10:$AH$11,AD1,0)</f>
        <v>0</v>
      </c>
      <c r="AE81" s="65">
        <f>VLOOKUP($E$1,[9]Resumen!$V$10:$AH$11,AE1,0)</f>
        <v>0</v>
      </c>
      <c r="AF81" s="65">
        <f>VLOOKUP($E$1,[9]Resumen!$V$10:$AH$11,AF1,0)</f>
        <v>0</v>
      </c>
      <c r="AG81" s="65">
        <f>VLOOKUP($E$1,[9]Resumen!$V$10:$AH$11,AG1,0)</f>
        <v>18528.289999999997</v>
      </c>
      <c r="AH81" s="65">
        <f>VLOOKUP($E$1,[9]Resumen!$V$10:$AH$11,AH1,0)</f>
        <v>0</v>
      </c>
      <c r="AI81" s="65">
        <f>VLOOKUP($E$1,[9]Resumen!$V$10:$AH$11,AI1,0)</f>
        <v>0</v>
      </c>
      <c r="AJ81" s="65">
        <f>VLOOKUP($E$1,[9]Resumen!$V$10:$AH$11,AJ1,0)</f>
        <v>0</v>
      </c>
      <c r="AK81" s="65">
        <f t="shared" si="52"/>
        <v>18528.289999999997</v>
      </c>
      <c r="AL81" s="73">
        <f t="shared" si="46"/>
        <v>1.156515641120389E-4</v>
      </c>
      <c r="AM81" s="14">
        <f t="shared" si="47"/>
        <v>-3.6991164241164332E-2</v>
      </c>
      <c r="AN81" s="9"/>
    </row>
    <row r="82" spans="1:40" ht="14.45" hidden="1" customHeight="1" outlineLevel="1">
      <c r="A82" s="12"/>
      <c r="I82" s="259" t="s">
        <v>188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/>
      <c r="U82" s="65"/>
      <c r="V82" s="65">
        <f t="shared" si="51"/>
        <v>0</v>
      </c>
      <c r="W82" s="73">
        <f t="shared" si="44"/>
        <v>0</v>
      </c>
      <c r="X82" s="89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>
        <f t="shared" si="52"/>
        <v>0</v>
      </c>
      <c r="AL82" s="73">
        <f t="shared" si="46"/>
        <v>0</v>
      </c>
      <c r="AM82" s="14">
        <f t="shared" si="47"/>
        <v>0</v>
      </c>
      <c r="AN82" s="9"/>
    </row>
    <row r="83" spans="1:40" ht="14.45" hidden="1" customHeight="1" outlineLevel="1">
      <c r="A83" s="12"/>
      <c r="I83" s="259" t="s">
        <v>189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/>
      <c r="U83" s="65"/>
      <c r="V83" s="65">
        <f t="shared" si="51"/>
        <v>0</v>
      </c>
      <c r="W83" s="73">
        <f t="shared" si="44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52"/>
        <v>0</v>
      </c>
      <c r="AL83" s="73">
        <f t="shared" si="46"/>
        <v>0</v>
      </c>
      <c r="AM83" s="14">
        <f t="shared" si="47"/>
        <v>0</v>
      </c>
      <c r="AN83" s="9"/>
    </row>
    <row r="84" spans="1:40" ht="14.45" hidden="1" customHeight="1" outlineLevel="1">
      <c r="A84" s="12"/>
      <c r="I84" s="259" t="s">
        <v>190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51"/>
        <v>0</v>
      </c>
      <c r="W84" s="73">
        <f t="shared" si="44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52"/>
        <v>0</v>
      </c>
      <c r="AL84" s="73">
        <f t="shared" si="46"/>
        <v>0</v>
      </c>
      <c r="AM84" s="14">
        <f t="shared" si="47"/>
        <v>0</v>
      </c>
      <c r="AN84" s="9"/>
    </row>
    <row r="85" spans="1:40" ht="14.45" hidden="1" customHeight="1" outlineLevel="1">
      <c r="A85" s="12"/>
      <c r="I85" s="259" t="s">
        <v>191</v>
      </c>
      <c r="J85" s="65"/>
      <c r="K85" s="65">
        <v>0</v>
      </c>
      <c r="L85" s="65">
        <v>0</v>
      </c>
      <c r="M85" s="65"/>
      <c r="N85" s="65"/>
      <c r="O85" s="65">
        <v>0</v>
      </c>
      <c r="P85" s="65"/>
      <c r="Q85" s="65">
        <v>0</v>
      </c>
      <c r="R85" s="65">
        <v>0</v>
      </c>
      <c r="S85" s="65">
        <v>0</v>
      </c>
      <c r="T85" s="65"/>
      <c r="U85" s="65"/>
      <c r="V85" s="65">
        <f t="shared" si="51"/>
        <v>0</v>
      </c>
      <c r="W85" s="73">
        <f t="shared" si="44"/>
        <v>0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52"/>
        <v>0</v>
      </c>
      <c r="AL85" s="73">
        <f t="shared" si="46"/>
        <v>0</v>
      </c>
      <c r="AM85" s="14">
        <f t="shared" si="47"/>
        <v>0</v>
      </c>
      <c r="AN85" s="9"/>
    </row>
    <row r="86" spans="1:40" ht="14.45" hidden="1" customHeight="1" outlineLevel="1">
      <c r="A86" s="12"/>
      <c r="I86" s="259" t="s">
        <v>192</v>
      </c>
      <c r="J86" s="65"/>
      <c r="K86" s="65">
        <v>0</v>
      </c>
      <c r="L86" s="65">
        <v>0</v>
      </c>
      <c r="M86" s="65"/>
      <c r="N86" s="65"/>
      <c r="O86" s="65">
        <v>0</v>
      </c>
      <c r="P86" s="65"/>
      <c r="Q86" s="65">
        <v>0</v>
      </c>
      <c r="R86" s="65">
        <v>0</v>
      </c>
      <c r="S86" s="65">
        <v>0</v>
      </c>
      <c r="T86" s="65">
        <v>1712.9411764705883</v>
      </c>
      <c r="U86" s="65">
        <v>0</v>
      </c>
      <c r="V86" s="65">
        <f t="shared" si="51"/>
        <v>1712.9411764705883</v>
      </c>
      <c r="W86" s="73">
        <f t="shared" si="44"/>
        <v>1.1557818159839881E-5</v>
      </c>
      <c r="X86" s="89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>
        <f t="shared" si="52"/>
        <v>0</v>
      </c>
      <c r="AL86" s="73">
        <f t="shared" si="46"/>
        <v>0</v>
      </c>
      <c r="AM86" s="14">
        <f t="shared" si="47"/>
        <v>-1</v>
      </c>
      <c r="AN86" s="9"/>
    </row>
    <row r="87" spans="1:40" ht="14.45" hidden="1" customHeight="1" outlineLevel="1">
      <c r="A87" s="12"/>
      <c r="I87" s="259" t="s">
        <v>193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/>
      <c r="U87" s="65"/>
      <c r="V87" s="65">
        <f t="shared" si="51"/>
        <v>0</v>
      </c>
      <c r="W87" s="73">
        <f t="shared" si="44"/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si="52"/>
        <v>0</v>
      </c>
      <c r="AL87" s="73">
        <f t="shared" si="46"/>
        <v>0</v>
      </c>
      <c r="AM87" s="14">
        <f t="shared" si="47"/>
        <v>0</v>
      </c>
      <c r="AN87" s="9"/>
    </row>
    <row r="88" spans="1:40" ht="14.45" hidden="1" customHeight="1" outlineLevel="1">
      <c r="A88" s="12"/>
      <c r="I88" s="259" t="s">
        <v>194</v>
      </c>
      <c r="J88" s="65"/>
      <c r="K88" s="65">
        <v>0</v>
      </c>
      <c r="L88" s="65"/>
      <c r="M88" s="65"/>
      <c r="N88" s="65">
        <v>1865</v>
      </c>
      <c r="O88" s="65">
        <v>0</v>
      </c>
      <c r="P88" s="65"/>
      <c r="Q88" s="65">
        <v>4644</v>
      </c>
      <c r="R88" s="65">
        <v>0</v>
      </c>
      <c r="S88" s="65"/>
      <c r="T88" s="65">
        <v>515.84</v>
      </c>
      <c r="U88" s="65">
        <v>33280</v>
      </c>
      <c r="V88" s="65">
        <f t="shared" si="51"/>
        <v>40304.839999999997</v>
      </c>
      <c r="W88" s="73">
        <f t="shared" si="44"/>
        <v>2.7195096835798399E-4</v>
      </c>
      <c r="X88" s="89"/>
      <c r="Y88" s="65">
        <f>VLOOKUP($E$1,[18]Resumen!$V$8:$AH$9,Y1,0)</f>
        <v>0</v>
      </c>
      <c r="Z88" s="65">
        <f>VLOOKUP($E$1,[18]Resumen!$V$8:$AH$9,Z1,0)</f>
        <v>0</v>
      </c>
      <c r="AA88" s="65">
        <f>VLOOKUP($E$1,[18]Resumen!$V$8:$AH$9,AA1,0)</f>
        <v>0</v>
      </c>
      <c r="AB88" s="65">
        <f>VLOOKUP($E$1,[18]Resumen!$V$8:$AH$9,AB1,0)</f>
        <v>0</v>
      </c>
      <c r="AC88" s="65">
        <f>VLOOKUP($E$1,[18]Resumen!$V$8:$AH$9,AC1,0)</f>
        <v>2732.6639999999998</v>
      </c>
      <c r="AD88" s="65">
        <f>VLOOKUP($E$1,[18]Resumen!$V$8:$AH$9,AD1,0)</f>
        <v>3063.8959999999997</v>
      </c>
      <c r="AE88" s="65">
        <f>VLOOKUP($E$1,[18]Resumen!$V$8:$AH$9,AE1,0)</f>
        <v>0</v>
      </c>
      <c r="AF88" s="65">
        <f>VLOOKUP($E$1,[18]Resumen!$V$8:$AH$9,AF1,0)</f>
        <v>2815.4719999999998</v>
      </c>
      <c r="AG88" s="65">
        <f>VLOOKUP($E$1,[18]Resumen!$V$8:$AH$9,AG1,0)</f>
        <v>0</v>
      </c>
      <c r="AH88" s="65">
        <f>VLOOKUP($E$1,[18]Resumen!$V$8:$AH$9,AH1,0)</f>
        <v>1324.9279999999999</v>
      </c>
      <c r="AI88" s="65">
        <f>VLOOKUP($E$1,[18]Resumen!$V$8:$AH$9,AI1,0)</f>
        <v>828.07999999999993</v>
      </c>
      <c r="AJ88" s="65">
        <f>VLOOKUP($E$1,[18]Resumen!$V$8:$AH$9,AJ1,0)</f>
        <v>28154.719999999998</v>
      </c>
      <c r="AK88" s="65">
        <f t="shared" si="52"/>
        <v>38919.759999999995</v>
      </c>
      <c r="AL88" s="73">
        <f t="shared" si="46"/>
        <v>2.4293289444763476E-4</v>
      </c>
      <c r="AM88" s="14">
        <f t="shared" si="47"/>
        <v>-3.4365103545876963E-2</v>
      </c>
      <c r="AN88" s="9"/>
    </row>
    <row r="89" spans="1:40" ht="14.45" hidden="1" customHeight="1" outlineLevel="1">
      <c r="A89" s="12"/>
      <c r="I89" s="259" t="s">
        <v>195</v>
      </c>
      <c r="J89" s="65"/>
      <c r="K89" s="65"/>
      <c r="L89" s="65"/>
      <c r="M89" s="65"/>
      <c r="N89" s="65"/>
      <c r="O89" s="65">
        <v>0</v>
      </c>
      <c r="P89" s="65"/>
      <c r="Q89" s="65">
        <v>0</v>
      </c>
      <c r="R89" s="65">
        <v>0</v>
      </c>
      <c r="S89" s="65"/>
      <c r="T89" s="65"/>
      <c r="U89" s="65"/>
      <c r="V89" s="65">
        <f t="shared" si="51"/>
        <v>0</v>
      </c>
      <c r="W89" s="73">
        <f t="shared" si="44"/>
        <v>0</v>
      </c>
      <c r="X89" s="89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>
        <f t="shared" si="52"/>
        <v>0</v>
      </c>
      <c r="AL89" s="73">
        <f t="shared" si="46"/>
        <v>0</v>
      </c>
      <c r="AM89" s="14">
        <f t="shared" si="47"/>
        <v>0</v>
      </c>
      <c r="AN89" s="9"/>
    </row>
    <row r="90" spans="1:40" ht="14.45" customHeight="1" collapsed="1">
      <c r="A90" s="12" t="s">
        <v>196</v>
      </c>
      <c r="B90" s="8" t="s">
        <v>89</v>
      </c>
      <c r="I90" s="167" t="s">
        <v>197</v>
      </c>
      <c r="J90" s="15">
        <v>221626</v>
      </c>
      <c r="K90" s="15">
        <v>212954</v>
      </c>
      <c r="L90" s="15">
        <v>238527</v>
      </c>
      <c r="M90" s="15">
        <v>190335</v>
      </c>
      <c r="N90" s="15">
        <v>220943</v>
      </c>
      <c r="O90" s="15">
        <v>205616</v>
      </c>
      <c r="P90" s="15">
        <v>201580</v>
      </c>
      <c r="Q90" s="15">
        <v>206754</v>
      </c>
      <c r="R90" s="15">
        <v>225045</v>
      </c>
      <c r="S90" s="15">
        <v>209715</v>
      </c>
      <c r="T90" s="15">
        <f t="shared" ref="R90:U90" si="64">SUM(T91:T105)</f>
        <v>213022</v>
      </c>
      <c r="U90" s="15">
        <f t="shared" si="64"/>
        <v>216631.25</v>
      </c>
      <c r="V90" s="15">
        <f t="shared" ref="V90" si="65">SUM(V91:V105)</f>
        <v>2562752.25</v>
      </c>
      <c r="W90" s="72">
        <f t="shared" si="44"/>
        <v>1.7291793145664449E-2</v>
      </c>
      <c r="X90" s="89"/>
      <c r="Y90" s="15">
        <f t="shared" ref="Y90:AK90" si="66">SUM(Y91:Y105)</f>
        <v>248102.25115011199</v>
      </c>
      <c r="Z90" s="15">
        <f t="shared" si="66"/>
        <v>226927.04972225596</v>
      </c>
      <c r="AA90" s="15">
        <f t="shared" si="66"/>
        <v>248102.25115011199</v>
      </c>
      <c r="AB90" s="15">
        <f t="shared" si="66"/>
        <v>234448.98413856002</v>
      </c>
      <c r="AC90" s="15">
        <f t="shared" si="66"/>
        <v>248102.25115011199</v>
      </c>
      <c r="AD90" s="15">
        <f t="shared" si="66"/>
        <v>234448.98413856002</v>
      </c>
      <c r="AE90" s="15">
        <f t="shared" si="66"/>
        <v>241507.38461451198</v>
      </c>
      <c r="AF90" s="15">
        <f t="shared" si="66"/>
        <v>241507.38461451198</v>
      </c>
      <c r="AG90" s="15">
        <f t="shared" si="66"/>
        <v>241043.85067416</v>
      </c>
      <c r="AH90" s="15">
        <f t="shared" si="66"/>
        <v>241507.38461451198</v>
      </c>
      <c r="AI90" s="15">
        <f t="shared" si="66"/>
        <v>241043.85067416</v>
      </c>
      <c r="AJ90" s="15">
        <f t="shared" si="66"/>
        <v>248102.25115011199</v>
      </c>
      <c r="AK90" s="15">
        <f t="shared" si="66"/>
        <v>2894843.8777916804</v>
      </c>
      <c r="AL90" s="72">
        <f t="shared" si="46"/>
        <v>1.8069299559040141E-2</v>
      </c>
      <c r="AM90" s="10">
        <f t="shared" si="47"/>
        <v>0.12958397667651278</v>
      </c>
      <c r="AN90" s="9"/>
    </row>
    <row r="91" spans="1:40" ht="14.45" hidden="1" customHeight="1" outlineLevel="1">
      <c r="A91" s="12" t="s">
        <v>196</v>
      </c>
      <c r="B91" s="8" t="s">
        <v>89</v>
      </c>
      <c r="I91" s="223" t="s">
        <v>198</v>
      </c>
      <c r="J91" s="65">
        <v>6543</v>
      </c>
      <c r="K91" s="65">
        <v>5950</v>
      </c>
      <c r="L91" s="65">
        <v>6350</v>
      </c>
      <c r="M91" s="65">
        <v>6019</v>
      </c>
      <c r="N91" s="65">
        <v>6219</v>
      </c>
      <c r="O91" s="65">
        <v>5750</v>
      </c>
      <c r="P91" s="65">
        <v>6078</v>
      </c>
      <c r="Q91" s="65">
        <v>6064</v>
      </c>
      <c r="R91" s="65">
        <v>6375</v>
      </c>
      <c r="S91" s="65">
        <v>6587</v>
      </c>
      <c r="T91" s="65">
        <f t="shared" ref="T91:T105" si="67">+AVERAGE(P91:S91)</f>
        <v>6276</v>
      </c>
      <c r="U91" s="65">
        <f t="shared" ref="U91:U105" si="68">+AVERAGE(Q91:T91)</f>
        <v>6325.5</v>
      </c>
      <c r="V91" s="65">
        <f t="shared" ref="V91:V105" si="69">SUM(J91:U91)</f>
        <v>74536.5</v>
      </c>
      <c r="W91" s="73">
        <f t="shared" si="44"/>
        <v>5.0292404964304225E-4</v>
      </c>
      <c r="X91" s="89"/>
      <c r="Y91" s="65">
        <f>VLOOKUP($I91,'[19]Gasto Real Vs Presupuesto 2026'!$A$34:$M$56,Y$1,0)</f>
        <v>7001.3994042328759</v>
      </c>
      <c r="Z91" s="65">
        <f>VLOOKUP($I91,'[19]Gasto Real Vs Presupuesto 2026'!$A$34:$M$56,Z$1,0)</f>
        <v>6323.8446231780808</v>
      </c>
      <c r="AA91" s="65">
        <f>VLOOKUP($I91,'[19]Gasto Real Vs Presupuesto 2026'!$A$34:$M$56,AA$1,0)</f>
        <v>7001.3994042328759</v>
      </c>
      <c r="AB91" s="65">
        <f>VLOOKUP($I91,'[19]Gasto Real Vs Presupuesto 2026'!$A$34:$M$56,AB$1,0)</f>
        <v>6775.5478105479442</v>
      </c>
      <c r="AC91" s="65">
        <f>VLOOKUP($I91,'[19]Gasto Real Vs Presupuesto 2026'!$A$34:$M$56,AC$1,0)</f>
        <v>7001.3994042328759</v>
      </c>
      <c r="AD91" s="65">
        <f>VLOOKUP($I91,'[19]Gasto Real Vs Presupuesto 2026'!$A$34:$M$56,AD$1,0)</f>
        <v>6775.5478105479442</v>
      </c>
      <c r="AE91" s="65">
        <f>VLOOKUP($I91,'[19]Gasto Real Vs Presupuesto 2026'!$A$34:$M$56,AE$1,0)</f>
        <v>7001.3994042328759</v>
      </c>
      <c r="AF91" s="65">
        <f>VLOOKUP($I91,'[19]Gasto Real Vs Presupuesto 2026'!$A$34:$M$56,AF$1,0)</f>
        <v>7001.3994042328759</v>
      </c>
      <c r="AG91" s="65">
        <f>VLOOKUP($I91,'[19]Gasto Real Vs Presupuesto 2026'!$A$34:$M$56,AG$1,0)</f>
        <v>6775.5478105479442</v>
      </c>
      <c r="AH91" s="65">
        <f>VLOOKUP($I91,'[19]Gasto Real Vs Presupuesto 2026'!$A$34:$M$56,AH$1,0)</f>
        <v>7001.3994042328759</v>
      </c>
      <c r="AI91" s="65">
        <f>VLOOKUP($I91,'[19]Gasto Real Vs Presupuesto 2026'!$A$34:$M$56,AI$1,0)</f>
        <v>6775.5478105479442</v>
      </c>
      <c r="AJ91" s="65">
        <f>VLOOKUP($I91,'[19]Gasto Real Vs Presupuesto 2026'!$A$34:$M$56,AJ$1,0)</f>
        <v>7001.3994042328759</v>
      </c>
      <c r="AK91" s="65">
        <f t="shared" ref="AK91:AK154" si="70">SUM(Y91:AJ91)</f>
        <v>82435.831694999972</v>
      </c>
      <c r="AL91" s="73">
        <f t="shared" si="46"/>
        <v>5.145554648811919E-4</v>
      </c>
      <c r="AM91" s="14">
        <f t="shared" si="47"/>
        <v>0.10597937513835465</v>
      </c>
      <c r="AN91" s="9"/>
    </row>
    <row r="92" spans="1:40" ht="14.45" hidden="1" customHeight="1" outlineLevel="1">
      <c r="A92" s="12" t="s">
        <v>196</v>
      </c>
      <c r="B92" s="8" t="s">
        <v>89</v>
      </c>
      <c r="I92" s="223" t="s">
        <v>199</v>
      </c>
      <c r="J92" s="65">
        <v>24713</v>
      </c>
      <c r="K92" s="65">
        <v>25395</v>
      </c>
      <c r="L92" s="65">
        <v>23075</v>
      </c>
      <c r="M92" s="65">
        <v>4807</v>
      </c>
      <c r="N92" s="65">
        <v>17230</v>
      </c>
      <c r="O92" s="65">
        <v>20514</v>
      </c>
      <c r="P92" s="65">
        <v>15797</v>
      </c>
      <c r="Q92" s="65">
        <v>0</v>
      </c>
      <c r="R92" s="65">
        <v>32179</v>
      </c>
      <c r="S92" s="65">
        <v>27487</v>
      </c>
      <c r="T92" s="65">
        <f t="shared" si="67"/>
        <v>18865.75</v>
      </c>
      <c r="U92" s="65">
        <f t="shared" si="68"/>
        <v>19632.9375</v>
      </c>
      <c r="V92" s="65">
        <f t="shared" si="69"/>
        <v>229695.6875</v>
      </c>
      <c r="W92" s="73">
        <f t="shared" si="44"/>
        <v>1.5498378021914462E-3</v>
      </c>
      <c r="X92" s="89"/>
      <c r="Y92" s="65">
        <f>VLOOKUP($I92,'[19]Gasto Real Vs Presupuesto 2026'!$A$34:$M$56,Y$1,0)</f>
        <v>22696.969859999997</v>
      </c>
      <c r="Z92" s="65">
        <f>VLOOKUP($I92,'[19]Gasto Real Vs Presupuesto 2026'!$A$34:$M$56,Z$1,0)</f>
        <v>22696.969859999997</v>
      </c>
      <c r="AA92" s="65">
        <f>VLOOKUP($I92,'[19]Gasto Real Vs Presupuesto 2026'!$A$34:$M$56,AA$1,0)</f>
        <v>22696.969859999997</v>
      </c>
      <c r="AB92" s="65">
        <f>VLOOKUP($I92,'[19]Gasto Real Vs Presupuesto 2026'!$A$34:$M$56,AB$1,0)</f>
        <v>22696.969859999997</v>
      </c>
      <c r="AC92" s="65">
        <f>VLOOKUP($I92,'[19]Gasto Real Vs Presupuesto 2026'!$A$34:$M$56,AC$1,0)</f>
        <v>22696.969859999997</v>
      </c>
      <c r="AD92" s="65">
        <f>VLOOKUP($I92,'[19]Gasto Real Vs Presupuesto 2026'!$A$34:$M$56,AD$1,0)</f>
        <v>22696.969859999997</v>
      </c>
      <c r="AE92" s="65">
        <f>VLOOKUP($I92,'[19]Gasto Real Vs Presupuesto 2026'!$A$34:$M$56,AE$1,0)</f>
        <v>22696.969859999997</v>
      </c>
      <c r="AF92" s="65">
        <f>VLOOKUP($I92,'[19]Gasto Real Vs Presupuesto 2026'!$A$34:$M$56,AF$1,0)</f>
        <v>22696.969859999997</v>
      </c>
      <c r="AG92" s="65">
        <f>VLOOKUP($I92,'[19]Gasto Real Vs Presupuesto 2026'!$A$34:$M$56,AG$1,0)</f>
        <v>22696.969859999997</v>
      </c>
      <c r="AH92" s="65">
        <f>VLOOKUP($I92,'[19]Gasto Real Vs Presupuesto 2026'!$A$34:$M$56,AH$1,0)</f>
        <v>22696.969859999997</v>
      </c>
      <c r="AI92" s="65">
        <f>VLOOKUP($I92,'[19]Gasto Real Vs Presupuesto 2026'!$A$34:$M$56,AI$1,0)</f>
        <v>22696.969859999997</v>
      </c>
      <c r="AJ92" s="65">
        <f>VLOOKUP($I92,'[19]Gasto Real Vs Presupuesto 2026'!$A$34:$M$56,AJ$1,0)</f>
        <v>22696.969859999997</v>
      </c>
      <c r="AK92" s="65">
        <f t="shared" si="70"/>
        <v>272363.63832000003</v>
      </c>
      <c r="AL92" s="73">
        <f t="shared" si="46"/>
        <v>1.7000641062372005E-3</v>
      </c>
      <c r="AM92" s="14">
        <f t="shared" si="47"/>
        <v>0.18575860646055897</v>
      </c>
      <c r="AN92" s="9"/>
    </row>
    <row r="93" spans="1:40" ht="14.45" hidden="1" customHeight="1" outlineLevel="1">
      <c r="A93" s="12" t="s">
        <v>196</v>
      </c>
      <c r="B93" s="8" t="s">
        <v>89</v>
      </c>
      <c r="I93" s="223" t="s">
        <v>200</v>
      </c>
      <c r="J93" s="65">
        <v>5935</v>
      </c>
      <c r="K93" s="65">
        <v>5687</v>
      </c>
      <c r="L93" s="65">
        <v>5444</v>
      </c>
      <c r="M93" s="65">
        <v>0</v>
      </c>
      <c r="N93" s="65">
        <v>4866</v>
      </c>
      <c r="O93" s="65">
        <v>0</v>
      </c>
      <c r="P93" s="65">
        <v>0</v>
      </c>
      <c r="Q93" s="65">
        <v>0</v>
      </c>
      <c r="R93" s="65">
        <v>5687</v>
      </c>
      <c r="S93" s="65">
        <v>0</v>
      </c>
      <c r="T93" s="65">
        <f t="shared" si="67"/>
        <v>1421.75</v>
      </c>
      <c r="U93" s="65">
        <f t="shared" si="68"/>
        <v>1777.1875</v>
      </c>
      <c r="V93" s="65">
        <f t="shared" si="69"/>
        <v>30817.9375</v>
      </c>
      <c r="W93" s="73">
        <f t="shared" si="44"/>
        <v>2.0793949178115654E-4</v>
      </c>
      <c r="X93" s="89"/>
      <c r="Y93" s="65">
        <f>VLOOKUP($I93,'[19]Gasto Real Vs Presupuesto 2026'!$A$34:$M$56,Y$1,0)</f>
        <v>6594.8665355999992</v>
      </c>
      <c r="Z93" s="65">
        <f>VLOOKUP($I93,'[19]Gasto Real Vs Presupuesto 2026'!$A$34:$M$56,Z$1,0)</f>
        <v>6594.8665355999992</v>
      </c>
      <c r="AA93" s="65">
        <f>VLOOKUP($I93,'[19]Gasto Real Vs Presupuesto 2026'!$A$34:$M$56,AA$1,0)</f>
        <v>6594.8665355999992</v>
      </c>
      <c r="AB93" s="65">
        <f>VLOOKUP($I93,'[19]Gasto Real Vs Presupuesto 2026'!$A$34:$M$56,AB$1,0)</f>
        <v>0</v>
      </c>
      <c r="AC93" s="65">
        <f>VLOOKUP($I93,'[19]Gasto Real Vs Presupuesto 2026'!$A$34:$M$56,AC$1,0)</f>
        <v>6594.8665355999992</v>
      </c>
      <c r="AD93" s="65">
        <f>VLOOKUP($I93,'[19]Gasto Real Vs Presupuesto 2026'!$A$34:$M$56,AD$1,0)</f>
        <v>0</v>
      </c>
      <c r="AE93" s="65">
        <f>VLOOKUP($I93,'[19]Gasto Real Vs Presupuesto 2026'!$A$34:$M$56,AE$1,0)</f>
        <v>0</v>
      </c>
      <c r="AF93" s="65">
        <f>VLOOKUP($I93,'[19]Gasto Real Vs Presupuesto 2026'!$A$34:$M$56,AF$1,0)</f>
        <v>0</v>
      </c>
      <c r="AG93" s="65">
        <f>VLOOKUP($I93,'[19]Gasto Real Vs Presupuesto 2026'!$A$34:$M$56,AG$1,0)</f>
        <v>6594.8665355999992</v>
      </c>
      <c r="AH93" s="65">
        <f>VLOOKUP($I93,'[19]Gasto Real Vs Presupuesto 2026'!$A$34:$M$56,AH$1,0)</f>
        <v>0</v>
      </c>
      <c r="AI93" s="65">
        <f>VLOOKUP($I93,'[19]Gasto Real Vs Presupuesto 2026'!$A$34:$M$56,AI$1,0)</f>
        <v>6594.8665355999992</v>
      </c>
      <c r="AJ93" s="65">
        <f>VLOOKUP($I93,'[19]Gasto Real Vs Presupuesto 2026'!$A$34:$M$56,AJ$1,0)</f>
        <v>6594.8665355999992</v>
      </c>
      <c r="AK93" s="65">
        <f t="shared" si="70"/>
        <v>46164.065749199995</v>
      </c>
      <c r="AL93" s="73">
        <f t="shared" si="46"/>
        <v>2.881510603334675E-4</v>
      </c>
      <c r="AM93" s="14">
        <f t="shared" si="47"/>
        <v>0.4979609115373147</v>
      </c>
      <c r="AN93" s="9"/>
    </row>
    <row r="94" spans="1:40" ht="14.45" hidden="1" customHeight="1" outlineLevel="1">
      <c r="A94" s="12" t="s">
        <v>196</v>
      </c>
      <c r="B94" s="8" t="s">
        <v>89</v>
      </c>
      <c r="I94" s="223" t="s">
        <v>201</v>
      </c>
      <c r="J94" s="65">
        <v>8375</v>
      </c>
      <c r="K94" s="65">
        <v>8033</v>
      </c>
      <c r="L94" s="65">
        <v>9015</v>
      </c>
      <c r="M94" s="65">
        <v>8332</v>
      </c>
      <c r="N94" s="65">
        <v>8690</v>
      </c>
      <c r="O94" s="65">
        <v>8024</v>
      </c>
      <c r="P94" s="65">
        <v>8264</v>
      </c>
      <c r="Q94" s="65">
        <v>7815</v>
      </c>
      <c r="R94" s="65">
        <v>8086</v>
      </c>
      <c r="S94" s="65">
        <v>7885</v>
      </c>
      <c r="T94" s="65">
        <f t="shared" si="67"/>
        <v>8012.5</v>
      </c>
      <c r="U94" s="65">
        <f t="shared" si="68"/>
        <v>7949.625</v>
      </c>
      <c r="V94" s="65">
        <f t="shared" si="69"/>
        <v>98481.125</v>
      </c>
      <c r="W94" s="73">
        <f t="shared" si="44"/>
        <v>6.6448687821943147E-4</v>
      </c>
      <c r="X94" s="89"/>
      <c r="Y94" s="65">
        <f>VLOOKUP($I94,'[19]Gasto Real Vs Presupuesto 2026'!$A$34:$M$56,Y$1,0)</f>
        <v>9199.838817161999</v>
      </c>
      <c r="Z94" s="65">
        <f>VLOOKUP($I94,'[19]Gasto Real Vs Presupuesto 2026'!$A$34:$M$56,Z$1,0)</f>
        <v>8309.5318348559995</v>
      </c>
      <c r="AA94" s="65">
        <f>VLOOKUP($I94,'[19]Gasto Real Vs Presupuesto 2026'!$A$34:$M$56,AA$1,0)</f>
        <v>9199.838817161999</v>
      </c>
      <c r="AB94" s="65">
        <f>VLOOKUP($I94,'[19]Gasto Real Vs Presupuesto 2026'!$A$34:$M$56,AB$1,0)</f>
        <v>8903.069823060001</v>
      </c>
      <c r="AC94" s="65">
        <f>VLOOKUP($I94,'[19]Gasto Real Vs Presupuesto 2026'!$A$34:$M$56,AC$1,0)</f>
        <v>9199.838817161999</v>
      </c>
      <c r="AD94" s="65">
        <f>VLOOKUP($I94,'[19]Gasto Real Vs Presupuesto 2026'!$A$34:$M$56,AD$1,0)</f>
        <v>8903.069823060001</v>
      </c>
      <c r="AE94" s="65">
        <f>VLOOKUP($I94,'[19]Gasto Real Vs Presupuesto 2026'!$A$34:$M$56,AE$1,0)</f>
        <v>9199.838817161999</v>
      </c>
      <c r="AF94" s="65">
        <f>VLOOKUP($I94,'[19]Gasto Real Vs Presupuesto 2026'!$A$34:$M$56,AF$1,0)</f>
        <v>9199.838817161999</v>
      </c>
      <c r="AG94" s="65">
        <f>VLOOKUP($I94,'[19]Gasto Real Vs Presupuesto 2026'!$A$34:$M$56,AG$1,0)</f>
        <v>8903.069823060001</v>
      </c>
      <c r="AH94" s="65">
        <f>VLOOKUP($I94,'[19]Gasto Real Vs Presupuesto 2026'!$A$34:$M$56,AH$1,0)</f>
        <v>9199.838817161999</v>
      </c>
      <c r="AI94" s="65">
        <f>VLOOKUP($I94,'[19]Gasto Real Vs Presupuesto 2026'!$A$34:$M$56,AI$1,0)</f>
        <v>8903.069823060001</v>
      </c>
      <c r="AJ94" s="65">
        <f>VLOOKUP($I94,'[19]Gasto Real Vs Presupuesto 2026'!$A$34:$M$56,AJ$1,0)</f>
        <v>9199.838817161999</v>
      </c>
      <c r="AK94" s="65">
        <f t="shared" si="70"/>
        <v>108320.68284723</v>
      </c>
      <c r="AL94" s="73">
        <f t="shared" si="46"/>
        <v>6.7612588085388633E-4</v>
      </c>
      <c r="AM94" s="14">
        <f t="shared" si="47"/>
        <v>9.9913134087674216E-2</v>
      </c>
      <c r="AN94" s="9"/>
    </row>
    <row r="95" spans="1:40" ht="14.45" hidden="1" customHeight="1" outlineLevel="1">
      <c r="A95" s="12" t="s">
        <v>196</v>
      </c>
      <c r="B95" s="8" t="s">
        <v>89</v>
      </c>
      <c r="I95" s="223" t="s">
        <v>202</v>
      </c>
      <c r="J95" s="65"/>
      <c r="K95" s="65"/>
      <c r="L95" s="65"/>
      <c r="M95" s="65"/>
      <c r="N95" s="65">
        <v>0</v>
      </c>
      <c r="O95" s="65"/>
      <c r="P95" s="65">
        <v>0</v>
      </c>
      <c r="Q95" s="65">
        <v>26973</v>
      </c>
      <c r="R95" s="65">
        <v>0</v>
      </c>
      <c r="S95" s="65"/>
      <c r="T95" s="65">
        <f t="shared" si="67"/>
        <v>8991</v>
      </c>
      <c r="U95" s="65">
        <f t="shared" si="68"/>
        <v>11988</v>
      </c>
      <c r="V95" s="65">
        <f t="shared" si="69"/>
        <v>47952</v>
      </c>
      <c r="W95" s="73">
        <f t="shared" si="44"/>
        <v>3.2354905353059458E-4</v>
      </c>
      <c r="X95" s="89"/>
      <c r="Y95" s="65">
        <f>VLOOKUP($I95,'[19]Gasto Real Vs Presupuesto 2026'!$A$34:$M$56,Y$1,0)</f>
        <v>0</v>
      </c>
      <c r="Z95" s="65">
        <f>VLOOKUP($I95,'[19]Gasto Real Vs Presupuesto 2026'!$A$34:$M$56,Z$1,0)</f>
        <v>0</v>
      </c>
      <c r="AA95" s="65">
        <f>VLOOKUP($I95,'[19]Gasto Real Vs Presupuesto 2026'!$A$34:$M$56,AA$1,0)</f>
        <v>0</v>
      </c>
      <c r="AB95" s="65">
        <f>VLOOKUP($I95,'[19]Gasto Real Vs Presupuesto 2026'!$A$34:$M$56,AB$1,0)</f>
        <v>0</v>
      </c>
      <c r="AC95" s="65">
        <f>VLOOKUP($I95,'[19]Gasto Real Vs Presupuesto 2026'!$A$34:$M$56,AC$1,0)</f>
        <v>0</v>
      </c>
      <c r="AD95" s="65">
        <f>VLOOKUP($I95,'[19]Gasto Real Vs Presupuesto 2026'!$A$34:$M$56,AD$1,0)</f>
        <v>0</v>
      </c>
      <c r="AE95" s="65">
        <f>VLOOKUP($I95,'[19]Gasto Real Vs Presupuesto 2026'!$A$34:$M$56,AE$1,0)</f>
        <v>0</v>
      </c>
      <c r="AF95" s="65">
        <f>VLOOKUP($I95,'[19]Gasto Real Vs Presupuesto 2026'!$A$34:$M$56,AF$1,0)</f>
        <v>0</v>
      </c>
      <c r="AG95" s="65">
        <f>VLOOKUP($I95,'[19]Gasto Real Vs Presupuesto 2026'!$A$34:$M$56,AG$1,0)</f>
        <v>0</v>
      </c>
      <c r="AH95" s="65">
        <f>VLOOKUP($I95,'[19]Gasto Real Vs Presupuesto 2026'!$A$34:$M$56,AH$1,0)</f>
        <v>0</v>
      </c>
      <c r="AI95" s="65">
        <f>VLOOKUP($I95,'[19]Gasto Real Vs Presupuesto 2026'!$A$34:$M$56,AI$1,0)</f>
        <v>0</v>
      </c>
      <c r="AJ95" s="65">
        <f>VLOOKUP($I95,'[19]Gasto Real Vs Presupuesto 2026'!$A$34:$M$56,AJ$1,0)</f>
        <v>0</v>
      </c>
      <c r="AK95" s="65">
        <f t="shared" si="70"/>
        <v>0</v>
      </c>
      <c r="AL95" s="73">
        <f t="shared" si="46"/>
        <v>0</v>
      </c>
      <c r="AM95" s="14">
        <f t="shared" si="47"/>
        <v>-1</v>
      </c>
      <c r="AN95" s="9"/>
    </row>
    <row r="96" spans="1:40" ht="14.45" hidden="1" customHeight="1" outlineLevel="1">
      <c r="A96" s="12" t="s">
        <v>196</v>
      </c>
      <c r="B96" s="8" t="s">
        <v>89</v>
      </c>
      <c r="E96" s="7">
        <v>0</v>
      </c>
      <c r="I96" s="223" t="s">
        <v>203</v>
      </c>
      <c r="J96" s="65">
        <v>13733</v>
      </c>
      <c r="K96" s="65">
        <v>13213</v>
      </c>
      <c r="L96" s="65">
        <v>15550</v>
      </c>
      <c r="M96" s="65">
        <v>12861</v>
      </c>
      <c r="N96" s="65">
        <v>15781</v>
      </c>
      <c r="O96" s="65">
        <v>13816</v>
      </c>
      <c r="P96" s="65">
        <v>12673</v>
      </c>
      <c r="Q96" s="65">
        <v>13843</v>
      </c>
      <c r="R96" s="65">
        <v>14479</v>
      </c>
      <c r="S96" s="65">
        <v>13373</v>
      </c>
      <c r="T96" s="65">
        <f t="shared" si="67"/>
        <v>13592</v>
      </c>
      <c r="U96" s="65">
        <f t="shared" si="68"/>
        <v>13821.75</v>
      </c>
      <c r="V96" s="65">
        <f t="shared" si="69"/>
        <v>166735.75</v>
      </c>
      <c r="W96" s="73">
        <f t="shared" si="44"/>
        <v>1.1250249020314865E-3</v>
      </c>
      <c r="X96" s="89"/>
      <c r="Y96" s="65">
        <f>VLOOKUP($I96,'[19]Gasto Real Vs Presupuesto 2026'!$A$34:$M$56,Y$1,0)</f>
        <v>14293.894780000001</v>
      </c>
      <c r="Z96" s="65">
        <f>VLOOKUP($I96,'[19]Gasto Real Vs Presupuesto 2026'!$A$34:$M$56,Z$1,0)</f>
        <v>12910.614639999998</v>
      </c>
      <c r="AA96" s="65">
        <f>VLOOKUP($I96,'[19]Gasto Real Vs Presupuesto 2026'!$A$34:$M$56,AA$1,0)</f>
        <v>14293.894780000001</v>
      </c>
      <c r="AB96" s="65">
        <f>VLOOKUP($I96,'[19]Gasto Real Vs Presupuesto 2026'!$A$34:$M$56,AB$1,0)</f>
        <v>13832.801399999998</v>
      </c>
      <c r="AC96" s="65">
        <f>VLOOKUP($I96,'[19]Gasto Real Vs Presupuesto 2026'!$A$34:$M$56,AC$1,0)</f>
        <v>14293.894780000001</v>
      </c>
      <c r="AD96" s="65">
        <f>VLOOKUP($I96,'[19]Gasto Real Vs Presupuesto 2026'!$A$34:$M$56,AD$1,0)</f>
        <v>13832.801399999998</v>
      </c>
      <c r="AE96" s="65">
        <f>VLOOKUP($I96,'[19]Gasto Real Vs Presupuesto 2026'!$A$34:$M$56,AE$1,0)</f>
        <v>14293.894780000001</v>
      </c>
      <c r="AF96" s="65">
        <f>VLOOKUP($I96,'[19]Gasto Real Vs Presupuesto 2026'!$A$34:$M$56,AF$1,0)</f>
        <v>14293.894780000001</v>
      </c>
      <c r="AG96" s="65">
        <f>VLOOKUP($I96,'[19]Gasto Real Vs Presupuesto 2026'!$A$34:$M$56,AG$1,0)</f>
        <v>13832.801399999998</v>
      </c>
      <c r="AH96" s="65">
        <f>VLOOKUP($I96,'[19]Gasto Real Vs Presupuesto 2026'!$A$34:$M$56,AH$1,0)</f>
        <v>14293.894780000001</v>
      </c>
      <c r="AI96" s="65">
        <f>VLOOKUP($I96,'[19]Gasto Real Vs Presupuesto 2026'!$A$34:$M$56,AI$1,0)</f>
        <v>13832.801399999998</v>
      </c>
      <c r="AJ96" s="65">
        <f>VLOOKUP($I96,'[19]Gasto Real Vs Presupuesto 2026'!$A$34:$M$56,AJ$1,0)</f>
        <v>14293.894780000001</v>
      </c>
      <c r="AK96" s="65">
        <f t="shared" si="70"/>
        <v>168299.08369999999</v>
      </c>
      <c r="AL96" s="73">
        <f t="shared" si="46"/>
        <v>1.0505045132890272E-3</v>
      </c>
      <c r="AM96" s="14">
        <f t="shared" si="47"/>
        <v>9.3761158000007505E-3</v>
      </c>
      <c r="AN96" s="9"/>
    </row>
    <row r="97" spans="1:40" ht="14.45" hidden="1" customHeight="1" outlineLevel="1">
      <c r="A97" s="12" t="s">
        <v>196</v>
      </c>
      <c r="B97" s="8" t="s">
        <v>89</v>
      </c>
      <c r="I97" s="223" t="s">
        <v>204</v>
      </c>
      <c r="J97" s="65">
        <v>11777</v>
      </c>
      <c r="K97" s="65">
        <v>10761</v>
      </c>
      <c r="L97" s="65">
        <v>12022</v>
      </c>
      <c r="M97" s="65">
        <v>9749</v>
      </c>
      <c r="N97" s="65">
        <v>13441</v>
      </c>
      <c r="O97" s="65">
        <v>10856</v>
      </c>
      <c r="P97" s="65">
        <v>11219</v>
      </c>
      <c r="Q97" s="65">
        <v>11498</v>
      </c>
      <c r="R97" s="65">
        <v>12820</v>
      </c>
      <c r="S97" s="65">
        <v>12057</v>
      </c>
      <c r="T97" s="65">
        <f t="shared" si="67"/>
        <v>11898.5</v>
      </c>
      <c r="U97" s="65">
        <f t="shared" si="68"/>
        <v>12068.375</v>
      </c>
      <c r="V97" s="65">
        <f t="shared" si="69"/>
        <v>140166.875</v>
      </c>
      <c r="W97" s="73">
        <f t="shared" si="44"/>
        <v>9.4575533330395307E-4</v>
      </c>
      <c r="X97" s="89"/>
      <c r="Y97" s="65">
        <f>VLOOKUP($I97,'[19]Gasto Real Vs Presupuesto 2026'!$A$34:$M$56,Y$1,0)</f>
        <v>12639.984640000001</v>
      </c>
      <c r="Z97" s="65">
        <f>VLOOKUP($I97,'[19]Gasto Real Vs Presupuesto 2026'!$A$34:$M$56,Z$1,0)</f>
        <v>11416.760319999999</v>
      </c>
      <c r="AA97" s="65">
        <f>VLOOKUP($I97,'[19]Gasto Real Vs Presupuesto 2026'!$A$34:$M$56,AA$1,0)</f>
        <v>12639.984640000001</v>
      </c>
      <c r="AB97" s="65">
        <f>VLOOKUP($I97,'[19]Gasto Real Vs Presupuesto 2026'!$A$34:$M$56,AB$1,0)</f>
        <v>12232.243200000001</v>
      </c>
      <c r="AC97" s="65">
        <f>VLOOKUP($I97,'[19]Gasto Real Vs Presupuesto 2026'!$A$34:$M$56,AC$1,0)</f>
        <v>12639.984640000001</v>
      </c>
      <c r="AD97" s="65">
        <f>VLOOKUP($I97,'[19]Gasto Real Vs Presupuesto 2026'!$A$34:$M$56,AD$1,0)</f>
        <v>12232.243200000001</v>
      </c>
      <c r="AE97" s="65">
        <f>VLOOKUP($I97,'[19]Gasto Real Vs Presupuesto 2026'!$A$34:$M$56,AE$1,0)</f>
        <v>12639.984640000001</v>
      </c>
      <c r="AF97" s="65">
        <f>VLOOKUP($I97,'[19]Gasto Real Vs Presupuesto 2026'!$A$34:$M$56,AF$1,0)</f>
        <v>12639.984640000001</v>
      </c>
      <c r="AG97" s="65">
        <f>VLOOKUP($I97,'[19]Gasto Real Vs Presupuesto 2026'!$A$34:$M$56,AG$1,0)</f>
        <v>12232.243200000001</v>
      </c>
      <c r="AH97" s="65">
        <f>VLOOKUP($I97,'[19]Gasto Real Vs Presupuesto 2026'!$A$34:$M$56,AH$1,0)</f>
        <v>12639.984640000001</v>
      </c>
      <c r="AI97" s="65">
        <f>VLOOKUP($I97,'[19]Gasto Real Vs Presupuesto 2026'!$A$34:$M$56,AI$1,0)</f>
        <v>12232.243200000001</v>
      </c>
      <c r="AJ97" s="65">
        <f>VLOOKUP($I97,'[19]Gasto Real Vs Presupuesto 2026'!$A$34:$M$56,AJ$1,0)</f>
        <v>12639.984640000001</v>
      </c>
      <c r="AK97" s="65">
        <f t="shared" si="70"/>
        <v>148825.6256</v>
      </c>
      <c r="AL97" s="73">
        <f t="shared" si="46"/>
        <v>9.2895331304684349E-4</v>
      </c>
      <c r="AM97" s="14">
        <f t="shared" si="47"/>
        <v>6.1774585471781496E-2</v>
      </c>
      <c r="AN97" s="9"/>
    </row>
    <row r="98" spans="1:40" ht="14.45" hidden="1" customHeight="1" outlineLevel="1">
      <c r="A98" s="12" t="s">
        <v>196</v>
      </c>
      <c r="B98" s="8" t="s">
        <v>89</v>
      </c>
      <c r="I98" s="226" t="s">
        <v>205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f t="shared" si="67"/>
        <v>0</v>
      </c>
      <c r="U98" s="65">
        <f t="shared" si="68"/>
        <v>0</v>
      </c>
      <c r="V98" s="65">
        <f t="shared" si="69"/>
        <v>0</v>
      </c>
      <c r="W98" s="73">
        <f t="shared" si="44"/>
        <v>0</v>
      </c>
      <c r="X98" s="89"/>
      <c r="Y98" s="65">
        <f>VLOOKUP($I98,'[19]Gasto Real Vs Presupuesto 2026'!$A$34:$M$56,Y$1,0)</f>
        <v>0</v>
      </c>
      <c r="Z98" s="65">
        <f>VLOOKUP($I98,'[19]Gasto Real Vs Presupuesto 2026'!$A$34:$M$56,Z$1,0)</f>
        <v>0</v>
      </c>
      <c r="AA98" s="65">
        <f>VLOOKUP($I98,'[19]Gasto Real Vs Presupuesto 2026'!$A$34:$M$56,AA$1,0)</f>
        <v>0</v>
      </c>
      <c r="AB98" s="65">
        <f>VLOOKUP($I98,'[19]Gasto Real Vs Presupuesto 2026'!$A$34:$M$56,AB$1,0)</f>
        <v>0</v>
      </c>
      <c r="AC98" s="65">
        <f>VLOOKUP($I98,'[19]Gasto Real Vs Presupuesto 2026'!$A$34:$M$56,AC$1,0)</f>
        <v>0</v>
      </c>
      <c r="AD98" s="65">
        <f>VLOOKUP($I98,'[19]Gasto Real Vs Presupuesto 2026'!$A$34:$M$56,AD$1,0)</f>
        <v>0</v>
      </c>
      <c r="AE98" s="65">
        <f>VLOOKUP($I98,'[19]Gasto Real Vs Presupuesto 2026'!$A$34:$M$56,AE$1,0)</f>
        <v>0</v>
      </c>
      <c r="AF98" s="65">
        <f>VLOOKUP($I98,'[19]Gasto Real Vs Presupuesto 2026'!$A$34:$M$56,AF$1,0)</f>
        <v>0</v>
      </c>
      <c r="AG98" s="65">
        <f>VLOOKUP($I98,'[19]Gasto Real Vs Presupuesto 2026'!$A$34:$M$56,AG$1,0)</f>
        <v>0</v>
      </c>
      <c r="AH98" s="65">
        <f>VLOOKUP($I98,'[19]Gasto Real Vs Presupuesto 2026'!$A$34:$M$56,AH$1,0)</f>
        <v>0</v>
      </c>
      <c r="AI98" s="65">
        <f>VLOOKUP($I98,'[19]Gasto Real Vs Presupuesto 2026'!$A$34:$M$56,AI$1,0)</f>
        <v>0</v>
      </c>
      <c r="AJ98" s="65">
        <f>VLOOKUP($I98,'[19]Gasto Real Vs Presupuesto 2026'!$A$34:$M$56,AJ$1,0)</f>
        <v>0</v>
      </c>
      <c r="AK98" s="65">
        <f t="shared" si="70"/>
        <v>0</v>
      </c>
      <c r="AL98" s="73">
        <f t="shared" si="46"/>
        <v>0</v>
      </c>
      <c r="AM98" s="14">
        <f t="shared" si="47"/>
        <v>0</v>
      </c>
      <c r="AN98" s="9"/>
    </row>
    <row r="99" spans="1:40" ht="14.45" hidden="1" customHeight="1" outlineLevel="1">
      <c r="A99" s="12" t="s">
        <v>196</v>
      </c>
      <c r="B99" s="8" t="s">
        <v>89</v>
      </c>
      <c r="I99" s="223" t="s">
        <v>206</v>
      </c>
      <c r="J99" s="65">
        <v>3678</v>
      </c>
      <c r="K99" s="65">
        <v>3475</v>
      </c>
      <c r="L99" s="65">
        <v>3493</v>
      </c>
      <c r="M99" s="65">
        <v>3024</v>
      </c>
      <c r="N99" s="65">
        <v>2991</v>
      </c>
      <c r="O99" s="65">
        <v>2909</v>
      </c>
      <c r="P99" s="65">
        <v>2931</v>
      </c>
      <c r="Q99" s="65">
        <v>3160</v>
      </c>
      <c r="R99" s="65">
        <v>3180</v>
      </c>
      <c r="S99" s="65">
        <v>3074</v>
      </c>
      <c r="T99" s="65">
        <f t="shared" si="67"/>
        <v>3086.25</v>
      </c>
      <c r="U99" s="65">
        <f t="shared" si="68"/>
        <v>3125.0625</v>
      </c>
      <c r="V99" s="65">
        <f t="shared" si="69"/>
        <v>38126.3125</v>
      </c>
      <c r="W99" s="73">
        <f t="shared" si="44"/>
        <v>2.5725167509148061E-4</v>
      </c>
      <c r="X99" s="89"/>
      <c r="Y99" s="65">
        <f>VLOOKUP($I99,'[19]Gasto Real Vs Presupuesto 2026'!$A$34:$M$56,Y$1,0)</f>
        <v>3790.9417391999996</v>
      </c>
      <c r="Z99" s="65">
        <f>VLOOKUP($I99,'[19]Gasto Real Vs Presupuesto 2026'!$A$34:$M$56,Z$1,0)</f>
        <v>3424.0764095999994</v>
      </c>
      <c r="AA99" s="65">
        <f>VLOOKUP($I99,'[19]Gasto Real Vs Presupuesto 2026'!$A$34:$M$56,AA$1,0)</f>
        <v>3790.9417391999996</v>
      </c>
      <c r="AB99" s="65">
        <f>VLOOKUP($I99,'[19]Gasto Real Vs Presupuesto 2026'!$A$34:$M$56,AB$1,0)</f>
        <v>3668.6532959999995</v>
      </c>
      <c r="AC99" s="65">
        <f>VLOOKUP($I99,'[19]Gasto Real Vs Presupuesto 2026'!$A$34:$M$56,AC$1,0)</f>
        <v>3790.9417391999996</v>
      </c>
      <c r="AD99" s="65">
        <f>VLOOKUP($I99,'[19]Gasto Real Vs Presupuesto 2026'!$A$34:$M$56,AD$1,0)</f>
        <v>3668.6532959999995</v>
      </c>
      <c r="AE99" s="65">
        <f>VLOOKUP($I99,'[19]Gasto Real Vs Presupuesto 2026'!$A$34:$M$56,AE$1,0)</f>
        <v>3790.9417391999996</v>
      </c>
      <c r="AF99" s="65">
        <f>VLOOKUP($I99,'[19]Gasto Real Vs Presupuesto 2026'!$A$34:$M$56,AF$1,0)</f>
        <v>3790.9417391999996</v>
      </c>
      <c r="AG99" s="65">
        <f>VLOOKUP($I99,'[19]Gasto Real Vs Presupuesto 2026'!$A$34:$M$56,AG$1,0)</f>
        <v>3668.6532959999995</v>
      </c>
      <c r="AH99" s="65">
        <f>VLOOKUP($I99,'[19]Gasto Real Vs Presupuesto 2026'!$A$34:$M$56,AH$1,0)</f>
        <v>3790.9417391999996</v>
      </c>
      <c r="AI99" s="65">
        <f>VLOOKUP($I99,'[19]Gasto Real Vs Presupuesto 2026'!$A$34:$M$56,AI$1,0)</f>
        <v>3668.6532959999995</v>
      </c>
      <c r="AJ99" s="65">
        <f>VLOOKUP($I99,'[19]Gasto Real Vs Presupuesto 2026'!$A$34:$M$56,AJ$1,0)</f>
        <v>3790.9417391999996</v>
      </c>
      <c r="AK99" s="65">
        <f t="shared" si="70"/>
        <v>44635.281767999986</v>
      </c>
      <c r="AL99" s="73">
        <f t="shared" si="46"/>
        <v>2.7860855756525678E-4</v>
      </c>
      <c r="AM99" s="14">
        <f t="shared" si="47"/>
        <v>0.17072118548049953</v>
      </c>
      <c r="AN99" s="9"/>
    </row>
    <row r="100" spans="1:40" ht="14.45" hidden="1" customHeight="1" outlineLevel="1">
      <c r="A100" s="12" t="s">
        <v>196</v>
      </c>
      <c r="B100" s="8" t="s">
        <v>89</v>
      </c>
      <c r="I100" s="223" t="s">
        <v>207</v>
      </c>
      <c r="J100" s="65">
        <v>1443</v>
      </c>
      <c r="K100" s="65">
        <v>1313</v>
      </c>
      <c r="L100" s="65">
        <v>1412</v>
      </c>
      <c r="M100" s="65">
        <v>1335</v>
      </c>
      <c r="N100" s="65">
        <v>1380</v>
      </c>
      <c r="O100" s="65">
        <v>1296</v>
      </c>
      <c r="P100" s="65">
        <v>1376</v>
      </c>
      <c r="Q100" s="65">
        <v>1429</v>
      </c>
      <c r="R100" s="65">
        <v>1493</v>
      </c>
      <c r="S100" s="65">
        <v>1567</v>
      </c>
      <c r="T100" s="65">
        <f t="shared" si="67"/>
        <v>1466.25</v>
      </c>
      <c r="U100" s="65">
        <f t="shared" si="68"/>
        <v>1488.8125</v>
      </c>
      <c r="V100" s="65">
        <f t="shared" si="69"/>
        <v>16999.0625</v>
      </c>
      <c r="W100" s="73">
        <f t="shared" si="44"/>
        <v>1.1469866914377758E-4</v>
      </c>
      <c r="X100" s="89"/>
      <c r="Y100" s="65">
        <f>VLOOKUP($I100,'[19]Gasto Real Vs Presupuesto 2026'!$A$34:$M$56,Y$1,0)</f>
        <v>1516.9698709171232</v>
      </c>
      <c r="Z100" s="65">
        <f>VLOOKUP($I100,'[19]Gasto Real Vs Presupuesto 2026'!$A$34:$M$56,Z$1,0)</f>
        <v>1370.166335021918</v>
      </c>
      <c r="AA100" s="65">
        <f>VLOOKUP($I100,'[19]Gasto Real Vs Presupuesto 2026'!$A$34:$M$56,AA$1,0)</f>
        <v>1516.9698709171232</v>
      </c>
      <c r="AB100" s="65">
        <f>VLOOKUP($I100,'[19]Gasto Real Vs Presupuesto 2026'!$A$34:$M$56,AB$1,0)</f>
        <v>1468.0353589520548</v>
      </c>
      <c r="AC100" s="65">
        <f>VLOOKUP($I100,'[19]Gasto Real Vs Presupuesto 2026'!$A$34:$M$56,AC$1,0)</f>
        <v>1516.9698709171232</v>
      </c>
      <c r="AD100" s="65">
        <f>VLOOKUP($I100,'[19]Gasto Real Vs Presupuesto 2026'!$A$34:$M$56,AD$1,0)</f>
        <v>1468.0353589520548</v>
      </c>
      <c r="AE100" s="65">
        <f>VLOOKUP($I100,'[19]Gasto Real Vs Presupuesto 2026'!$A$34:$M$56,AE$1,0)</f>
        <v>1516.9698709171232</v>
      </c>
      <c r="AF100" s="65">
        <f>VLOOKUP($I100,'[19]Gasto Real Vs Presupuesto 2026'!$A$34:$M$56,AF$1,0)</f>
        <v>1516.9698709171232</v>
      </c>
      <c r="AG100" s="65">
        <f>VLOOKUP($I100,'[19]Gasto Real Vs Presupuesto 2026'!$A$34:$M$56,AG$1,0)</f>
        <v>1468.0353589520548</v>
      </c>
      <c r="AH100" s="65">
        <f>VLOOKUP($I100,'[19]Gasto Real Vs Presupuesto 2026'!$A$34:$M$56,AH$1,0)</f>
        <v>1516.9698709171232</v>
      </c>
      <c r="AI100" s="65">
        <f>VLOOKUP($I100,'[19]Gasto Real Vs Presupuesto 2026'!$A$34:$M$56,AI$1,0)</f>
        <v>1468.0353589520548</v>
      </c>
      <c r="AJ100" s="65">
        <f>VLOOKUP($I100,'[19]Gasto Real Vs Presupuesto 2026'!$A$34:$M$56,AJ$1,0)</f>
        <v>1516.9698709171232</v>
      </c>
      <c r="AK100" s="65">
        <f t="shared" si="70"/>
        <v>17861.096867249998</v>
      </c>
      <c r="AL100" s="73">
        <f t="shared" si="46"/>
        <v>1.1148701739092493E-4</v>
      </c>
      <c r="AM100" s="14">
        <f t="shared" si="47"/>
        <v>5.071070050186588E-2</v>
      </c>
      <c r="AN100" s="9"/>
    </row>
    <row r="101" spans="1:40" ht="14.45" hidden="1" customHeight="1" outlineLevel="1">
      <c r="A101" s="12" t="s">
        <v>196</v>
      </c>
      <c r="B101" s="8" t="s">
        <v>89</v>
      </c>
      <c r="I101" s="223" t="s">
        <v>208</v>
      </c>
      <c r="J101" s="65">
        <v>0</v>
      </c>
      <c r="K101" s="65">
        <v>0</v>
      </c>
      <c r="L101" s="65">
        <v>5586</v>
      </c>
      <c r="M101" s="65">
        <v>0</v>
      </c>
      <c r="N101" s="65">
        <v>0</v>
      </c>
      <c r="O101" s="65">
        <v>3535</v>
      </c>
      <c r="P101" s="65">
        <v>0</v>
      </c>
      <c r="Q101" s="65">
        <v>0</v>
      </c>
      <c r="R101" s="65">
        <v>0</v>
      </c>
      <c r="S101" s="65">
        <v>0</v>
      </c>
      <c r="T101" s="65">
        <f t="shared" si="67"/>
        <v>0</v>
      </c>
      <c r="U101" s="65">
        <f t="shared" si="68"/>
        <v>0</v>
      </c>
      <c r="V101" s="65">
        <f t="shared" si="69"/>
        <v>9121</v>
      </c>
      <c r="W101" s="73">
        <f t="shared" si="44"/>
        <v>6.1542603379474329E-5</v>
      </c>
      <c r="X101" s="89"/>
      <c r="Y101" s="65">
        <f>VLOOKUP($I101,'[19]Gasto Real Vs Presupuesto 2026'!$A$34:$M$56,Y$1,0)</f>
        <v>0</v>
      </c>
      <c r="Z101" s="65">
        <f>VLOOKUP($I101,'[19]Gasto Real Vs Presupuesto 2026'!$A$34:$M$56,Z$1,0)</f>
        <v>0</v>
      </c>
      <c r="AA101" s="65">
        <f>VLOOKUP($I101,'[19]Gasto Real Vs Presupuesto 2026'!$A$34:$M$56,AA$1,0)</f>
        <v>0</v>
      </c>
      <c r="AB101" s="65">
        <f>VLOOKUP($I101,'[19]Gasto Real Vs Presupuesto 2026'!$A$34:$M$56,AB$1,0)</f>
        <v>0</v>
      </c>
      <c r="AC101" s="65">
        <f>VLOOKUP($I101,'[19]Gasto Real Vs Presupuesto 2026'!$A$34:$M$56,AC$1,0)</f>
        <v>0</v>
      </c>
      <c r="AD101" s="65">
        <f>VLOOKUP($I101,'[19]Gasto Real Vs Presupuesto 2026'!$A$34:$M$56,AD$1,0)</f>
        <v>0</v>
      </c>
      <c r="AE101" s="65">
        <f>VLOOKUP($I101,'[19]Gasto Real Vs Presupuesto 2026'!$A$34:$M$56,AE$1,0)</f>
        <v>0</v>
      </c>
      <c r="AF101" s="65">
        <f>VLOOKUP($I101,'[19]Gasto Real Vs Presupuesto 2026'!$A$34:$M$56,AF$1,0)</f>
        <v>0</v>
      </c>
      <c r="AG101" s="65">
        <f>VLOOKUP($I101,'[19]Gasto Real Vs Presupuesto 2026'!$A$34:$M$56,AG$1,0)</f>
        <v>0</v>
      </c>
      <c r="AH101" s="65">
        <f>VLOOKUP($I101,'[19]Gasto Real Vs Presupuesto 2026'!$A$34:$M$56,AH$1,0)</f>
        <v>0</v>
      </c>
      <c r="AI101" s="65">
        <f>VLOOKUP($I101,'[19]Gasto Real Vs Presupuesto 2026'!$A$34:$M$56,AI$1,0)</f>
        <v>0</v>
      </c>
      <c r="AJ101" s="65">
        <f>VLOOKUP($I101,'[19]Gasto Real Vs Presupuesto 2026'!$A$34:$M$56,AJ$1,0)</f>
        <v>0</v>
      </c>
      <c r="AK101" s="65">
        <f t="shared" si="70"/>
        <v>0</v>
      </c>
      <c r="AL101" s="73">
        <f t="shared" si="46"/>
        <v>0</v>
      </c>
      <c r="AM101" s="14">
        <f t="shared" si="47"/>
        <v>-1</v>
      </c>
      <c r="AN101" s="9"/>
    </row>
    <row r="102" spans="1:40" ht="14.45" hidden="1" customHeight="1" outlineLevel="1">
      <c r="A102" s="12" t="s">
        <v>196</v>
      </c>
      <c r="B102" s="8" t="s">
        <v>89</v>
      </c>
      <c r="I102" s="223" t="s">
        <v>209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/>
      <c r="T102" s="65">
        <f t="shared" si="67"/>
        <v>0</v>
      </c>
      <c r="U102" s="65">
        <f t="shared" si="68"/>
        <v>0</v>
      </c>
      <c r="V102" s="65">
        <f t="shared" si="69"/>
        <v>0</v>
      </c>
      <c r="W102" s="73">
        <f t="shared" si="44"/>
        <v>0</v>
      </c>
      <c r="X102" s="89"/>
      <c r="Y102" s="65">
        <f>VLOOKUP($I102,'[19]Gasto Real Vs Presupuesto 2026'!$A$34:$M$56,Y$1,0)</f>
        <v>0</v>
      </c>
      <c r="Z102" s="65">
        <f>VLOOKUP($I102,'[19]Gasto Real Vs Presupuesto 2026'!$A$34:$M$56,Z$1,0)</f>
        <v>0</v>
      </c>
      <c r="AA102" s="65">
        <f>VLOOKUP($I102,'[19]Gasto Real Vs Presupuesto 2026'!$A$34:$M$56,AA$1,0)</f>
        <v>0</v>
      </c>
      <c r="AB102" s="65">
        <f>VLOOKUP($I102,'[19]Gasto Real Vs Presupuesto 2026'!$A$34:$M$56,AB$1,0)</f>
        <v>0</v>
      </c>
      <c r="AC102" s="65">
        <f>VLOOKUP($I102,'[19]Gasto Real Vs Presupuesto 2026'!$A$34:$M$56,AC$1,0)</f>
        <v>0</v>
      </c>
      <c r="AD102" s="65">
        <f>VLOOKUP($I102,'[19]Gasto Real Vs Presupuesto 2026'!$A$34:$M$56,AD$1,0)</f>
        <v>0</v>
      </c>
      <c r="AE102" s="65">
        <f>VLOOKUP($I102,'[19]Gasto Real Vs Presupuesto 2026'!$A$34:$M$56,AE$1,0)</f>
        <v>0</v>
      </c>
      <c r="AF102" s="65">
        <f>VLOOKUP($I102,'[19]Gasto Real Vs Presupuesto 2026'!$A$34:$M$56,AF$1,0)</f>
        <v>0</v>
      </c>
      <c r="AG102" s="65">
        <f>VLOOKUP($I102,'[19]Gasto Real Vs Presupuesto 2026'!$A$34:$M$56,AG$1,0)</f>
        <v>0</v>
      </c>
      <c r="AH102" s="65">
        <f>VLOOKUP($I102,'[19]Gasto Real Vs Presupuesto 2026'!$A$34:$M$56,AH$1,0)</f>
        <v>0</v>
      </c>
      <c r="AI102" s="65">
        <f>VLOOKUP($I102,'[19]Gasto Real Vs Presupuesto 2026'!$A$34:$M$56,AI$1,0)</f>
        <v>0</v>
      </c>
      <c r="AJ102" s="65">
        <f>VLOOKUP($I102,'[19]Gasto Real Vs Presupuesto 2026'!$A$34:$M$56,AJ$1,0)</f>
        <v>0</v>
      </c>
      <c r="AK102" s="65">
        <f t="shared" si="70"/>
        <v>0</v>
      </c>
      <c r="AL102" s="73">
        <f t="shared" si="46"/>
        <v>0</v>
      </c>
      <c r="AM102" s="14">
        <f t="shared" si="47"/>
        <v>0</v>
      </c>
      <c r="AN102" s="9"/>
    </row>
    <row r="103" spans="1:40" ht="14.45" hidden="1" customHeight="1" outlineLevel="1">
      <c r="A103" s="12" t="s">
        <v>196</v>
      </c>
      <c r="B103" s="8" t="s">
        <v>89</v>
      </c>
      <c r="I103" s="223" t="s">
        <v>210</v>
      </c>
      <c r="J103" s="65">
        <v>139583</v>
      </c>
      <c r="K103" s="65">
        <v>133877</v>
      </c>
      <c r="L103" s="65">
        <v>156580</v>
      </c>
      <c r="M103" s="65">
        <v>138870</v>
      </c>
      <c r="N103" s="65">
        <v>144827</v>
      </c>
      <c r="O103" s="65">
        <v>133732</v>
      </c>
      <c r="P103" s="65">
        <v>137742</v>
      </c>
      <c r="Q103" s="65">
        <v>130257</v>
      </c>
      <c r="R103" s="65">
        <v>134776</v>
      </c>
      <c r="S103" s="65">
        <v>131417</v>
      </c>
      <c r="T103" s="65">
        <f t="shared" si="67"/>
        <v>133548</v>
      </c>
      <c r="U103" s="65">
        <f t="shared" si="68"/>
        <v>132499.5</v>
      </c>
      <c r="V103" s="65">
        <f t="shared" si="69"/>
        <v>1647708.5</v>
      </c>
      <c r="W103" s="73">
        <f t="shared" si="44"/>
        <v>1.1117670288399143E-2</v>
      </c>
      <c r="X103" s="89"/>
      <c r="Y103" s="65">
        <f>VLOOKUP($I103,'[19]Gasto Real Vs Presupuesto 2026'!$A$34:$M$56,Y$1,0)</f>
        <v>170367.385503</v>
      </c>
      <c r="Z103" s="65">
        <f>VLOOKUP($I103,'[19]Gasto Real Vs Presupuesto 2026'!$A$34:$M$56,Z$1,0)</f>
        <v>153880.21916399998</v>
      </c>
      <c r="AA103" s="65">
        <f>VLOOKUP($I103,'[19]Gasto Real Vs Presupuesto 2026'!$A$34:$M$56,AA$1,0)</f>
        <v>170367.385503</v>
      </c>
      <c r="AB103" s="65">
        <f>VLOOKUP($I103,'[19]Gasto Real Vs Presupuesto 2026'!$A$34:$M$56,AB$1,0)</f>
        <v>164871.66339</v>
      </c>
      <c r="AC103" s="65">
        <f>VLOOKUP($I103,'[19]Gasto Real Vs Presupuesto 2026'!$A$34:$M$56,AC$1,0)</f>
        <v>170367.385503</v>
      </c>
      <c r="AD103" s="65">
        <f>VLOOKUP($I103,'[19]Gasto Real Vs Presupuesto 2026'!$A$34:$M$56,AD$1,0)</f>
        <v>164871.66339</v>
      </c>
      <c r="AE103" s="65">
        <f>VLOOKUP($I103,'[19]Gasto Real Vs Presupuesto 2026'!$A$34:$M$56,AE$1,0)</f>
        <v>170367.385503</v>
      </c>
      <c r="AF103" s="65">
        <f>VLOOKUP($I103,'[19]Gasto Real Vs Presupuesto 2026'!$A$34:$M$56,AF$1,0)</f>
        <v>170367.385503</v>
      </c>
      <c r="AG103" s="65">
        <f>VLOOKUP($I103,'[19]Gasto Real Vs Presupuesto 2026'!$A$34:$M$56,AG$1,0)</f>
        <v>164871.66339</v>
      </c>
      <c r="AH103" s="65">
        <f>VLOOKUP($I103,'[19]Gasto Real Vs Presupuesto 2026'!$A$34:$M$56,AH$1,0)</f>
        <v>170367.385503</v>
      </c>
      <c r="AI103" s="65">
        <f>VLOOKUP($I103,'[19]Gasto Real Vs Presupuesto 2026'!$A$34:$M$56,AI$1,0)</f>
        <v>164871.66339</v>
      </c>
      <c r="AJ103" s="65">
        <f>VLOOKUP($I103,'[19]Gasto Real Vs Presupuesto 2026'!$A$34:$M$56,AJ$1,0)</f>
        <v>170367.385503</v>
      </c>
      <c r="AK103" s="65">
        <f t="shared" si="70"/>
        <v>2005938.5712450002</v>
      </c>
      <c r="AL103" s="73">
        <f t="shared" si="46"/>
        <v>1.2520849645442341E-2</v>
      </c>
      <c r="AM103" s="14">
        <f t="shared" si="47"/>
        <v>0.21741107194931653</v>
      </c>
      <c r="AN103" s="9"/>
    </row>
    <row r="104" spans="1:40" ht="14.45" hidden="1" customHeight="1" outlineLevel="1">
      <c r="A104" s="12" t="s">
        <v>196</v>
      </c>
      <c r="B104" s="8" t="s">
        <v>89</v>
      </c>
      <c r="I104" s="223" t="s">
        <v>211</v>
      </c>
      <c r="J104" s="65">
        <v>72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f t="shared" si="67"/>
        <v>0</v>
      </c>
      <c r="U104" s="65">
        <f t="shared" si="68"/>
        <v>0</v>
      </c>
      <c r="V104" s="65">
        <f t="shared" si="69"/>
        <v>72</v>
      </c>
      <c r="W104" s="73">
        <f t="shared" si="44"/>
        <v>4.858093896855775E-7</v>
      </c>
      <c r="X104" s="89"/>
      <c r="Y104" s="65">
        <f>VLOOKUP($I104,'[19]Gasto Real Vs Presupuesto 2026'!$A$34:$M$56,Y$1,0)</f>
        <v>0</v>
      </c>
      <c r="Z104" s="65">
        <f>VLOOKUP($I104,'[19]Gasto Real Vs Presupuesto 2026'!$A$34:$M$56,Z$1,0)</f>
        <v>0</v>
      </c>
      <c r="AA104" s="65">
        <f>VLOOKUP($I104,'[19]Gasto Real Vs Presupuesto 2026'!$A$34:$M$56,AA$1,0)</f>
        <v>0</v>
      </c>
      <c r="AB104" s="65">
        <f>VLOOKUP($I104,'[19]Gasto Real Vs Presupuesto 2026'!$A$34:$M$56,AB$1,0)</f>
        <v>0</v>
      </c>
      <c r="AC104" s="65">
        <f>VLOOKUP($I104,'[19]Gasto Real Vs Presupuesto 2026'!$A$34:$M$56,AC$1,0)</f>
        <v>0</v>
      </c>
      <c r="AD104" s="65">
        <f>VLOOKUP($I104,'[19]Gasto Real Vs Presupuesto 2026'!$A$34:$M$56,AD$1,0)</f>
        <v>0</v>
      </c>
      <c r="AE104" s="65">
        <f>VLOOKUP($I104,'[19]Gasto Real Vs Presupuesto 2026'!$A$34:$M$56,AE$1,0)</f>
        <v>0</v>
      </c>
      <c r="AF104" s="65">
        <f>VLOOKUP($I104,'[19]Gasto Real Vs Presupuesto 2026'!$A$34:$M$56,AF$1,0)</f>
        <v>0</v>
      </c>
      <c r="AG104" s="65">
        <f>VLOOKUP($I104,'[19]Gasto Real Vs Presupuesto 2026'!$A$34:$M$56,AG$1,0)</f>
        <v>0</v>
      </c>
      <c r="AH104" s="65">
        <f>VLOOKUP($I104,'[19]Gasto Real Vs Presupuesto 2026'!$A$34:$M$56,AH$1,0)</f>
        <v>0</v>
      </c>
      <c r="AI104" s="65">
        <f>VLOOKUP($I104,'[19]Gasto Real Vs Presupuesto 2026'!$A$34:$M$56,AI$1,0)</f>
        <v>0</v>
      </c>
      <c r="AJ104" s="65">
        <f>VLOOKUP($I104,'[19]Gasto Real Vs Presupuesto 2026'!$A$34:$M$56,AJ$1,0)</f>
        <v>0</v>
      </c>
      <c r="AK104" s="65">
        <f t="shared" si="70"/>
        <v>0</v>
      </c>
      <c r="AL104" s="73">
        <f t="shared" si="46"/>
        <v>0</v>
      </c>
      <c r="AM104" s="14">
        <f t="shared" si="47"/>
        <v>-1</v>
      </c>
      <c r="AN104" s="9"/>
    </row>
    <row r="105" spans="1:40" ht="14.45" hidden="1" customHeight="1" outlineLevel="1">
      <c r="A105" s="12" t="s">
        <v>196</v>
      </c>
      <c r="B105" s="8" t="s">
        <v>89</v>
      </c>
      <c r="I105" s="223" t="s">
        <v>212</v>
      </c>
      <c r="J105" s="65">
        <v>5773</v>
      </c>
      <c r="K105" s="65">
        <v>5251</v>
      </c>
      <c r="L105" s="65">
        <v>0</v>
      </c>
      <c r="M105" s="65">
        <v>5339</v>
      </c>
      <c r="N105" s="65">
        <v>5518</v>
      </c>
      <c r="O105" s="65">
        <v>5184</v>
      </c>
      <c r="P105" s="65">
        <v>5502</v>
      </c>
      <c r="Q105" s="65">
        <v>5715</v>
      </c>
      <c r="R105" s="65">
        <v>5970</v>
      </c>
      <c r="S105" s="65">
        <v>6269</v>
      </c>
      <c r="T105" s="65">
        <f t="shared" si="67"/>
        <v>5864</v>
      </c>
      <c r="U105" s="65">
        <f t="shared" si="68"/>
        <v>5954.5</v>
      </c>
      <c r="V105" s="65">
        <f t="shared" si="69"/>
        <v>62339.5</v>
      </c>
      <c r="W105" s="73">
        <f t="shared" si="44"/>
        <v>4.2062658955977855E-4</v>
      </c>
      <c r="X105" s="89"/>
      <c r="Y105" s="65">
        <f>VLOOKUP($I105,'[19]Gasto Real Vs Presupuesto 2026'!$A$34:$M$56,Y$1,0)</f>
        <v>0</v>
      </c>
      <c r="Z105" s="65">
        <f>VLOOKUP($I105,'[19]Gasto Real Vs Presupuesto 2026'!$A$34:$M$56,Z$1,0)</f>
        <v>0</v>
      </c>
      <c r="AA105" s="65">
        <f>VLOOKUP($I105,'[19]Gasto Real Vs Presupuesto 2026'!$A$34:$M$56,AA$1,0)</f>
        <v>0</v>
      </c>
      <c r="AB105" s="65">
        <f>VLOOKUP($I105,'[19]Gasto Real Vs Presupuesto 2026'!$A$34:$M$56,AB$1,0)</f>
        <v>0</v>
      </c>
      <c r="AC105" s="65">
        <f>VLOOKUP($I105,'[19]Gasto Real Vs Presupuesto 2026'!$A$34:$M$56,AC$1,0)</f>
        <v>0</v>
      </c>
      <c r="AD105" s="65">
        <f>VLOOKUP($I105,'[19]Gasto Real Vs Presupuesto 2026'!$A$34:$M$56,AD$1,0)</f>
        <v>0</v>
      </c>
      <c r="AE105" s="65">
        <f>VLOOKUP($I105,'[19]Gasto Real Vs Presupuesto 2026'!$A$34:$M$56,AE$1,0)</f>
        <v>0</v>
      </c>
      <c r="AF105" s="65">
        <f>VLOOKUP($I105,'[19]Gasto Real Vs Presupuesto 2026'!$A$34:$M$56,AF$1,0)</f>
        <v>0</v>
      </c>
      <c r="AG105" s="65">
        <f>VLOOKUP($I105,'[19]Gasto Real Vs Presupuesto 2026'!$A$34:$M$56,AG$1,0)</f>
        <v>0</v>
      </c>
      <c r="AH105" s="65">
        <f>VLOOKUP($I105,'[19]Gasto Real Vs Presupuesto 2026'!$A$34:$M$56,AH$1,0)</f>
        <v>0</v>
      </c>
      <c r="AI105" s="65">
        <f>VLOOKUP($I105,'[19]Gasto Real Vs Presupuesto 2026'!$A$34:$M$56,AI$1,0)</f>
        <v>0</v>
      </c>
      <c r="AJ105" s="65">
        <f>VLOOKUP($I105,'[19]Gasto Real Vs Presupuesto 2026'!$A$34:$M$56,AJ$1,0)</f>
        <v>0</v>
      </c>
      <c r="AK105" s="65">
        <f t="shared" si="70"/>
        <v>0</v>
      </c>
      <c r="AL105" s="73">
        <f t="shared" si="46"/>
        <v>0</v>
      </c>
      <c r="AM105" s="14">
        <f t="shared" si="47"/>
        <v>-1</v>
      </c>
      <c r="AN105" s="9"/>
    </row>
    <row r="106" spans="1:40" ht="14.45" customHeight="1" collapsed="1">
      <c r="A106" s="12" t="s">
        <v>213</v>
      </c>
      <c r="B106" s="8" t="s">
        <v>89</v>
      </c>
      <c r="I106" s="167" t="s">
        <v>214</v>
      </c>
      <c r="J106" s="15">
        <v>49155</v>
      </c>
      <c r="K106" s="15">
        <v>46578</v>
      </c>
      <c r="L106" s="15">
        <v>52721</v>
      </c>
      <c r="M106" s="15">
        <v>47401</v>
      </c>
      <c r="N106" s="15">
        <v>47402</v>
      </c>
      <c r="O106" s="15">
        <v>44230</v>
      </c>
      <c r="P106" s="15">
        <v>46133</v>
      </c>
      <c r="Q106" s="15">
        <v>44354</v>
      </c>
      <c r="R106" s="15">
        <v>47230</v>
      </c>
      <c r="S106" s="15">
        <v>45899</v>
      </c>
      <c r="T106" s="15">
        <f t="shared" ref="R106:U106" si="71">SUM(T107:T110)</f>
        <v>45903.5</v>
      </c>
      <c r="U106" s="15">
        <f t="shared" si="71"/>
        <v>45846.375</v>
      </c>
      <c r="V106" s="15">
        <f t="shared" ref="V106" si="72">SUM(V107:V110)</f>
        <v>562850.875</v>
      </c>
      <c r="W106" s="72">
        <f t="shared" si="44"/>
        <v>3.7977533342742117E-3</v>
      </c>
      <c r="X106" s="89"/>
      <c r="Y106" s="15">
        <f>SUM(Y107:Y110)</f>
        <v>59742.65567120372</v>
      </c>
      <c r="Z106" s="15">
        <f t="shared" ref="Z106:AK106" si="73">SUM(Z107:Z110)</f>
        <v>54625.503380301903</v>
      </c>
      <c r="AA106" s="15">
        <f t="shared" si="73"/>
        <v>59742.65567120372</v>
      </c>
      <c r="AB106" s="15">
        <f t="shared" si="73"/>
        <v>56510.717492374519</v>
      </c>
      <c r="AC106" s="15">
        <f t="shared" si="73"/>
        <v>59742.65567120372</v>
      </c>
      <c r="AD106" s="15">
        <f t="shared" si="73"/>
        <v>56510.717492374519</v>
      </c>
      <c r="AE106" s="15">
        <f t="shared" si="73"/>
        <v>58216.722079075742</v>
      </c>
      <c r="AF106" s="15">
        <f t="shared" si="73"/>
        <v>58216.722079075742</v>
      </c>
      <c r="AG106" s="15">
        <f t="shared" si="73"/>
        <v>58036.938240903139</v>
      </c>
      <c r="AH106" s="15">
        <f t="shared" si="73"/>
        <v>58216.722079075742</v>
      </c>
      <c r="AI106" s="15">
        <f t="shared" si="73"/>
        <v>57456.679990775388</v>
      </c>
      <c r="AJ106" s="15">
        <f t="shared" si="73"/>
        <v>59742.65567120372</v>
      </c>
      <c r="AK106" s="15">
        <f t="shared" si="73"/>
        <v>696761.34551877156</v>
      </c>
      <c r="AL106" s="72">
        <f t="shared" si="46"/>
        <v>4.3491082783168175E-3</v>
      </c>
      <c r="AM106" s="10">
        <f t="shared" si="47"/>
        <v>0.23791465282659741</v>
      </c>
      <c r="AN106" s="9"/>
    </row>
    <row r="107" spans="1:40" ht="15" hidden="1" customHeight="1" outlineLevel="1">
      <c r="A107" s="12" t="s">
        <v>213</v>
      </c>
      <c r="B107" s="8" t="s">
        <v>89</v>
      </c>
      <c r="I107" s="213" t="s">
        <v>215</v>
      </c>
      <c r="J107" s="65">
        <v>9639</v>
      </c>
      <c r="K107" s="65">
        <v>8607</v>
      </c>
      <c r="L107" s="65">
        <v>9894</v>
      </c>
      <c r="M107" s="65">
        <v>9272</v>
      </c>
      <c r="N107" s="65">
        <v>8985</v>
      </c>
      <c r="O107" s="65">
        <v>8200</v>
      </c>
      <c r="P107" s="65">
        <v>8634</v>
      </c>
      <c r="Q107" s="65">
        <v>8784</v>
      </c>
      <c r="R107" s="65">
        <v>9316</v>
      </c>
      <c r="S107" s="65">
        <v>9225</v>
      </c>
      <c r="T107" s="65">
        <f t="shared" ref="T107:T110" si="74">+AVERAGE(P107:S107)</f>
        <v>8989.75</v>
      </c>
      <c r="U107" s="65">
        <f t="shared" ref="U107:U110" si="75">+AVERAGE(Q107:T107)</f>
        <v>9078.6875</v>
      </c>
      <c r="V107" s="65">
        <f t="shared" ref="V107:V110" si="76">SUM(J107:U107)</f>
        <v>108624.4375</v>
      </c>
      <c r="W107" s="73">
        <f t="shared" si="44"/>
        <v>7.3292738453908544E-4</v>
      </c>
      <c r="X107" s="89"/>
      <c r="Y107" s="65">
        <f>VLOOKUP($I107,'[19]Gasto Real Vs Presupuesto 2026'!$A$34:$M$56,Y$1,0)</f>
        <v>10596.490137647499</v>
      </c>
      <c r="Z107" s="65">
        <f>VLOOKUP($I107,'[19]Gasto Real Vs Presupuesto 2026'!$A$34:$M$56,Z$1,0)</f>
        <v>9712.7580423699983</v>
      </c>
      <c r="AA107" s="65">
        <f>VLOOKUP($I107,'[19]Gasto Real Vs Presupuesto 2026'!$A$34:$M$56,AA$1,0)</f>
        <v>10596.490137647499</v>
      </c>
      <c r="AB107" s="65">
        <f>VLOOKUP($I107,'[19]Gasto Real Vs Presupuesto 2026'!$A$34:$M$56,AB$1,0)</f>
        <v>9974.043485774997</v>
      </c>
      <c r="AC107" s="65">
        <f>VLOOKUP($I107,'[19]Gasto Real Vs Presupuesto 2026'!$A$34:$M$56,AC$1,0)</f>
        <v>10596.490137647499</v>
      </c>
      <c r="AD107" s="65">
        <f>VLOOKUP($I107,'[19]Gasto Real Vs Presupuesto 2026'!$A$34:$M$56,AD$1,0)</f>
        <v>9974.043485774997</v>
      </c>
      <c r="AE107" s="65">
        <f>VLOOKUP($I107,'[19]Gasto Real Vs Presupuesto 2026'!$A$34:$M$56,AE$1,0)</f>
        <v>10268.683318867501</v>
      </c>
      <c r="AF107" s="65">
        <f>VLOOKUP($I107,'[19]Gasto Real Vs Presupuesto 2026'!$A$34:$M$56,AF$1,0)</f>
        <v>10268.683318867501</v>
      </c>
      <c r="AG107" s="65">
        <f>VLOOKUP($I107,'[19]Gasto Real Vs Presupuesto 2026'!$A$34:$M$56,AG$1,0)</f>
        <v>10301.912772555001</v>
      </c>
      <c r="AH107" s="65">
        <f>VLOOKUP($I107,'[19]Gasto Real Vs Presupuesto 2026'!$A$34:$M$56,AH$1,0)</f>
        <v>10268.683318867501</v>
      </c>
      <c r="AI107" s="65">
        <f>VLOOKUP($I107,'[19]Gasto Real Vs Presupuesto 2026'!$A$34:$M$56,AI$1,0)</f>
        <v>10301.912772555001</v>
      </c>
      <c r="AJ107" s="65">
        <f>VLOOKUP($I107,'[19]Gasto Real Vs Presupuesto 2026'!$A$34:$M$56,AJ$1,0)</f>
        <v>10596.490137647499</v>
      </c>
      <c r="AK107" s="65">
        <f t="shared" si="70"/>
        <v>123456.68106622252</v>
      </c>
      <c r="AL107" s="73">
        <f t="shared" si="46"/>
        <v>7.7060312988353342E-4</v>
      </c>
      <c r="AM107" s="14">
        <f t="shared" si="47"/>
        <v>0.13654610240188836</v>
      </c>
      <c r="AN107" s="9"/>
    </row>
    <row r="108" spans="1:40" ht="15" hidden="1" customHeight="1" outlineLevel="1">
      <c r="A108" s="12" t="s">
        <v>213</v>
      </c>
      <c r="B108" s="8" t="s">
        <v>89</v>
      </c>
      <c r="I108" s="213" t="s">
        <v>216</v>
      </c>
      <c r="J108" s="65">
        <v>14404</v>
      </c>
      <c r="K108" s="65">
        <v>13404</v>
      </c>
      <c r="L108" s="65">
        <v>15455</v>
      </c>
      <c r="M108" s="65">
        <v>14327</v>
      </c>
      <c r="N108" s="65">
        <v>13607</v>
      </c>
      <c r="O108" s="65">
        <v>12456</v>
      </c>
      <c r="P108" s="65">
        <v>13162</v>
      </c>
      <c r="Q108" s="65">
        <v>12641</v>
      </c>
      <c r="R108" s="65">
        <v>13438</v>
      </c>
      <c r="S108" s="65">
        <v>13114</v>
      </c>
      <c r="T108" s="65">
        <f t="shared" si="74"/>
        <v>13088.75</v>
      </c>
      <c r="U108" s="65">
        <f t="shared" si="75"/>
        <v>13070.4375</v>
      </c>
      <c r="V108" s="65">
        <f t="shared" si="76"/>
        <v>162167.1875</v>
      </c>
      <c r="W108" s="73">
        <f t="shared" si="44"/>
        <v>1.0941991998111335E-3</v>
      </c>
      <c r="X108" s="89"/>
      <c r="Y108" s="65">
        <f>VLOOKUP($I108,'[19]Gasto Real Vs Presupuesto 2026'!$A$34:$M$56,Y$1,0)</f>
        <v>18376.067819942145</v>
      </c>
      <c r="Z108" s="65">
        <f>VLOOKUP($I108,'[19]Gasto Real Vs Presupuesto 2026'!$A$34:$M$56,Z$1,0)</f>
        <v>16847.608490136234</v>
      </c>
      <c r="AA108" s="65">
        <f>VLOOKUP($I108,'[19]Gasto Real Vs Presupuesto 2026'!$A$34:$M$56,AA$1,0)</f>
        <v>18376.067819942145</v>
      </c>
      <c r="AB108" s="65">
        <f>VLOOKUP($I108,'[19]Gasto Real Vs Presupuesto 2026'!$A$34:$M$56,AB$1,0)</f>
        <v>17299.265504941752</v>
      </c>
      <c r="AC108" s="65">
        <f>VLOOKUP($I108,'[19]Gasto Real Vs Presupuesto 2026'!$A$34:$M$56,AC$1,0)</f>
        <v>18376.067819942145</v>
      </c>
      <c r="AD108" s="65">
        <f>VLOOKUP($I108,'[19]Gasto Real Vs Presupuesto 2026'!$A$34:$M$56,AD$1,0)</f>
        <v>17299.265504941752</v>
      </c>
      <c r="AE108" s="65">
        <f>VLOOKUP($I108,'[19]Gasto Real Vs Presupuesto 2026'!$A$34:$M$56,AE$1,0)</f>
        <v>17808.856407199994</v>
      </c>
      <c r="AF108" s="65">
        <f>VLOOKUP($I108,'[19]Gasto Real Vs Presupuesto 2026'!$A$34:$M$56,AF$1,0)</f>
        <v>17808.856407199994</v>
      </c>
      <c r="AG108" s="65">
        <f>VLOOKUP($I108,'[19]Gasto Real Vs Presupuesto 2026'!$A$34:$M$56,AG$1,0)</f>
        <v>17866.581376673512</v>
      </c>
      <c r="AH108" s="65">
        <f>VLOOKUP($I108,'[19]Gasto Real Vs Presupuesto 2026'!$A$34:$M$56,AH$1,0)</f>
        <v>17808.856407199994</v>
      </c>
      <c r="AI108" s="65">
        <f>VLOOKUP($I108,'[19]Gasto Real Vs Presupuesto 2026'!$A$34:$M$56,AI$1,0)</f>
        <v>17866.581376673512</v>
      </c>
      <c r="AJ108" s="65">
        <f>VLOOKUP($I108,'[19]Gasto Real Vs Presupuesto 2026'!$A$34:$M$56,AJ$1,0)</f>
        <v>18376.067819942145</v>
      </c>
      <c r="AK108" s="65">
        <f t="shared" si="70"/>
        <v>214110.14275473528</v>
      </c>
      <c r="AL108" s="73">
        <f t="shared" si="46"/>
        <v>1.3364521443607084E-3</v>
      </c>
      <c r="AM108" s="14">
        <f t="shared" si="47"/>
        <v>0.32030496462014102</v>
      </c>
      <c r="AN108" s="9"/>
    </row>
    <row r="109" spans="1:40" ht="15" hidden="1" customHeight="1" outlineLevel="1">
      <c r="A109" s="12" t="s">
        <v>213</v>
      </c>
      <c r="B109" s="8" t="s">
        <v>89</v>
      </c>
      <c r="I109" s="213" t="s">
        <v>217</v>
      </c>
      <c r="J109" s="65">
        <v>18896</v>
      </c>
      <c r="K109" s="65">
        <v>18590</v>
      </c>
      <c r="L109" s="65">
        <v>20354</v>
      </c>
      <c r="M109" s="65">
        <v>18876</v>
      </c>
      <c r="N109" s="65">
        <v>18775</v>
      </c>
      <c r="O109" s="65">
        <v>17545</v>
      </c>
      <c r="P109" s="65">
        <v>18748</v>
      </c>
      <c r="Q109" s="65">
        <v>17220</v>
      </c>
      <c r="R109" s="65">
        <v>17982</v>
      </c>
      <c r="S109" s="65">
        <v>17961</v>
      </c>
      <c r="T109" s="65">
        <f t="shared" si="74"/>
        <v>17977.75</v>
      </c>
      <c r="U109" s="65">
        <f t="shared" si="75"/>
        <v>17785.1875</v>
      </c>
      <c r="V109" s="65">
        <f t="shared" si="76"/>
        <v>220709.9375</v>
      </c>
      <c r="W109" s="73">
        <f t="shared" si="44"/>
        <v>1.489207778255791E-3</v>
      </c>
      <c r="X109" s="89"/>
      <c r="Y109" s="65">
        <f>VLOOKUP($I109,'[19]Gasto Real Vs Presupuesto 2026'!$A$34:$M$56,Y$1,0)</f>
        <v>24201.346453857957</v>
      </c>
      <c r="Z109" s="65">
        <f>VLOOKUP($I109,'[19]Gasto Real Vs Presupuesto 2026'!$A$34:$M$56,Z$1,0)</f>
        <v>22054.117113092172</v>
      </c>
      <c r="AA109" s="65">
        <f>VLOOKUP($I109,'[19]Gasto Real Vs Presupuesto 2026'!$A$34:$M$56,AA$1,0)</f>
        <v>24201.346453857957</v>
      </c>
      <c r="AB109" s="65">
        <f>VLOOKUP($I109,'[19]Gasto Real Vs Presupuesto 2026'!$A$34:$M$56,AB$1,0)</f>
        <v>23034.895857981519</v>
      </c>
      <c r="AC109" s="65">
        <f>VLOOKUP($I109,'[19]Gasto Real Vs Presupuesto 2026'!$A$34:$M$56,AC$1,0)</f>
        <v>24201.346453857957</v>
      </c>
      <c r="AD109" s="65">
        <f>VLOOKUP($I109,'[19]Gasto Real Vs Presupuesto 2026'!$A$34:$M$56,AD$1,0)</f>
        <v>23034.895857981519</v>
      </c>
      <c r="AE109" s="65">
        <f>VLOOKUP($I109,'[19]Gasto Real Vs Presupuesto 2026'!$A$34:$M$56,AE$1,0)</f>
        <v>23750.724843581116</v>
      </c>
      <c r="AF109" s="65">
        <f>VLOOKUP($I109,'[19]Gasto Real Vs Presupuesto 2026'!$A$34:$M$56,AF$1,0)</f>
        <v>23750.724843581116</v>
      </c>
      <c r="AG109" s="65">
        <f>VLOOKUP($I109,'[19]Gasto Real Vs Presupuesto 2026'!$A$34:$M$56,AG$1,0)</f>
        <v>23485.603340269368</v>
      </c>
      <c r="AH109" s="65">
        <f>VLOOKUP($I109,'[19]Gasto Real Vs Presupuesto 2026'!$A$34:$M$56,AH$1,0)</f>
        <v>23750.724843581116</v>
      </c>
      <c r="AI109" s="65">
        <f>VLOOKUP($I109,'[19]Gasto Real Vs Presupuesto 2026'!$A$34:$M$56,AI$1,0)</f>
        <v>23485.603340269368</v>
      </c>
      <c r="AJ109" s="65">
        <f>VLOOKUP($I109,'[19]Gasto Real Vs Presupuesto 2026'!$A$34:$M$56,AJ$1,0)</f>
        <v>24201.346453857957</v>
      </c>
      <c r="AK109" s="65">
        <f t="shared" si="70"/>
        <v>283152.67585576908</v>
      </c>
      <c r="AL109" s="73">
        <f t="shared" si="46"/>
        <v>1.7674081010837399E-3</v>
      </c>
      <c r="AM109" s="14">
        <f t="shared" si="47"/>
        <v>0.28291765682625458</v>
      </c>
      <c r="AN109" s="9"/>
    </row>
    <row r="110" spans="1:40" ht="15" hidden="1" customHeight="1" outlineLevel="1">
      <c r="A110" s="12" t="s">
        <v>213</v>
      </c>
      <c r="B110" s="8" t="s">
        <v>89</v>
      </c>
      <c r="I110" t="s">
        <v>218</v>
      </c>
      <c r="J110" s="65">
        <v>6217</v>
      </c>
      <c r="K110" s="65">
        <v>5977</v>
      </c>
      <c r="L110" s="65">
        <v>7018</v>
      </c>
      <c r="M110" s="65">
        <v>4927</v>
      </c>
      <c r="N110" s="65">
        <v>6034</v>
      </c>
      <c r="O110" s="65">
        <v>6028</v>
      </c>
      <c r="P110" s="65">
        <v>5588</v>
      </c>
      <c r="Q110" s="65">
        <v>5708</v>
      </c>
      <c r="R110" s="65">
        <v>6495</v>
      </c>
      <c r="S110" s="65">
        <v>5598</v>
      </c>
      <c r="T110" s="65">
        <f t="shared" si="74"/>
        <v>5847.25</v>
      </c>
      <c r="U110" s="65">
        <f t="shared" si="75"/>
        <v>5912.0625</v>
      </c>
      <c r="V110" s="65">
        <f t="shared" si="76"/>
        <v>71349.3125</v>
      </c>
      <c r="W110" s="73">
        <f t="shared" si="44"/>
        <v>4.8141897166820196E-4</v>
      </c>
      <c r="X110" s="89"/>
      <c r="Y110" s="65">
        <f>VLOOKUP($I110,'[19]Gasto Real Vs Presupuesto 2026'!$A$34:$M$56,Y$1,0)</f>
        <v>6568.7512597561235</v>
      </c>
      <c r="Z110" s="65">
        <f>VLOOKUP($I110,'[19]Gasto Real Vs Presupuesto 2026'!$A$34:$M$56,Z$1,0)</f>
        <v>6011.0197347035</v>
      </c>
      <c r="AA110" s="65">
        <f>VLOOKUP($I110,'[19]Gasto Real Vs Presupuesto 2026'!$A$34:$M$56,AA$1,0)</f>
        <v>6568.7512597561235</v>
      </c>
      <c r="AB110" s="65">
        <f>VLOOKUP($I110,'[19]Gasto Real Vs Presupuesto 2026'!$A$34:$M$56,AB$1,0)</f>
        <v>6202.5126436762494</v>
      </c>
      <c r="AC110" s="65">
        <f>VLOOKUP($I110,'[19]Gasto Real Vs Presupuesto 2026'!$A$34:$M$56,AC$1,0)</f>
        <v>6568.7512597561235</v>
      </c>
      <c r="AD110" s="65">
        <f>VLOOKUP($I110,'[19]Gasto Real Vs Presupuesto 2026'!$A$34:$M$56,AD$1,0)</f>
        <v>6202.5126436762494</v>
      </c>
      <c r="AE110" s="65">
        <f>VLOOKUP($I110,'[19]Gasto Real Vs Presupuesto 2026'!$A$34:$M$56,AE$1,0)</f>
        <v>6388.4575094271249</v>
      </c>
      <c r="AF110" s="65">
        <f>VLOOKUP($I110,'[19]Gasto Real Vs Presupuesto 2026'!$A$34:$M$56,AF$1,0)</f>
        <v>6388.4575094271249</v>
      </c>
      <c r="AG110" s="65">
        <f>VLOOKUP($I110,'[19]Gasto Real Vs Presupuesto 2026'!$A$34:$M$56,AG$1,0)</f>
        <v>6382.8407514052496</v>
      </c>
      <c r="AH110" s="65">
        <f>VLOOKUP($I110,'[19]Gasto Real Vs Presupuesto 2026'!$A$34:$M$56,AH$1,0)</f>
        <v>6388.4575094271249</v>
      </c>
      <c r="AI110" s="65">
        <f>VLOOKUP($I110,'[19]Gasto Real Vs Presupuesto 2026'!$A$34:$M$56,AI$1,0)</f>
        <v>5802.5825012774994</v>
      </c>
      <c r="AJ110" s="65">
        <f>VLOOKUP($I110,'[19]Gasto Real Vs Presupuesto 2026'!$A$34:$M$56,AJ$1,0)</f>
        <v>6568.7512597561235</v>
      </c>
      <c r="AK110" s="65">
        <f t="shared" si="70"/>
        <v>76041.84584204464</v>
      </c>
      <c r="AL110" s="73">
        <f t="shared" si="46"/>
        <v>4.7464490298883521E-4</v>
      </c>
      <c r="AM110" s="14">
        <f t="shared" si="47"/>
        <v>6.5768445099518624E-2</v>
      </c>
      <c r="AN110" s="9"/>
    </row>
    <row r="111" spans="1:40" ht="14.45" customHeight="1" collapsed="1">
      <c r="A111" s="12" t="s">
        <v>219</v>
      </c>
      <c r="B111" s="8" t="s">
        <v>89</v>
      </c>
      <c r="C111" s="8" t="s">
        <v>81</v>
      </c>
      <c r="I111" s="167" t="s">
        <v>220</v>
      </c>
      <c r="J111" s="15">
        <v>51688</v>
      </c>
      <c r="K111" s="15">
        <v>31525</v>
      </c>
      <c r="L111" s="15">
        <v>46789</v>
      </c>
      <c r="M111" s="15">
        <v>23300</v>
      </c>
      <c r="N111" s="15">
        <v>19500</v>
      </c>
      <c r="O111" s="15">
        <v>22377</v>
      </c>
      <c r="P111" s="15">
        <v>38638</v>
      </c>
      <c r="Q111" s="15">
        <v>37996</v>
      </c>
      <c r="R111" s="15">
        <v>60159</v>
      </c>
      <c r="S111" s="15">
        <v>57491</v>
      </c>
      <c r="T111" s="15">
        <f t="shared" ref="R111:U111" si="77">SUM(T112:T146)</f>
        <v>32581.120000000003</v>
      </c>
      <c r="U111" s="15">
        <f t="shared" si="77"/>
        <v>52950.559999999998</v>
      </c>
      <c r="V111" s="15">
        <f t="shared" ref="V111" si="78">SUM(V112:V146)</f>
        <v>474994.68</v>
      </c>
      <c r="W111" s="72">
        <f t="shared" si="44"/>
        <v>3.2049566054818913E-3</v>
      </c>
      <c r="X111" s="89"/>
      <c r="Y111" s="15">
        <f>SUM(Y112:Y146)</f>
        <v>67020.679583333331</v>
      </c>
      <c r="Z111" s="15">
        <f t="shared" ref="Z111:AK111" si="79">SUM(Z112:Z146)</f>
        <v>39929.827583333332</v>
      </c>
      <c r="AA111" s="15">
        <f t="shared" si="79"/>
        <v>52651.21418333333</v>
      </c>
      <c r="AB111" s="15">
        <f t="shared" si="79"/>
        <v>22056.514583333334</v>
      </c>
      <c r="AC111" s="15">
        <f t="shared" si="79"/>
        <v>47695.62258333333</v>
      </c>
      <c r="AD111" s="15">
        <f t="shared" si="79"/>
        <v>21538.964583333334</v>
      </c>
      <c r="AE111" s="15">
        <f t="shared" si="79"/>
        <v>30173.434183333335</v>
      </c>
      <c r="AF111" s="15">
        <f t="shared" si="79"/>
        <v>110730.66758333331</v>
      </c>
      <c r="AG111" s="15">
        <f t="shared" si="79"/>
        <v>62162.164583333331</v>
      </c>
      <c r="AH111" s="15">
        <f t="shared" si="79"/>
        <v>21538.964583333334</v>
      </c>
      <c r="AI111" s="15">
        <f t="shared" si="79"/>
        <v>44229.827583333332</v>
      </c>
      <c r="AJ111" s="15">
        <f t="shared" si="79"/>
        <v>27382.244183333336</v>
      </c>
      <c r="AK111" s="15">
        <f t="shared" si="79"/>
        <v>547110.12580000004</v>
      </c>
      <c r="AL111" s="72">
        <f t="shared" si="46"/>
        <v>3.4150016968810602E-3</v>
      </c>
      <c r="AM111" s="10">
        <f t="shared" si="47"/>
        <v>0.15182369158324049</v>
      </c>
      <c r="AN111" s="9"/>
    </row>
    <row r="112" spans="1:40" ht="14.45" hidden="1" customHeight="1" outlineLevel="1">
      <c r="A112" s="12" t="s">
        <v>219</v>
      </c>
      <c r="B112" s="8" t="s">
        <v>89</v>
      </c>
      <c r="I112" s="224" t="s">
        <v>221</v>
      </c>
      <c r="J112" s="65">
        <v>0</v>
      </c>
      <c r="K112" s="65">
        <v>0</v>
      </c>
      <c r="L112" s="65">
        <v>4700</v>
      </c>
      <c r="M112" s="65">
        <v>0</v>
      </c>
      <c r="N112" s="65">
        <v>0</v>
      </c>
      <c r="O112" s="65">
        <v>0</v>
      </c>
      <c r="P112" s="65">
        <v>0</v>
      </c>
      <c r="Q112" s="65">
        <v>7000</v>
      </c>
      <c r="R112" s="65">
        <v>0</v>
      </c>
      <c r="S112" s="65">
        <v>0</v>
      </c>
      <c r="T112" s="65">
        <v>3762.7200000000003</v>
      </c>
      <c r="U112" s="65">
        <v>5842.72</v>
      </c>
      <c r="V112" s="65">
        <f t="shared" ref="V112:V146" si="80">SUM(J112:U112)</f>
        <v>21305.440000000002</v>
      </c>
      <c r="W112" s="73">
        <f t="shared" si="44"/>
        <v>1.4375531671364847E-4</v>
      </c>
      <c r="X112" s="89"/>
      <c r="Y112" s="65">
        <f>VLOOKUP($E$1,[20]Resumen!$V$8:$AH$9,Y1,0)+VLOOKUP($E$1,[6]Resumen!$C$23:$O$24,Y1,0)</f>
        <v>4000</v>
      </c>
      <c r="Z112" s="65">
        <f>VLOOKUP($E$1,[20]Resumen!$V$8:$AH$9,Z1,0)+VLOOKUP($E$1,[6]Resumen!$C$23:$O$24,Z1,0)</f>
        <v>2500</v>
      </c>
      <c r="AA112" s="65">
        <f>VLOOKUP($E$1,[20]Resumen!$V$8:$AH$9,AA1,0)+VLOOKUP($E$1,[6]Resumen!$C$23:$O$24,AA1,0)</f>
        <v>4000</v>
      </c>
      <c r="AB112" s="65">
        <f>VLOOKUP($E$1,[20]Resumen!$V$8:$AH$9,AB1,0)+VLOOKUP($E$1,[6]Resumen!$C$23:$O$24,AB1,0)</f>
        <v>2500</v>
      </c>
      <c r="AC112" s="65">
        <f>VLOOKUP($E$1,[20]Resumen!$V$8:$AH$9,AC1,0)+VLOOKUP($E$1,[6]Resumen!$C$23:$O$24,AC1,0)</f>
        <v>4000</v>
      </c>
      <c r="AD112" s="65">
        <f>VLOOKUP($E$1,[20]Resumen!$V$8:$AH$9,AD1,0)+VLOOKUP($E$1,[6]Resumen!$C$23:$O$24,AD1,0)</f>
        <v>2500</v>
      </c>
      <c r="AE112" s="65">
        <f>VLOOKUP($E$1,[20]Resumen!$V$8:$AH$9,AE1,0)+VLOOKUP($E$1,[6]Resumen!$C$23:$O$24,AE1,0)</f>
        <v>4000</v>
      </c>
      <c r="AF112" s="65">
        <f>VLOOKUP($E$1,[20]Resumen!$V$8:$AH$9,AF1,0)+VLOOKUP($E$1,[6]Resumen!$C$23:$O$24,AF1,0)</f>
        <v>2500</v>
      </c>
      <c r="AG112" s="65">
        <f>VLOOKUP($E$1,[20]Resumen!$V$8:$AH$9,AG1,0)+VLOOKUP($E$1,[6]Resumen!$C$23:$O$24,AG1,0)</f>
        <v>4000</v>
      </c>
      <c r="AH112" s="65">
        <f>VLOOKUP($E$1,[20]Resumen!$V$8:$AH$9,AH1,0)+VLOOKUP($E$1,[6]Resumen!$C$23:$O$24,AH1,0)</f>
        <v>2500</v>
      </c>
      <c r="AI112" s="65">
        <f>VLOOKUP($E$1,[20]Resumen!$V$8:$AH$9,AI1,0)+VLOOKUP($E$1,[6]Resumen!$C$23:$O$24,AI1,0)</f>
        <v>4000</v>
      </c>
      <c r="AJ112" s="65">
        <f>VLOOKUP($E$1,[20]Resumen!$V$8:$AH$9,AJ1,0)+VLOOKUP($E$1,[6]Resumen!$C$23:$O$24,AJ1,0)</f>
        <v>4000</v>
      </c>
      <c r="AK112" s="65">
        <f t="shared" si="70"/>
        <v>40500</v>
      </c>
      <c r="AL112" s="73">
        <f t="shared" si="46"/>
        <v>2.5279658006958959E-4</v>
      </c>
      <c r="AM112" s="14">
        <f t="shared" si="47"/>
        <v>0.90092295676597134</v>
      </c>
      <c r="AN112" s="9"/>
    </row>
    <row r="113" spans="1:40" ht="14.45" hidden="1" customHeight="1" outlineLevel="1">
      <c r="A113" s="12"/>
      <c r="I113" s="223" t="s">
        <v>222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f t="shared" si="80"/>
        <v>0</v>
      </c>
      <c r="W113" s="73">
        <f t="shared" si="44"/>
        <v>0</v>
      </c>
      <c r="X113" s="89"/>
      <c r="Y113" s="65">
        <f>VLOOKUP($E$1,[9]Resumen!$V$17:$AH$18,Y1,0)</f>
        <v>0</v>
      </c>
      <c r="Z113" s="65">
        <f>VLOOKUP($E$1,[9]Resumen!$V$17:$AH$18,Z1,0)</f>
        <v>0</v>
      </c>
      <c r="AA113" s="65">
        <f>VLOOKUP($E$1,[9]Resumen!$V$17:$AH$18,AA1,0)</f>
        <v>0</v>
      </c>
      <c r="AB113" s="65">
        <f>VLOOKUP($E$1,[9]Resumen!$V$17:$AH$18,AB1,0)</f>
        <v>0</v>
      </c>
      <c r="AC113" s="65">
        <f>VLOOKUP($E$1,[9]Resumen!$V$17:$AH$18,AC1,0)</f>
        <v>0</v>
      </c>
      <c r="AD113" s="65">
        <f>VLOOKUP($E$1,[9]Resumen!$V$17:$AH$18,AD1,0)</f>
        <v>0</v>
      </c>
      <c r="AE113" s="65">
        <f>VLOOKUP($E$1,[9]Resumen!$V$17:$AH$18,AE1,0)</f>
        <v>0</v>
      </c>
      <c r="AF113" s="65">
        <f>VLOOKUP($E$1,[9]Resumen!$V$17:$AH$18,AF1,0)</f>
        <v>0</v>
      </c>
      <c r="AG113" s="65">
        <f>VLOOKUP($E$1,[9]Resumen!$V$17:$AH$18,AG1,0)</f>
        <v>0</v>
      </c>
      <c r="AH113" s="65">
        <f>VLOOKUP($E$1,[9]Resumen!$V$17:$AH$18,AH1,0)</f>
        <v>0</v>
      </c>
      <c r="AI113" s="65">
        <f>VLOOKUP($E$1,[9]Resumen!$V$17:$AH$18,AI1,0)</f>
        <v>0</v>
      </c>
      <c r="AJ113" s="65">
        <f>VLOOKUP($E$1,[9]Resumen!$V$17:$AH$18,AJ1,0)</f>
        <v>0</v>
      </c>
      <c r="AK113" s="65">
        <f t="shared" si="70"/>
        <v>0</v>
      </c>
      <c r="AL113" s="73">
        <f t="shared" si="46"/>
        <v>0</v>
      </c>
      <c r="AM113" s="14">
        <f t="shared" si="47"/>
        <v>0</v>
      </c>
      <c r="AN113" s="9"/>
    </row>
    <row r="114" spans="1:40" ht="14.45" hidden="1" customHeight="1" outlineLevel="1">
      <c r="A114" s="12"/>
      <c r="I114" s="223" t="s">
        <v>223</v>
      </c>
      <c r="J114" s="65">
        <v>0</v>
      </c>
      <c r="K114" s="65">
        <v>2025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15150</v>
      </c>
      <c r="T114" s="65">
        <v>0</v>
      </c>
      <c r="U114" s="65">
        <v>0</v>
      </c>
      <c r="V114" s="65">
        <f t="shared" si="80"/>
        <v>17175</v>
      </c>
      <c r="W114" s="73">
        <f t="shared" si="44"/>
        <v>1.1588578149791379E-4</v>
      </c>
      <c r="X114" s="89"/>
      <c r="Y114" s="65">
        <f>+VLOOKUP($E$1,[9]Resumen!$V$24:$AH$25,Y1,0)</f>
        <v>0</v>
      </c>
      <c r="Z114" s="65">
        <f>+VLOOKUP($E$1,[9]Resumen!$V$24:$AH$25,Z1,0)</f>
        <v>0</v>
      </c>
      <c r="AA114" s="65">
        <f>+VLOOKUP($E$1,[9]Resumen!$V$24:$AH$25,AA1,0)</f>
        <v>0</v>
      </c>
      <c r="AB114" s="65">
        <f>+VLOOKUP($E$1,[9]Resumen!$V$24:$AH$25,AB1,0)</f>
        <v>0</v>
      </c>
      <c r="AC114" s="65">
        <f>+VLOOKUP($E$1,[9]Resumen!$V$24:$AH$25,AC1,0)</f>
        <v>0</v>
      </c>
      <c r="AD114" s="65">
        <f>+VLOOKUP($E$1,[9]Resumen!$V$24:$AH$25,AD1,0)</f>
        <v>0</v>
      </c>
      <c r="AE114" s="65">
        <f>+VLOOKUP($E$1,[9]Resumen!$V$24:$AH$25,AE1,0)</f>
        <v>0</v>
      </c>
      <c r="AF114" s="65">
        <f>+VLOOKUP($E$1,[9]Resumen!$V$24:$AH$25,AF1,0)</f>
        <v>0</v>
      </c>
      <c r="AG114" s="65">
        <f>+VLOOKUP($E$1,[9]Resumen!$V$24:$AH$25,AG1,0)</f>
        <v>32605.649999999998</v>
      </c>
      <c r="AH114" s="65">
        <f>+VLOOKUP($E$1,[9]Resumen!$V$24:$AH$25,AH1,0)</f>
        <v>0</v>
      </c>
      <c r="AI114" s="65">
        <f>+VLOOKUP($E$1,[9]Resumen!$V$24:$AH$25,AI1,0)</f>
        <v>0</v>
      </c>
      <c r="AJ114" s="65">
        <f>+VLOOKUP($E$1,[9]Resumen!$V$24:$AH$25,AJ1,0)</f>
        <v>0</v>
      </c>
      <c r="AK114" s="65">
        <f t="shared" si="70"/>
        <v>32605.649999999998</v>
      </c>
      <c r="AL114" s="73">
        <f t="shared" si="46"/>
        <v>2.0352090891224723E-4</v>
      </c>
      <c r="AM114" s="14">
        <f t="shared" si="47"/>
        <v>0.89843668122270737</v>
      </c>
      <c r="AN114" s="9"/>
    </row>
    <row r="115" spans="1:40" ht="14.45" hidden="1" customHeight="1" outlineLevel="1">
      <c r="A115" s="12"/>
      <c r="E115" s="7" t="s">
        <v>444</v>
      </c>
      <c r="I115" s="223" t="s">
        <v>224</v>
      </c>
      <c r="J115" s="65">
        <v>0</v>
      </c>
      <c r="K115" s="65">
        <v>9500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f t="shared" si="80"/>
        <v>9500</v>
      </c>
      <c r="W115" s="73">
        <f t="shared" si="44"/>
        <v>6.4099850027958134E-5</v>
      </c>
      <c r="X115" s="89"/>
      <c r="Y115" s="65">
        <f>+VLOOKUP($E$1,[9]Resumen!$V$31:$AH$32,Y1,0)</f>
        <v>0</v>
      </c>
      <c r="Z115" s="65">
        <f>+VLOOKUP($E$1,[9]Resumen!$V$31:$AH$32,Z1,0)</f>
        <v>0</v>
      </c>
      <c r="AA115" s="65">
        <f>+VLOOKUP($E$1,[9]Resumen!$V$31:$AH$32,AA1,0)</f>
        <v>7763.2499999999991</v>
      </c>
      <c r="AB115" s="65">
        <f>+VLOOKUP($E$1,[9]Resumen!$V$31:$AH$32,AB1,0)</f>
        <v>0</v>
      </c>
      <c r="AC115" s="65">
        <f>+VLOOKUP($E$1,[9]Resumen!$V$31:$AH$32,AC1,0)</f>
        <v>0</v>
      </c>
      <c r="AD115" s="65">
        <f>+VLOOKUP($E$1,[9]Resumen!$V$31:$AH$32,AD1,0)</f>
        <v>0</v>
      </c>
      <c r="AE115" s="65">
        <f>+VLOOKUP($E$1,[9]Resumen!$V$31:$AH$32,AE1,0)</f>
        <v>0</v>
      </c>
      <c r="AF115" s="65">
        <f>+VLOOKUP($E$1,[9]Resumen!$V$31:$AH$32,AF1,0)</f>
        <v>0</v>
      </c>
      <c r="AG115" s="65">
        <f>+VLOOKUP($E$1,[9]Resumen!$V$31:$AH$32,AG1,0)</f>
        <v>0</v>
      </c>
      <c r="AH115" s="65">
        <f>+VLOOKUP($E$1,[9]Resumen!$V$31:$AH$32,AH1,0)</f>
        <v>0</v>
      </c>
      <c r="AI115" s="65">
        <f>+VLOOKUP($E$1,[9]Resumen!$V$31:$AH$32,AI1,0)</f>
        <v>0</v>
      </c>
      <c r="AJ115" s="65">
        <f>+VLOOKUP($E$1,[9]Resumen!$V$31:$AH$32,AJ1,0)</f>
        <v>0</v>
      </c>
      <c r="AK115" s="65">
        <f t="shared" si="70"/>
        <v>7763.2499999999991</v>
      </c>
      <c r="AL115" s="73">
        <f t="shared" si="46"/>
        <v>4.8457359264820767E-5</v>
      </c>
      <c r="AM115" s="14">
        <f t="shared" si="47"/>
        <v>-0.18281578947368426</v>
      </c>
      <c r="AN115" s="9"/>
    </row>
    <row r="116" spans="1:40" ht="14.45" hidden="1" customHeight="1" outlineLevel="1">
      <c r="A116" s="12"/>
      <c r="I116" s="223" t="s">
        <v>225</v>
      </c>
      <c r="J116" s="65">
        <v>37688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f t="shared" si="80"/>
        <v>37688</v>
      </c>
      <c r="W116" s="73">
        <f t="shared" si="44"/>
        <v>2.5429422608986169E-4</v>
      </c>
      <c r="X116" s="89"/>
      <c r="Y116" s="65">
        <f>VLOOKUP($E$1,[8]Resumen!$V$29:$AH$30,Y1,0)</f>
        <v>37515.919999999998</v>
      </c>
      <c r="Z116" s="65">
        <f>VLOOKUP($E$1,[8]Resumen!$V$29:$AH$30,Z1,0)</f>
        <v>0</v>
      </c>
      <c r="AA116" s="65">
        <f>VLOOKUP($E$1,[8]Resumen!$V$29:$AH$30,AA1,0)</f>
        <v>0</v>
      </c>
      <c r="AB116" s="65">
        <f>VLOOKUP($E$1,[8]Resumen!$V$29:$AH$30,AB1,0)</f>
        <v>0</v>
      </c>
      <c r="AC116" s="65">
        <f>VLOOKUP($E$1,[8]Resumen!$V$29:$AH$30,AC1,0)</f>
        <v>0</v>
      </c>
      <c r="AD116" s="65">
        <f>VLOOKUP($E$1,[8]Resumen!$V$29:$AH$30,AD1,0)</f>
        <v>0</v>
      </c>
      <c r="AE116" s="65">
        <f>VLOOKUP($E$1,[8]Resumen!$V$29:$AH$30,AE1,0)</f>
        <v>0</v>
      </c>
      <c r="AF116" s="65">
        <f>VLOOKUP($E$1,[8]Resumen!$V$29:$AH$30,AF1,0)</f>
        <v>0</v>
      </c>
      <c r="AG116" s="65">
        <f>VLOOKUP($E$1,[8]Resumen!$V$29:$AH$30,AG1,0)</f>
        <v>0</v>
      </c>
      <c r="AH116" s="65">
        <f>VLOOKUP($E$1,[8]Resumen!$V$29:$AH$30,AH1,0)</f>
        <v>0</v>
      </c>
      <c r="AI116" s="65">
        <f>VLOOKUP($E$1,[8]Resumen!$V$29:$AH$30,AI1,0)</f>
        <v>0</v>
      </c>
      <c r="AJ116" s="65">
        <f>VLOOKUP($E$1,[8]Resumen!$V$29:$AH$30,AJ1,0)</f>
        <v>0</v>
      </c>
      <c r="AK116" s="65">
        <f t="shared" si="70"/>
        <v>37515.919999999998</v>
      </c>
      <c r="AL116" s="73">
        <f t="shared" si="46"/>
        <v>2.3417027837442756E-4</v>
      </c>
      <c r="AM116" s="14">
        <f t="shared" si="47"/>
        <v>-4.565909573339022E-3</v>
      </c>
      <c r="AN116" s="9"/>
    </row>
    <row r="117" spans="1:40" ht="14.45" hidden="1" customHeight="1" outlineLevel="1">
      <c r="A117" s="12"/>
      <c r="I117" s="223" t="s">
        <v>226</v>
      </c>
      <c r="J117" s="65">
        <v>0</v>
      </c>
      <c r="K117" s="65">
        <v>0</v>
      </c>
      <c r="L117" s="65">
        <v>4578</v>
      </c>
      <c r="M117" s="65">
        <v>0</v>
      </c>
      <c r="N117" s="65">
        <v>0</v>
      </c>
      <c r="O117" s="65">
        <v>3097</v>
      </c>
      <c r="P117" s="65">
        <v>4778</v>
      </c>
      <c r="Q117" s="65">
        <v>10699</v>
      </c>
      <c r="R117" s="65">
        <v>21659</v>
      </c>
      <c r="S117" s="65">
        <v>991</v>
      </c>
      <c r="T117" s="65">
        <v>6240</v>
      </c>
      <c r="U117" s="65">
        <v>6240</v>
      </c>
      <c r="V117" s="65">
        <f t="shared" si="80"/>
        <v>58282</v>
      </c>
      <c r="W117" s="73">
        <f t="shared" si="44"/>
        <v>3.9324920624520589E-4</v>
      </c>
      <c r="X117" s="89"/>
      <c r="Y117" s="65">
        <f>+VLOOKUP($E$1,[9]Resumen!$V$38:$AH$39,Y1,0)</f>
        <v>5038.9645833333334</v>
      </c>
      <c r="Z117" s="65">
        <f>+VLOOKUP($E$1,[9]Resumen!$V$38:$AH$39,Z1,0)</f>
        <v>5038.9645833333334</v>
      </c>
      <c r="AA117" s="65">
        <f>+VLOOKUP($E$1,[9]Resumen!$V$38:$AH$39,AA1,0)</f>
        <v>5038.9645833333334</v>
      </c>
      <c r="AB117" s="65">
        <f>+VLOOKUP($E$1,[9]Resumen!$V$38:$AH$39,AB1,0)</f>
        <v>5038.9645833333334</v>
      </c>
      <c r="AC117" s="65">
        <f>+VLOOKUP($E$1,[9]Resumen!$V$38:$AH$39,AC1,0)</f>
        <v>5038.9645833333334</v>
      </c>
      <c r="AD117" s="65">
        <f>+VLOOKUP($E$1,[9]Resumen!$V$38:$AH$39,AD1,0)</f>
        <v>5038.9645833333334</v>
      </c>
      <c r="AE117" s="65">
        <f>+VLOOKUP($E$1,[9]Resumen!$V$38:$AH$39,AE1,0)</f>
        <v>5038.9645833333334</v>
      </c>
      <c r="AF117" s="65">
        <f>+VLOOKUP($E$1,[9]Resumen!$V$38:$AH$39,AF1,0)</f>
        <v>5038.9645833333334</v>
      </c>
      <c r="AG117" s="65">
        <f>+VLOOKUP($E$1,[9]Resumen!$V$38:$AH$39,AG1,0)</f>
        <v>5038.9645833333334</v>
      </c>
      <c r="AH117" s="65">
        <f>+VLOOKUP($E$1,[9]Resumen!$V$38:$AH$39,AH1,0)</f>
        <v>5038.9645833333334</v>
      </c>
      <c r="AI117" s="65">
        <f>+VLOOKUP($E$1,[9]Resumen!$V$38:$AH$39,AI1,0)</f>
        <v>5038.9645833333334</v>
      </c>
      <c r="AJ117" s="65">
        <f>+VLOOKUP($E$1,[9]Resumen!$V$38:$AH$39,AJ1,0)</f>
        <v>5038.9645833333334</v>
      </c>
      <c r="AK117" s="65">
        <f t="shared" si="70"/>
        <v>60467.575000000004</v>
      </c>
      <c r="AL117" s="73">
        <f t="shared" si="46"/>
        <v>3.7743200407657813E-4</v>
      </c>
      <c r="AM117" s="14">
        <f t="shared" si="47"/>
        <v>3.7500000000000089E-2</v>
      </c>
      <c r="AN117" s="9"/>
    </row>
    <row r="118" spans="1:40" ht="14.45" hidden="1" customHeight="1" outlineLevel="1">
      <c r="A118" s="12"/>
      <c r="I118" s="223" t="s">
        <v>227</v>
      </c>
      <c r="J118" s="65">
        <v>0</v>
      </c>
      <c r="K118" s="65">
        <v>0</v>
      </c>
      <c r="L118" s="65">
        <v>450</v>
      </c>
      <c r="M118" s="65">
        <v>0</v>
      </c>
      <c r="N118" s="65">
        <v>0</v>
      </c>
      <c r="O118" s="65">
        <v>180</v>
      </c>
      <c r="P118" s="65">
        <v>0</v>
      </c>
      <c r="Q118" s="65">
        <v>0</v>
      </c>
      <c r="R118" s="65">
        <v>0</v>
      </c>
      <c r="S118" s="65">
        <v>6450</v>
      </c>
      <c r="T118" s="65">
        <v>0</v>
      </c>
      <c r="U118" s="65">
        <v>0</v>
      </c>
      <c r="V118" s="65">
        <f t="shared" si="80"/>
        <v>7080</v>
      </c>
      <c r="W118" s="73">
        <f>V118/V$6</f>
        <v>4.7771256652415114E-5</v>
      </c>
      <c r="X118" s="89"/>
      <c r="Y118" s="65">
        <f>+VLOOKUP($E$1,[9]Resumen!$V$45:$AH$46,Y1,0)</f>
        <v>465.79499999999996</v>
      </c>
      <c r="Z118" s="65">
        <f>+VLOOKUP($E$1,[9]Resumen!$V$45:$AH$46,Z1,0)</f>
        <v>0</v>
      </c>
      <c r="AA118" s="65">
        <f>+VLOOKUP($E$1,[9]Resumen!$V$45:$AH$46,AA1,0)</f>
        <v>0</v>
      </c>
      <c r="AB118" s="65">
        <f>+VLOOKUP($E$1,[9]Resumen!$V$45:$AH$46,AB1,0)</f>
        <v>0</v>
      </c>
      <c r="AC118" s="65">
        <f>+VLOOKUP($E$1,[9]Resumen!$V$45:$AH$46,AC1,0)</f>
        <v>3465.7950000000001</v>
      </c>
      <c r="AD118" s="65">
        <f>+VLOOKUP($E$1,[9]Resumen!$V$45:$AH$46,AD1,0)</f>
        <v>0</v>
      </c>
      <c r="AE118" s="65">
        <f>+VLOOKUP($E$1,[9]Resumen!$V$45:$AH$46,AE1,0)</f>
        <v>0</v>
      </c>
      <c r="AF118" s="65">
        <f>+VLOOKUP($E$1,[9]Resumen!$V$45:$AH$46,AF1,0)</f>
        <v>3726.3599999999997</v>
      </c>
      <c r="AG118" s="65">
        <f>+VLOOKUP($E$1,[9]Resumen!$V$45:$AH$46,AG1,0)</f>
        <v>0</v>
      </c>
      <c r="AH118" s="65">
        <f>+VLOOKUP($E$1,[9]Resumen!$V$45:$AH$46,AH1,0)</f>
        <v>0</v>
      </c>
      <c r="AI118" s="65">
        <f>+VLOOKUP($E$1,[9]Resumen!$V$45:$AH$46,AI1,0)</f>
        <v>0</v>
      </c>
      <c r="AJ118" s="65">
        <f>+VLOOKUP($E$1,[9]Resumen!$V$45:$AH$46,AJ1,0)</f>
        <v>0</v>
      </c>
      <c r="AK118" s="65">
        <f t="shared" si="70"/>
        <v>7657.95</v>
      </c>
      <c r="AL118" s="73">
        <f>AK118/AK$6</f>
        <v>4.7800088156639835E-5</v>
      </c>
      <c r="AM118" s="14">
        <f>IFERROR(AK118/V118-1,0)</f>
        <v>8.1631355932203276E-2</v>
      </c>
      <c r="AN118" s="9"/>
    </row>
    <row r="119" spans="1:40" ht="14.45" hidden="1" customHeight="1" outlineLevel="1">
      <c r="A119" s="12"/>
      <c r="I119" s="223" t="s">
        <v>228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3499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80"/>
        <v>3499</v>
      </c>
      <c r="W119" s="73">
        <f>V119/V$6</f>
        <v>2.3608986868192161E-5</v>
      </c>
      <c r="X119" s="89"/>
      <c r="Y119" s="65">
        <f>VLOOKUP($E$1,[8]Resumen!$V$36:$AH$37,Y1,0)</f>
        <v>0</v>
      </c>
      <c r="Z119" s="65">
        <f>VLOOKUP($E$1,[8]Resumen!$V$36:$AH$37,Z1,0)</f>
        <v>0</v>
      </c>
      <c r="AA119" s="65">
        <f>VLOOKUP($E$1,[8]Resumen!$V$36:$AH$37,AA1,0)</f>
        <v>3638.96</v>
      </c>
      <c r="AB119" s="65">
        <f>VLOOKUP($E$1,[8]Resumen!$V$36:$AH$37,AB1,0)</f>
        <v>0</v>
      </c>
      <c r="AC119" s="65">
        <f>VLOOKUP($E$1,[8]Resumen!$V$36:$AH$37,AC1,0)</f>
        <v>0</v>
      </c>
      <c r="AD119" s="65">
        <f>VLOOKUP($E$1,[8]Resumen!$V$36:$AH$37,AD1,0)</f>
        <v>0</v>
      </c>
      <c r="AE119" s="65">
        <f>VLOOKUP($E$1,[8]Resumen!$V$36:$AH$37,AE1,0)</f>
        <v>0</v>
      </c>
      <c r="AF119" s="65">
        <f>VLOOKUP($E$1,[8]Resumen!$V$36:$AH$37,AF1,0)</f>
        <v>0</v>
      </c>
      <c r="AG119" s="65">
        <f>VLOOKUP($E$1,[8]Resumen!$V$36:$AH$37,AG1,0)</f>
        <v>0</v>
      </c>
      <c r="AH119" s="65">
        <f>VLOOKUP($E$1,[8]Resumen!$V$36:$AH$37,AH1,0)</f>
        <v>0</v>
      </c>
      <c r="AI119" s="65">
        <f>VLOOKUP($E$1,[8]Resumen!$V$36:$AH$37,AI1,0)</f>
        <v>0</v>
      </c>
      <c r="AJ119" s="65">
        <f>VLOOKUP($E$1,[8]Resumen!$V$36:$AH$37,AJ1,0)</f>
        <v>0</v>
      </c>
      <c r="AK119" s="65">
        <f t="shared" si="70"/>
        <v>3638.96</v>
      </c>
      <c r="AL119" s="73">
        <f>AK119/AK$6</f>
        <v>2.2713991185432929E-5</v>
      </c>
      <c r="AM119" s="14">
        <f>IFERROR(AK119/V119-1,0)</f>
        <v>4.0000000000000036E-2</v>
      </c>
      <c r="AN119" s="9"/>
    </row>
    <row r="120" spans="1:40" ht="14.45" hidden="1" customHeight="1" outlineLevel="1">
      <c r="A120" s="12"/>
      <c r="I120" s="223" t="s">
        <v>229</v>
      </c>
      <c r="J120" s="65">
        <v>0</v>
      </c>
      <c r="K120" s="65">
        <v>6000</v>
      </c>
      <c r="L120" s="65">
        <v>7600</v>
      </c>
      <c r="M120" s="65">
        <v>4800</v>
      </c>
      <c r="N120" s="65">
        <v>0</v>
      </c>
      <c r="O120" s="65">
        <v>0</v>
      </c>
      <c r="P120" s="65">
        <v>6000</v>
      </c>
      <c r="Q120" s="65">
        <v>3000</v>
      </c>
      <c r="R120" s="65">
        <v>0</v>
      </c>
      <c r="S120" s="65">
        <v>0</v>
      </c>
      <c r="T120" s="65">
        <v>5500</v>
      </c>
      <c r="U120" s="65">
        <v>5500</v>
      </c>
      <c r="V120" s="65">
        <f t="shared" si="80"/>
        <v>38400</v>
      </c>
      <c r="W120" s="73">
        <f>V120/V$6</f>
        <v>2.5909834116564129E-4</v>
      </c>
      <c r="X120" s="89"/>
      <c r="Y120" s="65">
        <f>VLOOKUP($E$1,[6]Resumen!$C$29:$P$32,Y1,0)+VLOOKUP($E$1,[9]Resumen!$V$52:$AH$53,Y1,0)</f>
        <v>6000</v>
      </c>
      <c r="Z120" s="65">
        <f>VLOOKUP($E$1,[6]Resumen!$C$29:$P$32,Z1,0)+VLOOKUP($E$1,[9]Resumen!$V$52:$AH$53,Z1,0)</f>
        <v>0</v>
      </c>
      <c r="AA120" s="65">
        <f>VLOOKUP($E$1,[6]Resumen!$C$29:$P$32,AA1,0)+VLOOKUP($E$1,[9]Resumen!$V$52:$AH$53,AA1,0)</f>
        <v>10968.48</v>
      </c>
      <c r="AB120" s="65">
        <f>VLOOKUP($E$1,[6]Resumen!$C$29:$P$32,AB1,0)+VLOOKUP($E$1,[9]Resumen!$V$52:$AH$53,AB1,0)</f>
        <v>0</v>
      </c>
      <c r="AC120" s="65">
        <f>VLOOKUP($E$1,[6]Resumen!$C$29:$P$32,AC1,0)+VLOOKUP($E$1,[9]Resumen!$V$52:$AH$53,AC1,0)</f>
        <v>6000</v>
      </c>
      <c r="AD120" s="65">
        <f>VLOOKUP($E$1,[6]Resumen!$C$29:$P$32,AD1,0)+VLOOKUP($E$1,[9]Resumen!$V$52:$AH$53,AD1,0)</f>
        <v>0</v>
      </c>
      <c r="AE120" s="65">
        <f>VLOOKUP($E$1,[6]Resumen!$C$29:$P$32,AE1,0)+VLOOKUP($E$1,[9]Resumen!$V$52:$AH$53,AE1,0)</f>
        <v>6000</v>
      </c>
      <c r="AF120" s="65">
        <f>VLOOKUP($E$1,[6]Resumen!$C$29:$P$32,AF1,0)+VLOOKUP($E$1,[9]Resumen!$V$52:$AH$53,AF1,0)</f>
        <v>4968.4799999999996</v>
      </c>
      <c r="AG120" s="65">
        <f>VLOOKUP($E$1,[6]Resumen!$C$29:$P$32,AG1,0)+VLOOKUP($E$1,[9]Resumen!$V$52:$AH$53,AG1,0)</f>
        <v>6000</v>
      </c>
      <c r="AH120" s="65">
        <f>VLOOKUP($E$1,[6]Resumen!$C$29:$P$32,AH1,0)+VLOOKUP($E$1,[9]Resumen!$V$52:$AH$53,AH1,0)</f>
        <v>0</v>
      </c>
      <c r="AI120" s="65">
        <f>VLOOKUP($E$1,[6]Resumen!$C$29:$P$32,AI1,0)+VLOOKUP($E$1,[9]Resumen!$V$52:$AH$53,AI1,0)</f>
        <v>6000</v>
      </c>
      <c r="AJ120" s="65">
        <f>VLOOKUP($E$1,[6]Resumen!$C$29:$P$32,AJ1,0)+VLOOKUP($E$1,[9]Resumen!$V$52:$AH$53,AJ1,0)</f>
        <v>0</v>
      </c>
      <c r="AK120" s="65">
        <f t="shared" si="70"/>
        <v>45936.959999999999</v>
      </c>
      <c r="AL120" s="73">
        <f>AK120/AK$6</f>
        <v>2.8673349103193908E-4</v>
      </c>
      <c r="AM120" s="14">
        <f>IFERROR(AK120/V120-1,0)</f>
        <v>0.19627499999999998</v>
      </c>
      <c r="AN120" s="9"/>
    </row>
    <row r="121" spans="1:40" ht="14.45" hidden="1" customHeight="1" outlineLevel="1">
      <c r="A121" s="12"/>
      <c r="I121" s="223" t="s">
        <v>230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80"/>
        <v>0</v>
      </c>
      <c r="W121" s="73">
        <f>V121/V$6</f>
        <v>0</v>
      </c>
      <c r="X121" s="89"/>
      <c r="Y121" s="65">
        <f>+VLOOKUP($E$1,[9]Resumen!$V$59:$AH$60,Y1,0)</f>
        <v>0</v>
      </c>
      <c r="Z121" s="65">
        <f>+VLOOKUP($E$1,[9]Resumen!$V$59:$AH$60,Z1,0)</f>
        <v>0</v>
      </c>
      <c r="AA121" s="65">
        <f>+VLOOKUP($E$1,[9]Resumen!$V$59:$AH$60,AA1,0)</f>
        <v>0</v>
      </c>
      <c r="AB121" s="65">
        <f>+VLOOKUP($E$1,[9]Resumen!$V$59:$AH$60,AB1,0)</f>
        <v>0</v>
      </c>
      <c r="AC121" s="65">
        <f>+VLOOKUP($E$1,[9]Resumen!$V$59:$AH$60,AC1,0)</f>
        <v>0</v>
      </c>
      <c r="AD121" s="65">
        <f>+VLOOKUP($E$1,[9]Resumen!$V$59:$AH$60,AD1,0)</f>
        <v>0</v>
      </c>
      <c r="AE121" s="65">
        <f>+VLOOKUP($E$1,[9]Resumen!$V$59:$AH$60,AE1,0)</f>
        <v>0</v>
      </c>
      <c r="AF121" s="65">
        <f>+VLOOKUP($E$1,[9]Resumen!$V$59:$AH$60,AF1,0)</f>
        <v>0</v>
      </c>
      <c r="AG121" s="65">
        <f>+VLOOKUP($E$1,[9]Resumen!$V$59:$AH$60,AG1,0)</f>
        <v>0</v>
      </c>
      <c r="AH121" s="65">
        <f>+VLOOKUP($E$1,[9]Resumen!$V$59:$AH$60,AH1,0)</f>
        <v>0</v>
      </c>
      <c r="AI121" s="65">
        <f>+VLOOKUP($E$1,[9]Resumen!$V$59:$AH$60,AI1,0)</f>
        <v>0</v>
      </c>
      <c r="AJ121" s="65">
        <f>+VLOOKUP($E$1,[9]Resumen!$V$59:$AH$60,AJ1,0)</f>
        <v>0</v>
      </c>
      <c r="AK121" s="65">
        <f t="shared" si="70"/>
        <v>0</v>
      </c>
      <c r="AL121" s="73">
        <f>AK121/AK$6</f>
        <v>0</v>
      </c>
      <c r="AM121" s="14">
        <f>IFERROR(AK121/V121-1,0)</f>
        <v>0</v>
      </c>
      <c r="AN121" s="9"/>
    </row>
    <row r="122" spans="1:40" ht="14.45" hidden="1" customHeight="1" outlineLevel="1">
      <c r="A122" s="12"/>
      <c r="I122" s="223" t="s">
        <v>231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f t="shared" ref="V122:V133" si="81">SUM(J122:U122)</f>
        <v>0</v>
      </c>
      <c r="W122" s="73">
        <f t="shared" ref="W122:W133" si="82">V122/V$6</f>
        <v>0</v>
      </c>
      <c r="X122" s="89"/>
      <c r="Y122" s="65">
        <f>VLOOKUP($E$1,[9]Resumen!$V$66:$AH$67,Y1,0)</f>
        <v>0</v>
      </c>
      <c r="Z122" s="65">
        <f>VLOOKUP($E$1,[9]Resumen!$V$66:$AH$67,Z1,0)</f>
        <v>0</v>
      </c>
      <c r="AA122" s="65">
        <f>VLOOKUP($E$1,[9]Resumen!$V$66:$AH$67,AA1,0)</f>
        <v>0</v>
      </c>
      <c r="AB122" s="65">
        <f>VLOOKUP($E$1,[9]Resumen!$V$66:$AH$67,AB1,0)</f>
        <v>0</v>
      </c>
      <c r="AC122" s="65">
        <f>VLOOKUP($E$1,[9]Resumen!$V$66:$AH$67,AC1,0)</f>
        <v>0</v>
      </c>
      <c r="AD122" s="65">
        <f>VLOOKUP($E$1,[9]Resumen!$V$66:$AH$67,AD1,0)</f>
        <v>0</v>
      </c>
      <c r="AE122" s="65">
        <f>VLOOKUP($E$1,[9]Resumen!$V$66:$AH$67,AE1,0)</f>
        <v>0</v>
      </c>
      <c r="AF122" s="65">
        <f>VLOOKUP($E$1,[9]Resumen!$V$66:$AH$67,AF1,0)</f>
        <v>0</v>
      </c>
      <c r="AG122" s="65">
        <f>VLOOKUP($E$1,[9]Resumen!$V$66:$AH$67,AG1,0)</f>
        <v>0</v>
      </c>
      <c r="AH122" s="65">
        <f>VLOOKUP($E$1,[9]Resumen!$V$66:$AH$67,AH1,0)</f>
        <v>0</v>
      </c>
      <c r="AI122" s="65">
        <f>VLOOKUP($E$1,[9]Resumen!$V$66:$AH$67,AI1,0)</f>
        <v>0</v>
      </c>
      <c r="AJ122" s="65">
        <f>VLOOKUP($E$1,[9]Resumen!$V$66:$AH$67,AJ1,0)</f>
        <v>0</v>
      </c>
      <c r="AK122" s="65">
        <f t="shared" si="70"/>
        <v>0</v>
      </c>
      <c r="AL122" s="73">
        <f t="shared" ref="AL122:AL132" si="83">AK122/AK$6</f>
        <v>0</v>
      </c>
      <c r="AM122" s="14">
        <f t="shared" ref="AM122:AM132" si="84">IFERROR(AK122/V122-1,0)</f>
        <v>0</v>
      </c>
      <c r="AN122" s="9"/>
    </row>
    <row r="123" spans="1:40" ht="14.45" hidden="1" customHeight="1" outlineLevel="1">
      <c r="A123" s="12"/>
      <c r="I123" s="223" t="s">
        <v>232</v>
      </c>
      <c r="J123" s="65">
        <v>0</v>
      </c>
      <c r="K123" s="65">
        <v>0</v>
      </c>
      <c r="L123" s="65">
        <v>3561</v>
      </c>
      <c r="M123" s="65">
        <v>0</v>
      </c>
      <c r="N123" s="65">
        <v>0</v>
      </c>
      <c r="O123" s="65">
        <v>0</v>
      </c>
      <c r="P123" s="65">
        <v>3561</v>
      </c>
      <c r="Q123" s="65">
        <v>0</v>
      </c>
      <c r="R123" s="65">
        <v>0</v>
      </c>
      <c r="S123" s="65">
        <v>9000</v>
      </c>
      <c r="T123" s="65">
        <v>3078.4</v>
      </c>
      <c r="U123" s="65">
        <v>1139.8400000000001</v>
      </c>
      <c r="V123" s="65">
        <f t="shared" si="81"/>
        <v>20340.240000000002</v>
      </c>
      <c r="W123" s="73">
        <f t="shared" si="82"/>
        <v>1.3724277195080792E-4</v>
      </c>
      <c r="X123" s="89"/>
      <c r="Y123" s="65">
        <f>VLOOKUP($E$1,[6]Resumen!$C$16:$O$17,Y1,0)+VLOOKUP($E$1,[9]Resumen!$V$73:$AH$74,Y1,0)</f>
        <v>0</v>
      </c>
      <c r="Z123" s="65">
        <f>VLOOKUP($E$1,[6]Resumen!$C$16:$O$17,Z1,0)+VLOOKUP($E$1,[9]Resumen!$V$73:$AH$74,Z1,0)</f>
        <v>4800</v>
      </c>
      <c r="AA123" s="65">
        <f>VLOOKUP($E$1,[6]Resumen!$C$16:$O$17,AA1,0)+VLOOKUP($E$1,[9]Resumen!$V$73:$AH$74,AA1,0)</f>
        <v>1134.4695999999999</v>
      </c>
      <c r="AB123" s="65">
        <f>VLOOKUP($E$1,[6]Resumen!$C$16:$O$17,AB1,0)+VLOOKUP($E$1,[9]Resumen!$V$73:$AH$74,AB1,0)</f>
        <v>0</v>
      </c>
      <c r="AC123" s="65">
        <f>VLOOKUP($E$1,[6]Resumen!$C$16:$O$17,AC1,0)+VLOOKUP($E$1,[9]Resumen!$V$73:$AH$74,AC1,0)</f>
        <v>1600</v>
      </c>
      <c r="AD123" s="65">
        <f>VLOOKUP($E$1,[6]Resumen!$C$16:$O$17,AD1,0)+VLOOKUP($E$1,[9]Resumen!$V$73:$AH$74,AD1,0)</f>
        <v>0</v>
      </c>
      <c r="AE123" s="65">
        <f>VLOOKUP($E$1,[6]Resumen!$C$16:$O$17,AE1,0)+VLOOKUP($E$1,[9]Resumen!$V$73:$AH$74,AE1,0)</f>
        <v>1134.4695999999999</v>
      </c>
      <c r="AF123" s="65">
        <f>VLOOKUP($E$1,[6]Resumen!$C$16:$O$17,AF1,0)+VLOOKUP($E$1,[9]Resumen!$V$73:$AH$74,AF1,0)</f>
        <v>4800</v>
      </c>
      <c r="AG123" s="65">
        <f>VLOOKUP($E$1,[6]Resumen!$C$16:$O$17,AG1,0)+VLOOKUP($E$1,[9]Resumen!$V$73:$AH$74,AG1,0)</f>
        <v>0</v>
      </c>
      <c r="AH123" s="65">
        <f>VLOOKUP($E$1,[6]Resumen!$C$16:$O$17,AH1,0)+VLOOKUP($E$1,[9]Resumen!$V$73:$AH$74,AH1,0)</f>
        <v>0</v>
      </c>
      <c r="AI123" s="65">
        <f>VLOOKUP($E$1,[6]Resumen!$C$16:$O$17,AI1,0)+VLOOKUP($E$1,[9]Resumen!$V$73:$AH$74,AI1,0)</f>
        <v>1600</v>
      </c>
      <c r="AJ123" s="65">
        <f>VLOOKUP($E$1,[6]Resumen!$C$16:$O$17,AJ1,0)+VLOOKUP($E$1,[9]Resumen!$V$73:$AH$74,AJ1,0)</f>
        <v>1134.4695999999999</v>
      </c>
      <c r="AK123" s="65">
        <f t="shared" si="70"/>
        <v>16203.408800000001</v>
      </c>
      <c r="AL123" s="73">
        <f t="shared" si="83"/>
        <v>1.0113990938541957E-4</v>
      </c>
      <c r="AM123" s="14">
        <f t="shared" si="84"/>
        <v>-0.20338163168182877</v>
      </c>
      <c r="AN123" s="9"/>
    </row>
    <row r="124" spans="1:40" ht="14.45" hidden="1" customHeight="1" outlineLevel="1">
      <c r="A124" s="12"/>
      <c r="I124" s="223" t="s">
        <v>233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3297</v>
      </c>
      <c r="R124" s="65">
        <v>24500</v>
      </c>
      <c r="S124" s="65">
        <v>0</v>
      </c>
      <c r="T124" s="65">
        <v>0</v>
      </c>
      <c r="U124" s="65">
        <v>0</v>
      </c>
      <c r="V124" s="65">
        <f t="shared" si="81"/>
        <v>27797</v>
      </c>
      <c r="W124" s="73">
        <f t="shared" si="82"/>
        <v>1.875561611818055E-4</v>
      </c>
      <c r="X124" s="89"/>
      <c r="Y124" s="65">
        <f>+VLOOKUP($E$1,[9]Resumen!$V$80:$AH$81,Y1,0)</f>
        <v>0</v>
      </c>
      <c r="Z124" s="65">
        <f>+VLOOKUP($E$1,[9]Resumen!$V$80:$AH$81,Z1,0)</f>
        <v>0</v>
      </c>
      <c r="AA124" s="65">
        <f>+VLOOKUP($E$1,[9]Resumen!$V$80:$AH$81,AA1,0)</f>
        <v>0</v>
      </c>
      <c r="AB124" s="65">
        <f>+VLOOKUP($E$1,[9]Resumen!$V$80:$AH$81,AB1,0)</f>
        <v>0</v>
      </c>
      <c r="AC124" s="65">
        <f>+VLOOKUP($E$1,[9]Resumen!$V$80:$AH$81,AC1,0)</f>
        <v>0</v>
      </c>
      <c r="AD124" s="65">
        <f>+VLOOKUP($E$1,[9]Resumen!$V$80:$AH$81,AD1,0)</f>
        <v>0</v>
      </c>
      <c r="AE124" s="65">
        <f>+VLOOKUP($E$1,[9]Resumen!$V$80:$AH$81,AE1,0)</f>
        <v>0</v>
      </c>
      <c r="AF124" s="65">
        <f>+VLOOKUP($E$1,[9]Resumen!$V$80:$AH$81,AF1,0)</f>
        <v>62105.999999999993</v>
      </c>
      <c r="AG124" s="65">
        <f>+VLOOKUP($E$1,[9]Resumen!$V$80:$AH$81,AG1,0)</f>
        <v>0</v>
      </c>
      <c r="AH124" s="65">
        <f>+VLOOKUP($E$1,[9]Resumen!$V$80:$AH$81,AH1,0)</f>
        <v>0</v>
      </c>
      <c r="AI124" s="65">
        <f>+VLOOKUP($E$1,[9]Resumen!$V$80:$AH$81,AI1,0)</f>
        <v>0</v>
      </c>
      <c r="AJ124" s="65">
        <f>+VLOOKUP($E$1,[9]Resumen!$V$80:$AH$81,AJ1,0)</f>
        <v>0</v>
      </c>
      <c r="AK124" s="65">
        <f t="shared" si="70"/>
        <v>62105.999999999993</v>
      </c>
      <c r="AL124" s="73">
        <f t="shared" si="83"/>
        <v>3.8765887411856614E-4</v>
      </c>
      <c r="AM124" s="14">
        <f t="shared" si="84"/>
        <v>1.2342698852394141</v>
      </c>
      <c r="AN124" s="9"/>
    </row>
    <row r="125" spans="1:40" ht="14.45" hidden="1" customHeight="1" outlineLevel="1">
      <c r="A125" s="12"/>
      <c r="I125" s="223" t="s">
        <v>234</v>
      </c>
      <c r="J125" s="65">
        <v>0</v>
      </c>
      <c r="K125" s="65">
        <v>0</v>
      </c>
      <c r="L125" s="65">
        <v>0</v>
      </c>
      <c r="M125" s="65">
        <v>4500</v>
      </c>
      <c r="N125" s="65">
        <v>5500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f t="shared" si="81"/>
        <v>10000</v>
      </c>
      <c r="W125" s="73">
        <f t="shared" si="82"/>
        <v>6.7473526345219087E-5</v>
      </c>
      <c r="X125" s="89"/>
      <c r="Y125" s="65">
        <f>+VLOOKUP($E$1,[9]Resumen!$V$87:$AH$88,Y1,0)</f>
        <v>0</v>
      </c>
      <c r="Z125" s="65">
        <f>+VLOOKUP($E$1,[9]Resumen!$V$87:$AH$88,Z1,0)</f>
        <v>0</v>
      </c>
      <c r="AA125" s="65">
        <f>+VLOOKUP($E$1,[9]Resumen!$V$87:$AH$88,AA1,0)</f>
        <v>6107.0899999999992</v>
      </c>
      <c r="AB125" s="65">
        <f>+VLOOKUP($E$1,[9]Resumen!$V$87:$AH$88,AB1,0)</f>
        <v>0</v>
      </c>
      <c r="AC125" s="65">
        <f>+VLOOKUP($E$1,[9]Resumen!$V$87:$AH$88,AC1,0)</f>
        <v>0</v>
      </c>
      <c r="AD125" s="65">
        <f>+VLOOKUP($E$1,[9]Resumen!$V$87:$AH$88,AD1,0)</f>
        <v>0</v>
      </c>
      <c r="AE125" s="65">
        <f>+VLOOKUP($E$1,[9]Resumen!$V$87:$AH$88,AE1,0)</f>
        <v>0</v>
      </c>
      <c r="AF125" s="65">
        <f>+VLOOKUP($E$1,[9]Resumen!$V$87:$AH$88,AF1,0)</f>
        <v>0</v>
      </c>
      <c r="AG125" s="65">
        <f>+VLOOKUP($E$1,[9]Resumen!$V$87:$AH$88,AG1,0)</f>
        <v>0</v>
      </c>
      <c r="AH125" s="65">
        <f>+VLOOKUP($E$1,[9]Resumen!$V$87:$AH$88,AH1,0)</f>
        <v>0</v>
      </c>
      <c r="AI125" s="65">
        <f>+VLOOKUP($E$1,[9]Resumen!$V$87:$AH$88,AI1,0)</f>
        <v>0</v>
      </c>
      <c r="AJ125" s="65">
        <f>+VLOOKUP($E$1,[9]Resumen!$V$87:$AH$88,AJ1,0)</f>
        <v>0</v>
      </c>
      <c r="AK125" s="65">
        <f t="shared" si="70"/>
        <v>6107.0899999999992</v>
      </c>
      <c r="AL125" s="73">
        <f t="shared" si="83"/>
        <v>3.8119789288325669E-5</v>
      </c>
      <c r="AM125" s="14">
        <f t="shared" si="84"/>
        <v>-0.38929100000000005</v>
      </c>
      <c r="AN125" s="9"/>
    </row>
    <row r="126" spans="1:40" ht="14.45" hidden="1" customHeight="1" outlineLevel="1">
      <c r="A126" s="12"/>
      <c r="I126" s="223" t="s">
        <v>235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f t="shared" si="81"/>
        <v>0</v>
      </c>
      <c r="W126" s="73">
        <f t="shared" si="82"/>
        <v>0</v>
      </c>
      <c r="X126" s="89"/>
      <c r="Y126" s="65">
        <f>+VLOOKUP($E$1,[9]Resumen!$V$94:$AH$95,Y1,0)</f>
        <v>0</v>
      </c>
      <c r="Z126" s="65">
        <f>+VLOOKUP($E$1,[9]Resumen!$V$94:$AH$95,Z1,0)</f>
        <v>0</v>
      </c>
      <c r="AA126" s="65">
        <f>+VLOOKUP($E$1,[9]Resumen!$V$94:$AH$95,AA1,0)</f>
        <v>0</v>
      </c>
      <c r="AB126" s="65">
        <f>+VLOOKUP($E$1,[9]Resumen!$V$94:$AH$95,AB1,0)</f>
        <v>0</v>
      </c>
      <c r="AC126" s="65">
        <f>+VLOOKUP($E$1,[9]Resumen!$V$94:$AH$95,AC1,0)</f>
        <v>0</v>
      </c>
      <c r="AD126" s="65">
        <f>+VLOOKUP($E$1,[9]Resumen!$V$94:$AH$95,AD1,0)</f>
        <v>0</v>
      </c>
      <c r="AE126" s="65">
        <f>+VLOOKUP($E$1,[9]Resumen!$V$94:$AH$95,AE1,0)</f>
        <v>0</v>
      </c>
      <c r="AF126" s="65">
        <f>+VLOOKUP($E$1,[9]Resumen!$V$94:$AH$95,AF1,0)</f>
        <v>0</v>
      </c>
      <c r="AG126" s="65">
        <f>+VLOOKUP($E$1,[9]Resumen!$V$94:$AH$95,AG1,0)</f>
        <v>0</v>
      </c>
      <c r="AH126" s="65">
        <f>+VLOOKUP($E$1,[9]Resumen!$V$94:$AH$95,AH1,0)</f>
        <v>0</v>
      </c>
      <c r="AI126" s="65">
        <f>+VLOOKUP($E$1,[9]Resumen!$V$94:$AH$95,AI1,0)</f>
        <v>0</v>
      </c>
      <c r="AJ126" s="65">
        <f>+VLOOKUP($E$1,[9]Resumen!$V$94:$AH$95,AJ1,0)</f>
        <v>0</v>
      </c>
      <c r="AK126" s="65">
        <f t="shared" si="70"/>
        <v>0</v>
      </c>
      <c r="AL126" s="73">
        <f t="shared" si="83"/>
        <v>0</v>
      </c>
      <c r="AM126" s="14">
        <f t="shared" si="84"/>
        <v>0</v>
      </c>
      <c r="AN126" s="9"/>
    </row>
    <row r="127" spans="1:40" ht="14.45" hidden="1" customHeight="1" outlineLevel="1">
      <c r="A127" s="12"/>
      <c r="I127" s="223" t="s">
        <v>236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3120</v>
      </c>
      <c r="V127" s="65">
        <f t="shared" si="81"/>
        <v>3120</v>
      </c>
      <c r="W127" s="73">
        <f t="shared" si="82"/>
        <v>2.1051740219708356E-5</v>
      </c>
      <c r="X127" s="89"/>
      <c r="Y127" s="65">
        <f>+VLOOKUP($E$1,[9]Resumen!$V$101:$AH$102,Y1,0)</f>
        <v>0</v>
      </c>
      <c r="Z127" s="65">
        <f>+VLOOKUP($E$1,[9]Resumen!$V$101:$AH$102,Z1,0)</f>
        <v>0</v>
      </c>
      <c r="AA127" s="65">
        <f>+VLOOKUP($E$1,[9]Resumen!$V$101:$AH$102,AA1,0)</f>
        <v>0</v>
      </c>
      <c r="AB127" s="65">
        <f>+VLOOKUP($E$1,[9]Resumen!$V$101:$AH$102,AB1,0)</f>
        <v>0</v>
      </c>
      <c r="AC127" s="65">
        <f>+VLOOKUP($E$1,[9]Resumen!$V$101:$AH$102,AC1,0)</f>
        <v>0</v>
      </c>
      <c r="AD127" s="65">
        <f>+VLOOKUP($E$1,[9]Resumen!$V$101:$AH$102,AD1,0)</f>
        <v>0</v>
      </c>
      <c r="AE127" s="65">
        <f>+VLOOKUP($E$1,[9]Resumen!$V$101:$AH$102,AE1,0)</f>
        <v>0</v>
      </c>
      <c r="AF127" s="65">
        <f>+VLOOKUP($E$1,[9]Resumen!$V$101:$AH$102,AF1,0)</f>
        <v>0</v>
      </c>
      <c r="AG127" s="65">
        <f>+VLOOKUP($E$1,[9]Resumen!$V$101:$AH$102,AG1,0)</f>
        <v>0</v>
      </c>
      <c r="AH127" s="65">
        <f>+VLOOKUP($E$1,[9]Resumen!$V$101:$AH$102,AH1,0)</f>
        <v>0</v>
      </c>
      <c r="AI127" s="65">
        <f>+VLOOKUP($E$1,[9]Resumen!$V$101:$AH$102,AI1,0)</f>
        <v>0</v>
      </c>
      <c r="AJ127" s="65">
        <f>+VLOOKUP($E$1,[9]Resumen!$V$101:$AH$102,AJ1,0)</f>
        <v>0</v>
      </c>
      <c r="AK127" s="65">
        <f t="shared" si="70"/>
        <v>0</v>
      </c>
      <c r="AL127" s="73">
        <f t="shared" si="83"/>
        <v>0</v>
      </c>
      <c r="AM127" s="14">
        <f t="shared" si="84"/>
        <v>-1</v>
      </c>
      <c r="AN127" s="9"/>
    </row>
    <row r="128" spans="1:40" ht="14.45" hidden="1" customHeight="1" outlineLevel="1">
      <c r="A128" s="12"/>
      <c r="I128" s="223" t="s">
        <v>237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/>
      <c r="U128" s="65"/>
      <c r="V128" s="65">
        <f t="shared" si="81"/>
        <v>0</v>
      </c>
      <c r="W128" s="73">
        <f t="shared" si="82"/>
        <v>0</v>
      </c>
      <c r="X128" s="89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>
        <f t="shared" si="70"/>
        <v>0</v>
      </c>
      <c r="AL128" s="73">
        <f t="shared" si="83"/>
        <v>0</v>
      </c>
      <c r="AM128" s="14">
        <f t="shared" si="84"/>
        <v>0</v>
      </c>
      <c r="AN128" s="9"/>
    </row>
    <row r="129" spans="1:40" ht="14.45" hidden="1" customHeight="1" outlineLevel="1">
      <c r="A129" s="12"/>
      <c r="I129" s="223" t="s">
        <v>238</v>
      </c>
      <c r="J129" s="65">
        <v>0</v>
      </c>
      <c r="K129" s="65">
        <v>0</v>
      </c>
      <c r="L129" s="65">
        <v>5100</v>
      </c>
      <c r="M129" s="65">
        <v>0</v>
      </c>
      <c r="N129" s="65">
        <v>0</v>
      </c>
      <c r="O129" s="65">
        <v>5100</v>
      </c>
      <c r="P129" s="65">
        <v>0</v>
      </c>
      <c r="Q129" s="65">
        <v>0</v>
      </c>
      <c r="R129" s="65">
        <v>0</v>
      </c>
      <c r="S129" s="65">
        <v>5100</v>
      </c>
      <c r="T129" s="65">
        <v>0</v>
      </c>
      <c r="U129" s="65">
        <v>5408</v>
      </c>
      <c r="V129" s="65">
        <f t="shared" si="81"/>
        <v>20708</v>
      </c>
      <c r="W129" s="73">
        <f t="shared" si="82"/>
        <v>1.397241783556797E-4</v>
      </c>
      <c r="X129" s="89"/>
      <c r="Y129" s="65">
        <f>VLOOKUP($E$1,[9]Resumen!$V$108:$AH$109,Y1,0)</f>
        <v>0</v>
      </c>
      <c r="Z129" s="65">
        <f>VLOOKUP($E$1,[9]Resumen!$V$108:$AH$109,Z1,0)</f>
        <v>5848.3149999999996</v>
      </c>
      <c r="AA129" s="65">
        <f>VLOOKUP($E$1,[9]Resumen!$V$108:$AH$109,AA1,0)</f>
        <v>0</v>
      </c>
      <c r="AB129" s="65">
        <f>VLOOKUP($E$1,[9]Resumen!$V$108:$AH$109,AB1,0)</f>
        <v>0</v>
      </c>
      <c r="AC129" s="65">
        <f>VLOOKUP($E$1,[9]Resumen!$V$108:$AH$109,AC1,0)</f>
        <v>5848.3149999999996</v>
      </c>
      <c r="AD129" s="65">
        <f>VLOOKUP($E$1,[9]Resumen!$V$108:$AH$109,AD1,0)</f>
        <v>0</v>
      </c>
      <c r="AE129" s="65">
        <f>VLOOKUP($E$1,[9]Resumen!$V$108:$AH$109,AE1,0)</f>
        <v>0</v>
      </c>
      <c r="AF129" s="65">
        <f>VLOOKUP($E$1,[9]Resumen!$V$108:$AH$109,AF1,0)</f>
        <v>5848.3149999999996</v>
      </c>
      <c r="AG129" s="65">
        <f>VLOOKUP($E$1,[9]Resumen!$V$108:$AH$109,AG1,0)</f>
        <v>0</v>
      </c>
      <c r="AH129" s="65">
        <f>VLOOKUP($E$1,[9]Resumen!$V$108:$AH$109,AH1,0)</f>
        <v>0</v>
      </c>
      <c r="AI129" s="65">
        <f>VLOOKUP($E$1,[9]Resumen!$V$108:$AH$109,AI1,0)</f>
        <v>5848.3149999999996</v>
      </c>
      <c r="AJ129" s="65">
        <f>VLOOKUP($E$1,[9]Resumen!$V$108:$AH$109,AJ1,0)</f>
        <v>0</v>
      </c>
      <c r="AK129" s="65">
        <f t="shared" si="70"/>
        <v>23393.26</v>
      </c>
      <c r="AL129" s="73">
        <f t="shared" si="83"/>
        <v>1.4601817591799324E-4</v>
      </c>
      <c r="AM129" s="14">
        <f t="shared" si="84"/>
        <v>0.12967259030326428</v>
      </c>
      <c r="AN129" s="9"/>
    </row>
    <row r="130" spans="1:40" ht="14.45" hidden="1" customHeight="1" outlineLevel="1">
      <c r="A130" s="12"/>
      <c r="I130" s="223" t="s">
        <v>239</v>
      </c>
      <c r="J130" s="65">
        <v>0</v>
      </c>
      <c r="K130" s="65">
        <v>0</v>
      </c>
      <c r="L130" s="65">
        <v>6800</v>
      </c>
      <c r="M130" s="65">
        <v>0</v>
      </c>
      <c r="N130" s="65">
        <v>0</v>
      </c>
      <c r="O130" s="65">
        <v>0</v>
      </c>
      <c r="P130" s="65">
        <v>6800</v>
      </c>
      <c r="Q130" s="65">
        <v>0</v>
      </c>
      <c r="R130" s="65">
        <v>0</v>
      </c>
      <c r="S130" s="65">
        <v>6800</v>
      </c>
      <c r="T130" s="65">
        <v>0</v>
      </c>
      <c r="U130" s="65">
        <v>7540</v>
      </c>
      <c r="V130" s="65">
        <f t="shared" si="81"/>
        <v>27940</v>
      </c>
      <c r="W130" s="73">
        <f t="shared" si="82"/>
        <v>1.8852103260854215E-4</v>
      </c>
      <c r="X130" s="89"/>
      <c r="Y130" s="65">
        <f>VLOOKUP($E$1,[9]Resumen!$V$115:$AH$116,Y1,0)</f>
        <v>0</v>
      </c>
      <c r="Z130" s="65">
        <f>VLOOKUP($E$1,[9]Resumen!$V$115:$AH$116,Z1,0)</f>
        <v>7742.5479999999989</v>
      </c>
      <c r="AA130" s="65">
        <f>VLOOKUP($E$1,[9]Resumen!$V$115:$AH$116,AA1,0)</f>
        <v>0</v>
      </c>
      <c r="AB130" s="65">
        <f>VLOOKUP($E$1,[9]Resumen!$V$115:$AH$116,AB1,0)</f>
        <v>0</v>
      </c>
      <c r="AC130" s="65">
        <f>VLOOKUP($E$1,[9]Resumen!$V$115:$AH$116,AC1,0)</f>
        <v>7742.5479999999989</v>
      </c>
      <c r="AD130" s="65">
        <f>VLOOKUP($E$1,[9]Resumen!$V$115:$AH$116,AD1,0)</f>
        <v>0</v>
      </c>
      <c r="AE130" s="65">
        <f>VLOOKUP($E$1,[9]Resumen!$V$115:$AH$116,AE1,0)</f>
        <v>0</v>
      </c>
      <c r="AF130" s="65">
        <f>VLOOKUP($E$1,[9]Resumen!$V$115:$AH$116,AF1,0)</f>
        <v>7742.5479999999989</v>
      </c>
      <c r="AG130" s="65">
        <f>VLOOKUP($E$1,[9]Resumen!$V$115:$AH$116,AG1,0)</f>
        <v>0</v>
      </c>
      <c r="AH130" s="65">
        <f>VLOOKUP($E$1,[9]Resumen!$V$115:$AH$116,AH1,0)</f>
        <v>0</v>
      </c>
      <c r="AI130" s="65">
        <f>VLOOKUP($E$1,[9]Resumen!$V$115:$AH$116,AI1,0)</f>
        <v>7742.5479999999989</v>
      </c>
      <c r="AJ130" s="65">
        <f>VLOOKUP($E$1,[9]Resumen!$V$115:$AH$116,AJ1,0)</f>
        <v>0</v>
      </c>
      <c r="AK130" s="65">
        <f t="shared" si="70"/>
        <v>30970.191999999995</v>
      </c>
      <c r="AL130" s="73">
        <f t="shared" si="83"/>
        <v>1.9331255856045831E-4</v>
      </c>
      <c r="AM130" s="14">
        <f t="shared" si="84"/>
        <v>0.10845354330708634</v>
      </c>
      <c r="AN130" s="9"/>
    </row>
    <row r="131" spans="1:40" ht="14.45" hidden="1" customHeight="1" outlineLevel="1">
      <c r="A131" s="12"/>
      <c r="I131" s="223" t="s">
        <v>240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/>
      <c r="U131" s="65"/>
      <c r="V131" s="65">
        <f t="shared" si="81"/>
        <v>0</v>
      </c>
      <c r="W131" s="73">
        <f t="shared" si="82"/>
        <v>0</v>
      </c>
      <c r="X131" s="89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>
        <f t="shared" si="70"/>
        <v>0</v>
      </c>
      <c r="AL131" s="73">
        <f t="shared" si="83"/>
        <v>0</v>
      </c>
      <c r="AM131" s="14">
        <f t="shared" si="84"/>
        <v>0</v>
      </c>
      <c r="AN131" s="9"/>
    </row>
    <row r="132" spans="1:40" ht="14.45" hidden="1" customHeight="1" outlineLevel="1">
      <c r="A132" s="12"/>
      <c r="I132" s="223" t="s">
        <v>241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f t="shared" si="81"/>
        <v>0</v>
      </c>
      <c r="W132" s="73">
        <f t="shared" si="82"/>
        <v>0</v>
      </c>
      <c r="X132" s="89"/>
      <c r="Y132" s="65">
        <f>VLOOKUP($E$1,[9]Resumen!$V$122:$AH$123,Y1,0)</f>
        <v>0</v>
      </c>
      <c r="Z132" s="65">
        <f>VLOOKUP($E$1,[9]Resumen!$V$122:$AH$123,Z1,0)</f>
        <v>0</v>
      </c>
      <c r="AA132" s="65">
        <f>VLOOKUP($E$1,[9]Resumen!$V$122:$AH$123,AA1,0)</f>
        <v>0</v>
      </c>
      <c r="AB132" s="65">
        <f>VLOOKUP($E$1,[9]Resumen!$V$122:$AH$123,AB1,0)</f>
        <v>517.54999999999995</v>
      </c>
      <c r="AC132" s="65">
        <f>VLOOKUP($E$1,[9]Resumen!$V$122:$AH$123,AC1,0)</f>
        <v>0</v>
      </c>
      <c r="AD132" s="65">
        <f>VLOOKUP($E$1,[9]Resumen!$V$122:$AH$123,AD1,0)</f>
        <v>0</v>
      </c>
      <c r="AE132" s="65">
        <f>VLOOKUP($E$1,[9]Resumen!$V$122:$AH$123,AE1,0)</f>
        <v>0</v>
      </c>
      <c r="AF132" s="65">
        <f>VLOOKUP($E$1,[9]Resumen!$V$122:$AH$123,AF1,0)</f>
        <v>0</v>
      </c>
      <c r="AG132" s="65">
        <f>VLOOKUP($E$1,[9]Resumen!$V$122:$AH$123,AG1,0)</f>
        <v>517.54999999999995</v>
      </c>
      <c r="AH132" s="65">
        <f>VLOOKUP($E$1,[9]Resumen!$V$122:$AH$123,AH1,0)</f>
        <v>0</v>
      </c>
      <c r="AI132" s="65">
        <f>VLOOKUP($E$1,[9]Resumen!$V$122:$AH$123,AI1,0)</f>
        <v>0</v>
      </c>
      <c r="AJ132" s="65">
        <f>VLOOKUP($E$1,[9]Resumen!$V$122:$AH$123,AJ1,0)</f>
        <v>0</v>
      </c>
      <c r="AK132" s="65">
        <f t="shared" si="70"/>
        <v>1035.0999999999999</v>
      </c>
      <c r="AL132" s="73">
        <f t="shared" si="83"/>
        <v>6.4609812353094358E-6</v>
      </c>
      <c r="AM132" s="14">
        <f t="shared" si="84"/>
        <v>0</v>
      </c>
      <c r="AN132" s="9"/>
    </row>
    <row r="133" spans="1:40" ht="14.45" hidden="1" customHeight="1" outlineLevel="1">
      <c r="A133" s="12"/>
      <c r="I133" s="223" t="s">
        <v>242</v>
      </c>
      <c r="J133" s="65">
        <v>14000</v>
      </c>
      <c r="K133" s="65">
        <v>14000</v>
      </c>
      <c r="L133" s="65">
        <v>14000</v>
      </c>
      <c r="M133" s="65">
        <v>14000</v>
      </c>
      <c r="N133" s="65">
        <v>14000</v>
      </c>
      <c r="O133" s="65">
        <v>14000</v>
      </c>
      <c r="P133" s="65">
        <v>14000</v>
      </c>
      <c r="Q133" s="65">
        <v>14000</v>
      </c>
      <c r="R133" s="65">
        <v>14000</v>
      </c>
      <c r="S133" s="65">
        <v>14000</v>
      </c>
      <c r="T133" s="65">
        <v>14000</v>
      </c>
      <c r="U133" s="65">
        <v>14000</v>
      </c>
      <c r="V133" s="65">
        <f t="shared" si="81"/>
        <v>168000</v>
      </c>
      <c r="W133" s="73">
        <f t="shared" si="82"/>
        <v>1.1335552425996806E-3</v>
      </c>
      <c r="X133" s="89"/>
      <c r="Y133" s="65">
        <f>VLOOKUP($E$1,[8]Resumen!$V$43:$AH$44,Y1,0)</f>
        <v>14000</v>
      </c>
      <c r="Z133" s="65">
        <f>VLOOKUP($E$1,[8]Resumen!$V$43:$AH$44,Z1,0)</f>
        <v>14000</v>
      </c>
      <c r="AA133" s="65">
        <f>VLOOKUP($E$1,[8]Resumen!$V$43:$AH$44,AA1,0)</f>
        <v>14000</v>
      </c>
      <c r="AB133" s="65">
        <f>VLOOKUP($E$1,[8]Resumen!$V$43:$AH$44,AB1,0)</f>
        <v>14000</v>
      </c>
      <c r="AC133" s="65">
        <f>VLOOKUP($E$1,[8]Resumen!$V$43:$AH$44,AC1,0)</f>
        <v>14000</v>
      </c>
      <c r="AD133" s="65">
        <f>VLOOKUP($E$1,[8]Resumen!$V$43:$AH$44,AD1,0)</f>
        <v>14000</v>
      </c>
      <c r="AE133" s="65">
        <f>VLOOKUP($E$1,[8]Resumen!$V$43:$AH$44,AE1,0)</f>
        <v>14000</v>
      </c>
      <c r="AF133" s="65">
        <f>VLOOKUP($E$1,[8]Resumen!$V$43:$AH$44,AF1,0)</f>
        <v>14000</v>
      </c>
      <c r="AG133" s="65">
        <f>VLOOKUP($E$1,[8]Resumen!$V$43:$AH$44,AG1,0)</f>
        <v>14000</v>
      </c>
      <c r="AH133" s="65">
        <f>VLOOKUP($E$1,[8]Resumen!$V$43:$AH$44,AH1,0)</f>
        <v>14000</v>
      </c>
      <c r="AI133" s="65">
        <f>VLOOKUP($E$1,[8]Resumen!$V$43:$AH$44,AI1,0)</f>
        <v>14000</v>
      </c>
      <c r="AJ133" s="65">
        <f>VLOOKUP($E$1,[8]Resumen!$V$43:$AH$44,AJ1,0)</f>
        <v>14000</v>
      </c>
      <c r="AK133" s="65">
        <f t="shared" si="70"/>
        <v>168000</v>
      </c>
      <c r="AL133" s="73">
        <f t="shared" si="46"/>
        <v>1.0486376654738532E-3</v>
      </c>
      <c r="AM133" s="14">
        <f t="shared" si="47"/>
        <v>0</v>
      </c>
      <c r="AN133" s="9"/>
    </row>
    <row r="134" spans="1:40" ht="14.45" hidden="1" customHeight="1" outlineLevel="1">
      <c r="A134" s="12"/>
      <c r="I134" s="223" t="s">
        <v>243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4160</v>
      </c>
      <c r="V134" s="65">
        <f t="shared" si="80"/>
        <v>4160</v>
      </c>
      <c r="W134" s="73">
        <f t="shared" si="44"/>
        <v>2.8068986959611141E-5</v>
      </c>
      <c r="X134" s="89"/>
      <c r="Y134" s="65">
        <f>+VLOOKUP($E$1,[9]Resumen!$V$129:$AH$130,Y1,0)</f>
        <v>0</v>
      </c>
      <c r="Z134" s="65">
        <f>+VLOOKUP($E$1,[9]Resumen!$V$129:$AH$130,Z1,0)</f>
        <v>0</v>
      </c>
      <c r="AA134" s="65">
        <f>+VLOOKUP($E$1,[9]Resumen!$V$129:$AH$130,AA1,0)</f>
        <v>0</v>
      </c>
      <c r="AB134" s="65">
        <f>+VLOOKUP($E$1,[9]Resumen!$V$129:$AH$130,AB1,0)</f>
        <v>0</v>
      </c>
      <c r="AC134" s="65">
        <f>+VLOOKUP($E$1,[9]Resumen!$V$129:$AH$130,AC1,0)</f>
        <v>0</v>
      </c>
      <c r="AD134" s="65">
        <f>+VLOOKUP($E$1,[9]Resumen!$V$129:$AH$130,AD1,0)</f>
        <v>0</v>
      </c>
      <c r="AE134" s="65">
        <f>+VLOOKUP($E$1,[9]Resumen!$V$129:$AH$130,AE1,0)</f>
        <v>0</v>
      </c>
      <c r="AF134" s="65">
        <f>+VLOOKUP($E$1,[9]Resumen!$V$129:$AH$130,AF1,0)</f>
        <v>0</v>
      </c>
      <c r="AG134" s="65">
        <f>+VLOOKUP($E$1,[9]Resumen!$V$129:$AH$130,AG1,0)</f>
        <v>0</v>
      </c>
      <c r="AH134" s="65">
        <f>+VLOOKUP($E$1,[9]Resumen!$V$129:$AH$130,AH1,0)</f>
        <v>0</v>
      </c>
      <c r="AI134" s="65">
        <f>+VLOOKUP($E$1,[9]Resumen!$V$129:$AH$130,AI1,0)</f>
        <v>0</v>
      </c>
      <c r="AJ134" s="65">
        <f>+VLOOKUP($E$1,[9]Resumen!$V$129:$AH$130,AJ1,0)</f>
        <v>3208.8099999999995</v>
      </c>
      <c r="AK134" s="65">
        <f t="shared" si="70"/>
        <v>3208.8099999999995</v>
      </c>
      <c r="AL134" s="73">
        <f t="shared" si="46"/>
        <v>2.0029041829459249E-5</v>
      </c>
      <c r="AM134" s="14">
        <f t="shared" si="47"/>
        <v>-0.22865144230769241</v>
      </c>
      <c r="AN134" s="9"/>
    </row>
    <row r="135" spans="1:40" ht="14.45" hidden="1" customHeight="1" outlineLevel="1">
      <c r="A135" s="12"/>
      <c r="I135" s="223" t="s">
        <v>244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/>
      <c r="U135" s="65"/>
      <c r="V135" s="65">
        <f t="shared" si="80"/>
        <v>0</v>
      </c>
      <c r="W135" s="73">
        <f t="shared" si="44"/>
        <v>0</v>
      </c>
      <c r="X135" s="89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>
        <f t="shared" si="70"/>
        <v>0</v>
      </c>
      <c r="AL135" s="73">
        <f t="shared" si="46"/>
        <v>0</v>
      </c>
      <c r="AM135" s="14">
        <f t="shared" si="47"/>
        <v>0</v>
      </c>
      <c r="AN135" s="9"/>
    </row>
    <row r="136" spans="1:40" ht="14.45" hidden="1" customHeight="1" outlineLevel="1">
      <c r="A136" s="12"/>
      <c r="I136" s="223" t="s">
        <v>245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80"/>
        <v>0</v>
      </c>
      <c r="W136" s="73">
        <f t="shared" si="44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70"/>
        <v>0</v>
      </c>
      <c r="AL136" s="73">
        <f t="shared" si="46"/>
        <v>0</v>
      </c>
      <c r="AM136" s="14">
        <f t="shared" si="47"/>
        <v>0</v>
      </c>
      <c r="AN136" s="9"/>
    </row>
    <row r="137" spans="1:40" ht="14.45" hidden="1" customHeight="1" outlineLevel="1">
      <c r="A137" s="12"/>
      <c r="I137" s="223" t="s">
        <v>246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/>
      <c r="U137" s="65"/>
      <c r="V137" s="65">
        <f t="shared" si="80"/>
        <v>0</v>
      </c>
      <c r="W137" s="73">
        <f t="shared" si="44"/>
        <v>0</v>
      </c>
      <c r="X137" s="89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>
        <f t="shared" si="70"/>
        <v>0</v>
      </c>
      <c r="AL137" s="73">
        <f t="shared" si="46"/>
        <v>0</v>
      </c>
      <c r="AM137" s="14">
        <f t="shared" si="47"/>
        <v>0</v>
      </c>
      <c r="AN137" s="9"/>
    </row>
    <row r="138" spans="1:40" ht="14.45" hidden="1" customHeight="1" outlineLevel="1">
      <c r="A138" s="12"/>
      <c r="E138" s="7" t="s">
        <v>445</v>
      </c>
      <c r="I138" s="223" t="s">
        <v>247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/>
      <c r="U138" s="65"/>
      <c r="V138" s="65">
        <f t="shared" si="80"/>
        <v>0</v>
      </c>
      <c r="W138" s="73">
        <f t="shared" si="44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70"/>
        <v>0</v>
      </c>
      <c r="AL138" s="73">
        <f t="shared" si="46"/>
        <v>0</v>
      </c>
      <c r="AM138" s="14">
        <f t="shared" si="47"/>
        <v>0</v>
      </c>
      <c r="AN138" s="9"/>
    </row>
    <row r="139" spans="1:40" ht="14.45" hidden="1" customHeight="1" outlineLevel="1">
      <c r="A139" s="12"/>
      <c r="I139" s="223" t="s">
        <v>248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/>
      <c r="U139" s="65"/>
      <c r="V139" s="65">
        <f t="shared" si="80"/>
        <v>0</v>
      </c>
      <c r="W139" s="73">
        <f t="shared" si="44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70"/>
        <v>0</v>
      </c>
      <c r="AL139" s="73">
        <f t="shared" si="46"/>
        <v>0</v>
      </c>
      <c r="AM139" s="14">
        <f t="shared" si="47"/>
        <v>0</v>
      </c>
      <c r="AN139" s="9"/>
    </row>
    <row r="140" spans="1:40" ht="14.45" hidden="1" customHeight="1" outlineLevel="1">
      <c r="A140" s="12"/>
      <c r="I140" s="223" t="s">
        <v>249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/>
      <c r="U140" s="65"/>
      <c r="V140" s="65">
        <f t="shared" si="80"/>
        <v>0</v>
      </c>
      <c r="W140" s="73">
        <f t="shared" si="44"/>
        <v>0</v>
      </c>
      <c r="X140" s="89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>
        <f t="shared" si="70"/>
        <v>0</v>
      </c>
      <c r="AL140" s="73">
        <f t="shared" si="46"/>
        <v>0</v>
      </c>
      <c r="AM140" s="14">
        <f t="shared" si="47"/>
        <v>0</v>
      </c>
      <c r="AN140" s="9"/>
    </row>
    <row r="141" spans="1:40" ht="14.45" hidden="1" customHeight="1" outlineLevel="1">
      <c r="A141" s="12"/>
      <c r="I141" s="223" t="s">
        <v>250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/>
      <c r="U141" s="65"/>
      <c r="V141" s="65">
        <f t="shared" si="80"/>
        <v>0</v>
      </c>
      <c r="W141" s="73">
        <f t="shared" si="44"/>
        <v>0</v>
      </c>
      <c r="X141" s="89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>
        <f t="shared" si="70"/>
        <v>0</v>
      </c>
      <c r="AL141" s="73">
        <f t="shared" si="46"/>
        <v>0</v>
      </c>
      <c r="AM141" s="14">
        <f t="shared" si="47"/>
        <v>0</v>
      </c>
      <c r="AN141" s="9"/>
    </row>
    <row r="142" spans="1:40" ht="14.45" hidden="1" customHeight="1" outlineLevel="1">
      <c r="A142" s="12"/>
      <c r="I142" s="223" t="s">
        <v>251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/>
      <c r="U142" s="65"/>
      <c r="V142" s="65">
        <f t="shared" si="80"/>
        <v>0</v>
      </c>
      <c r="W142" s="73">
        <f t="shared" si="44"/>
        <v>0</v>
      </c>
      <c r="X142" s="89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>
        <f t="shared" si="70"/>
        <v>0</v>
      </c>
      <c r="AL142" s="73">
        <f t="shared" si="46"/>
        <v>0</v>
      </c>
      <c r="AM142" s="14">
        <f t="shared" ref="AM142:AM159" si="85">IFERROR(AK142/V142-1,0)</f>
        <v>0</v>
      </c>
      <c r="AN142" s="9"/>
    </row>
    <row r="143" spans="1:40" ht="14.45" hidden="1" customHeight="1" outlineLevel="1">
      <c r="A143" s="12"/>
      <c r="I143" s="223" t="s">
        <v>252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/>
      <c r="U143" s="65"/>
      <c r="V143" s="65">
        <f t="shared" si="80"/>
        <v>0</v>
      </c>
      <c r="W143" s="73">
        <f t="shared" si="44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70"/>
        <v>0</v>
      </c>
      <c r="AL143" s="73">
        <f t="shared" si="46"/>
        <v>0</v>
      </c>
      <c r="AM143" s="14">
        <f t="shared" si="85"/>
        <v>0</v>
      </c>
      <c r="AN143" s="9"/>
    </row>
    <row r="144" spans="1:40" ht="14.45" hidden="1" customHeight="1" outlineLevel="1">
      <c r="A144" s="12"/>
      <c r="I144" s="223" t="s">
        <v>253</v>
      </c>
      <c r="J144" s="65"/>
      <c r="K144" s="65">
        <v>0</v>
      </c>
      <c r="L144" s="65"/>
      <c r="M144" s="65">
        <v>0</v>
      </c>
      <c r="N144" s="65"/>
      <c r="O144" s="65"/>
      <c r="P144" s="65"/>
      <c r="Q144" s="65"/>
      <c r="R144" s="65">
        <v>0</v>
      </c>
      <c r="S144" s="65"/>
      <c r="T144" s="65"/>
      <c r="U144" s="65"/>
      <c r="V144" s="65">
        <f t="shared" si="80"/>
        <v>0</v>
      </c>
      <c r="W144" s="73">
        <f t="shared" si="44"/>
        <v>0</v>
      </c>
      <c r="X144" s="89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>
        <f t="shared" si="70"/>
        <v>0</v>
      </c>
      <c r="AL144" s="73">
        <f t="shared" si="46"/>
        <v>0</v>
      </c>
      <c r="AM144" s="14">
        <f t="shared" si="85"/>
        <v>0</v>
      </c>
      <c r="AN144" s="9"/>
    </row>
    <row r="145" spans="1:40" ht="14.45" hidden="1" customHeight="1" outlineLevel="1">
      <c r="A145" s="12"/>
      <c r="I145" s="223" t="s">
        <v>254</v>
      </c>
      <c r="J145" s="65"/>
      <c r="K145" s="65">
        <v>0</v>
      </c>
      <c r="L145" s="65"/>
      <c r="M145" s="65"/>
      <c r="N145" s="65"/>
      <c r="O145" s="65"/>
      <c r="P145" s="65"/>
      <c r="Q145" s="65"/>
      <c r="R145" s="65">
        <v>0</v>
      </c>
      <c r="S145" s="65"/>
      <c r="T145" s="65"/>
      <c r="U145" s="65"/>
      <c r="V145" s="65">
        <f t="shared" si="80"/>
        <v>0</v>
      </c>
      <c r="W145" s="73">
        <f t="shared" si="44"/>
        <v>0</v>
      </c>
      <c r="X145" s="89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>
        <f t="shared" si="70"/>
        <v>0</v>
      </c>
      <c r="AL145" s="73">
        <f t="shared" si="46"/>
        <v>0</v>
      </c>
      <c r="AM145" s="14">
        <f t="shared" si="85"/>
        <v>0</v>
      </c>
      <c r="AN145" s="9"/>
    </row>
    <row r="146" spans="1:40" ht="14.45" hidden="1" customHeight="1" outlineLevel="1">
      <c r="A146" s="12"/>
      <c r="I146" s="223" t="s">
        <v>255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/>
      <c r="U146" s="65"/>
      <c r="V146" s="65">
        <f t="shared" si="80"/>
        <v>0</v>
      </c>
      <c r="W146" s="73"/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70"/>
        <v>0</v>
      </c>
      <c r="AL146" s="73">
        <f t="shared" si="46"/>
        <v>0</v>
      </c>
      <c r="AM146" s="14">
        <f t="shared" si="85"/>
        <v>0</v>
      </c>
      <c r="AN146" s="9"/>
    </row>
    <row r="147" spans="1:40" ht="14.45" customHeight="1" collapsed="1">
      <c r="A147" s="12" t="s">
        <v>256</v>
      </c>
      <c r="B147" s="8" t="s">
        <v>89</v>
      </c>
      <c r="I147" s="119" t="s">
        <v>257</v>
      </c>
      <c r="J147" s="15">
        <v>28107</v>
      </c>
      <c r="K147" s="15">
        <v>27330</v>
      </c>
      <c r="L147" s="15">
        <v>27703</v>
      </c>
      <c r="M147" s="15">
        <v>31759</v>
      </c>
      <c r="N147" s="15">
        <v>26825</v>
      </c>
      <c r="O147" s="15">
        <v>26515</v>
      </c>
      <c r="P147" s="15">
        <v>26358</v>
      </c>
      <c r="Q147" s="15">
        <v>27389</v>
      </c>
      <c r="R147" s="15">
        <v>27308</v>
      </c>
      <c r="S147" s="15">
        <v>34126</v>
      </c>
      <c r="T147" s="15">
        <f t="shared" ref="R147:U147" si="86">SUM(T148:T153)</f>
        <v>28795.25</v>
      </c>
      <c r="U147" s="15">
        <f t="shared" si="86"/>
        <v>29404.5625</v>
      </c>
      <c r="V147" s="15">
        <f>SUM(V148:V153)</f>
        <v>341619.8125</v>
      </c>
      <c r="W147" s="72">
        <f t="shared" si="44"/>
        <v>2.3050293418767557E-3</v>
      </c>
      <c r="X147" s="89"/>
      <c r="Y147" s="15">
        <f t="shared" ref="Y147:AK147" si="87">SUM(Y148:Y153)</f>
        <v>28360.799999999999</v>
      </c>
      <c r="Z147" s="15">
        <f t="shared" si="87"/>
        <v>31500.560000000001</v>
      </c>
      <c r="AA147" s="15">
        <f t="shared" si="87"/>
        <v>27617.200000000001</v>
      </c>
      <c r="AB147" s="15">
        <f t="shared" si="87"/>
        <v>30870.320000000003</v>
      </c>
      <c r="AC147" s="15">
        <f t="shared" si="87"/>
        <v>31819.84</v>
      </c>
      <c r="AD147" s="15">
        <f t="shared" si="87"/>
        <v>30410.640000000003</v>
      </c>
      <c r="AE147" s="15">
        <f t="shared" si="87"/>
        <v>31992.480000000003</v>
      </c>
      <c r="AF147" s="15">
        <f t="shared" si="87"/>
        <v>27979.119999999999</v>
      </c>
      <c r="AG147" s="15">
        <f t="shared" si="87"/>
        <v>26412.880000000001</v>
      </c>
      <c r="AH147" s="15">
        <f t="shared" si="87"/>
        <v>27721.200000000001</v>
      </c>
      <c r="AI147" s="15">
        <f t="shared" si="87"/>
        <v>25104.560000000001</v>
      </c>
      <c r="AJ147" s="15">
        <f t="shared" si="87"/>
        <v>30337.84</v>
      </c>
      <c r="AK147" s="15">
        <f t="shared" si="87"/>
        <v>350127.44</v>
      </c>
      <c r="AL147" s="72">
        <f t="shared" si="46"/>
        <v>2.1854572696424794E-3</v>
      </c>
      <c r="AM147" s="10">
        <f t="shared" si="85"/>
        <v>2.4903788330485011E-2</v>
      </c>
      <c r="AN147" s="9"/>
    </row>
    <row r="148" spans="1:40" ht="14.45" hidden="1" customHeight="1" outlineLevel="1">
      <c r="A148" s="12" t="s">
        <v>256</v>
      </c>
      <c r="B148" s="8" t="s">
        <v>89</v>
      </c>
      <c r="I148" s="223" t="s">
        <v>258</v>
      </c>
      <c r="J148" s="67">
        <v>0</v>
      </c>
      <c r="K148" s="67">
        <v>0</v>
      </c>
      <c r="L148" s="67">
        <v>0</v>
      </c>
      <c r="M148" s="67">
        <v>0</v>
      </c>
      <c r="N148" s="67">
        <v>0</v>
      </c>
      <c r="O148" s="67">
        <v>0</v>
      </c>
      <c r="P148" s="67">
        <v>0</v>
      </c>
      <c r="Q148" s="67">
        <v>0</v>
      </c>
      <c r="R148" s="67">
        <v>0</v>
      </c>
      <c r="S148" s="67">
        <v>0</v>
      </c>
      <c r="T148" s="67">
        <v>0</v>
      </c>
      <c r="U148" s="67">
        <v>0</v>
      </c>
      <c r="V148" s="65">
        <f t="shared" ref="V148:V154" si="88">SUM(J148:U148)</f>
        <v>0</v>
      </c>
      <c r="W148" s="73">
        <f t="shared" si="44"/>
        <v>0</v>
      </c>
      <c r="X148" s="89"/>
      <c r="Y148" s="67">
        <f>VLOOKUP($E$1,[21]Resumen!$V$8:$AH$14,Y1,0)</f>
        <v>0</v>
      </c>
      <c r="Z148" s="67">
        <f>VLOOKUP($E$1,[21]Resumen!$V$8:$AH$14,Z1,0)</f>
        <v>0</v>
      </c>
      <c r="AA148" s="67">
        <f>VLOOKUP($E$1,[21]Resumen!$V$8:$AH$14,AA1,0)</f>
        <v>0</v>
      </c>
      <c r="AB148" s="67">
        <f>VLOOKUP($E$1,[21]Resumen!$V$8:$AH$14,AB1,0)</f>
        <v>0</v>
      </c>
      <c r="AC148" s="67">
        <f>VLOOKUP($E$1,[21]Resumen!$V$8:$AH$14,AC1,0)</f>
        <v>0</v>
      </c>
      <c r="AD148" s="67">
        <f>VLOOKUP($E$1,[21]Resumen!$V$8:$AH$14,AD1,0)</f>
        <v>0</v>
      </c>
      <c r="AE148" s="67">
        <f>VLOOKUP($E$1,[21]Resumen!$V$8:$AH$14,AE1,0)</f>
        <v>0</v>
      </c>
      <c r="AF148" s="67">
        <f>VLOOKUP($E$1,[21]Resumen!$V$8:$AH$14,AF1,0)</f>
        <v>0</v>
      </c>
      <c r="AG148" s="67">
        <f>VLOOKUP($E$1,[21]Resumen!$V$8:$AH$14,AG1,0)</f>
        <v>0</v>
      </c>
      <c r="AH148" s="67">
        <f>VLOOKUP($E$1,[21]Resumen!$V$8:$AH$14,AH1,0)</f>
        <v>0</v>
      </c>
      <c r="AI148" s="67">
        <f>VLOOKUP($E$1,[21]Resumen!$V$8:$AH$14,AI1,0)</f>
        <v>0</v>
      </c>
      <c r="AJ148" s="67">
        <f>VLOOKUP($E$1,[21]Resumen!$V$8:$AH$14,AJ1,0)</f>
        <v>0</v>
      </c>
      <c r="AK148" s="65">
        <f t="shared" si="70"/>
        <v>0</v>
      </c>
      <c r="AL148" s="73">
        <f t="shared" si="46"/>
        <v>0</v>
      </c>
      <c r="AM148" s="14">
        <f t="shared" si="85"/>
        <v>0</v>
      </c>
      <c r="AN148" s="9"/>
    </row>
    <row r="149" spans="1:40" ht="14.45" hidden="1" customHeight="1" outlineLevel="1">
      <c r="A149" s="12" t="s">
        <v>256</v>
      </c>
      <c r="B149" s="8" t="s">
        <v>89</v>
      </c>
      <c r="I149" s="223" t="s">
        <v>259</v>
      </c>
      <c r="J149" s="67">
        <v>0</v>
      </c>
      <c r="K149" s="67">
        <v>0</v>
      </c>
      <c r="L149" s="67">
        <v>0</v>
      </c>
      <c r="M149" s="67">
        <v>0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0</v>
      </c>
      <c r="T149" s="67">
        <v>0</v>
      </c>
      <c r="U149" s="67">
        <v>0</v>
      </c>
      <c r="V149" s="65">
        <f t="shared" si="88"/>
        <v>0</v>
      </c>
      <c r="W149" s="73">
        <f t="shared" si="44"/>
        <v>0</v>
      </c>
      <c r="X149" s="89"/>
      <c r="Y149" s="67">
        <f>VLOOKUP($E$1,[21]Resumen!$V$15:$AH$16,Y1,0)</f>
        <v>0</v>
      </c>
      <c r="Z149" s="67">
        <f>VLOOKUP($E$1,[21]Resumen!$V$15:$AH$16,Z1,0)</f>
        <v>0</v>
      </c>
      <c r="AA149" s="67">
        <f>VLOOKUP($E$1,[21]Resumen!$V$15:$AH$16,AA1,0)</f>
        <v>0</v>
      </c>
      <c r="AB149" s="67">
        <f>VLOOKUP($E$1,[21]Resumen!$V$15:$AH$16,AB1,0)</f>
        <v>0</v>
      </c>
      <c r="AC149" s="67">
        <f>VLOOKUP($E$1,[21]Resumen!$V$15:$AH$16,AC1,0)</f>
        <v>0</v>
      </c>
      <c r="AD149" s="67">
        <f>VLOOKUP($E$1,[21]Resumen!$V$15:$AH$16,AD1,0)</f>
        <v>0</v>
      </c>
      <c r="AE149" s="67">
        <f>VLOOKUP($E$1,[21]Resumen!$V$15:$AH$16,AE1,0)</f>
        <v>0</v>
      </c>
      <c r="AF149" s="67">
        <f>VLOOKUP($E$1,[21]Resumen!$V$15:$AH$16,AF1,0)</f>
        <v>0</v>
      </c>
      <c r="AG149" s="67">
        <f>VLOOKUP($E$1,[21]Resumen!$V$15:$AH$16,AG1,0)</f>
        <v>0</v>
      </c>
      <c r="AH149" s="67">
        <f>VLOOKUP($E$1,[21]Resumen!$V$15:$AH$16,AH1,0)</f>
        <v>0</v>
      </c>
      <c r="AI149" s="67">
        <f>VLOOKUP($E$1,[21]Resumen!$V$15:$AH$16,AI1,0)</f>
        <v>0</v>
      </c>
      <c r="AJ149" s="67">
        <f>VLOOKUP($E$1,[21]Resumen!$V$15:$AH$16,AJ1,0)</f>
        <v>0</v>
      </c>
      <c r="AK149" s="65">
        <f t="shared" si="70"/>
        <v>0</v>
      </c>
      <c r="AL149" s="73">
        <f t="shared" si="46"/>
        <v>0</v>
      </c>
      <c r="AM149" s="14">
        <f t="shared" si="85"/>
        <v>0</v>
      </c>
      <c r="AN149" s="9"/>
    </row>
    <row r="150" spans="1:40" ht="14.45" hidden="1" customHeight="1" outlineLevel="1">
      <c r="A150" s="12" t="s">
        <v>256</v>
      </c>
      <c r="B150" s="8" t="s">
        <v>89</v>
      </c>
      <c r="I150" s="223" t="s">
        <v>260</v>
      </c>
      <c r="J150" s="65">
        <v>14607</v>
      </c>
      <c r="K150" s="65">
        <v>14530</v>
      </c>
      <c r="L150" s="65">
        <v>16103</v>
      </c>
      <c r="M150" s="65">
        <v>13759</v>
      </c>
      <c r="N150" s="65">
        <v>14025</v>
      </c>
      <c r="O150" s="65">
        <v>12515</v>
      </c>
      <c r="P150" s="65">
        <v>13558</v>
      </c>
      <c r="Q150" s="65">
        <v>13869</v>
      </c>
      <c r="R150" s="65">
        <v>12408</v>
      </c>
      <c r="S150" s="65">
        <v>14806</v>
      </c>
      <c r="T150" s="65">
        <f t="shared" ref="T150:T151" si="89">+AVERAGE(P150:S150)</f>
        <v>13660.25</v>
      </c>
      <c r="U150" s="65">
        <f t="shared" ref="U150:U151" si="90">+AVERAGE(Q150:T150)</f>
        <v>13685.8125</v>
      </c>
      <c r="V150" s="65">
        <f t="shared" si="88"/>
        <v>167526.0625</v>
      </c>
      <c r="W150" s="73">
        <f t="shared" si="44"/>
        <v>1.130357419160457E-3</v>
      </c>
      <c r="X150" s="89"/>
      <c r="Y150" s="65">
        <f>VLOOKUP($E$1,[8]Resumen!$V$50:$AH$51,Y1,0)</f>
        <v>14921.92</v>
      </c>
      <c r="Z150" s="65">
        <f>VLOOKUP($E$1,[8]Resumen!$V$50:$AH$51,Z1,0)</f>
        <v>18061.68</v>
      </c>
      <c r="AA150" s="65">
        <f>VLOOKUP($E$1,[8]Resumen!$V$50:$AH$51,AA1,0)</f>
        <v>14178.32</v>
      </c>
      <c r="AB150" s="65">
        <f>VLOOKUP($E$1,[8]Resumen!$V$50:$AH$51,AB1,0)</f>
        <v>17431.440000000002</v>
      </c>
      <c r="AC150" s="65">
        <f>VLOOKUP($E$1,[8]Resumen!$V$50:$AH$51,AC1,0)</f>
        <v>18380.96</v>
      </c>
      <c r="AD150" s="65">
        <f>VLOOKUP($E$1,[8]Resumen!$V$50:$AH$51,AD1,0)</f>
        <v>16971.760000000002</v>
      </c>
      <c r="AE150" s="65">
        <f>VLOOKUP($E$1,[8]Resumen!$V$50:$AH$51,AE1,0)</f>
        <v>18553.600000000002</v>
      </c>
      <c r="AF150" s="65">
        <f>VLOOKUP($E$1,[8]Resumen!$V$50:$AH$51,AF1,0)</f>
        <v>14540.24</v>
      </c>
      <c r="AG150" s="65">
        <f>VLOOKUP($E$1,[8]Resumen!$V$50:$AH$51,AG1,0)</f>
        <v>12974</v>
      </c>
      <c r="AH150" s="65">
        <f>VLOOKUP($E$1,[8]Resumen!$V$50:$AH$51,AH1,0)</f>
        <v>14282.32</v>
      </c>
      <c r="AI150" s="65">
        <f>VLOOKUP($E$1,[8]Resumen!$V$50:$AH$51,AI1,0)</f>
        <v>11665.68</v>
      </c>
      <c r="AJ150" s="65">
        <f>VLOOKUP($E$1,[8]Resumen!$V$50:$AH$51,AJ1,0)</f>
        <v>16898.96</v>
      </c>
      <c r="AK150" s="65">
        <f t="shared" si="70"/>
        <v>188860.88</v>
      </c>
      <c r="AL150" s="73">
        <f t="shared" si="46"/>
        <v>1.1788490018008184E-3</v>
      </c>
      <c r="AM150" s="14">
        <f t="shared" si="85"/>
        <v>0.12735222914941979</v>
      </c>
      <c r="AN150" s="9"/>
    </row>
    <row r="151" spans="1:40" ht="14.45" hidden="1" customHeight="1" outlineLevel="1">
      <c r="A151" s="12" t="s">
        <v>256</v>
      </c>
      <c r="B151" s="8" t="s">
        <v>89</v>
      </c>
      <c r="I151" s="223" t="s">
        <v>263</v>
      </c>
      <c r="J151" s="65">
        <v>5500</v>
      </c>
      <c r="K151" s="65">
        <v>4800</v>
      </c>
      <c r="L151" s="65">
        <v>3600</v>
      </c>
      <c r="M151" s="65">
        <v>10000</v>
      </c>
      <c r="N151" s="65">
        <v>4800</v>
      </c>
      <c r="O151" s="65">
        <v>6000</v>
      </c>
      <c r="P151" s="65">
        <v>4800</v>
      </c>
      <c r="Q151" s="65">
        <v>5520</v>
      </c>
      <c r="R151" s="65">
        <v>6900</v>
      </c>
      <c r="S151" s="65">
        <v>11320</v>
      </c>
      <c r="T151" s="65">
        <f t="shared" si="89"/>
        <v>7135</v>
      </c>
      <c r="U151" s="65">
        <f t="shared" si="90"/>
        <v>7718.75</v>
      </c>
      <c r="V151" s="65">
        <f t="shared" si="88"/>
        <v>78093.75</v>
      </c>
      <c r="W151" s="73">
        <f t="shared" si="44"/>
        <v>5.2692606980219532E-4</v>
      </c>
      <c r="X151" s="89"/>
      <c r="Y151" s="65">
        <f>VLOOKUP($E$1,[8]Resumen!$V$57:$AH$58,Y1,0)</f>
        <v>5118.88</v>
      </c>
      <c r="Z151" s="65">
        <f>VLOOKUP($E$1,[8]Resumen!$V$57:$AH$58,Z1,0)</f>
        <v>5118.88</v>
      </c>
      <c r="AA151" s="65">
        <f>VLOOKUP($E$1,[8]Resumen!$V$57:$AH$58,AA1,0)</f>
        <v>5118.88</v>
      </c>
      <c r="AB151" s="65">
        <f>VLOOKUP($E$1,[8]Resumen!$V$57:$AH$58,AB1,0)</f>
        <v>5118.88</v>
      </c>
      <c r="AC151" s="65">
        <f>VLOOKUP($E$1,[8]Resumen!$V$57:$AH$58,AC1,0)</f>
        <v>5118.88</v>
      </c>
      <c r="AD151" s="65">
        <f>VLOOKUP($E$1,[8]Resumen!$V$57:$AH$58,AD1,0)</f>
        <v>5118.88</v>
      </c>
      <c r="AE151" s="65">
        <f>VLOOKUP($E$1,[8]Resumen!$V$57:$AH$58,AE1,0)</f>
        <v>5118.88</v>
      </c>
      <c r="AF151" s="65">
        <f>VLOOKUP($E$1,[8]Resumen!$V$57:$AH$58,AF1,0)</f>
        <v>5118.88</v>
      </c>
      <c r="AG151" s="65">
        <f>VLOOKUP($E$1,[8]Resumen!$V$57:$AH$58,AG1,0)</f>
        <v>5118.88</v>
      </c>
      <c r="AH151" s="65">
        <f>VLOOKUP($E$1,[8]Resumen!$V$57:$AH$58,AH1,0)</f>
        <v>5118.88</v>
      </c>
      <c r="AI151" s="65">
        <f>VLOOKUP($E$1,[8]Resumen!$V$57:$AH$58,AI1,0)</f>
        <v>5118.88</v>
      </c>
      <c r="AJ151" s="65">
        <f>VLOOKUP($E$1,[8]Resumen!$V$57:$AH$58,AJ1,0)</f>
        <v>5118.88</v>
      </c>
      <c r="AK151" s="65">
        <f t="shared" si="70"/>
        <v>61426.55999999999</v>
      </c>
      <c r="AL151" s="73">
        <f t="shared" si="46"/>
        <v>3.8341788378862826E-4</v>
      </c>
      <c r="AM151" s="14">
        <f t="shared" si="85"/>
        <v>-0.21342540216086447</v>
      </c>
      <c r="AN151" s="9"/>
    </row>
    <row r="152" spans="1:40" ht="14.45" hidden="1" customHeight="1" outlineLevel="1">
      <c r="A152" s="12" t="s">
        <v>256</v>
      </c>
      <c r="B152" s="8" t="s">
        <v>89</v>
      </c>
      <c r="C152" s="19" t="s">
        <v>262</v>
      </c>
      <c r="D152" s="12"/>
      <c r="E152" s="20"/>
      <c r="F152" s="12"/>
      <c r="G152" s="12"/>
      <c r="H152" s="12"/>
      <c r="I152" s="223" t="s">
        <v>426</v>
      </c>
      <c r="J152" s="65"/>
      <c r="K152" s="65"/>
      <c r="L152" s="65"/>
      <c r="M152" s="65"/>
      <c r="N152" s="65"/>
      <c r="O152" s="65"/>
      <c r="P152" s="65"/>
      <c r="Q152" s="65">
        <v>0</v>
      </c>
      <c r="R152" s="65">
        <v>0</v>
      </c>
      <c r="S152" s="65">
        <v>0</v>
      </c>
      <c r="T152" s="65"/>
      <c r="U152" s="65"/>
      <c r="V152" s="65">
        <f t="shared" si="88"/>
        <v>0</v>
      </c>
      <c r="W152" s="73">
        <f t="shared" si="44"/>
        <v>0</v>
      </c>
      <c r="X152" s="89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>
        <f t="shared" si="70"/>
        <v>0</v>
      </c>
      <c r="AL152" s="73">
        <f t="shared" si="46"/>
        <v>0</v>
      </c>
      <c r="AM152" s="14">
        <f t="shared" si="85"/>
        <v>0</v>
      </c>
      <c r="AN152" s="9"/>
    </row>
    <row r="153" spans="1:40" ht="14.45" hidden="1" customHeight="1" outlineLevel="1">
      <c r="A153" s="12" t="s">
        <v>256</v>
      </c>
      <c r="B153" s="8" t="s">
        <v>89</v>
      </c>
      <c r="I153" s="223" t="s">
        <v>264</v>
      </c>
      <c r="J153" s="65">
        <v>8000</v>
      </c>
      <c r="K153" s="65">
        <v>8000</v>
      </c>
      <c r="L153" s="65">
        <v>8000</v>
      </c>
      <c r="M153" s="65">
        <v>8000</v>
      </c>
      <c r="N153" s="65">
        <v>8000</v>
      </c>
      <c r="O153" s="65">
        <v>8000</v>
      </c>
      <c r="P153" s="65">
        <v>8000</v>
      </c>
      <c r="Q153" s="65">
        <v>8000</v>
      </c>
      <c r="R153" s="65">
        <v>8000</v>
      </c>
      <c r="S153" s="65">
        <v>8000</v>
      </c>
      <c r="T153" s="65">
        <f t="shared" ref="T153" si="91">+AVERAGE(P153:S153)</f>
        <v>8000</v>
      </c>
      <c r="U153" s="65">
        <f t="shared" ref="U153" si="92">+AVERAGE(Q153:T153)</f>
        <v>8000</v>
      </c>
      <c r="V153" s="65">
        <f t="shared" si="88"/>
        <v>96000</v>
      </c>
      <c r="W153" s="73">
        <f t="shared" si="44"/>
        <v>6.477458529141033E-4</v>
      </c>
      <c r="X153" s="89"/>
      <c r="Y153" s="65">
        <f>VLOOKUP($E$1,[22]Resumen!$V$8:$AH$9,Y1,0)</f>
        <v>8320</v>
      </c>
      <c r="Z153" s="65">
        <f>VLOOKUP($E$1,[22]Resumen!$V$8:$AH$9,Z1,0)</f>
        <v>8320</v>
      </c>
      <c r="AA153" s="65">
        <f>VLOOKUP($E$1,[22]Resumen!$V$8:$AH$9,AA1,0)</f>
        <v>8320</v>
      </c>
      <c r="AB153" s="65">
        <f>VLOOKUP($E$1,[22]Resumen!$V$8:$AH$9,AB1,0)</f>
        <v>8320</v>
      </c>
      <c r="AC153" s="65">
        <f>VLOOKUP($E$1,[22]Resumen!$V$8:$AH$9,AC1,0)</f>
        <v>8320</v>
      </c>
      <c r="AD153" s="65">
        <f>VLOOKUP($E$1,[22]Resumen!$V$8:$AH$9,AD1,0)</f>
        <v>8320</v>
      </c>
      <c r="AE153" s="65">
        <f>VLOOKUP($E$1,[22]Resumen!$V$8:$AH$9,AE1,0)</f>
        <v>8320</v>
      </c>
      <c r="AF153" s="65">
        <f>VLOOKUP($E$1,[22]Resumen!$V$8:$AH$9,AF1,0)</f>
        <v>8320</v>
      </c>
      <c r="AG153" s="65">
        <f>VLOOKUP($E$1,[22]Resumen!$V$8:$AH$9,AG1,0)</f>
        <v>8320</v>
      </c>
      <c r="AH153" s="65">
        <f>VLOOKUP($E$1,[22]Resumen!$V$8:$AH$9,AH1,0)</f>
        <v>8320</v>
      </c>
      <c r="AI153" s="65">
        <f>VLOOKUP($E$1,[22]Resumen!$V$8:$AH$9,AI1,0)</f>
        <v>8320</v>
      </c>
      <c r="AJ153" s="65">
        <f>VLOOKUP($E$1,[22]Resumen!$V$8:$AH$9,AJ1,0)</f>
        <v>8320</v>
      </c>
      <c r="AK153" s="65">
        <f t="shared" si="70"/>
        <v>99840</v>
      </c>
      <c r="AL153" s="73">
        <f t="shared" si="46"/>
        <v>6.2319038405303268E-4</v>
      </c>
      <c r="AM153" s="14">
        <f t="shared" si="85"/>
        <v>4.0000000000000036E-2</v>
      </c>
      <c r="AN153" s="9"/>
    </row>
    <row r="154" spans="1:40" ht="14.45" customHeight="1">
      <c r="A154" s="12"/>
      <c r="I154" s="119" t="s">
        <v>427</v>
      </c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15">
        <f t="shared" si="88"/>
        <v>0</v>
      </c>
      <c r="W154" s="72">
        <f t="shared" si="44"/>
        <v>0</v>
      </c>
      <c r="X154" s="89"/>
      <c r="Y154" s="15">
        <f>+'EDO RESULTADOS MISMAS EST'!Y154*45%</f>
        <v>32607.016875000005</v>
      </c>
      <c r="Z154" s="15">
        <f>+'EDO RESULTADOS MISMAS EST'!Z154*45%</f>
        <v>32858.662499999999</v>
      </c>
      <c r="AA154" s="15">
        <f>+'EDO RESULTADOS MISMAS EST'!AA154*45%</f>
        <v>33223.291875000003</v>
      </c>
      <c r="AB154" s="15">
        <f>+'EDO RESULTADOS MISMAS EST'!AB154*45%</f>
        <v>43779.802500000005</v>
      </c>
      <c r="AC154" s="15">
        <f>+'EDO RESULTADOS MISMAS EST'!AC154*45%</f>
        <v>38525.124375000007</v>
      </c>
      <c r="AD154" s="15">
        <f>+'EDO RESULTADOS MISMAS EST'!AD154*45%</f>
        <v>35830.321875000001</v>
      </c>
      <c r="AE154" s="15">
        <f>+'EDO RESULTADOS MISMAS EST'!AE154*45%</f>
        <v>40986.022499999999</v>
      </c>
      <c r="AF154" s="15">
        <f>+'EDO RESULTADOS MISMAS EST'!AF154*45%</f>
        <v>40773.594375000001</v>
      </c>
      <c r="AG154" s="15">
        <f>+'EDO RESULTADOS MISMAS EST'!AG154*45%</f>
        <v>41791.381874999999</v>
      </c>
      <c r="AH154" s="15">
        <f>+'EDO RESULTADOS MISMAS EST'!AH154*45%</f>
        <v>40415.968125000007</v>
      </c>
      <c r="AI154" s="15">
        <f>+'EDO RESULTADOS MISMAS EST'!AI154*45%</f>
        <v>40274.505000000005</v>
      </c>
      <c r="AJ154" s="15">
        <f>+'EDO RESULTADOS MISMAS EST'!AJ154*45%</f>
        <v>40812.811875000007</v>
      </c>
      <c r="AK154" s="15">
        <f t="shared" si="70"/>
        <v>461878.50375000003</v>
      </c>
      <c r="AL154" s="72">
        <f t="shared" si="46"/>
        <v>2.8829952137199781E-3</v>
      </c>
      <c r="AM154" s="10">
        <f t="shared" si="85"/>
        <v>0</v>
      </c>
      <c r="AN154" s="9"/>
    </row>
    <row r="155" spans="1:40" ht="14.45" customHeight="1">
      <c r="I155" s="28" t="s">
        <v>265</v>
      </c>
      <c r="J155" s="27">
        <v>462185</v>
      </c>
      <c r="K155" s="27">
        <v>362991</v>
      </c>
      <c r="L155" s="27">
        <v>418320</v>
      </c>
      <c r="M155" s="27">
        <v>391556</v>
      </c>
      <c r="N155" s="27">
        <v>414819</v>
      </c>
      <c r="O155" s="27">
        <v>462384</v>
      </c>
      <c r="P155" s="27">
        <v>428972</v>
      </c>
      <c r="Q155" s="27">
        <f t="shared" ref="Q155:U155" si="93">Q50+Q90+Q106+Q111+Q147</f>
        <v>432615</v>
      </c>
      <c r="R155" s="27">
        <v>482876</v>
      </c>
      <c r="S155" s="27">
        <v>499296</v>
      </c>
      <c r="T155" s="27">
        <f t="shared" si="93"/>
        <v>420527.45235294115</v>
      </c>
      <c r="U155" s="27">
        <f t="shared" si="93"/>
        <v>450639.05249999999</v>
      </c>
      <c r="V155" s="27">
        <f>V50+V90+V106+V111+V147</f>
        <v>4914935.5048529413</v>
      </c>
      <c r="W155" s="76">
        <f t="shared" si="44"/>
        <v>3.316280302717476E-2</v>
      </c>
      <c r="X155" s="89"/>
      <c r="Y155" s="27">
        <f>Y50+Y90+Y106+Y111+Y147+Y154</f>
        <v>526921.39638518111</v>
      </c>
      <c r="Z155" s="27">
        <f t="shared" ref="Z155:AK155" si="94">Z50+Z90+Z106+Z111+Z147+Z154</f>
        <v>464167.71302706673</v>
      </c>
      <c r="AA155" s="27">
        <f t="shared" si="94"/>
        <v>514128.35456886614</v>
      </c>
      <c r="AB155" s="27">
        <f t="shared" si="94"/>
        <v>457288.33804604103</v>
      </c>
      <c r="AC155" s="27">
        <f t="shared" si="94"/>
        <v>547398.8941461459</v>
      </c>
      <c r="AD155" s="27">
        <f t="shared" si="94"/>
        <v>461817.30426501465</v>
      </c>
      <c r="AE155" s="27">
        <f t="shared" si="94"/>
        <v>470950.79495722894</v>
      </c>
      <c r="AF155" s="27">
        <f t="shared" si="94"/>
        <v>568181.85252544889</v>
      </c>
      <c r="AG155" s="27">
        <f t="shared" si="94"/>
        <v>536006.42944531201</v>
      </c>
      <c r="AH155" s="27">
        <f t="shared" si="94"/>
        <v>505350.34736947453</v>
      </c>
      <c r="AI155" s="27">
        <f t="shared" si="94"/>
        <v>475280.15222570807</v>
      </c>
      <c r="AJ155" s="27">
        <f t="shared" si="94"/>
        <v>525202.05903925595</v>
      </c>
      <c r="AK155" s="27">
        <f t="shared" si="94"/>
        <v>6052693.6360007441</v>
      </c>
      <c r="AL155" s="76">
        <f t="shared" si="46"/>
        <v>3.7780253120739689E-2</v>
      </c>
      <c r="AM155" s="10">
        <f t="shared" si="85"/>
        <v>0.23148994122596234</v>
      </c>
      <c r="AN155" s="9"/>
    </row>
    <row r="156" spans="1:40" ht="14.45" customHeight="1">
      <c r="I156" s="26" t="s">
        <v>266</v>
      </c>
      <c r="J156" s="17">
        <v>0.74</v>
      </c>
      <c r="K156" s="17">
        <v>0.7</v>
      </c>
      <c r="L156" s="17">
        <v>0.72</v>
      </c>
      <c r="M156" s="17">
        <v>0.66</v>
      </c>
      <c r="N156" s="17">
        <v>0.65</v>
      </c>
      <c r="O156" s="17">
        <v>0.73</v>
      </c>
      <c r="P156" s="17">
        <v>0.73</v>
      </c>
      <c r="Q156" s="17">
        <v>0.76</v>
      </c>
      <c r="R156" s="17">
        <v>0.73</v>
      </c>
      <c r="S156" s="17">
        <v>0.7</v>
      </c>
      <c r="T156" s="17">
        <v>0.74398977224263196</v>
      </c>
      <c r="U156" s="17">
        <v>0.81941569088386979</v>
      </c>
      <c r="V156" s="17">
        <f>IFERROR(V155/V39,0)</f>
        <v>0.71313942237893391</v>
      </c>
      <c r="W156" s="73">
        <f t="shared" si="44"/>
        <v>4.811803160369932E-9</v>
      </c>
      <c r="X156" s="89"/>
      <c r="Y156" s="17">
        <f t="shared" ref="Y156:AK156" si="95">IFERROR(Y155/Y39,0)</f>
        <v>0.90012025553081043</v>
      </c>
      <c r="Z156" s="17">
        <f t="shared" si="95"/>
        <v>0.80005879863395668</v>
      </c>
      <c r="AA156" s="17">
        <f t="shared" si="95"/>
        <v>0.80018358316308957</v>
      </c>
      <c r="AB156" s="17">
        <f t="shared" si="95"/>
        <v>0.78490691423311454</v>
      </c>
      <c r="AC156" s="17">
        <f t="shared" si="95"/>
        <v>0.91340626494866606</v>
      </c>
      <c r="AD156" s="17">
        <f t="shared" si="95"/>
        <v>0.80385254134431317</v>
      </c>
      <c r="AE156" s="17">
        <f t="shared" si="95"/>
        <v>0.81484028492496796</v>
      </c>
      <c r="AF156" s="17">
        <f t="shared" si="95"/>
        <v>0.9209304458525992</v>
      </c>
      <c r="AG156" s="17">
        <f t="shared" si="95"/>
        <v>0.84945955281136365</v>
      </c>
      <c r="AH156" s="17">
        <f t="shared" si="95"/>
        <v>0.76946789336245824</v>
      </c>
      <c r="AI156" s="17">
        <f t="shared" si="95"/>
        <v>0.73380127749084145</v>
      </c>
      <c r="AJ156" s="17">
        <f t="shared" si="95"/>
        <v>0.82342270806433071</v>
      </c>
      <c r="AK156" s="17">
        <f t="shared" si="95"/>
        <v>0.82544119098669477</v>
      </c>
      <c r="AL156" s="73">
        <f t="shared" si="46"/>
        <v>5.1523138303705032E-9</v>
      </c>
      <c r="AM156" s="16">
        <f t="shared" si="85"/>
        <v>0.15747519360679552</v>
      </c>
      <c r="AN156" s="9"/>
    </row>
    <row r="157" spans="1:40" ht="14.45" customHeight="1">
      <c r="I157" s="26" t="s">
        <v>267</v>
      </c>
      <c r="J157" s="17">
        <v>0.74</v>
      </c>
      <c r="K157" s="17">
        <v>0.7</v>
      </c>
      <c r="L157" s="17">
        <v>0.72</v>
      </c>
      <c r="M157" s="17">
        <v>0.66</v>
      </c>
      <c r="N157" s="17">
        <v>0.65</v>
      </c>
      <c r="O157" s="17">
        <v>0.73</v>
      </c>
      <c r="P157" s="17">
        <v>0.73</v>
      </c>
      <c r="Q157" s="17">
        <v>0.76</v>
      </c>
      <c r="R157" s="17">
        <v>0.73</v>
      </c>
      <c r="S157" s="17">
        <v>0.7</v>
      </c>
      <c r="T157" s="17">
        <v>1.5184139969053561E-6</v>
      </c>
      <c r="U157" s="17">
        <v>1.6757894775153909E-6</v>
      </c>
      <c r="V157" s="17">
        <f>IFERROR((V155-V148)/V39,0)</f>
        <v>0.71313942237893391</v>
      </c>
      <c r="W157" s="73">
        <f t="shared" si="44"/>
        <v>4.811803160369932E-9</v>
      </c>
      <c r="X157" s="89"/>
      <c r="Y157" s="17">
        <f t="shared" ref="Y157:AJ157" si="96">IFERROR(Y156/Y40,0)</f>
        <v>1.9607515548442836E-6</v>
      </c>
      <c r="Z157" s="17">
        <f t="shared" si="96"/>
        <v>1.7552308587142051E-6</v>
      </c>
      <c r="AA157" s="17">
        <f t="shared" si="96"/>
        <v>1.6063266381537295E-6</v>
      </c>
      <c r="AB157" s="17">
        <f t="shared" si="96"/>
        <v>1.7258780797012987E-6</v>
      </c>
      <c r="AC157" s="17">
        <f t="shared" si="96"/>
        <v>2.0335650928916236E-6</v>
      </c>
      <c r="AD157" s="17">
        <f t="shared" si="96"/>
        <v>1.7846178160270166E-6</v>
      </c>
      <c r="AE157" s="17">
        <f t="shared" si="96"/>
        <v>1.7999246422085934E-6</v>
      </c>
      <c r="AF157" s="17">
        <f t="shared" si="96"/>
        <v>1.9287834465054114E-6</v>
      </c>
      <c r="AG157" s="17">
        <f t="shared" si="96"/>
        <v>1.7432678394585529E-6</v>
      </c>
      <c r="AH157" s="17">
        <f t="shared" si="96"/>
        <v>1.5043919390211136E-6</v>
      </c>
      <c r="AI157" s="17">
        <f t="shared" si="96"/>
        <v>1.4545436619843871E-6</v>
      </c>
      <c r="AJ157" s="17">
        <f t="shared" si="96"/>
        <v>1.6572196108928506E-6</v>
      </c>
      <c r="AK157" s="17">
        <f>IFERROR((AK155-AK148)/AK39,0)</f>
        <v>0.82544119098669477</v>
      </c>
      <c r="AL157" s="73">
        <f t="shared" si="46"/>
        <v>5.1523138303705032E-9</v>
      </c>
      <c r="AM157" s="16">
        <f t="shared" si="85"/>
        <v>0.15747519360679552</v>
      </c>
      <c r="AN157" s="9"/>
    </row>
    <row r="158" spans="1:40" ht="15.6" customHeight="1">
      <c r="I158" s="25" t="s">
        <v>268</v>
      </c>
      <c r="J158" s="24">
        <v>658930</v>
      </c>
      <c r="K158" s="24">
        <v>805054</v>
      </c>
      <c r="L158" s="24">
        <v>810866</v>
      </c>
      <c r="M158" s="24">
        <v>927595</v>
      </c>
      <c r="N158" s="24">
        <v>981070</v>
      </c>
      <c r="O158" s="24">
        <v>840722</v>
      </c>
      <c r="P158" s="24">
        <v>766419</v>
      </c>
      <c r="Q158" s="24">
        <v>776358</v>
      </c>
      <c r="R158" s="24">
        <v>842521</v>
      </c>
      <c r="S158" s="24">
        <v>898435</v>
      </c>
      <c r="T158" s="24">
        <f t="shared" ref="R158:U158" si="97">T33-T155</f>
        <v>854967.54764705885</v>
      </c>
      <c r="U158" s="24">
        <f t="shared" si="97"/>
        <v>847827.61416666675</v>
      </c>
      <c r="V158" s="24">
        <f>V33-V155</f>
        <v>10010770.161813727</v>
      </c>
      <c r="W158" s="77">
        <f t="shared" si="44"/>
        <v>6.7546196424907168E-2</v>
      </c>
      <c r="X158" s="89"/>
      <c r="Y158" s="24">
        <f t="shared" ref="Y158:AK158" si="98">Y33-Y155</f>
        <v>729690.76361481717</v>
      </c>
      <c r="Z158" s="24">
        <f t="shared" si="98"/>
        <v>772428.23697293433</v>
      </c>
      <c r="AA158" s="24">
        <f t="shared" si="98"/>
        <v>930250.67543113511</v>
      </c>
      <c r="AB158" s="24">
        <f t="shared" si="98"/>
        <v>732704.73195395921</v>
      </c>
      <c r="AC158" s="24">
        <f t="shared" si="98"/>
        <v>774236.43585385417</v>
      </c>
      <c r="AD158" s="24">
        <f t="shared" si="98"/>
        <v>744916.59573498392</v>
      </c>
      <c r="AE158" s="24">
        <f t="shared" si="98"/>
        <v>771151.30504276883</v>
      </c>
      <c r="AF158" s="24">
        <f t="shared" si="98"/>
        <v>800205.32747455081</v>
      </c>
      <c r="AG158" s="24">
        <f t="shared" si="98"/>
        <v>839797.97055468836</v>
      </c>
      <c r="AH158" s="24">
        <f t="shared" si="98"/>
        <v>929376.16263052518</v>
      </c>
      <c r="AI158" s="24">
        <f t="shared" si="98"/>
        <v>905966.77777429158</v>
      </c>
      <c r="AJ158" s="24">
        <f t="shared" si="98"/>
        <v>834163.34096074442</v>
      </c>
      <c r="AK158" s="24">
        <f t="shared" si="98"/>
        <v>9764888.3239992633</v>
      </c>
      <c r="AL158" s="77">
        <f t="shared" si="46"/>
        <v>6.0951367236258769E-2</v>
      </c>
      <c r="AM158" s="23">
        <f t="shared" si="85"/>
        <v>-2.456173040036258E-2</v>
      </c>
      <c r="AN158" s="9"/>
    </row>
    <row r="159" spans="1:40" ht="14.45" customHeight="1">
      <c r="I159" s="26" t="s">
        <v>446</v>
      </c>
      <c r="J159" s="17">
        <f t="shared" ref="J159:U159" si="99">+J158/J39</f>
        <v>1.1901304405937196</v>
      </c>
      <c r="K159" s="17">
        <f t="shared" si="99"/>
        <v>1.4690391121394708</v>
      </c>
      <c r="L159" s="17">
        <f t="shared" si="99"/>
        <v>1.3289573745558483</v>
      </c>
      <c r="M159" s="17">
        <f t="shared" si="99"/>
        <v>1.6968563353486203</v>
      </c>
      <c r="N159" s="17">
        <f t="shared" si="99"/>
        <v>1.739624615439175</v>
      </c>
      <c r="O159" s="17">
        <f t="shared" si="99"/>
        <v>1.5588700481165922</v>
      </c>
      <c r="P159" s="17">
        <f t="shared" si="99"/>
        <v>1.4136529221348137</v>
      </c>
      <c r="Q159" s="17">
        <f t="shared" si="99"/>
        <v>1.3670970332178176</v>
      </c>
      <c r="R159" s="17">
        <f t="shared" si="99"/>
        <v>1.426133218681287</v>
      </c>
      <c r="S159" s="17">
        <f t="shared" si="99"/>
        <v>1.4521734070598351</v>
      </c>
      <c r="T159" s="17">
        <f t="shared" si="99"/>
        <v>1.400562126129189</v>
      </c>
      <c r="U159" s="17">
        <f t="shared" si="99"/>
        <v>1.4124057330121458</v>
      </c>
      <c r="V159" s="17">
        <f>+V158/V39</f>
        <v>1.4525266595492619</v>
      </c>
      <c r="W159" s="73">
        <f t="shared" ref="W159" si="100">V159/V$6</f>
        <v>9.8007095830230208E-9</v>
      </c>
      <c r="X159" s="89"/>
      <c r="Y159" s="17">
        <f t="shared" ref="Y159:AK159" si="101">+Y158/Y39</f>
        <v>1.2465036362336515</v>
      </c>
      <c r="Z159" s="17">
        <f t="shared" si="101"/>
        <v>1.3313894740185745</v>
      </c>
      <c r="AA159" s="17">
        <f t="shared" si="101"/>
        <v>1.4478316787849197</v>
      </c>
      <c r="AB159" s="17">
        <f t="shared" si="101"/>
        <v>1.2576419784929664</v>
      </c>
      <c r="AC159" s="17">
        <f t="shared" si="101"/>
        <v>1.2919142121460487</v>
      </c>
      <c r="AD159" s="17">
        <f t="shared" si="101"/>
        <v>1.2966233465939965</v>
      </c>
      <c r="AE159" s="17">
        <f t="shared" si="101"/>
        <v>1.3342479848205326</v>
      </c>
      <c r="AF159" s="17">
        <f t="shared" si="101"/>
        <v>1.2970027918513218</v>
      </c>
      <c r="AG159" s="17">
        <f t="shared" si="101"/>
        <v>1.3309064394199788</v>
      </c>
      <c r="AH159" s="17">
        <f t="shared" si="101"/>
        <v>1.4151076015344051</v>
      </c>
      <c r="AI159" s="17">
        <f t="shared" si="101"/>
        <v>1.3987530844320353</v>
      </c>
      <c r="AJ159" s="17">
        <f t="shared" si="101"/>
        <v>1.307818629725795</v>
      </c>
      <c r="AK159" s="17">
        <f t="shared" si="101"/>
        <v>1.3316948672359716</v>
      </c>
      <c r="AL159" s="73">
        <f t="shared" ref="AL159" si="102">AK159/AK$6</f>
        <v>8.3122940279871544E-9</v>
      </c>
      <c r="AM159" s="16">
        <f t="shared" si="85"/>
        <v>-8.3187314682944158E-2</v>
      </c>
      <c r="AN159" s="9"/>
    </row>
  </sheetData>
  <mergeCells count="4">
    <mergeCell ref="J2:U2"/>
    <mergeCell ref="V2:W2"/>
    <mergeCell ref="Y2:AJ2"/>
    <mergeCell ref="AK2:AL2"/>
  </mergeCells>
  <conditionalFormatting sqref="AM1:AM153 AM156:AM159">
    <cfRule type="cellIs" dxfId="2" priority="3" operator="lessThan">
      <formula>0</formula>
    </cfRule>
  </conditionalFormatting>
  <conditionalFormatting sqref="AO43:AO46">
    <cfRule type="cellIs" dxfId="1" priority="2" operator="lessThan">
      <formula>0</formula>
    </cfRule>
  </conditionalFormatting>
  <conditionalFormatting sqref="AM154:AM155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60">
    <tabColor rgb="FF002060"/>
  </sheetPr>
  <dimension ref="A1"/>
  <sheetViews>
    <sheetView workbookViewId="0">
      <selection activeCell="L26" sqref="L26"/>
    </sheetView>
  </sheetViews>
  <sheetFormatPr defaultColWidth="11.5703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Franco</dc:creator>
  <cp:keywords/>
  <dc:description/>
  <cp:lastModifiedBy/>
  <cp:revision/>
  <dcterms:created xsi:type="dcterms:W3CDTF">2020-09-23T11:40:37Z</dcterms:created>
  <dcterms:modified xsi:type="dcterms:W3CDTF">2026-04-29T15:06:16Z</dcterms:modified>
  <cp:category/>
  <cp:contentStatus/>
</cp:coreProperties>
</file>