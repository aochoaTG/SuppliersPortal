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eronica Olvera\Desktop\VERO\PPTOS TG\DGA 2024 Imp Estatal Modificacion Picachos y Ventanas\"/>
    </mc:Choice>
  </mc:AlternateContent>
  <xr:revisionPtr revIDLastSave="0" documentId="8_{3146501F-1C3E-416C-9C01-1F4CAEBFBEF8}" xr6:coauthVersionLast="47" xr6:coauthVersionMax="47" xr10:uidLastSave="{00000000-0000-0000-0000-000000000000}"/>
  <bookViews>
    <workbookView xWindow="0" yWindow="0" windowWidth="9516" windowHeight="2868" tabRatio="915" firstSheet="7" activeTab="7" xr2:uid="{00000000-000D-0000-FFFF-FFFF00000000}"/>
  </bookViews>
  <sheets>
    <sheet name="Parametros AGS" sheetId="38" r:id="rId1"/>
    <sheet name="EDO RESULTADOS MISMAS EST" sheetId="174" state="hidden" r:id="rId2"/>
    <sheet name="S" sheetId="94" r:id="rId3"/>
    <sheet name="COM-MKT" sheetId="173" r:id="rId4"/>
    <sheet name="Z" sheetId="93" r:id="rId5"/>
    <sheet name="TOTAL ESTACIONES" sheetId="124" r:id="rId6"/>
    <sheet name="A" sheetId="3" r:id="rId7"/>
    <sheet name="Colosio " sheetId="87" r:id="rId8"/>
    <sheet name="San Rafael " sheetId="68" r:id="rId9"/>
    <sheet name="Puertecito " sheetId="86" r:id="rId10"/>
    <sheet name="Jesus Maria" sheetId="85" r:id="rId11"/>
    <sheet name="B" sheetId="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____xlfn.BAHTTEXT" hidden="1">#NAME?</definedName>
    <definedName name="______xlfn.BAHTTEXT" hidden="1">#NAME?</definedName>
    <definedName name="_____xlfn.BAHTTEXT" hidden="1">#NAME?</definedName>
    <definedName name="____xlfn.BAHTTEXT" hidden="1">#NAME?</definedName>
    <definedName name="___f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___xlfn.BAHTTEXT" hidden="1">#NAME?</definedName>
    <definedName name="__xlfn.BAHTTEXT" hidden="1">#NAME?</definedName>
    <definedName name="_f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_Fill" localSheetId="10" hidden="1">#REF!</definedName>
    <definedName name="_Fill" localSheetId="7" hidden="1">#REF!</definedName>
    <definedName name="_Fill" localSheetId="9" hidden="1">#REF!</definedName>
    <definedName name="_Fill" localSheetId="0" hidden="1">#REF!</definedName>
    <definedName name="_Fill" localSheetId="8" hidden="1">#REF!</definedName>
    <definedName name="_Fill" localSheetId="5" hidden="1">#REF!</definedName>
    <definedName name="_Fill" hidden="1">#REF!</definedName>
    <definedName name="_xlnm._FilterDatabase" localSheetId="10" hidden="1">'Jesus Maria'!#REF!</definedName>
    <definedName name="_xlnm._FilterDatabase" localSheetId="7" hidden="1">'Colosio '!#REF!</definedName>
    <definedName name="_xlnm._FilterDatabase" localSheetId="9" hidden="1">'Puertecito '!#REF!</definedName>
    <definedName name="_xlnm._FilterDatabase" localSheetId="8" hidden="1">'San Rafael '!#REF!</definedName>
    <definedName name="_xlnm._FilterDatabase" localSheetId="5" hidden="1">'TOTAL ESTACIONES'!#REF!</definedName>
    <definedName name="_Key1" localSheetId="10" hidden="1">#REF!</definedName>
    <definedName name="_Key1" localSheetId="7" hidden="1">#REF!</definedName>
    <definedName name="_Key1" localSheetId="9" hidden="1">#REF!</definedName>
    <definedName name="_Key1" localSheetId="0" hidden="1">#REF!</definedName>
    <definedName name="_Key1" localSheetId="8" hidden="1">#REF!</definedName>
    <definedName name="_Key1" localSheetId="5" hidden="1">#REF!</definedName>
    <definedName name="_Key1" hidden="1">#REF!</definedName>
    <definedName name="_Key2" localSheetId="10" hidden="1">#REF!</definedName>
    <definedName name="_Key2" localSheetId="7" hidden="1">#REF!</definedName>
    <definedName name="_Key2" localSheetId="9" hidden="1">#REF!</definedName>
    <definedName name="_Key2" localSheetId="0" hidden="1">#REF!</definedName>
    <definedName name="_Key2" localSheetId="8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Parse_In" localSheetId="10" hidden="1">#REF!</definedName>
    <definedName name="_Parse_In" localSheetId="7" hidden="1">#REF!</definedName>
    <definedName name="_Parse_In" localSheetId="9" hidden="1">#REF!</definedName>
    <definedName name="_Parse_In" localSheetId="0" hidden="1">#REF!</definedName>
    <definedName name="_Parse_In" localSheetId="8" hidden="1">#REF!</definedName>
    <definedName name="_Parse_In" localSheetId="5" hidden="1">#REF!</definedName>
    <definedName name="_Parse_In" hidden="1">#REF!</definedName>
    <definedName name="_Parse_Out" localSheetId="10" hidden="1">#REF!</definedName>
    <definedName name="_Parse_Out" localSheetId="7" hidden="1">#REF!</definedName>
    <definedName name="_Parse_Out" localSheetId="9" hidden="1">#REF!</definedName>
    <definedName name="_Parse_Out" localSheetId="0" hidden="1">#REF!</definedName>
    <definedName name="_Parse_Out" localSheetId="8" hidden="1">#REF!</definedName>
    <definedName name="_Parse_Out" localSheetId="5" hidden="1">#REF!</definedName>
    <definedName name="_Parse_Out" hidden="1">#REF!</definedName>
    <definedName name="_Sort" localSheetId="10" hidden="1">#REF!</definedName>
    <definedName name="_Sort" localSheetId="7" hidden="1">#REF!</definedName>
    <definedName name="_Sort" localSheetId="9" hidden="1">#REF!</definedName>
    <definedName name="_Sort" localSheetId="0" hidden="1">#REF!</definedName>
    <definedName name="_Sort" localSheetId="8" hidden="1">#REF!</definedName>
    <definedName name="_Sort" localSheetId="5" hidden="1">#REF!</definedName>
    <definedName name="_Sort" hidden="1">#REF!</definedName>
    <definedName name="a" localSheetId="10" hidden="1">#REF!</definedName>
    <definedName name="a" localSheetId="7" hidden="1">#REF!</definedName>
    <definedName name="a" localSheetId="9" hidden="1">#REF!</definedName>
    <definedName name="a" localSheetId="0" hidden="1">#REF!</definedName>
    <definedName name="a" localSheetId="8" hidden="1">#REF!</definedName>
    <definedName name="a" localSheetId="5" hidden="1">#REF!</definedName>
    <definedName name="a" hidden="1">#REF!</definedName>
    <definedName name="AAI">#REF!</definedName>
    <definedName name="ALGDED">#REF!</definedName>
    <definedName name="as" localSheetId="10" hidden="1">#REF!</definedName>
    <definedName name="as" localSheetId="7" hidden="1">#REF!</definedName>
    <definedName name="as" localSheetId="9" hidden="1">#REF!</definedName>
    <definedName name="as" localSheetId="0" hidden="1">#REF!</definedName>
    <definedName name="as" localSheetId="8" hidden="1">#REF!</definedName>
    <definedName name="as" localSheetId="5" hidden="1">#REF!</definedName>
    <definedName name="as" hidden="1">#REF!</definedName>
    <definedName name="AS2DocOpenMode" hidden="1">"AS2DocumentEdit"</definedName>
    <definedName name="AS2ReportLS" hidden="1">1</definedName>
    <definedName name="AS2StaticLS" localSheetId="10" hidden="1">#REF!</definedName>
    <definedName name="AS2StaticLS" localSheetId="7" hidden="1">#REF!</definedName>
    <definedName name="AS2StaticLS" localSheetId="9" hidden="1">#REF!</definedName>
    <definedName name="AS2StaticLS" localSheetId="0" hidden="1">#REF!</definedName>
    <definedName name="AS2StaticLS" localSheetId="8" hidden="1">#REF!</definedName>
    <definedName name="AS2StaticLS" localSheetId="5" hidden="1">#REF!</definedName>
    <definedName name="AS2StaticLS" hidden="1">#REF!</definedName>
    <definedName name="AS2SyncStepLS" hidden="1">0</definedName>
    <definedName name="AS2TickmarkLS" localSheetId="10" hidden="1">#REF!</definedName>
    <definedName name="AS2TickmarkLS" localSheetId="7" hidden="1">#REF!</definedName>
    <definedName name="AS2TickmarkLS" localSheetId="9" hidden="1">#REF!</definedName>
    <definedName name="AS2TickmarkLS" localSheetId="0" hidden="1">#REF!</definedName>
    <definedName name="AS2TickmarkLS" localSheetId="8" hidden="1">#REF!</definedName>
    <definedName name="AS2TickmarkLS" localSheetId="5" hidden="1">#REF!</definedName>
    <definedName name="AS2TickmarkLS" hidden="1">#REF!</definedName>
    <definedName name="AS2VersionLS" hidden="1">300</definedName>
    <definedName name="balances" hidden="1">{#N/A,#N/A,FALSE,"Edificio"}</definedName>
    <definedName name="BALANZADIC">#REF!</definedName>
    <definedName name="BALANZADIC14">#REF!</definedName>
    <definedName name="BG_Del" hidden="1">15</definedName>
    <definedName name="BG_Ins" hidden="1">4</definedName>
    <definedName name="BG_Mod" hidden="1">6</definedName>
    <definedName name="BGDECL">#REF!</definedName>
    <definedName name="C.CENTERS" hidden="1">{#N/A,#N/A,TRUE,"ISSUES";#N/A,#N/A,TRUE,"PRFTSUM";#N/A,#N/A,TRUE,"PGSUM";#N/A,#N/A,TRUE,"MAGAG";#N/A,#N/A,TRUE,"HCSUM";#N/A,#N/A,TRUE,"NOC";#N/A,#N/A,TRUE,"STDSTD";#N/A,#N/A,TRUE,"STDSTDA";#N/A,#N/A,TRUE,"CIP";#N/A,#N/A,TRUE,"STDCHG";#N/A,#N/A,TRUE,"OPRDAYS";#N/A,#N/A,TRUE,"PLANT";#N/A,#N/A,TRUE,"BU Halogen";#N/A,#N/A,TRUE,"BU Halogen"}</definedName>
    <definedName name="CCF">#REF!</definedName>
    <definedName name="CONCILFISCAL" hidden="1">{#N/A,#N/A,FALSE,"Aging Summary";#N/A,#N/A,FALSE,"Ratio Analysis";#N/A,#N/A,FALSE,"Test 120 Day Accts";#N/A,#N/A,FALSE,"Tickmarks"}</definedName>
    <definedName name="dfsdf" hidden="1">{#N/A,#N/A,FALSE,"Edificio"}</definedName>
    <definedName name="EDI" localSheetId="10" hidden="1">#REF!</definedName>
    <definedName name="EDI" localSheetId="7" hidden="1">#REF!</definedName>
    <definedName name="EDI" localSheetId="9" hidden="1">#REF!</definedName>
    <definedName name="EDI" localSheetId="0" hidden="1">#REF!</definedName>
    <definedName name="EDI" localSheetId="8" hidden="1">#REF!</definedName>
    <definedName name="EDI" localSheetId="5" hidden="1">#REF!</definedName>
    <definedName name="EDI" hidden="1">#REF!</definedName>
    <definedName name="EJERCICIO">#REF!</definedName>
    <definedName name="ENERO16" localSheetId="10">#REF!</definedName>
    <definedName name="ENERO16" localSheetId="7">#REF!</definedName>
    <definedName name="ENERO16" localSheetId="9">#REF!</definedName>
    <definedName name="ENERO16" localSheetId="0">#REF!</definedName>
    <definedName name="ENERO16" localSheetId="8">#REF!</definedName>
    <definedName name="ENERO16" localSheetId="5">#REF!</definedName>
    <definedName name="ENERO16">#REF!</definedName>
    <definedName name="ERDECL">#REF!</definedName>
    <definedName name="HTML_CodePage" hidden="1">1252</definedName>
    <definedName name="HTML_Control" hidden="1">{"'Welcome'!$A$1:$J$27"}</definedName>
    <definedName name="HTML_Description" hidden="1">""</definedName>
    <definedName name="HTML_Email" hidden="1">""</definedName>
    <definedName name="HTML_Header" hidden="1">"Welcome"</definedName>
    <definedName name="HTML_LastUpdate" hidden="1">"3/20/98"</definedName>
    <definedName name="HTML_LineAfter" hidden="1">TRUE</definedName>
    <definedName name="HTML_LineBefore" hidden="1">TRUE</definedName>
    <definedName name="HTML_Name" hidden="1">"RM Sudario Viajar"</definedName>
    <definedName name="HTML_OBDlg2" hidden="1">TRUE</definedName>
    <definedName name="HTML_OBDlg4" hidden="1">TRUE</definedName>
    <definedName name="HTML_OS" hidden="1">0</definedName>
    <definedName name="HTML_PathFile" hidden="1">"F:\tax\MyHTML.htm"</definedName>
    <definedName name="HTML_Title" hidden="1">"tAXrPT"</definedName>
    <definedName name="inpc">#REF!</definedName>
    <definedName name="JCTechnology" hidden="1">{#N/A,#N/A,FALSE,"Aging Summary";#N/A,#N/A,FALSE,"Ratio Analysis";#N/A,#N/A,FALSE,"Test 120 Day Accts";#N/A,#N/A,FALSE,"Tickmarks"}</definedName>
    <definedName name="KLJ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list2" hidden="1">{"'Welcome'!$A$1:$J$27"}</definedName>
    <definedName name="mmm" hidden="1">{#N/A,#N/A,TRUE,"12 MO FFSP BY COST CENTER";#N/A,#N/A,TRUE,"P140 - April Forecast98";#N/A,#N/A,TRUE,"P130 April Forecast Lighting";#N/A,#N/A,TRUE,"P130 April Forecast Lamps";#N/A,#N/A,TRUE,"P130 April Forecast Auto";#N/A,#N/A,TRUE,"P130 April Forecast Halogen";#N/A,#N/A,TRUE,"P130 April Forecast CFL";#N/A,#N/A,TRUE,"Relevant Local Turnover";#N/A,#N/A,TRUE,"A12CC";#N/A,#N/A,TRUE,"A141"}</definedName>
    <definedName name="No_MES">#REF!</definedName>
    <definedName name="NombreRango1" localSheetId="10">#REF!</definedName>
    <definedName name="NombreRango1" localSheetId="7">#REF!</definedName>
    <definedName name="NombreRango1" localSheetId="9">#REF!</definedName>
    <definedName name="NombreRango1" localSheetId="0">#REF!</definedName>
    <definedName name="NombreRango1" localSheetId="8">#REF!</definedName>
    <definedName name="NombreRango1" localSheetId="5">#REF!</definedName>
    <definedName name="NombreRango1">#REF!</definedName>
    <definedName name="q" hidden="1">{#N/A,#N/A,FALSE,"Sheet1"}</definedName>
    <definedName name="sencount" hidden="1">1</definedName>
    <definedName name="SPCC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TextRefCopyRangeCount" hidden="1">1</definedName>
    <definedName name="VAC">#REF!</definedName>
    <definedName name="wrn.98._.PRESENTATION._.SCEDULES." hidden="1">{#N/A,#N/A,TRUE,"ISSUES";#N/A,#N/A,TRUE,"PRFTSUM";#N/A,#N/A,TRUE,"PGSUM";#N/A,#N/A,TRUE,"MAGAG";#N/A,#N/A,TRUE,"HCSUM";#N/A,#N/A,TRUE,"NOC";#N/A,#N/A,TRUE,"STDSTD";#N/A,#N/A,TRUE,"STDSTDA";#N/A,#N/A,TRUE,"CIP";#N/A,#N/A,TRUE,"STDCHG";#N/A,#N/A,TRUE,"OPRDAYS";#N/A,#N/A,TRUE,"PLANT";#N/A,#N/A,TRUE,"BU Halogen";#N/A,#N/A,TRUE,"BU Halogen"}</definedName>
    <definedName name="wrn.Aging._.and._.Trend._.Analysis." hidden="1">{#N/A,#N/A,FALSE,"Aging Summary";#N/A,#N/A,FALSE,"Ratio Analysis";#N/A,#N/A,FALSE,"Test 120 Day Accts";#N/A,#N/A,FALSE,"Tickmarks"}</definedName>
    <definedName name="wrn.April._.Forecast._.1998." hidden="1">{#N/A,#N/A,TRUE,"12 MO FFSP BY COST CENTER";#N/A,#N/A,TRUE,"P140 - April Forecast98";#N/A,#N/A,TRUE,"P130 April Forecast Lighting";#N/A,#N/A,TRUE,"P130 April Forecast Lamps";#N/A,#N/A,TRUE,"P130 April Forecast Auto";#N/A,#N/A,TRUE,"P130 April Forecast Halogen";#N/A,#N/A,TRUE,"P130 April Forecast CFL";#N/A,#N/A,TRUE,"Relevant Local Turnover";#N/A,#N/A,TRUE,"A12CC";#N/A,#N/A,TRUE,"A141"}</definedName>
    <definedName name="wrn.April._.Forecast98._.Summary." hidden="1">{#N/A,#N/A,FALSE,"Summary";#N/A,#N/A,FALSE,"12 MO FFSP BY COST CENTER";#N/A,#N/A,FALSE,"P140 - April Forecast98";#N/A,#N/A,FALSE,"P130 April Forecast Lighting";#N/A,#N/A,FALSE,"P130 April Forecast Lamps";#N/A,#N/A,FALSE,"P130 April Forecast Auto";#N/A,#N/A,FALSE,"Relevant Local Turnover";#N/A,#N/A,FALSE,"A141"}</definedName>
    <definedName name="wrn.conservador._.fresco." hidden="1">{#N/A,#N/A,FALSE,"Sheet1"}</definedName>
    <definedName name="wrn.edificio." hidden="1">{#N/A,#N/A,FALSE,"Edificio"}</definedName>
    <definedName name="wrn.rona.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wrn.schd13." hidden="1">{#N/A,#N/A,TRUE,"PLANT";#N/A,#N/A,TRUE,"BG 9011 Lamps";#N/A,#N/A,TRUE,"BG 9013 Automotive";#N/A,#N/A,TRUE,"Components"}</definedName>
    <definedName name="wrn.STANDARD." hidden="1">{#N/A,#N/A,FALSE,"SCHEDULE 7";#N/A,#N/A,FALSE,"BL-7.1"}</definedName>
    <definedName name="wrn.summary." hidden="1">{#N/A,#N/A,FALSE,"summary";#N/A,#N/A,FALSE,"COMBINED";#N/A,#N/A,FALSE,"JUAREZ";#N/A,#N/A,FALSE,"EL PASO";#N/A,#N/A,FALSE,"97vs.98"}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85" l="1"/>
  <c r="U33" i="85" s="1"/>
  <c r="T32" i="85"/>
  <c r="U32" i="85" s="1"/>
  <c r="T31" i="85"/>
  <c r="U31" i="85" s="1"/>
  <c r="T33" i="86"/>
  <c r="U33" i="86" s="1"/>
  <c r="T32" i="86"/>
  <c r="U32" i="86" s="1"/>
  <c r="T31" i="86"/>
  <c r="U31" i="86" s="1"/>
  <c r="T33" i="68"/>
  <c r="U33" i="68" s="1"/>
  <c r="T32" i="68"/>
  <c r="U32" i="68" s="1"/>
  <c r="T31" i="68"/>
  <c r="U31" i="68" s="1"/>
  <c r="T30" i="85"/>
  <c r="U30" i="85" s="1"/>
  <c r="T29" i="85"/>
  <c r="U29" i="85" s="1"/>
  <c r="T28" i="85"/>
  <c r="U28" i="85" s="1"/>
  <c r="T27" i="85"/>
  <c r="U27" i="85" s="1"/>
  <c r="T26" i="85"/>
  <c r="U26" i="85" s="1"/>
  <c r="T25" i="85"/>
  <c r="U25" i="85" s="1"/>
  <c r="T24" i="85"/>
  <c r="U24" i="85" s="1"/>
  <c r="T23" i="85"/>
  <c r="U23" i="85" s="1"/>
  <c r="T22" i="85"/>
  <c r="U22" i="85" s="1"/>
  <c r="T21" i="85"/>
  <c r="U21" i="85" s="1"/>
  <c r="T20" i="85"/>
  <c r="U20" i="85" s="1"/>
  <c r="T19" i="85"/>
  <c r="U19" i="85" s="1"/>
  <c r="T18" i="85"/>
  <c r="U18" i="85" s="1"/>
  <c r="T17" i="85"/>
  <c r="U17" i="85" s="1"/>
  <c r="T16" i="85"/>
  <c r="U16" i="85" s="1"/>
  <c r="T15" i="85"/>
  <c r="U15" i="85" s="1"/>
  <c r="T14" i="85"/>
  <c r="U14" i="85" s="1"/>
  <c r="U13" i="85"/>
  <c r="T13" i="85"/>
  <c r="T11" i="85"/>
  <c r="T10" i="85"/>
  <c r="U10" i="85" s="1"/>
  <c r="T9" i="85"/>
  <c r="U9" i="85" s="1"/>
  <c r="T8" i="85"/>
  <c r="U8" i="85" s="1"/>
  <c r="T7" i="85"/>
  <c r="U7" i="85" s="1"/>
  <c r="U6" i="85"/>
  <c r="T6" i="85"/>
  <c r="T30" i="86"/>
  <c r="U30" i="86" s="1"/>
  <c r="T29" i="86"/>
  <c r="U29" i="86" s="1"/>
  <c r="T28" i="86"/>
  <c r="U28" i="86" s="1"/>
  <c r="T27" i="86"/>
  <c r="U27" i="86" s="1"/>
  <c r="T26" i="86"/>
  <c r="U26" i="86" s="1"/>
  <c r="T25" i="86"/>
  <c r="U25" i="86" s="1"/>
  <c r="T24" i="86"/>
  <c r="U24" i="86" s="1"/>
  <c r="T23" i="86"/>
  <c r="U23" i="86" s="1"/>
  <c r="T22" i="86"/>
  <c r="U22" i="86" s="1"/>
  <c r="T21" i="86"/>
  <c r="U21" i="86" s="1"/>
  <c r="T20" i="86"/>
  <c r="U20" i="86" s="1"/>
  <c r="T19" i="86"/>
  <c r="U19" i="86" s="1"/>
  <c r="T18" i="86"/>
  <c r="U18" i="86" s="1"/>
  <c r="T17" i="86"/>
  <c r="U17" i="86" s="1"/>
  <c r="T16" i="86"/>
  <c r="U16" i="86" s="1"/>
  <c r="T15" i="86"/>
  <c r="U15" i="86" s="1"/>
  <c r="T14" i="86"/>
  <c r="U14" i="86" s="1"/>
  <c r="U13" i="86"/>
  <c r="T13" i="86"/>
  <c r="T11" i="86"/>
  <c r="T10" i="86"/>
  <c r="U10" i="86" s="1"/>
  <c r="T9" i="86"/>
  <c r="U9" i="86" s="1"/>
  <c r="T8" i="86"/>
  <c r="U8" i="86" s="1"/>
  <c r="T7" i="86"/>
  <c r="U7" i="86" s="1"/>
  <c r="U6" i="86"/>
  <c r="T6" i="86"/>
  <c r="T30" i="68"/>
  <c r="U30" i="68" s="1"/>
  <c r="T29" i="68"/>
  <c r="U29" i="68" s="1"/>
  <c r="T28" i="68"/>
  <c r="U28" i="68" s="1"/>
  <c r="T27" i="68"/>
  <c r="U27" i="68" s="1"/>
  <c r="T26" i="68"/>
  <c r="U26" i="68" s="1"/>
  <c r="T25" i="68"/>
  <c r="U25" i="68" s="1"/>
  <c r="T24" i="68"/>
  <c r="U24" i="68" s="1"/>
  <c r="T23" i="68"/>
  <c r="U23" i="68" s="1"/>
  <c r="T22" i="68"/>
  <c r="U22" i="68" s="1"/>
  <c r="T21" i="68"/>
  <c r="U21" i="68" s="1"/>
  <c r="T20" i="68"/>
  <c r="U20" i="68" s="1"/>
  <c r="T19" i="68"/>
  <c r="U19" i="68" s="1"/>
  <c r="T18" i="68"/>
  <c r="U18" i="68" s="1"/>
  <c r="T17" i="68"/>
  <c r="U17" i="68" s="1"/>
  <c r="T16" i="68"/>
  <c r="U16" i="68" s="1"/>
  <c r="T15" i="68"/>
  <c r="U15" i="68" s="1"/>
  <c r="T14" i="68"/>
  <c r="U14" i="68" s="1"/>
  <c r="U13" i="68"/>
  <c r="T13" i="68"/>
  <c r="T11" i="68"/>
  <c r="T10" i="68"/>
  <c r="U10" i="68" s="1"/>
  <c r="T9" i="68"/>
  <c r="U9" i="68" s="1"/>
  <c r="T8" i="68"/>
  <c r="U8" i="68" s="1"/>
  <c r="T7" i="68"/>
  <c r="U7" i="68" s="1"/>
  <c r="U6" i="68"/>
  <c r="T6" i="68"/>
  <c r="T35" i="87"/>
  <c r="U35" i="87"/>
  <c r="T36" i="87"/>
  <c r="U36" i="87"/>
  <c r="T37" i="87"/>
  <c r="U37" i="87"/>
  <c r="T38" i="87"/>
  <c r="U38" i="87"/>
  <c r="T39" i="87"/>
  <c r="U39" i="87"/>
  <c r="T44" i="87"/>
  <c r="U44" i="87"/>
  <c r="T45" i="87"/>
  <c r="U45" i="87"/>
  <c r="T51" i="87"/>
  <c r="U51" i="87"/>
  <c r="T52" i="87"/>
  <c r="U52" i="87"/>
  <c r="T54" i="87"/>
  <c r="U54" i="87"/>
  <c r="T56" i="87"/>
  <c r="U56" i="87"/>
  <c r="T63" i="87"/>
  <c r="U63" i="87"/>
  <c r="T66" i="87"/>
  <c r="U66" i="87"/>
  <c r="T69" i="87"/>
  <c r="U69" i="87"/>
  <c r="T71" i="87"/>
  <c r="U71" i="87"/>
  <c r="T75" i="87"/>
  <c r="U75" i="87"/>
  <c r="T76" i="87"/>
  <c r="U76" i="87"/>
  <c r="T92" i="87"/>
  <c r="U92" i="87"/>
  <c r="T93" i="87"/>
  <c r="U93" i="87"/>
  <c r="T94" i="87"/>
  <c r="U94" i="87"/>
  <c r="T95" i="87"/>
  <c r="U95" i="87"/>
  <c r="U96" i="87"/>
  <c r="T97" i="87"/>
  <c r="U97" i="87"/>
  <c r="T98" i="87"/>
  <c r="U98" i="87"/>
  <c r="T99" i="87"/>
  <c r="U99" i="87"/>
  <c r="T100" i="87"/>
  <c r="U100" i="87"/>
  <c r="T101" i="87"/>
  <c r="U101" i="87"/>
  <c r="T102" i="87"/>
  <c r="U102" i="87"/>
  <c r="T103" i="87"/>
  <c r="U103" i="87"/>
  <c r="T104" i="87"/>
  <c r="U104" i="87"/>
  <c r="T105" i="87"/>
  <c r="U105" i="87"/>
  <c r="T106" i="87"/>
  <c r="U106" i="87"/>
  <c r="T108" i="87"/>
  <c r="U108" i="87"/>
  <c r="T109" i="87"/>
  <c r="U109" i="87"/>
  <c r="T110" i="87"/>
  <c r="U110" i="87"/>
  <c r="T111" i="87"/>
  <c r="U111" i="87"/>
  <c r="T150" i="87"/>
  <c r="U150" i="87"/>
  <c r="T152" i="87"/>
  <c r="U152" i="87"/>
  <c r="T154" i="87"/>
  <c r="U154" i="87"/>
  <c r="T155" i="87"/>
  <c r="U155" i="87"/>
  <c r="T30" i="87"/>
  <c r="U30" i="87" s="1"/>
  <c r="T29" i="87"/>
  <c r="U29" i="87" s="1"/>
  <c r="T28" i="87"/>
  <c r="U28" i="87" s="1"/>
  <c r="T27" i="87"/>
  <c r="U27" i="87" s="1"/>
  <c r="T26" i="87"/>
  <c r="U26" i="87" s="1"/>
  <c r="T25" i="87"/>
  <c r="U25" i="87" s="1"/>
  <c r="T24" i="87"/>
  <c r="U24" i="87" s="1"/>
  <c r="T23" i="87"/>
  <c r="U23" i="87" s="1"/>
  <c r="T22" i="87"/>
  <c r="U22" i="87" s="1"/>
  <c r="T21" i="87"/>
  <c r="U21" i="87" s="1"/>
  <c r="T20" i="87"/>
  <c r="U20" i="87" s="1"/>
  <c r="T19" i="87"/>
  <c r="U19" i="87" s="1"/>
  <c r="T18" i="87"/>
  <c r="U18" i="87" s="1"/>
  <c r="T17" i="87"/>
  <c r="U17" i="87" s="1"/>
  <c r="T16" i="87"/>
  <c r="U16" i="87" s="1"/>
  <c r="T15" i="87"/>
  <c r="U15" i="87" s="1"/>
  <c r="T14" i="87"/>
  <c r="T11" i="87"/>
  <c r="T10" i="87"/>
  <c r="U10" i="87" s="1"/>
  <c r="T9" i="87"/>
  <c r="U9" i="87" s="1"/>
  <c r="T8" i="87"/>
  <c r="U8" i="87" s="1"/>
  <c r="T7" i="87"/>
  <c r="Y156" i="124"/>
  <c r="Z156" i="124"/>
  <c r="AA156" i="124"/>
  <c r="AB156" i="124"/>
  <c r="AC156" i="124"/>
  <c r="AD156" i="124"/>
  <c r="AE156" i="124"/>
  <c r="AF156" i="124"/>
  <c r="AG156" i="124"/>
  <c r="AH156" i="124"/>
  <c r="T156" i="124"/>
  <c r="Y150" i="85"/>
  <c r="Z150" i="85" s="1"/>
  <c r="AA150" i="85" s="1"/>
  <c r="AB150" i="85" s="1"/>
  <c r="AC150" i="85" s="1"/>
  <c r="AD150" i="85" s="1"/>
  <c r="AE150" i="85" s="1"/>
  <c r="AF150" i="85" s="1"/>
  <c r="AG150" i="85" s="1"/>
  <c r="AH150" i="85" s="1"/>
  <c r="AI150" i="85" s="1"/>
  <c r="AJ150" i="85" s="1"/>
  <c r="Y150" i="86"/>
  <c r="Z150" i="86" s="1"/>
  <c r="AA150" i="86" s="1"/>
  <c r="AB150" i="86" s="1"/>
  <c r="AC150" i="86" s="1"/>
  <c r="AD150" i="86" s="1"/>
  <c r="AE150" i="86" s="1"/>
  <c r="AF150" i="86" s="1"/>
  <c r="AG150" i="86" s="1"/>
  <c r="AH150" i="86" s="1"/>
  <c r="AI150" i="86" s="1"/>
  <c r="AJ150" i="86" s="1"/>
  <c r="T150" i="68"/>
  <c r="U150" i="68" s="1"/>
  <c r="Y150" i="68"/>
  <c r="Z150" i="68" s="1"/>
  <c r="AA150" i="68" s="1"/>
  <c r="AB150" i="68" s="1"/>
  <c r="AC150" i="68" s="1"/>
  <c r="AD150" i="68" s="1"/>
  <c r="AE150" i="68" s="1"/>
  <c r="AF150" i="68" s="1"/>
  <c r="AG150" i="68" s="1"/>
  <c r="AH150" i="68" s="1"/>
  <c r="AI150" i="68" s="1"/>
  <c r="AJ150" i="68" s="1"/>
  <c r="Y150" i="87"/>
  <c r="Y113" i="87"/>
  <c r="U146" i="124"/>
  <c r="Y56" i="85"/>
  <c r="Y56" i="86"/>
  <c r="Y56" i="68"/>
  <c r="Y142" i="85"/>
  <c r="Y142" i="86"/>
  <c r="Y142" i="68"/>
  <c r="Y142" i="87"/>
  <c r="Y56" i="87"/>
  <c r="AG44" i="68"/>
  <c r="AG43" i="68" s="1"/>
  <c r="AG44" i="86"/>
  <c r="AG43" i="86" s="1"/>
  <c r="AG57" i="86"/>
  <c r="AK11" i="87"/>
  <c r="AK12" i="87"/>
  <c r="AK17" i="87"/>
  <c r="AK18" i="87"/>
  <c r="AK19" i="87"/>
  <c r="AK20" i="87"/>
  <c r="AK21" i="87"/>
  <c r="AK22" i="87"/>
  <c r="AK31" i="87"/>
  <c r="AK32" i="87"/>
  <c r="AK33" i="87"/>
  <c r="AK38" i="87"/>
  <c r="AJ57" i="86"/>
  <c r="AI57" i="86"/>
  <c r="AH57" i="86"/>
  <c r="AF57" i="86"/>
  <c r="AE57" i="86"/>
  <c r="AD57" i="86"/>
  <c r="AC57" i="86"/>
  <c r="AB57" i="86"/>
  <c r="AA57" i="86"/>
  <c r="Z57" i="86"/>
  <c r="Y57" i="86"/>
  <c r="AJ57" i="85"/>
  <c r="AI57" i="85"/>
  <c r="AH57" i="85"/>
  <c r="AG57" i="85"/>
  <c r="AF57" i="85"/>
  <c r="AE57" i="85"/>
  <c r="AD57" i="85"/>
  <c r="AC57" i="85"/>
  <c r="AB57" i="85"/>
  <c r="AA57" i="85"/>
  <c r="Z57" i="85"/>
  <c r="Y57" i="85"/>
  <c r="Y57" i="68"/>
  <c r="Y57" i="87"/>
  <c r="Y42" i="87"/>
  <c r="Y41" i="87"/>
  <c r="Y40" i="87"/>
  <c r="Y78" i="87"/>
  <c r="Y92" i="85"/>
  <c r="Y93" i="85"/>
  <c r="Y94" i="85"/>
  <c r="Y95" i="85"/>
  <c r="Y96" i="85"/>
  <c r="Y97" i="85"/>
  <c r="Y98" i="85"/>
  <c r="Y99" i="85"/>
  <c r="Y100" i="85"/>
  <c r="Y101" i="85"/>
  <c r="Y102" i="85"/>
  <c r="Y103" i="85"/>
  <c r="Y104" i="85"/>
  <c r="Y105" i="85"/>
  <c r="Y106" i="85"/>
  <c r="Y108" i="85"/>
  <c r="Y109" i="85"/>
  <c r="Y110" i="85"/>
  <c r="Y111" i="85"/>
  <c r="Y92" i="86"/>
  <c r="Y93" i="86"/>
  <c r="Y94" i="86"/>
  <c r="Y95" i="86"/>
  <c r="Y96" i="86"/>
  <c r="Y97" i="86"/>
  <c r="Y98" i="86"/>
  <c r="Y99" i="86"/>
  <c r="Y100" i="86"/>
  <c r="Y101" i="86"/>
  <c r="Y102" i="86"/>
  <c r="Y103" i="86"/>
  <c r="Y104" i="86"/>
  <c r="Y105" i="86"/>
  <c r="Y106" i="86"/>
  <c r="Y108" i="86"/>
  <c r="Y109" i="86"/>
  <c r="Y110" i="86"/>
  <c r="Y111" i="86"/>
  <c r="Y92" i="87"/>
  <c r="Y93" i="87"/>
  <c r="Y94" i="87"/>
  <c r="Y95" i="87"/>
  <c r="Y96" i="87"/>
  <c r="Y97" i="87"/>
  <c r="Y98" i="87"/>
  <c r="Y99" i="87"/>
  <c r="Y100" i="87"/>
  <c r="Y101" i="87"/>
  <c r="Y102" i="87"/>
  <c r="Y103" i="87"/>
  <c r="Y104" i="87"/>
  <c r="Y105" i="87"/>
  <c r="Y106" i="87"/>
  <c r="Y108" i="87"/>
  <c r="Y109" i="87"/>
  <c r="Y110" i="87"/>
  <c r="Y111" i="87"/>
  <c r="U112" i="68"/>
  <c r="T112" i="68"/>
  <c r="U112" i="86"/>
  <c r="T112" i="86"/>
  <c r="U39" i="85"/>
  <c r="T39" i="85"/>
  <c r="T39" i="86"/>
  <c r="U39" i="86"/>
  <c r="U39" i="68"/>
  <c r="V42" i="68"/>
  <c r="V41" i="68"/>
  <c r="V40" i="68"/>
  <c r="T39" i="68"/>
  <c r="V39" i="68"/>
  <c r="Q161" i="87"/>
  <c r="Y92" i="68"/>
  <c r="Y93" i="68"/>
  <c r="Y94" i="68"/>
  <c r="Y95" i="68"/>
  <c r="Y96" i="68"/>
  <c r="Y97" i="68"/>
  <c r="Y98" i="68"/>
  <c r="Y99" i="68"/>
  <c r="Y100" i="68"/>
  <c r="Y101" i="68"/>
  <c r="Y102" i="68"/>
  <c r="Y103" i="68"/>
  <c r="Y104" i="68"/>
  <c r="Y105" i="68"/>
  <c r="Y106" i="68"/>
  <c r="Y108" i="68"/>
  <c r="Y109" i="68"/>
  <c r="Y110" i="68"/>
  <c r="Y111" i="68"/>
  <c r="R111" i="124"/>
  <c r="Q111" i="124"/>
  <c r="P111" i="124"/>
  <c r="O111" i="124"/>
  <c r="N111" i="124"/>
  <c r="M111" i="124"/>
  <c r="L111" i="124"/>
  <c r="K111" i="124"/>
  <c r="J111" i="124"/>
  <c r="R110" i="124"/>
  <c r="Q110" i="124"/>
  <c r="P110" i="124"/>
  <c r="O110" i="124"/>
  <c r="N110" i="124"/>
  <c r="M110" i="124"/>
  <c r="L110" i="124"/>
  <c r="K110" i="124"/>
  <c r="J110" i="124"/>
  <c r="R109" i="124"/>
  <c r="Q109" i="124"/>
  <c r="P109" i="124"/>
  <c r="O109" i="124"/>
  <c r="N109" i="124"/>
  <c r="M109" i="124"/>
  <c r="L109" i="124"/>
  <c r="K109" i="124"/>
  <c r="J109" i="124"/>
  <c r="R108" i="124"/>
  <c r="Q108" i="124"/>
  <c r="P108" i="124"/>
  <c r="O108" i="124"/>
  <c r="N108" i="124"/>
  <c r="M108" i="124"/>
  <c r="L108" i="124"/>
  <c r="K108" i="124"/>
  <c r="J108" i="124"/>
  <c r="R106" i="124"/>
  <c r="Q106" i="124"/>
  <c r="P106" i="124"/>
  <c r="O106" i="124"/>
  <c r="N106" i="124"/>
  <c r="M106" i="124"/>
  <c r="L106" i="124"/>
  <c r="K106" i="124"/>
  <c r="J106" i="124"/>
  <c r="R105" i="124"/>
  <c r="Q105" i="124"/>
  <c r="P105" i="124"/>
  <c r="O105" i="124"/>
  <c r="N105" i="124"/>
  <c r="M105" i="124"/>
  <c r="L105" i="124"/>
  <c r="K105" i="124"/>
  <c r="J105" i="124"/>
  <c r="R104" i="124"/>
  <c r="Q104" i="124"/>
  <c r="P104" i="124"/>
  <c r="O104" i="124"/>
  <c r="N104" i="124"/>
  <c r="M104" i="124"/>
  <c r="L104" i="124"/>
  <c r="K104" i="124"/>
  <c r="J104" i="124"/>
  <c r="R103" i="124"/>
  <c r="Q103" i="124"/>
  <c r="P103" i="124"/>
  <c r="O103" i="124"/>
  <c r="N103" i="124"/>
  <c r="M103" i="124"/>
  <c r="L103" i="124"/>
  <c r="K103" i="124"/>
  <c r="J103" i="124"/>
  <c r="R102" i="124"/>
  <c r="Q102" i="124"/>
  <c r="P102" i="124"/>
  <c r="O102" i="124"/>
  <c r="N102" i="124"/>
  <c r="M102" i="124"/>
  <c r="L102" i="124"/>
  <c r="K102" i="124"/>
  <c r="J102" i="124"/>
  <c r="R101" i="124"/>
  <c r="Q101" i="124"/>
  <c r="P101" i="124"/>
  <c r="O101" i="124"/>
  <c r="N101" i="124"/>
  <c r="M101" i="124"/>
  <c r="L101" i="124"/>
  <c r="K101" i="124"/>
  <c r="J101" i="124"/>
  <c r="R100" i="124"/>
  <c r="Q100" i="124"/>
  <c r="P100" i="124"/>
  <c r="O100" i="124"/>
  <c r="N100" i="124"/>
  <c r="M100" i="124"/>
  <c r="L100" i="124"/>
  <c r="K100" i="124"/>
  <c r="J100" i="124"/>
  <c r="R99" i="124"/>
  <c r="Q99" i="124"/>
  <c r="P99" i="124"/>
  <c r="O99" i="124"/>
  <c r="N99" i="124"/>
  <c r="M99" i="124"/>
  <c r="L99" i="124"/>
  <c r="K99" i="124"/>
  <c r="J99" i="124"/>
  <c r="R98" i="124"/>
  <c r="Q98" i="124"/>
  <c r="P98" i="124"/>
  <c r="O98" i="124"/>
  <c r="N98" i="124"/>
  <c r="M98" i="124"/>
  <c r="L98" i="124"/>
  <c r="K98" i="124"/>
  <c r="J98" i="124"/>
  <c r="R97" i="124"/>
  <c r="Q97" i="124"/>
  <c r="P97" i="124"/>
  <c r="O97" i="124"/>
  <c r="N97" i="124"/>
  <c r="M97" i="124"/>
  <c r="L97" i="124"/>
  <c r="K97" i="124"/>
  <c r="J97" i="124"/>
  <c r="R96" i="124"/>
  <c r="Q96" i="124"/>
  <c r="P96" i="124"/>
  <c r="O96" i="124"/>
  <c r="N96" i="124"/>
  <c r="M96" i="124"/>
  <c r="L96" i="124"/>
  <c r="K96" i="124"/>
  <c r="J96" i="124"/>
  <c r="R95" i="124"/>
  <c r="Q95" i="124"/>
  <c r="P95" i="124"/>
  <c r="O95" i="124"/>
  <c r="N95" i="124"/>
  <c r="M95" i="124"/>
  <c r="L95" i="124"/>
  <c r="K95" i="124"/>
  <c r="J95" i="124"/>
  <c r="R94" i="124"/>
  <c r="Q94" i="124"/>
  <c r="P94" i="124"/>
  <c r="O94" i="124"/>
  <c r="N94" i="124"/>
  <c r="M94" i="124"/>
  <c r="L94" i="124"/>
  <c r="K94" i="124"/>
  <c r="J94" i="124"/>
  <c r="R93" i="124"/>
  <c r="Q93" i="124"/>
  <c r="P93" i="124"/>
  <c r="O93" i="124"/>
  <c r="N93" i="124"/>
  <c r="M93" i="124"/>
  <c r="L93" i="124"/>
  <c r="K93" i="124"/>
  <c r="J93" i="124"/>
  <c r="R92" i="124"/>
  <c r="Q92" i="124"/>
  <c r="P92" i="124"/>
  <c r="O92" i="124"/>
  <c r="N92" i="124"/>
  <c r="M92" i="124"/>
  <c r="L92" i="124"/>
  <c r="K92" i="124"/>
  <c r="J92" i="124"/>
  <c r="U39" i="124"/>
  <c r="T39" i="124"/>
  <c r="S39" i="124"/>
  <c r="R39" i="124"/>
  <c r="Q39" i="124"/>
  <c r="P39" i="124"/>
  <c r="O39" i="124"/>
  <c r="N39" i="124"/>
  <c r="M39" i="124"/>
  <c r="L39" i="124"/>
  <c r="K39" i="124"/>
  <c r="J39" i="124"/>
  <c r="V7" i="68"/>
  <c r="V8" i="68"/>
  <c r="V9" i="68"/>
  <c r="V10" i="68"/>
  <c r="V11" i="68"/>
  <c r="J161" i="86"/>
  <c r="K161" i="86"/>
  <c r="L161" i="86"/>
  <c r="M161" i="86"/>
  <c r="N161" i="86"/>
  <c r="O161" i="86"/>
  <c r="P161" i="86"/>
  <c r="J161" i="68"/>
  <c r="K161" i="68"/>
  <c r="L161" i="68"/>
  <c r="M161" i="68"/>
  <c r="N161" i="68"/>
  <c r="O161" i="68"/>
  <c r="P161" i="68"/>
  <c r="J161" i="87"/>
  <c r="K161" i="87"/>
  <c r="L161" i="87"/>
  <c r="M161" i="87"/>
  <c r="N161" i="87"/>
  <c r="O161" i="87"/>
  <c r="P161" i="87"/>
  <c r="Y90" i="87"/>
  <c r="Y113" i="85"/>
  <c r="Y113" i="86"/>
  <c r="Y113" i="68"/>
  <c r="Y63" i="85"/>
  <c r="Y63" i="86"/>
  <c r="Y63" i="68"/>
  <c r="Y63" i="87"/>
  <c r="Y90" i="85"/>
  <c r="Y87" i="85"/>
  <c r="Y88" i="85"/>
  <c r="Y85" i="85"/>
  <c r="Y78" i="85"/>
  <c r="Y79" i="85"/>
  <c r="Y75" i="85"/>
  <c r="Y76" i="85"/>
  <c r="Y71" i="85"/>
  <c r="Y69" i="85"/>
  <c r="Y65" i="85"/>
  <c r="Y66" i="85"/>
  <c r="Y54" i="85"/>
  <c r="Y55" i="85"/>
  <c r="Y58" i="85"/>
  <c r="Y51" i="85"/>
  <c r="Y52" i="85"/>
  <c r="Y152" i="85"/>
  <c r="Y154" i="85"/>
  <c r="Y155" i="85"/>
  <c r="Y149" i="85"/>
  <c r="Y146" i="85"/>
  <c r="Y143" i="85"/>
  <c r="Y138" i="85"/>
  <c r="Y139" i="85"/>
  <c r="Y140" i="85"/>
  <c r="Y135" i="85"/>
  <c r="Y133" i="85"/>
  <c r="Y129" i="85"/>
  <c r="Y123" i="85"/>
  <c r="Y124" i="85"/>
  <c r="Y125" i="85"/>
  <c r="Y126" i="85"/>
  <c r="Y127" i="85"/>
  <c r="Y121" i="85"/>
  <c r="Y119" i="85"/>
  <c r="Y116" i="85"/>
  <c r="Y117" i="85"/>
  <c r="AK153" i="85"/>
  <c r="AK151" i="85"/>
  <c r="AK150" i="85"/>
  <c r="AK147" i="85"/>
  <c r="AK145" i="85"/>
  <c r="AK144" i="85"/>
  <c r="AK141" i="85"/>
  <c r="AK137" i="85"/>
  <c r="AK136" i="85"/>
  <c r="AK134" i="85"/>
  <c r="AK132" i="85"/>
  <c r="AK131" i="85"/>
  <c r="AK130" i="85"/>
  <c r="AK128" i="85"/>
  <c r="AK122" i="85"/>
  <c r="AK120" i="85"/>
  <c r="AK118" i="85"/>
  <c r="AK115" i="85"/>
  <c r="AK114" i="85"/>
  <c r="Y152" i="86"/>
  <c r="Y154" i="86"/>
  <c r="Y155" i="86"/>
  <c r="Y149" i="86"/>
  <c r="Y152" i="68"/>
  <c r="Y154" i="68"/>
  <c r="Y155" i="68"/>
  <c r="Y149" i="68"/>
  <c r="Y146" i="86"/>
  <c r="Y143" i="86"/>
  <c r="Y138" i="86"/>
  <c r="Y139" i="86"/>
  <c r="Y140" i="86"/>
  <c r="Y135" i="86"/>
  <c r="Y133" i="86"/>
  <c r="Y129" i="86"/>
  <c r="Y123" i="86"/>
  <c r="Y124" i="86"/>
  <c r="Y125" i="86"/>
  <c r="Y126" i="86"/>
  <c r="Y127" i="86"/>
  <c r="Y121" i="86"/>
  <c r="Y119" i="86"/>
  <c r="Y116" i="86"/>
  <c r="Y117" i="86"/>
  <c r="Y146" i="68"/>
  <c r="Y143" i="68"/>
  <c r="Y138" i="68"/>
  <c r="Y139" i="68"/>
  <c r="Y140" i="68"/>
  <c r="Y135" i="68"/>
  <c r="Y133" i="68"/>
  <c r="Y129" i="68"/>
  <c r="Y123" i="68"/>
  <c r="Y124" i="68"/>
  <c r="Y125" i="68"/>
  <c r="Y126" i="68"/>
  <c r="Y127" i="68"/>
  <c r="Y121" i="68"/>
  <c r="Y119" i="68"/>
  <c r="Y116" i="68"/>
  <c r="Y117" i="68"/>
  <c r="Y90" i="86"/>
  <c r="Y87" i="86"/>
  <c r="Y88" i="86"/>
  <c r="Y85" i="86"/>
  <c r="Y78" i="86"/>
  <c r="Y79" i="86"/>
  <c r="Y75" i="86"/>
  <c r="Y76" i="86"/>
  <c r="Y71" i="86"/>
  <c r="Y69" i="86"/>
  <c r="Y65" i="86"/>
  <c r="Y66" i="86"/>
  <c r="Y54" i="86"/>
  <c r="Y55" i="86"/>
  <c r="Y58" i="86"/>
  <c r="Y51" i="86"/>
  <c r="Y52" i="86"/>
  <c r="Y90" i="68"/>
  <c r="Y87" i="68"/>
  <c r="Y88" i="68"/>
  <c r="Y85" i="68"/>
  <c r="Y78" i="68"/>
  <c r="Y79" i="68"/>
  <c r="Y75" i="68"/>
  <c r="Y76" i="68"/>
  <c r="Y71" i="68"/>
  <c r="Y69" i="68"/>
  <c r="Y65" i="68"/>
  <c r="Y66" i="68"/>
  <c r="Y54" i="68"/>
  <c r="Y55" i="68"/>
  <c r="Y58" i="68"/>
  <c r="Y51" i="68"/>
  <c r="Y52" i="68"/>
  <c r="Y149" i="87"/>
  <c r="Y146" i="87"/>
  <c r="Y143" i="87"/>
  <c r="Y140" i="87"/>
  <c r="Y139" i="87"/>
  <c r="AK153" i="87"/>
  <c r="Y138" i="87"/>
  <c r="Y135" i="87"/>
  <c r="Y133" i="87"/>
  <c r="Y129" i="87"/>
  <c r="Y127" i="87"/>
  <c r="Y126" i="87"/>
  <c r="AJ153" i="124"/>
  <c r="AI153" i="124"/>
  <c r="AH153" i="124"/>
  <c r="AG153" i="124"/>
  <c r="AF153" i="124"/>
  <c r="AE153" i="124"/>
  <c r="AD153" i="124"/>
  <c r="AC153" i="124"/>
  <c r="AB153" i="124"/>
  <c r="AA153" i="124"/>
  <c r="Z153" i="124"/>
  <c r="AJ151" i="124"/>
  <c r="AI151" i="124"/>
  <c r="AH151" i="124"/>
  <c r="AG151" i="124"/>
  <c r="AF151" i="124"/>
  <c r="AE151" i="124"/>
  <c r="AD151" i="124"/>
  <c r="AC151" i="124"/>
  <c r="AB151" i="124"/>
  <c r="AA151" i="124"/>
  <c r="Z151" i="124"/>
  <c r="Y153" i="124"/>
  <c r="Y151" i="124"/>
  <c r="Y150" i="124"/>
  <c r="AJ145" i="124"/>
  <c r="AI145" i="124"/>
  <c r="AH145" i="124"/>
  <c r="AG145" i="124"/>
  <c r="AF145" i="124"/>
  <c r="AE145" i="124"/>
  <c r="AD145" i="124"/>
  <c r="AC145" i="124"/>
  <c r="AB145" i="124"/>
  <c r="AA145" i="124"/>
  <c r="Z145" i="124"/>
  <c r="AJ144" i="124"/>
  <c r="AI144" i="124"/>
  <c r="AH144" i="124"/>
  <c r="AG144" i="124"/>
  <c r="AF144" i="124"/>
  <c r="AE144" i="124"/>
  <c r="AD144" i="124"/>
  <c r="AC144" i="124"/>
  <c r="AB144" i="124"/>
  <c r="AA144" i="124"/>
  <c r="Z144" i="124"/>
  <c r="AJ141" i="124"/>
  <c r="AI141" i="124"/>
  <c r="AH141" i="124"/>
  <c r="AG141" i="124"/>
  <c r="AF141" i="124"/>
  <c r="AE141" i="124"/>
  <c r="AD141" i="124"/>
  <c r="AC141" i="124"/>
  <c r="AB141" i="124"/>
  <c r="AA141" i="124"/>
  <c r="Z141" i="124"/>
  <c r="AJ137" i="124"/>
  <c r="AI137" i="124"/>
  <c r="AH137" i="124"/>
  <c r="AG137" i="124"/>
  <c r="AF137" i="124"/>
  <c r="AE137" i="124"/>
  <c r="AD137" i="124"/>
  <c r="AC137" i="124"/>
  <c r="AB137" i="124"/>
  <c r="AA137" i="124"/>
  <c r="Z137" i="124"/>
  <c r="AJ136" i="124"/>
  <c r="AI136" i="124"/>
  <c r="AH136" i="124"/>
  <c r="AG136" i="124"/>
  <c r="AF136" i="124"/>
  <c r="AE136" i="124"/>
  <c r="AD136" i="124"/>
  <c r="AC136" i="124"/>
  <c r="AB136" i="124"/>
  <c r="AA136" i="124"/>
  <c r="Z136" i="124"/>
  <c r="AJ134" i="124"/>
  <c r="AI134" i="124"/>
  <c r="AH134" i="124"/>
  <c r="AG134" i="124"/>
  <c r="AF134" i="124"/>
  <c r="AE134" i="124"/>
  <c r="AD134" i="124"/>
  <c r="AC134" i="124"/>
  <c r="AB134" i="124"/>
  <c r="AA134" i="124"/>
  <c r="Z134" i="124"/>
  <c r="AJ132" i="124"/>
  <c r="AI132" i="124"/>
  <c r="AH132" i="124"/>
  <c r="AG132" i="124"/>
  <c r="AF132" i="124"/>
  <c r="AE132" i="124"/>
  <c r="AD132" i="124"/>
  <c r="AC132" i="124"/>
  <c r="AB132" i="124"/>
  <c r="AA132" i="124"/>
  <c r="Z132" i="124"/>
  <c r="AJ131" i="124"/>
  <c r="AI131" i="124"/>
  <c r="AH131" i="124"/>
  <c r="AG131" i="124"/>
  <c r="AF131" i="124"/>
  <c r="AE131" i="124"/>
  <c r="AD131" i="124"/>
  <c r="AC131" i="124"/>
  <c r="AB131" i="124"/>
  <c r="AA131" i="124"/>
  <c r="Z131" i="124"/>
  <c r="AJ130" i="124"/>
  <c r="AI130" i="124"/>
  <c r="AH130" i="124"/>
  <c r="AG130" i="124"/>
  <c r="AF130" i="124"/>
  <c r="AE130" i="124"/>
  <c r="AD130" i="124"/>
  <c r="AC130" i="124"/>
  <c r="AB130" i="124"/>
  <c r="AA130" i="124"/>
  <c r="Z130" i="124"/>
  <c r="AJ128" i="124"/>
  <c r="AI128" i="124"/>
  <c r="AH128" i="124"/>
  <c r="AG128" i="124"/>
  <c r="AF128" i="124"/>
  <c r="AE128" i="124"/>
  <c r="AD128" i="124"/>
  <c r="AC128" i="124"/>
  <c r="AB128" i="124"/>
  <c r="AA128" i="124"/>
  <c r="Z128" i="124"/>
  <c r="AJ122" i="124"/>
  <c r="AI122" i="124"/>
  <c r="AH122" i="124"/>
  <c r="AG122" i="124"/>
  <c r="AF122" i="124"/>
  <c r="AE122" i="124"/>
  <c r="AD122" i="124"/>
  <c r="AC122" i="124"/>
  <c r="AB122" i="124"/>
  <c r="AA122" i="124"/>
  <c r="Z122" i="124"/>
  <c r="AJ120" i="124"/>
  <c r="AI120" i="124"/>
  <c r="AH120" i="124"/>
  <c r="AG120" i="124"/>
  <c r="AF120" i="124"/>
  <c r="AE120" i="124"/>
  <c r="AD120" i="124"/>
  <c r="AC120" i="124"/>
  <c r="AB120" i="124"/>
  <c r="AA120" i="124"/>
  <c r="Z120" i="124"/>
  <c r="AJ118" i="124"/>
  <c r="AI118" i="124"/>
  <c r="AH118" i="124"/>
  <c r="AG118" i="124"/>
  <c r="AF118" i="124"/>
  <c r="AE118" i="124"/>
  <c r="AD118" i="124"/>
  <c r="AC118" i="124"/>
  <c r="AB118" i="124"/>
  <c r="AA118" i="124"/>
  <c r="Z118" i="124"/>
  <c r="AJ115" i="124"/>
  <c r="AI115" i="124"/>
  <c r="AH115" i="124"/>
  <c r="AG115" i="124"/>
  <c r="AF115" i="124"/>
  <c r="AE115" i="124"/>
  <c r="AD115" i="124"/>
  <c r="AC115" i="124"/>
  <c r="AB115" i="124"/>
  <c r="AA115" i="124"/>
  <c r="Z115" i="124"/>
  <c r="AJ114" i="124"/>
  <c r="AI114" i="124"/>
  <c r="AH114" i="124"/>
  <c r="AG114" i="124"/>
  <c r="AF114" i="124"/>
  <c r="AE114" i="124"/>
  <c r="AD114" i="124"/>
  <c r="AC114" i="124"/>
  <c r="AB114" i="124"/>
  <c r="AA114" i="124"/>
  <c r="Z114" i="124"/>
  <c r="Y145" i="124"/>
  <c r="AK145" i="124" s="1"/>
  <c r="Y144" i="124"/>
  <c r="AK144" i="124" s="1"/>
  <c r="Y141" i="124"/>
  <c r="AK141" i="124" s="1"/>
  <c r="Y137" i="124"/>
  <c r="AK137" i="124" s="1"/>
  <c r="Y136" i="124"/>
  <c r="AK136" i="124" s="1"/>
  <c r="Y134" i="124"/>
  <c r="Y132" i="124"/>
  <c r="Y131" i="124"/>
  <c r="Y130" i="124"/>
  <c r="Y128" i="124"/>
  <c r="Y122" i="124"/>
  <c r="Y120" i="124"/>
  <c r="Y118" i="124"/>
  <c r="Y115" i="124"/>
  <c r="Y114" i="124"/>
  <c r="AJ89" i="124"/>
  <c r="AI89" i="124"/>
  <c r="AH89" i="124"/>
  <c r="AG89" i="124"/>
  <c r="AF89" i="124"/>
  <c r="AE89" i="124"/>
  <c r="AD89" i="124"/>
  <c r="AC89" i="124"/>
  <c r="AB89" i="124"/>
  <c r="AA89" i="124"/>
  <c r="Z89" i="124"/>
  <c r="AJ86" i="124"/>
  <c r="AI86" i="124"/>
  <c r="AH86" i="124"/>
  <c r="AG86" i="124"/>
  <c r="AF86" i="124"/>
  <c r="AE86" i="124"/>
  <c r="AD86" i="124"/>
  <c r="AC86" i="124"/>
  <c r="AB86" i="124"/>
  <c r="AA86" i="124"/>
  <c r="Z86" i="124"/>
  <c r="AJ84" i="124"/>
  <c r="AI84" i="124"/>
  <c r="AH84" i="124"/>
  <c r="AG84" i="124"/>
  <c r="AF84" i="124"/>
  <c r="AE84" i="124"/>
  <c r="AD84" i="124"/>
  <c r="AC84" i="124"/>
  <c r="AB84" i="124"/>
  <c r="AA84" i="124"/>
  <c r="Z84" i="124"/>
  <c r="AJ83" i="124"/>
  <c r="AI83" i="124"/>
  <c r="AH83" i="124"/>
  <c r="AG83" i="124"/>
  <c r="AF83" i="124"/>
  <c r="AE83" i="124"/>
  <c r="AD83" i="124"/>
  <c r="AC83" i="124"/>
  <c r="AB83" i="124"/>
  <c r="AA83" i="124"/>
  <c r="Z83" i="124"/>
  <c r="AJ82" i="124"/>
  <c r="AI82" i="124"/>
  <c r="AH82" i="124"/>
  <c r="AG82" i="124"/>
  <c r="AF82" i="124"/>
  <c r="AE82" i="124"/>
  <c r="AD82" i="124"/>
  <c r="AC82" i="124"/>
  <c r="AB82" i="124"/>
  <c r="AA82" i="124"/>
  <c r="Z82" i="124"/>
  <c r="AJ80" i="124"/>
  <c r="AI80" i="124"/>
  <c r="AH80" i="124"/>
  <c r="AG80" i="124"/>
  <c r="AF80" i="124"/>
  <c r="AE80" i="124"/>
  <c r="AD80" i="124"/>
  <c r="AC80" i="124"/>
  <c r="AB80" i="124"/>
  <c r="AA80" i="124"/>
  <c r="Z80" i="124"/>
  <c r="AJ77" i="124"/>
  <c r="AI77" i="124"/>
  <c r="AH77" i="124"/>
  <c r="AG77" i="124"/>
  <c r="AF77" i="124"/>
  <c r="AE77" i="124"/>
  <c r="AD77" i="124"/>
  <c r="AC77" i="124"/>
  <c r="AB77" i="124"/>
  <c r="AA77" i="124"/>
  <c r="Z77" i="124"/>
  <c r="AJ74" i="124"/>
  <c r="AI74" i="124"/>
  <c r="AH74" i="124"/>
  <c r="AG74" i="124"/>
  <c r="AF74" i="124"/>
  <c r="AE74" i="124"/>
  <c r="AD74" i="124"/>
  <c r="AC74" i="124"/>
  <c r="AB74" i="124"/>
  <c r="AA74" i="124"/>
  <c r="Z74" i="124"/>
  <c r="AJ73" i="124"/>
  <c r="AI73" i="124"/>
  <c r="AH73" i="124"/>
  <c r="AG73" i="124"/>
  <c r="AF73" i="124"/>
  <c r="AE73" i="124"/>
  <c r="AD73" i="124"/>
  <c r="AC73" i="124"/>
  <c r="AB73" i="124"/>
  <c r="AA73" i="124"/>
  <c r="Z73" i="124"/>
  <c r="AJ72" i="124"/>
  <c r="AI72" i="124"/>
  <c r="AH72" i="124"/>
  <c r="AG72" i="124"/>
  <c r="AF72" i="124"/>
  <c r="AE72" i="124"/>
  <c r="AD72" i="124"/>
  <c r="AC72" i="124"/>
  <c r="AB72" i="124"/>
  <c r="AA72" i="124"/>
  <c r="Z72" i="124"/>
  <c r="AJ70" i="124"/>
  <c r="AI70" i="124"/>
  <c r="AH70" i="124"/>
  <c r="AG70" i="124"/>
  <c r="AF70" i="124"/>
  <c r="AE70" i="124"/>
  <c r="AD70" i="124"/>
  <c r="AC70" i="124"/>
  <c r="AB70" i="124"/>
  <c r="AA70" i="124"/>
  <c r="Z70" i="124"/>
  <c r="AJ68" i="124"/>
  <c r="AI68" i="124"/>
  <c r="AH68" i="124"/>
  <c r="AG68" i="124"/>
  <c r="AF68" i="124"/>
  <c r="AE68" i="124"/>
  <c r="AD68" i="124"/>
  <c r="AC68" i="124"/>
  <c r="AB68" i="124"/>
  <c r="AA68" i="124"/>
  <c r="Z68" i="124"/>
  <c r="AJ67" i="124"/>
  <c r="AI67" i="124"/>
  <c r="AH67" i="124"/>
  <c r="AG67" i="124"/>
  <c r="AF67" i="124"/>
  <c r="AE67" i="124"/>
  <c r="AD67" i="124"/>
  <c r="AC67" i="124"/>
  <c r="AB67" i="124"/>
  <c r="AA67" i="124"/>
  <c r="Z67" i="124"/>
  <c r="AJ64" i="124"/>
  <c r="AI64" i="124"/>
  <c r="AH64" i="124"/>
  <c r="AG64" i="124"/>
  <c r="AF64" i="124"/>
  <c r="AE64" i="124"/>
  <c r="AD64" i="124"/>
  <c r="AC64" i="124"/>
  <c r="AB64" i="124"/>
  <c r="AA64" i="124"/>
  <c r="Z64" i="124"/>
  <c r="AJ62" i="124"/>
  <c r="AI62" i="124"/>
  <c r="AH62" i="124"/>
  <c r="AG62" i="124"/>
  <c r="AF62" i="124"/>
  <c r="AE62" i="124"/>
  <c r="AD62" i="124"/>
  <c r="AC62" i="124"/>
  <c r="AB62" i="124"/>
  <c r="AA62" i="124"/>
  <c r="Z62" i="124"/>
  <c r="AJ61" i="124"/>
  <c r="AI61" i="124"/>
  <c r="AH61" i="124"/>
  <c r="AG61" i="124"/>
  <c r="AF61" i="124"/>
  <c r="AE61" i="124"/>
  <c r="AD61" i="124"/>
  <c r="AC61" i="124"/>
  <c r="AB61" i="124"/>
  <c r="AA61" i="124"/>
  <c r="Z61" i="124"/>
  <c r="AJ60" i="124"/>
  <c r="AI60" i="124"/>
  <c r="AH60" i="124"/>
  <c r="AG60" i="124"/>
  <c r="AF60" i="124"/>
  <c r="AE60" i="124"/>
  <c r="AD60" i="124"/>
  <c r="AC60" i="124"/>
  <c r="AB60" i="124"/>
  <c r="AA60" i="124"/>
  <c r="Z60" i="124"/>
  <c r="AJ59" i="124"/>
  <c r="AI59" i="124"/>
  <c r="AH59" i="124"/>
  <c r="AG59" i="124"/>
  <c r="AF59" i="124"/>
  <c r="AE59" i="124"/>
  <c r="AD59" i="124"/>
  <c r="AC59" i="124"/>
  <c r="AB59" i="124"/>
  <c r="AA59" i="124"/>
  <c r="Z59" i="124"/>
  <c r="AJ53" i="124"/>
  <c r="AI53" i="124"/>
  <c r="AH53" i="124"/>
  <c r="AG53" i="124"/>
  <c r="AF53" i="124"/>
  <c r="AE53" i="124"/>
  <c r="AD53" i="124"/>
  <c r="AC53" i="124"/>
  <c r="AB53" i="124"/>
  <c r="AA53" i="124"/>
  <c r="Z53" i="124"/>
  <c r="Y89" i="124"/>
  <c r="Y86" i="124"/>
  <c r="Y84" i="124"/>
  <c r="Y83" i="124"/>
  <c r="Y82" i="124"/>
  <c r="Y80" i="124"/>
  <c r="Y77" i="124"/>
  <c r="Y74" i="124"/>
  <c r="Y73" i="124"/>
  <c r="Y72" i="124"/>
  <c r="Y70" i="124"/>
  <c r="Y68" i="124"/>
  <c r="Y67" i="124"/>
  <c r="Y64" i="124"/>
  <c r="Y62" i="124"/>
  <c r="Y61" i="124"/>
  <c r="Y60" i="124"/>
  <c r="Y59" i="124"/>
  <c r="Y53" i="124"/>
  <c r="Y124" i="87"/>
  <c r="Y123" i="87"/>
  <c r="Y121" i="87"/>
  <c r="Y119" i="87"/>
  <c r="Y117" i="87"/>
  <c r="Y116" i="87"/>
  <c r="Y10" i="87"/>
  <c r="Y10" i="85"/>
  <c r="Y10" i="86"/>
  <c r="Y10" i="68"/>
  <c r="Y87" i="87"/>
  <c r="Y85" i="87"/>
  <c r="Y30" i="87"/>
  <c r="Y79" i="87"/>
  <c r="Y79" i="124" s="1"/>
  <c r="Y78" i="124"/>
  <c r="Y76" i="124"/>
  <c r="Y75" i="87"/>
  <c r="Y75" i="124" s="1"/>
  <c r="Y69" i="87"/>
  <c r="Y65" i="87"/>
  <c r="AJ44" i="85"/>
  <c r="AI44" i="85"/>
  <c r="AH44" i="85"/>
  <c r="AG44" i="85"/>
  <c r="AF44" i="85"/>
  <c r="AE44" i="85"/>
  <c r="AD44" i="85"/>
  <c r="AC44" i="85"/>
  <c r="AB44" i="85"/>
  <c r="AA44" i="85"/>
  <c r="Z44" i="85"/>
  <c r="Y44" i="85"/>
  <c r="AJ44" i="86"/>
  <c r="AI44" i="86"/>
  <c r="AH44" i="86"/>
  <c r="AF44" i="86"/>
  <c r="AE44" i="86"/>
  <c r="AD44" i="86"/>
  <c r="AC44" i="86"/>
  <c r="AB44" i="86"/>
  <c r="AA44" i="86"/>
  <c r="Z44" i="86"/>
  <c r="Y58" i="87"/>
  <c r="Y58" i="124" s="1"/>
  <c r="Y44" i="86"/>
  <c r="AJ44" i="68"/>
  <c r="AI44" i="68"/>
  <c r="AH44" i="68"/>
  <c r="AF44" i="68"/>
  <c r="AE44" i="68"/>
  <c r="AD44" i="68"/>
  <c r="AC44" i="68"/>
  <c r="AB44" i="68"/>
  <c r="AA44" i="68"/>
  <c r="Z44" i="68"/>
  <c r="Y44" i="68"/>
  <c r="Y57" i="124"/>
  <c r="AJ46" i="87"/>
  <c r="AI46" i="87"/>
  <c r="AH46" i="87"/>
  <c r="AG46" i="87"/>
  <c r="AF46" i="87"/>
  <c r="AE46" i="87"/>
  <c r="AD46" i="87"/>
  <c r="AC46" i="87"/>
  <c r="AB46" i="87"/>
  <c r="AA46" i="87"/>
  <c r="Z46" i="87"/>
  <c r="AJ44" i="87"/>
  <c r="AI44" i="87"/>
  <c r="AH44" i="87"/>
  <c r="AG44" i="87"/>
  <c r="AF44" i="87"/>
  <c r="AE44" i="87"/>
  <c r="AD44" i="87"/>
  <c r="AC44" i="87"/>
  <c r="AB44" i="87"/>
  <c r="AA44" i="87"/>
  <c r="Z44" i="87"/>
  <c r="Y46" i="87"/>
  <c r="Y44" i="87"/>
  <c r="Y55" i="87"/>
  <c r="Y54" i="87"/>
  <c r="Y54" i="124" s="1"/>
  <c r="Y52" i="87"/>
  <c r="Y51" i="87"/>
  <c r="Y108" i="124"/>
  <c r="Y109" i="124"/>
  <c r="Y110" i="124"/>
  <c r="Y111" i="124"/>
  <c r="Y30" i="85"/>
  <c r="Y42" i="85"/>
  <c r="Y9" i="85" s="1"/>
  <c r="Y41" i="85"/>
  <c r="Y8" i="85" s="1"/>
  <c r="Y40" i="85"/>
  <c r="Y7" i="85" s="1"/>
  <c r="Y42" i="86"/>
  <c r="Y9" i="86" s="1"/>
  <c r="Y41" i="86"/>
  <c r="Y8" i="86" s="1"/>
  <c r="Y40" i="86"/>
  <c r="Y7" i="86" s="1"/>
  <c r="Y42" i="68"/>
  <c r="Y9" i="68" s="1"/>
  <c r="Y41" i="68"/>
  <c r="Y8" i="68" s="1"/>
  <c r="Y9" i="87"/>
  <c r="Y8" i="87"/>
  <c r="Y7" i="87"/>
  <c r="Y88" i="87"/>
  <c r="Y88" i="124" s="1"/>
  <c r="Y81" i="124"/>
  <c r="Y66" i="87"/>
  <c r="Y66" i="124" s="1"/>
  <c r="V123" i="87"/>
  <c r="V124" i="87"/>
  <c r="V125" i="87"/>
  <c r="V126" i="87"/>
  <c r="V127" i="87"/>
  <c r="V128" i="87"/>
  <c r="V129" i="87"/>
  <c r="V130" i="87"/>
  <c r="V131" i="87"/>
  <c r="V132" i="87"/>
  <c r="V133" i="87"/>
  <c r="V134" i="87"/>
  <c r="V135" i="87"/>
  <c r="V136" i="87"/>
  <c r="V137" i="87"/>
  <c r="V138" i="87"/>
  <c r="V139" i="87"/>
  <c r="V140" i="87"/>
  <c r="V141" i="87"/>
  <c r="V142" i="87"/>
  <c r="V143" i="87"/>
  <c r="V144" i="87"/>
  <c r="V145" i="87"/>
  <c r="V146" i="87"/>
  <c r="V147" i="87"/>
  <c r="V123" i="68"/>
  <c r="V124" i="68"/>
  <c r="V125" i="68"/>
  <c r="V126" i="68"/>
  <c r="V127" i="68"/>
  <c r="V128" i="68"/>
  <c r="V129" i="68"/>
  <c r="V130" i="68"/>
  <c r="V131" i="68"/>
  <c r="V132" i="68"/>
  <c r="V133" i="68"/>
  <c r="V134" i="68"/>
  <c r="V135" i="68"/>
  <c r="V136" i="68"/>
  <c r="V137" i="68"/>
  <c r="V138" i="68"/>
  <c r="V139" i="68"/>
  <c r="V140" i="68"/>
  <c r="V141" i="68"/>
  <c r="V142" i="68"/>
  <c r="V143" i="68"/>
  <c r="V144" i="68"/>
  <c r="V145" i="68"/>
  <c r="V146" i="68"/>
  <c r="V147" i="68"/>
  <c r="V87" i="68"/>
  <c r="V88" i="68"/>
  <c r="V89" i="68"/>
  <c r="V90" i="68"/>
  <c r="V123" i="86"/>
  <c r="V124" i="86"/>
  <c r="V125" i="86"/>
  <c r="V126" i="86"/>
  <c r="V127" i="86"/>
  <c r="V128" i="86"/>
  <c r="V129" i="86"/>
  <c r="V130" i="86"/>
  <c r="V131" i="86"/>
  <c r="V132" i="86"/>
  <c r="V133" i="86"/>
  <c r="V134" i="86"/>
  <c r="V135" i="86"/>
  <c r="V136" i="86"/>
  <c r="V137" i="86"/>
  <c r="V138" i="86"/>
  <c r="V139" i="86"/>
  <c r="V140" i="86"/>
  <c r="V141" i="86"/>
  <c r="V142" i="86"/>
  <c r="V143" i="86"/>
  <c r="V144" i="86"/>
  <c r="V145" i="86"/>
  <c r="V146" i="86"/>
  <c r="V147" i="86"/>
  <c r="V87" i="86"/>
  <c r="V88" i="86"/>
  <c r="V89" i="86"/>
  <c r="V90" i="86"/>
  <c r="V123" i="85"/>
  <c r="V124" i="85"/>
  <c r="V125" i="85"/>
  <c r="V126" i="85"/>
  <c r="V127" i="85"/>
  <c r="V128" i="85"/>
  <c r="V129" i="85"/>
  <c r="V130" i="85"/>
  <c r="V131" i="85"/>
  <c r="V132" i="85"/>
  <c r="V133" i="85"/>
  <c r="V134" i="85"/>
  <c r="V87" i="85"/>
  <c r="V88" i="85"/>
  <c r="V89" i="85"/>
  <c r="V90" i="85"/>
  <c r="Y126" i="124"/>
  <c r="Y71" i="87"/>
  <c r="Y71" i="124" s="1"/>
  <c r="Y154" i="87"/>
  <c r="Y154" i="124" s="1"/>
  <c r="Y152" i="87"/>
  <c r="Y152" i="124" s="1"/>
  <c r="Y147" i="124"/>
  <c r="Y125" i="87"/>
  <c r="Y125" i="124" s="1"/>
  <c r="Y90" i="124"/>
  <c r="Y56" i="124"/>
  <c r="Y148" i="85"/>
  <c r="Y148" i="86"/>
  <c r="Y148" i="68"/>
  <c r="Y155" i="87"/>
  <c r="Y155" i="124" s="1"/>
  <c r="Y127" i="124"/>
  <c r="Y129" i="124"/>
  <c r="Y133" i="124"/>
  <c r="Y135" i="124"/>
  <c r="Y138" i="124"/>
  <c r="Y139" i="124"/>
  <c r="Y140" i="124"/>
  <c r="Y142" i="124"/>
  <c r="Y143" i="124"/>
  <c r="Y146" i="124"/>
  <c r="V87" i="87"/>
  <c r="V88" i="87"/>
  <c r="V89" i="87"/>
  <c r="V90" i="87"/>
  <c r="R155" i="174"/>
  <c r="Q155" i="174"/>
  <c r="P155" i="174"/>
  <c r="O155" i="174"/>
  <c r="N155" i="174"/>
  <c r="M155" i="174"/>
  <c r="L155" i="174"/>
  <c r="K155" i="174"/>
  <c r="J155" i="174"/>
  <c r="R154" i="174"/>
  <c r="Q154" i="174"/>
  <c r="P154" i="174"/>
  <c r="O154" i="174"/>
  <c r="N154" i="174"/>
  <c r="M154" i="174"/>
  <c r="L154" i="174"/>
  <c r="K154" i="174"/>
  <c r="J154" i="174"/>
  <c r="R153" i="174"/>
  <c r="Q153" i="174"/>
  <c r="P153" i="174"/>
  <c r="O153" i="174"/>
  <c r="N153" i="174"/>
  <c r="M153" i="174"/>
  <c r="L153" i="174"/>
  <c r="K153" i="174"/>
  <c r="J153" i="174"/>
  <c r="R152" i="174"/>
  <c r="Q152" i="174"/>
  <c r="P152" i="174"/>
  <c r="O152" i="174"/>
  <c r="N152" i="174"/>
  <c r="M152" i="174"/>
  <c r="L152" i="174"/>
  <c r="K152" i="174"/>
  <c r="J152" i="174"/>
  <c r="AJ151" i="174"/>
  <c r="AI151" i="174"/>
  <c r="AH151" i="174"/>
  <c r="AG151" i="174"/>
  <c r="AF151" i="174"/>
  <c r="AE151" i="174"/>
  <c r="AD151" i="174"/>
  <c r="AC151" i="174"/>
  <c r="AB151" i="174"/>
  <c r="AA151" i="174"/>
  <c r="Z151" i="174"/>
  <c r="Y151" i="174"/>
  <c r="R151" i="174"/>
  <c r="Q151" i="174"/>
  <c r="P151" i="174"/>
  <c r="O151" i="174"/>
  <c r="N151" i="174"/>
  <c r="M151" i="174"/>
  <c r="L151" i="174"/>
  <c r="K151" i="174"/>
  <c r="J151" i="174"/>
  <c r="R150" i="174"/>
  <c r="Q150" i="174"/>
  <c r="P150" i="174"/>
  <c r="O150" i="174"/>
  <c r="N150" i="174"/>
  <c r="M150" i="174"/>
  <c r="L150" i="174"/>
  <c r="K150" i="174"/>
  <c r="J150" i="174"/>
  <c r="R149" i="174"/>
  <c r="Q149" i="174"/>
  <c r="P149" i="174"/>
  <c r="O149" i="174"/>
  <c r="N149" i="174"/>
  <c r="M149" i="174"/>
  <c r="L149" i="174"/>
  <c r="K149" i="174"/>
  <c r="J149" i="174"/>
  <c r="R148" i="174"/>
  <c r="Q148" i="174"/>
  <c r="P148" i="174"/>
  <c r="O148" i="174"/>
  <c r="N148" i="174"/>
  <c r="M148" i="174"/>
  <c r="L148" i="174"/>
  <c r="K148" i="174"/>
  <c r="J148" i="174"/>
  <c r="U147" i="174"/>
  <c r="T147" i="174"/>
  <c r="S147" i="174"/>
  <c r="R147" i="174"/>
  <c r="Q147" i="174"/>
  <c r="P147" i="174"/>
  <c r="O147" i="174"/>
  <c r="N147" i="174"/>
  <c r="M147" i="174"/>
  <c r="L147" i="174"/>
  <c r="K147" i="174"/>
  <c r="J147" i="174"/>
  <c r="V147" i="174" s="1"/>
  <c r="U146" i="174"/>
  <c r="T146" i="174"/>
  <c r="S146" i="174"/>
  <c r="R146" i="174"/>
  <c r="Q146" i="174"/>
  <c r="P146" i="174"/>
  <c r="O146" i="174"/>
  <c r="N146" i="174"/>
  <c r="M146" i="174"/>
  <c r="L146" i="174"/>
  <c r="K146" i="174"/>
  <c r="J146" i="174"/>
  <c r="V146" i="174" s="1"/>
  <c r="U145" i="174"/>
  <c r="T145" i="174"/>
  <c r="S145" i="174"/>
  <c r="R145" i="174"/>
  <c r="Q145" i="174"/>
  <c r="P145" i="174"/>
  <c r="O145" i="174"/>
  <c r="N145" i="174"/>
  <c r="M145" i="174"/>
  <c r="L145" i="174"/>
  <c r="K145" i="174"/>
  <c r="J145" i="174"/>
  <c r="V145" i="174" s="1"/>
  <c r="U144" i="174"/>
  <c r="T144" i="174"/>
  <c r="S144" i="174"/>
  <c r="R144" i="174"/>
  <c r="Q144" i="174"/>
  <c r="P144" i="174"/>
  <c r="O144" i="174"/>
  <c r="N144" i="174"/>
  <c r="M144" i="174"/>
  <c r="L144" i="174"/>
  <c r="K144" i="174"/>
  <c r="J144" i="174"/>
  <c r="V144" i="174" s="1"/>
  <c r="U143" i="174"/>
  <c r="T143" i="174"/>
  <c r="S143" i="174"/>
  <c r="R143" i="174"/>
  <c r="Q143" i="174"/>
  <c r="P143" i="174"/>
  <c r="O143" i="174"/>
  <c r="N143" i="174"/>
  <c r="M143" i="174"/>
  <c r="L143" i="174"/>
  <c r="K143" i="174"/>
  <c r="J143" i="174"/>
  <c r="V143" i="174" s="1"/>
  <c r="U142" i="174"/>
  <c r="T142" i="174"/>
  <c r="S142" i="174"/>
  <c r="R142" i="174"/>
  <c r="Q142" i="174"/>
  <c r="P142" i="174"/>
  <c r="O142" i="174"/>
  <c r="N142" i="174"/>
  <c r="M142" i="174"/>
  <c r="L142" i="174"/>
  <c r="K142" i="174"/>
  <c r="J142" i="174"/>
  <c r="AJ141" i="174"/>
  <c r="AI141" i="174"/>
  <c r="AH141" i="174"/>
  <c r="AG141" i="174"/>
  <c r="AF141" i="174"/>
  <c r="AE141" i="174"/>
  <c r="AD141" i="174"/>
  <c r="AC141" i="174"/>
  <c r="AB141" i="174"/>
  <c r="AA141" i="174"/>
  <c r="Z141" i="174"/>
  <c r="Y141" i="174"/>
  <c r="AK141" i="174" s="1"/>
  <c r="U141" i="174"/>
  <c r="T141" i="174"/>
  <c r="S141" i="174"/>
  <c r="R141" i="174"/>
  <c r="Q141" i="174"/>
  <c r="P141" i="174"/>
  <c r="O141" i="174"/>
  <c r="N141" i="174"/>
  <c r="M141" i="174"/>
  <c r="L141" i="174"/>
  <c r="K141" i="174"/>
  <c r="J141" i="174"/>
  <c r="V141" i="174" s="1"/>
  <c r="U140" i="174"/>
  <c r="T140" i="174"/>
  <c r="S140" i="174"/>
  <c r="R140" i="174"/>
  <c r="Q140" i="174"/>
  <c r="P140" i="174"/>
  <c r="O140" i="174"/>
  <c r="N140" i="174"/>
  <c r="M140" i="174"/>
  <c r="L140" i="174"/>
  <c r="K140" i="174"/>
  <c r="J140" i="174"/>
  <c r="V140" i="174" s="1"/>
  <c r="U139" i="174"/>
  <c r="T139" i="174"/>
  <c r="S139" i="174"/>
  <c r="R139" i="174"/>
  <c r="Q139" i="174"/>
  <c r="P139" i="174"/>
  <c r="O139" i="174"/>
  <c r="N139" i="174"/>
  <c r="M139" i="174"/>
  <c r="L139" i="174"/>
  <c r="K139" i="174"/>
  <c r="J139" i="174"/>
  <c r="V139" i="174" s="1"/>
  <c r="U138" i="174"/>
  <c r="T138" i="174"/>
  <c r="S138" i="174"/>
  <c r="R138" i="174"/>
  <c r="Q138" i="174"/>
  <c r="P138" i="174"/>
  <c r="O138" i="174"/>
  <c r="N138" i="174"/>
  <c r="M138" i="174"/>
  <c r="L138" i="174"/>
  <c r="K138" i="174"/>
  <c r="J138" i="174"/>
  <c r="V138" i="174" s="1"/>
  <c r="AJ137" i="174"/>
  <c r="AI137" i="174"/>
  <c r="AH137" i="174"/>
  <c r="AG137" i="174"/>
  <c r="AF137" i="174"/>
  <c r="AE137" i="174"/>
  <c r="AD137" i="174"/>
  <c r="AC137" i="174"/>
  <c r="AB137" i="174"/>
  <c r="AA137" i="174"/>
  <c r="Z137" i="174"/>
  <c r="Y137" i="174"/>
  <c r="AK137" i="174" s="1"/>
  <c r="U137" i="174"/>
  <c r="T137" i="174"/>
  <c r="S137" i="174"/>
  <c r="R137" i="174"/>
  <c r="Q137" i="174"/>
  <c r="P137" i="174"/>
  <c r="O137" i="174"/>
  <c r="N137" i="174"/>
  <c r="M137" i="174"/>
  <c r="L137" i="174"/>
  <c r="K137" i="174"/>
  <c r="J137" i="174"/>
  <c r="V137" i="174" s="1"/>
  <c r="U136" i="174"/>
  <c r="T136" i="174"/>
  <c r="S136" i="174"/>
  <c r="R136" i="174"/>
  <c r="Q136" i="174"/>
  <c r="P136" i="174"/>
  <c r="O136" i="174"/>
  <c r="N136" i="174"/>
  <c r="M136" i="174"/>
  <c r="L136" i="174"/>
  <c r="K136" i="174"/>
  <c r="J136" i="174"/>
  <c r="V136" i="174" s="1"/>
  <c r="U135" i="174"/>
  <c r="T135" i="174"/>
  <c r="S135" i="174"/>
  <c r="R135" i="174"/>
  <c r="Q135" i="174"/>
  <c r="P135" i="174"/>
  <c r="O135" i="174"/>
  <c r="N135" i="174"/>
  <c r="M135" i="174"/>
  <c r="L135" i="174"/>
  <c r="K135" i="174"/>
  <c r="J135" i="174"/>
  <c r="V135" i="174" s="1"/>
  <c r="U134" i="174"/>
  <c r="T134" i="174"/>
  <c r="S134" i="174"/>
  <c r="R134" i="174"/>
  <c r="Q134" i="174"/>
  <c r="P134" i="174"/>
  <c r="O134" i="174"/>
  <c r="N134" i="174"/>
  <c r="M134" i="174"/>
  <c r="L134" i="174"/>
  <c r="K134" i="174"/>
  <c r="J134" i="174"/>
  <c r="V134" i="174" s="1"/>
  <c r="Y133" i="174"/>
  <c r="U133" i="174"/>
  <c r="T133" i="174"/>
  <c r="S133" i="174"/>
  <c r="R133" i="174"/>
  <c r="Q133" i="174"/>
  <c r="P133" i="174"/>
  <c r="O133" i="174"/>
  <c r="N133" i="174"/>
  <c r="M133" i="174"/>
  <c r="L133" i="174"/>
  <c r="K133" i="174"/>
  <c r="J133" i="174"/>
  <c r="V133" i="174" s="1"/>
  <c r="AJ132" i="174"/>
  <c r="AI132" i="174"/>
  <c r="AH132" i="174"/>
  <c r="AG132" i="174"/>
  <c r="AF132" i="174"/>
  <c r="AE132" i="174"/>
  <c r="AD132" i="174"/>
  <c r="AC132" i="174"/>
  <c r="AB132" i="174"/>
  <c r="AA132" i="174"/>
  <c r="Z132" i="174"/>
  <c r="Y132" i="174"/>
  <c r="AK132" i="174" s="1"/>
  <c r="U132" i="174"/>
  <c r="T132" i="174"/>
  <c r="S132" i="174"/>
  <c r="R132" i="174"/>
  <c r="Q132" i="174"/>
  <c r="P132" i="174"/>
  <c r="O132" i="174"/>
  <c r="N132" i="174"/>
  <c r="M132" i="174"/>
  <c r="L132" i="174"/>
  <c r="K132" i="174"/>
  <c r="J132" i="174"/>
  <c r="V132" i="174" s="1"/>
  <c r="AJ131" i="174"/>
  <c r="AI131" i="174"/>
  <c r="AH131" i="174"/>
  <c r="AG131" i="174"/>
  <c r="AF131" i="174"/>
  <c r="AE131" i="174"/>
  <c r="AD131" i="174"/>
  <c r="AC131" i="174"/>
  <c r="AB131" i="174"/>
  <c r="AA131" i="174"/>
  <c r="Z131" i="174"/>
  <c r="Y131" i="174"/>
  <c r="AK131" i="174" s="1"/>
  <c r="U131" i="174"/>
  <c r="T131" i="174"/>
  <c r="S131" i="174"/>
  <c r="R131" i="174"/>
  <c r="Q131" i="174"/>
  <c r="P131" i="174"/>
  <c r="O131" i="174"/>
  <c r="N131" i="174"/>
  <c r="M131" i="174"/>
  <c r="L131" i="174"/>
  <c r="K131" i="174"/>
  <c r="J131" i="174"/>
  <c r="V131" i="174" s="1"/>
  <c r="AJ130" i="174"/>
  <c r="AI130" i="174"/>
  <c r="AH130" i="174"/>
  <c r="AG130" i="174"/>
  <c r="AF130" i="174"/>
  <c r="AE130" i="174"/>
  <c r="AD130" i="174"/>
  <c r="AC130" i="174"/>
  <c r="AB130" i="174"/>
  <c r="AA130" i="174"/>
  <c r="Z130" i="174"/>
  <c r="Y130" i="174"/>
  <c r="AK130" i="174" s="1"/>
  <c r="U130" i="174"/>
  <c r="T130" i="174"/>
  <c r="S130" i="174"/>
  <c r="R130" i="174"/>
  <c r="Q130" i="174"/>
  <c r="P130" i="174"/>
  <c r="O130" i="174"/>
  <c r="N130" i="174"/>
  <c r="M130" i="174"/>
  <c r="L130" i="174"/>
  <c r="K130" i="174"/>
  <c r="J130" i="174"/>
  <c r="V130" i="174" s="1"/>
  <c r="Y129" i="174"/>
  <c r="U129" i="174"/>
  <c r="T129" i="174"/>
  <c r="S129" i="174"/>
  <c r="R129" i="174"/>
  <c r="Q129" i="174"/>
  <c r="P129" i="174"/>
  <c r="O129" i="174"/>
  <c r="N129" i="174"/>
  <c r="M129" i="174"/>
  <c r="L129" i="174"/>
  <c r="K129" i="174"/>
  <c r="J129" i="174"/>
  <c r="V129" i="174" s="1"/>
  <c r="AJ128" i="174"/>
  <c r="AI128" i="174"/>
  <c r="AH128" i="174"/>
  <c r="AG128" i="174"/>
  <c r="AF128" i="174"/>
  <c r="AE128" i="174"/>
  <c r="AD128" i="174"/>
  <c r="AC128" i="174"/>
  <c r="AB128" i="174"/>
  <c r="AA128" i="174"/>
  <c r="Z128" i="174"/>
  <c r="Y128" i="174"/>
  <c r="AK128" i="174" s="1"/>
  <c r="U128" i="174"/>
  <c r="T128" i="174"/>
  <c r="S128" i="174"/>
  <c r="R128" i="174"/>
  <c r="Q128" i="174"/>
  <c r="P128" i="174"/>
  <c r="O128" i="174"/>
  <c r="N128" i="174"/>
  <c r="M128" i="174"/>
  <c r="L128" i="174"/>
  <c r="K128" i="174"/>
  <c r="J128" i="174"/>
  <c r="V128" i="174" s="1"/>
  <c r="Y127" i="174"/>
  <c r="U127" i="174"/>
  <c r="T127" i="174"/>
  <c r="S127" i="174"/>
  <c r="R127" i="174"/>
  <c r="Q127" i="174"/>
  <c r="P127" i="174"/>
  <c r="O127" i="174"/>
  <c r="N127" i="174"/>
  <c r="M127" i="174"/>
  <c r="L127" i="174"/>
  <c r="K127" i="174"/>
  <c r="J127" i="174"/>
  <c r="V127" i="174" s="1"/>
  <c r="Y126" i="174"/>
  <c r="U126" i="174"/>
  <c r="T126" i="174"/>
  <c r="S126" i="174"/>
  <c r="R126" i="174"/>
  <c r="Q126" i="174"/>
  <c r="P126" i="174"/>
  <c r="O126" i="174"/>
  <c r="N126" i="174"/>
  <c r="M126" i="174"/>
  <c r="L126" i="174"/>
  <c r="K126" i="174"/>
  <c r="J126" i="174"/>
  <c r="V126" i="174" s="1"/>
  <c r="Y125" i="174"/>
  <c r="U125" i="174"/>
  <c r="T125" i="174"/>
  <c r="S125" i="174"/>
  <c r="R125" i="174"/>
  <c r="Q125" i="174"/>
  <c r="P125" i="174"/>
  <c r="O125" i="174"/>
  <c r="N125" i="174"/>
  <c r="M125" i="174"/>
  <c r="L125" i="174"/>
  <c r="K125" i="174"/>
  <c r="J125" i="174"/>
  <c r="V125" i="174" s="1"/>
  <c r="Y124" i="174"/>
  <c r="U124" i="174"/>
  <c r="T124" i="174"/>
  <c r="S124" i="174"/>
  <c r="R124" i="174"/>
  <c r="Q124" i="174"/>
  <c r="P124" i="174"/>
  <c r="O124" i="174"/>
  <c r="N124" i="174"/>
  <c r="M124" i="174"/>
  <c r="L124" i="174"/>
  <c r="K124" i="174"/>
  <c r="J124" i="174"/>
  <c r="V124" i="174" s="1"/>
  <c r="Y123" i="174"/>
  <c r="U123" i="174"/>
  <c r="T123" i="174"/>
  <c r="S123" i="174"/>
  <c r="R123" i="174"/>
  <c r="Q123" i="174"/>
  <c r="P123" i="174"/>
  <c r="O123" i="174"/>
  <c r="N123" i="174"/>
  <c r="M123" i="174"/>
  <c r="L123" i="174"/>
  <c r="K123" i="174"/>
  <c r="J123" i="174"/>
  <c r="V123" i="174" s="1"/>
  <c r="U122" i="174"/>
  <c r="T122" i="174"/>
  <c r="S122" i="174"/>
  <c r="R122" i="174"/>
  <c r="Q122" i="174"/>
  <c r="P122" i="174"/>
  <c r="O122" i="174"/>
  <c r="N122" i="174"/>
  <c r="M122" i="174"/>
  <c r="L122" i="174"/>
  <c r="K122" i="174"/>
  <c r="J122" i="174"/>
  <c r="V122" i="174" s="1"/>
  <c r="U121" i="174"/>
  <c r="T121" i="174"/>
  <c r="S121" i="174"/>
  <c r="R121" i="174"/>
  <c r="Q121" i="174"/>
  <c r="P121" i="174"/>
  <c r="O121" i="174"/>
  <c r="N121" i="174"/>
  <c r="M121" i="174"/>
  <c r="L121" i="174"/>
  <c r="K121" i="174"/>
  <c r="J121" i="174"/>
  <c r="V121" i="174" s="1"/>
  <c r="U120" i="174"/>
  <c r="T120" i="174"/>
  <c r="S120" i="174"/>
  <c r="R120" i="174"/>
  <c r="Q120" i="174"/>
  <c r="P120" i="174"/>
  <c r="O120" i="174"/>
  <c r="N120" i="174"/>
  <c r="M120" i="174"/>
  <c r="L120" i="174"/>
  <c r="K120" i="174"/>
  <c r="J120" i="174"/>
  <c r="V120" i="174" s="1"/>
  <c r="U119" i="174"/>
  <c r="T119" i="174"/>
  <c r="S119" i="174"/>
  <c r="R119" i="174"/>
  <c r="Q119" i="174"/>
  <c r="P119" i="174"/>
  <c r="O119" i="174"/>
  <c r="N119" i="174"/>
  <c r="M119" i="174"/>
  <c r="L119" i="174"/>
  <c r="K119" i="174"/>
  <c r="J119" i="174"/>
  <c r="V119" i="174" s="1"/>
  <c r="U118" i="174"/>
  <c r="T118" i="174"/>
  <c r="S118" i="174"/>
  <c r="R118" i="174"/>
  <c r="Q118" i="174"/>
  <c r="P118" i="174"/>
  <c r="O118" i="174"/>
  <c r="N118" i="174"/>
  <c r="M118" i="174"/>
  <c r="L118" i="174"/>
  <c r="K118" i="174"/>
  <c r="J118" i="174"/>
  <c r="U117" i="174"/>
  <c r="T117" i="174"/>
  <c r="S117" i="174"/>
  <c r="R117" i="174"/>
  <c r="Q117" i="174"/>
  <c r="P117" i="174"/>
  <c r="O117" i="174"/>
  <c r="N117" i="174"/>
  <c r="M117" i="174"/>
  <c r="L117" i="174"/>
  <c r="K117" i="174"/>
  <c r="J117" i="174"/>
  <c r="V117" i="174" s="1"/>
  <c r="U116" i="174"/>
  <c r="T116" i="174"/>
  <c r="S116" i="174"/>
  <c r="R116" i="174"/>
  <c r="Q116" i="174"/>
  <c r="P116" i="174"/>
  <c r="O116" i="174"/>
  <c r="N116" i="174"/>
  <c r="M116" i="174"/>
  <c r="L116" i="174"/>
  <c r="K116" i="174"/>
  <c r="J116" i="174"/>
  <c r="V116" i="174" s="1"/>
  <c r="U115" i="174"/>
  <c r="T115" i="174"/>
  <c r="S115" i="174"/>
  <c r="R115" i="174"/>
  <c r="Q115" i="174"/>
  <c r="P115" i="174"/>
  <c r="O115" i="174"/>
  <c r="N115" i="174"/>
  <c r="M115" i="174"/>
  <c r="L115" i="174"/>
  <c r="K115" i="174"/>
  <c r="J115" i="174"/>
  <c r="V115" i="174" s="1"/>
  <c r="U114" i="174"/>
  <c r="T114" i="174"/>
  <c r="S114" i="174"/>
  <c r="R114" i="174"/>
  <c r="Q114" i="174"/>
  <c r="P114" i="174"/>
  <c r="O114" i="174"/>
  <c r="N114" i="174"/>
  <c r="M114" i="174"/>
  <c r="L114" i="174"/>
  <c r="K114" i="174"/>
  <c r="J114" i="174"/>
  <c r="V114" i="174" s="1"/>
  <c r="U113" i="174"/>
  <c r="T113" i="174"/>
  <c r="S113" i="174"/>
  <c r="R113" i="174"/>
  <c r="Q113" i="174"/>
  <c r="P113" i="174"/>
  <c r="O113" i="174"/>
  <c r="N113" i="174"/>
  <c r="M113" i="174"/>
  <c r="L113" i="174"/>
  <c r="K113" i="174"/>
  <c r="J113" i="174"/>
  <c r="V113" i="174" s="1"/>
  <c r="V112" i="174"/>
  <c r="U112" i="174"/>
  <c r="T112" i="174"/>
  <c r="S112" i="174"/>
  <c r="R112" i="174"/>
  <c r="Q112" i="174"/>
  <c r="P112" i="174"/>
  <c r="O112" i="174"/>
  <c r="N112" i="174"/>
  <c r="M112" i="174"/>
  <c r="L112" i="174"/>
  <c r="K112" i="174"/>
  <c r="J112" i="174"/>
  <c r="R111" i="174"/>
  <c r="Q111" i="174"/>
  <c r="P111" i="174"/>
  <c r="O111" i="174"/>
  <c r="N111" i="174"/>
  <c r="M111" i="174"/>
  <c r="L111" i="174"/>
  <c r="K111" i="174"/>
  <c r="J111" i="174"/>
  <c r="R110" i="174"/>
  <c r="Q110" i="174"/>
  <c r="P110" i="174"/>
  <c r="O110" i="174"/>
  <c r="N110" i="174"/>
  <c r="M110" i="174"/>
  <c r="L110" i="174"/>
  <c r="K110" i="174"/>
  <c r="J110" i="174"/>
  <c r="R109" i="174"/>
  <c r="Q109" i="174"/>
  <c r="P109" i="174"/>
  <c r="O109" i="174"/>
  <c r="N109" i="174"/>
  <c r="M109" i="174"/>
  <c r="L109" i="174"/>
  <c r="K109" i="174"/>
  <c r="J109" i="174"/>
  <c r="R108" i="174"/>
  <c r="Q108" i="174"/>
  <c r="P108" i="174"/>
  <c r="O108" i="174"/>
  <c r="N108" i="174"/>
  <c r="M108" i="174"/>
  <c r="L108" i="174"/>
  <c r="K108" i="174"/>
  <c r="J108" i="174"/>
  <c r="R107" i="174"/>
  <c r="Q107" i="174"/>
  <c r="P107" i="174"/>
  <c r="O107" i="174"/>
  <c r="N107" i="174"/>
  <c r="M107" i="174"/>
  <c r="L107" i="174"/>
  <c r="K107" i="174"/>
  <c r="J107" i="174"/>
  <c r="R106" i="174"/>
  <c r="Q106" i="174"/>
  <c r="P106" i="174"/>
  <c r="O106" i="174"/>
  <c r="N106" i="174"/>
  <c r="M106" i="174"/>
  <c r="L106" i="174"/>
  <c r="K106" i="174"/>
  <c r="J106" i="174"/>
  <c r="R105" i="174"/>
  <c r="Q105" i="174"/>
  <c r="P105" i="174"/>
  <c r="O105" i="174"/>
  <c r="N105" i="174"/>
  <c r="M105" i="174"/>
  <c r="L105" i="174"/>
  <c r="K105" i="174"/>
  <c r="J105" i="174"/>
  <c r="R104" i="174"/>
  <c r="Q104" i="174"/>
  <c r="P104" i="174"/>
  <c r="O104" i="174"/>
  <c r="N104" i="174"/>
  <c r="M104" i="174"/>
  <c r="L104" i="174"/>
  <c r="K104" i="174"/>
  <c r="J104" i="174"/>
  <c r="R103" i="174"/>
  <c r="Q103" i="174"/>
  <c r="P103" i="174"/>
  <c r="O103" i="174"/>
  <c r="N103" i="174"/>
  <c r="M103" i="174"/>
  <c r="L103" i="174"/>
  <c r="K103" i="174"/>
  <c r="J103" i="174"/>
  <c r="R102" i="174"/>
  <c r="Q102" i="174"/>
  <c r="P102" i="174"/>
  <c r="O102" i="174"/>
  <c r="N102" i="174"/>
  <c r="M102" i="174"/>
  <c r="L102" i="174"/>
  <c r="K102" i="174"/>
  <c r="J102" i="174"/>
  <c r="R101" i="174"/>
  <c r="Q101" i="174"/>
  <c r="P101" i="174"/>
  <c r="O101" i="174"/>
  <c r="N101" i="174"/>
  <c r="M101" i="174"/>
  <c r="L101" i="174"/>
  <c r="K101" i="174"/>
  <c r="J101" i="174"/>
  <c r="Y99" i="174"/>
  <c r="U99" i="174"/>
  <c r="T99" i="174"/>
  <c r="S99" i="174"/>
  <c r="R99" i="174"/>
  <c r="Q99" i="174"/>
  <c r="P99" i="174"/>
  <c r="O99" i="174"/>
  <c r="N99" i="174"/>
  <c r="M99" i="174"/>
  <c r="L99" i="174"/>
  <c r="K99" i="174"/>
  <c r="J99" i="174"/>
  <c r="V99" i="174" s="1"/>
  <c r="AJ98" i="174"/>
  <c r="AI98" i="174"/>
  <c r="AH98" i="174"/>
  <c r="AG98" i="174"/>
  <c r="AF98" i="174"/>
  <c r="AE98" i="174"/>
  <c r="AD98" i="174"/>
  <c r="AC98" i="174"/>
  <c r="AB98" i="174"/>
  <c r="AA98" i="174"/>
  <c r="Z98" i="174"/>
  <c r="Y98" i="174"/>
  <c r="AK98" i="174" s="1"/>
  <c r="U98" i="174"/>
  <c r="T98" i="174"/>
  <c r="S98" i="174"/>
  <c r="R98" i="174"/>
  <c r="Q98" i="174"/>
  <c r="P98" i="174"/>
  <c r="O98" i="174"/>
  <c r="N98" i="174"/>
  <c r="M98" i="174"/>
  <c r="L98" i="174"/>
  <c r="K98" i="174"/>
  <c r="J98" i="174"/>
  <c r="V98" i="174" s="1"/>
  <c r="Y97" i="174"/>
  <c r="U97" i="174"/>
  <c r="T97" i="174"/>
  <c r="S97" i="174"/>
  <c r="R97" i="174"/>
  <c r="Q97" i="174"/>
  <c r="P97" i="174"/>
  <c r="O97" i="174"/>
  <c r="N97" i="174"/>
  <c r="M97" i="174"/>
  <c r="L97" i="174"/>
  <c r="K97" i="174"/>
  <c r="J97" i="174"/>
  <c r="V97" i="174" s="1"/>
  <c r="Y96" i="174"/>
  <c r="U96" i="174"/>
  <c r="T96" i="174"/>
  <c r="S96" i="174"/>
  <c r="R96" i="174"/>
  <c r="Q96" i="174"/>
  <c r="P96" i="174"/>
  <c r="O96" i="174"/>
  <c r="N96" i="174"/>
  <c r="M96" i="174"/>
  <c r="L96" i="174"/>
  <c r="K96" i="174"/>
  <c r="J96" i="174"/>
  <c r="V96" i="174" s="1"/>
  <c r="U95" i="174"/>
  <c r="T95" i="174"/>
  <c r="S95" i="174"/>
  <c r="R95" i="174"/>
  <c r="Q95" i="174"/>
  <c r="P95" i="174"/>
  <c r="O95" i="174"/>
  <c r="N95" i="174"/>
  <c r="M95" i="174"/>
  <c r="L95" i="174"/>
  <c r="K95" i="174"/>
  <c r="J95" i="174"/>
  <c r="V95" i="174" s="1"/>
  <c r="Y94" i="174"/>
  <c r="U94" i="174"/>
  <c r="T94" i="174"/>
  <c r="S94" i="174"/>
  <c r="R94" i="174"/>
  <c r="Q94" i="174"/>
  <c r="P94" i="174"/>
  <c r="O94" i="174"/>
  <c r="N94" i="174"/>
  <c r="M94" i="174"/>
  <c r="L94" i="174"/>
  <c r="K94" i="174"/>
  <c r="J94" i="174"/>
  <c r="V94" i="174" s="1"/>
  <c r="AJ93" i="174"/>
  <c r="AI93" i="174"/>
  <c r="AH93" i="174"/>
  <c r="AG93" i="174"/>
  <c r="AF93" i="174"/>
  <c r="AE93" i="174"/>
  <c r="AD93" i="174"/>
  <c r="AC93" i="174"/>
  <c r="AB93" i="174"/>
  <c r="AA93" i="174"/>
  <c r="Z93" i="174"/>
  <c r="Y93" i="174"/>
  <c r="AK93" i="174" s="1"/>
  <c r="U93" i="174"/>
  <c r="T93" i="174"/>
  <c r="S93" i="174"/>
  <c r="R93" i="174"/>
  <c r="Q93" i="174"/>
  <c r="P93" i="174"/>
  <c r="O93" i="174"/>
  <c r="N93" i="174"/>
  <c r="M93" i="174"/>
  <c r="L93" i="174"/>
  <c r="K93" i="174"/>
  <c r="J93" i="174"/>
  <c r="V93" i="174" s="1"/>
  <c r="AJ92" i="174"/>
  <c r="AI92" i="174"/>
  <c r="AH92" i="174"/>
  <c r="AG92" i="174"/>
  <c r="AF92" i="174"/>
  <c r="AE92" i="174"/>
  <c r="AD92" i="174"/>
  <c r="AC92" i="174"/>
  <c r="AB92" i="174"/>
  <c r="AA92" i="174"/>
  <c r="Z92" i="174"/>
  <c r="Y92" i="174"/>
  <c r="AK92" i="174" s="1"/>
  <c r="U92" i="174"/>
  <c r="T92" i="174"/>
  <c r="S92" i="174"/>
  <c r="R92" i="174"/>
  <c r="Q92" i="174"/>
  <c r="P92" i="174"/>
  <c r="O92" i="174"/>
  <c r="N92" i="174"/>
  <c r="M92" i="174"/>
  <c r="L92" i="174"/>
  <c r="K92" i="174"/>
  <c r="J92" i="174"/>
  <c r="V92" i="174" s="1"/>
  <c r="Y90" i="174"/>
  <c r="U90" i="174"/>
  <c r="T90" i="174"/>
  <c r="S90" i="174"/>
  <c r="R90" i="174"/>
  <c r="Q90" i="174"/>
  <c r="P90" i="174"/>
  <c r="O90" i="174"/>
  <c r="N90" i="174"/>
  <c r="M90" i="174"/>
  <c r="L90" i="174"/>
  <c r="K90" i="174"/>
  <c r="J90" i="174"/>
  <c r="V90" i="174" s="1"/>
  <c r="AJ89" i="174"/>
  <c r="AI89" i="174"/>
  <c r="AH89" i="174"/>
  <c r="AG89" i="174"/>
  <c r="AF89" i="174"/>
  <c r="AE89" i="174"/>
  <c r="AD89" i="174"/>
  <c r="AC89" i="174"/>
  <c r="AB89" i="174"/>
  <c r="AA89" i="174"/>
  <c r="Z89" i="174"/>
  <c r="Y89" i="174"/>
  <c r="AK89" i="174" s="1"/>
  <c r="U89" i="174"/>
  <c r="T89" i="174"/>
  <c r="S89" i="174"/>
  <c r="R89" i="174"/>
  <c r="Q89" i="174"/>
  <c r="P89" i="174"/>
  <c r="O89" i="174"/>
  <c r="N89" i="174"/>
  <c r="M89" i="174"/>
  <c r="L89" i="174"/>
  <c r="K89" i="174"/>
  <c r="J89" i="174"/>
  <c r="V89" i="174" s="1"/>
  <c r="Y88" i="174"/>
  <c r="U88" i="174"/>
  <c r="T88" i="174"/>
  <c r="S88" i="174"/>
  <c r="R88" i="174"/>
  <c r="Q88" i="174"/>
  <c r="P88" i="174"/>
  <c r="O88" i="174"/>
  <c r="N88" i="174"/>
  <c r="M88" i="174"/>
  <c r="L88" i="174"/>
  <c r="K88" i="174"/>
  <c r="J88" i="174"/>
  <c r="V88" i="174" s="1"/>
  <c r="Y87" i="174"/>
  <c r="U87" i="174"/>
  <c r="T87" i="174"/>
  <c r="S87" i="174"/>
  <c r="R87" i="174"/>
  <c r="Q87" i="174"/>
  <c r="P87" i="174"/>
  <c r="O87" i="174"/>
  <c r="N87" i="174"/>
  <c r="M87" i="174"/>
  <c r="L87" i="174"/>
  <c r="K87" i="174"/>
  <c r="J87" i="174"/>
  <c r="V87" i="174" s="1"/>
  <c r="U86" i="174"/>
  <c r="T86" i="174"/>
  <c r="S86" i="174"/>
  <c r="R86" i="174"/>
  <c r="Q86" i="174"/>
  <c r="P86" i="174"/>
  <c r="O86" i="174"/>
  <c r="N86" i="174"/>
  <c r="M86" i="174"/>
  <c r="L86" i="174"/>
  <c r="K86" i="174"/>
  <c r="J86" i="174"/>
  <c r="V86" i="174" s="1"/>
  <c r="Y85" i="174"/>
  <c r="U85" i="174"/>
  <c r="T85" i="174"/>
  <c r="S85" i="174"/>
  <c r="R85" i="174"/>
  <c r="Q85" i="174"/>
  <c r="P85" i="174"/>
  <c r="O85" i="174"/>
  <c r="N85" i="174"/>
  <c r="M85" i="174"/>
  <c r="L85" i="174"/>
  <c r="K85" i="174"/>
  <c r="J85" i="174"/>
  <c r="AJ84" i="174"/>
  <c r="AI84" i="174"/>
  <c r="AH84" i="174"/>
  <c r="AG84" i="174"/>
  <c r="AF84" i="174"/>
  <c r="AE84" i="174"/>
  <c r="AD84" i="174"/>
  <c r="AC84" i="174"/>
  <c r="AB84" i="174"/>
  <c r="AA84" i="174"/>
  <c r="Z84" i="174"/>
  <c r="Y84" i="174"/>
  <c r="AK84" i="174" s="1"/>
  <c r="U84" i="174"/>
  <c r="T84" i="174"/>
  <c r="S84" i="174"/>
  <c r="R84" i="174"/>
  <c r="Q84" i="174"/>
  <c r="P84" i="174"/>
  <c r="O84" i="174"/>
  <c r="N84" i="174"/>
  <c r="M84" i="174"/>
  <c r="L84" i="174"/>
  <c r="K84" i="174"/>
  <c r="J84" i="174"/>
  <c r="AJ83" i="174"/>
  <c r="AI83" i="174"/>
  <c r="AH83" i="174"/>
  <c r="AG83" i="174"/>
  <c r="AF83" i="174"/>
  <c r="AE83" i="174"/>
  <c r="AD83" i="174"/>
  <c r="AC83" i="174"/>
  <c r="AB83" i="174"/>
  <c r="AA83" i="174"/>
  <c r="Z83" i="174"/>
  <c r="Y83" i="174"/>
  <c r="AK83" i="174" s="1"/>
  <c r="U83" i="174"/>
  <c r="T83" i="174"/>
  <c r="S83" i="174"/>
  <c r="R83" i="174"/>
  <c r="Q83" i="174"/>
  <c r="P83" i="174"/>
  <c r="O83" i="174"/>
  <c r="N83" i="174"/>
  <c r="M83" i="174"/>
  <c r="L83" i="174"/>
  <c r="K83" i="174"/>
  <c r="J83" i="174"/>
  <c r="AJ82" i="174"/>
  <c r="AI82" i="174"/>
  <c r="AH82" i="174"/>
  <c r="AG82" i="174"/>
  <c r="AF82" i="174"/>
  <c r="AE82" i="174"/>
  <c r="AD82" i="174"/>
  <c r="AC82" i="174"/>
  <c r="AB82" i="174"/>
  <c r="AA82" i="174"/>
  <c r="Z82" i="174"/>
  <c r="Y82" i="174"/>
  <c r="AK82" i="174" s="1"/>
  <c r="U82" i="174"/>
  <c r="T82" i="174"/>
  <c r="S82" i="174"/>
  <c r="R82" i="174"/>
  <c r="Q82" i="174"/>
  <c r="P82" i="174"/>
  <c r="O82" i="174"/>
  <c r="N82" i="174"/>
  <c r="M82" i="174"/>
  <c r="L82" i="174"/>
  <c r="K82" i="174"/>
  <c r="J82" i="174"/>
  <c r="U81" i="174"/>
  <c r="T81" i="174"/>
  <c r="S81" i="174"/>
  <c r="R81" i="174"/>
  <c r="Q81" i="174"/>
  <c r="P81" i="174"/>
  <c r="O81" i="174"/>
  <c r="N81" i="174"/>
  <c r="M81" i="174"/>
  <c r="L81" i="174"/>
  <c r="K81" i="174"/>
  <c r="J81" i="174"/>
  <c r="U80" i="174"/>
  <c r="T80" i="174"/>
  <c r="S80" i="174"/>
  <c r="R80" i="174"/>
  <c r="Q80" i="174"/>
  <c r="P80" i="174"/>
  <c r="O80" i="174"/>
  <c r="N80" i="174"/>
  <c r="M80" i="174"/>
  <c r="L80" i="174"/>
  <c r="K80" i="174"/>
  <c r="J80" i="174"/>
  <c r="Y79" i="174"/>
  <c r="U79" i="174"/>
  <c r="T79" i="174"/>
  <c r="S79" i="174"/>
  <c r="R79" i="174"/>
  <c r="Q79" i="174"/>
  <c r="P79" i="174"/>
  <c r="O79" i="174"/>
  <c r="N79" i="174"/>
  <c r="M79" i="174"/>
  <c r="L79" i="174"/>
  <c r="K79" i="174"/>
  <c r="J79" i="174"/>
  <c r="U78" i="174"/>
  <c r="T78" i="174"/>
  <c r="S78" i="174"/>
  <c r="R78" i="174"/>
  <c r="Q78" i="174"/>
  <c r="P78" i="174"/>
  <c r="O78" i="174"/>
  <c r="N78" i="174"/>
  <c r="M78" i="174"/>
  <c r="L78" i="174"/>
  <c r="K78" i="174"/>
  <c r="J78" i="174"/>
  <c r="U77" i="174"/>
  <c r="T77" i="174"/>
  <c r="S77" i="174"/>
  <c r="R77" i="174"/>
  <c r="Q77" i="174"/>
  <c r="P77" i="174"/>
  <c r="O77" i="174"/>
  <c r="N77" i="174"/>
  <c r="M77" i="174"/>
  <c r="L77" i="174"/>
  <c r="K77" i="174"/>
  <c r="J77" i="174"/>
  <c r="Y76" i="174"/>
  <c r="R76" i="174"/>
  <c r="Q76" i="174"/>
  <c r="P76" i="174"/>
  <c r="O76" i="174"/>
  <c r="N76" i="174"/>
  <c r="M76" i="174"/>
  <c r="L76" i="174"/>
  <c r="K76" i="174"/>
  <c r="J76" i="174"/>
  <c r="Y75" i="174"/>
  <c r="R75" i="174"/>
  <c r="Q75" i="174"/>
  <c r="P75" i="174"/>
  <c r="O75" i="174"/>
  <c r="N75" i="174"/>
  <c r="M75" i="174"/>
  <c r="L75" i="174"/>
  <c r="K75" i="174"/>
  <c r="J75" i="174"/>
  <c r="AJ74" i="174"/>
  <c r="AI74" i="174"/>
  <c r="AH74" i="174"/>
  <c r="AG74" i="174"/>
  <c r="AF74" i="174"/>
  <c r="AE74" i="174"/>
  <c r="AD74" i="174"/>
  <c r="AC74" i="174"/>
  <c r="AB74" i="174"/>
  <c r="AA74" i="174"/>
  <c r="Z74" i="174"/>
  <c r="Y74" i="174"/>
  <c r="AK74" i="174" s="1"/>
  <c r="U74" i="174"/>
  <c r="T74" i="174"/>
  <c r="S74" i="174"/>
  <c r="R74" i="174"/>
  <c r="Q74" i="174"/>
  <c r="P74" i="174"/>
  <c r="O74" i="174"/>
  <c r="N74" i="174"/>
  <c r="M74" i="174"/>
  <c r="L74" i="174"/>
  <c r="K74" i="174"/>
  <c r="J74" i="174"/>
  <c r="V74" i="174" s="1"/>
  <c r="U73" i="174"/>
  <c r="T73" i="174"/>
  <c r="S73" i="174"/>
  <c r="R73" i="174"/>
  <c r="Q73" i="174"/>
  <c r="P73" i="174"/>
  <c r="O73" i="174"/>
  <c r="N73" i="174"/>
  <c r="M73" i="174"/>
  <c r="L73" i="174"/>
  <c r="K73" i="174"/>
  <c r="J73" i="174"/>
  <c r="V73" i="174" s="1"/>
  <c r="AJ72" i="174"/>
  <c r="AI72" i="174"/>
  <c r="AH72" i="174"/>
  <c r="AG72" i="174"/>
  <c r="AF72" i="174"/>
  <c r="AE72" i="174"/>
  <c r="AD72" i="174"/>
  <c r="AC72" i="174"/>
  <c r="AB72" i="174"/>
  <c r="AA72" i="174"/>
  <c r="Z72" i="174"/>
  <c r="Y72" i="174"/>
  <c r="AK72" i="174" s="1"/>
  <c r="U72" i="174"/>
  <c r="T72" i="174"/>
  <c r="S72" i="174"/>
  <c r="R72" i="174"/>
  <c r="Q72" i="174"/>
  <c r="P72" i="174"/>
  <c r="O72" i="174"/>
  <c r="N72" i="174"/>
  <c r="M72" i="174"/>
  <c r="L72" i="174"/>
  <c r="K72" i="174"/>
  <c r="J72" i="174"/>
  <c r="V72" i="174" s="1"/>
  <c r="R71" i="174"/>
  <c r="Q71" i="174"/>
  <c r="P71" i="174"/>
  <c r="O71" i="174"/>
  <c r="N71" i="174"/>
  <c r="M71" i="174"/>
  <c r="L71" i="174"/>
  <c r="K71" i="174"/>
  <c r="J71" i="174"/>
  <c r="AJ70" i="174"/>
  <c r="AI70" i="174"/>
  <c r="AH70" i="174"/>
  <c r="AG70" i="174"/>
  <c r="AF70" i="174"/>
  <c r="AE70" i="174"/>
  <c r="AD70" i="174"/>
  <c r="AC70" i="174"/>
  <c r="AB70" i="174"/>
  <c r="AA70" i="174"/>
  <c r="Z70" i="174"/>
  <c r="Y70" i="174"/>
  <c r="AK70" i="174" s="1"/>
  <c r="U70" i="174"/>
  <c r="T70" i="174"/>
  <c r="S70" i="174"/>
  <c r="R70" i="174"/>
  <c r="Q70" i="174"/>
  <c r="P70" i="174"/>
  <c r="O70" i="174"/>
  <c r="N70" i="174"/>
  <c r="M70" i="174"/>
  <c r="L70" i="174"/>
  <c r="K70" i="174"/>
  <c r="J70" i="174"/>
  <c r="V70" i="174" s="1"/>
  <c r="Y69" i="174"/>
  <c r="R69" i="174"/>
  <c r="Q69" i="174"/>
  <c r="P69" i="174"/>
  <c r="O69" i="174"/>
  <c r="N69" i="174"/>
  <c r="M69" i="174"/>
  <c r="L69" i="174"/>
  <c r="K69" i="174"/>
  <c r="J69" i="174"/>
  <c r="U68" i="174"/>
  <c r="T68" i="174"/>
  <c r="S68" i="174"/>
  <c r="R68" i="174"/>
  <c r="Q68" i="174"/>
  <c r="P68" i="174"/>
  <c r="O68" i="174"/>
  <c r="N68" i="174"/>
  <c r="M68" i="174"/>
  <c r="L68" i="174"/>
  <c r="K68" i="174"/>
  <c r="J68" i="174"/>
  <c r="V68" i="174" s="1"/>
  <c r="U67" i="174"/>
  <c r="T67" i="174"/>
  <c r="S67" i="174"/>
  <c r="R67" i="174"/>
  <c r="Q67" i="174"/>
  <c r="P67" i="174"/>
  <c r="O67" i="174"/>
  <c r="N67" i="174"/>
  <c r="M67" i="174"/>
  <c r="L67" i="174"/>
  <c r="K67" i="174"/>
  <c r="J67" i="174"/>
  <c r="V67" i="174" s="1"/>
  <c r="Y66" i="174"/>
  <c r="R66" i="174"/>
  <c r="Q66" i="174"/>
  <c r="P66" i="174"/>
  <c r="O66" i="174"/>
  <c r="N66" i="174"/>
  <c r="M66" i="174"/>
  <c r="L66" i="174"/>
  <c r="K66" i="174"/>
  <c r="J66" i="174"/>
  <c r="U65" i="174"/>
  <c r="T65" i="174"/>
  <c r="S65" i="174"/>
  <c r="R65" i="174"/>
  <c r="Q65" i="174"/>
  <c r="P65" i="174"/>
  <c r="O65" i="174"/>
  <c r="N65" i="174"/>
  <c r="M65" i="174"/>
  <c r="L65" i="174"/>
  <c r="K65" i="174"/>
  <c r="J65" i="174"/>
  <c r="V65" i="174" s="1"/>
  <c r="AJ64" i="174"/>
  <c r="AI64" i="174"/>
  <c r="AH64" i="174"/>
  <c r="AG64" i="174"/>
  <c r="AF64" i="174"/>
  <c r="AE64" i="174"/>
  <c r="AD64" i="174"/>
  <c r="AC64" i="174"/>
  <c r="AB64" i="174"/>
  <c r="AA64" i="174"/>
  <c r="Z64" i="174"/>
  <c r="Y64" i="174"/>
  <c r="AK64" i="174" s="1"/>
  <c r="U64" i="174"/>
  <c r="T64" i="174"/>
  <c r="S64" i="174"/>
  <c r="R64" i="174"/>
  <c r="Q64" i="174"/>
  <c r="P64" i="174"/>
  <c r="O64" i="174"/>
  <c r="N64" i="174"/>
  <c r="M64" i="174"/>
  <c r="L64" i="174"/>
  <c r="K64" i="174"/>
  <c r="J64" i="174"/>
  <c r="V64" i="174" s="1"/>
  <c r="Y63" i="174"/>
  <c r="R63" i="174"/>
  <c r="Q63" i="174"/>
  <c r="P63" i="174"/>
  <c r="O63" i="174"/>
  <c r="N63" i="174"/>
  <c r="M63" i="174"/>
  <c r="L63" i="174"/>
  <c r="K63" i="174"/>
  <c r="J63" i="174"/>
  <c r="AJ62" i="174"/>
  <c r="AI62" i="174"/>
  <c r="AH62" i="174"/>
  <c r="AG62" i="174"/>
  <c r="AF62" i="174"/>
  <c r="AE62" i="174"/>
  <c r="AD62" i="174"/>
  <c r="AC62" i="174"/>
  <c r="AB62" i="174"/>
  <c r="AA62" i="174"/>
  <c r="Z62" i="174"/>
  <c r="Y62" i="174"/>
  <c r="AK62" i="174" s="1"/>
  <c r="U62" i="174"/>
  <c r="T62" i="174"/>
  <c r="S62" i="174"/>
  <c r="R62" i="174"/>
  <c r="Q62" i="174"/>
  <c r="P62" i="174"/>
  <c r="O62" i="174"/>
  <c r="N62" i="174"/>
  <c r="M62" i="174"/>
  <c r="L62" i="174"/>
  <c r="K62" i="174"/>
  <c r="J62" i="174"/>
  <c r="V62" i="174" s="1"/>
  <c r="AJ61" i="174"/>
  <c r="AI61" i="174"/>
  <c r="AH61" i="174"/>
  <c r="AG61" i="174"/>
  <c r="AF61" i="174"/>
  <c r="AE61" i="174"/>
  <c r="AD61" i="174"/>
  <c r="AC61" i="174"/>
  <c r="AB61" i="174"/>
  <c r="AA61" i="174"/>
  <c r="Z61" i="174"/>
  <c r="Y61" i="174"/>
  <c r="AK61" i="174" s="1"/>
  <c r="U61" i="174"/>
  <c r="T61" i="174"/>
  <c r="S61" i="174"/>
  <c r="R61" i="174"/>
  <c r="Q61" i="174"/>
  <c r="P61" i="174"/>
  <c r="O61" i="174"/>
  <c r="N61" i="174"/>
  <c r="M61" i="174"/>
  <c r="L61" i="174"/>
  <c r="K61" i="174"/>
  <c r="J61" i="174"/>
  <c r="V61" i="174" s="1"/>
  <c r="AJ60" i="174"/>
  <c r="AI60" i="174"/>
  <c r="AH60" i="174"/>
  <c r="AG60" i="174"/>
  <c r="AF60" i="174"/>
  <c r="AE60" i="174"/>
  <c r="AD60" i="174"/>
  <c r="AC60" i="174"/>
  <c r="AB60" i="174"/>
  <c r="AA60" i="174"/>
  <c r="Z60" i="174"/>
  <c r="Y60" i="174"/>
  <c r="AK60" i="174" s="1"/>
  <c r="U60" i="174"/>
  <c r="T60" i="174"/>
  <c r="S60" i="174"/>
  <c r="R60" i="174"/>
  <c r="Q60" i="174"/>
  <c r="P60" i="174"/>
  <c r="O60" i="174"/>
  <c r="N60" i="174"/>
  <c r="M60" i="174"/>
  <c r="L60" i="174"/>
  <c r="K60" i="174"/>
  <c r="J60" i="174"/>
  <c r="V60" i="174" s="1"/>
  <c r="U59" i="174"/>
  <c r="T59" i="174"/>
  <c r="S59" i="174"/>
  <c r="R59" i="174"/>
  <c r="Q59" i="174"/>
  <c r="P59" i="174"/>
  <c r="O59" i="174"/>
  <c r="N59" i="174"/>
  <c r="M59" i="174"/>
  <c r="L59" i="174"/>
  <c r="K59" i="174"/>
  <c r="J59" i="174"/>
  <c r="V59" i="174" s="1"/>
  <c r="U58" i="174"/>
  <c r="T58" i="174"/>
  <c r="S58" i="174"/>
  <c r="R58" i="174"/>
  <c r="Q58" i="174"/>
  <c r="P58" i="174"/>
  <c r="O58" i="174"/>
  <c r="N58" i="174"/>
  <c r="M58" i="174"/>
  <c r="L58" i="174"/>
  <c r="K58" i="174"/>
  <c r="J58" i="174"/>
  <c r="V58" i="174" s="1"/>
  <c r="U57" i="174"/>
  <c r="T57" i="174"/>
  <c r="S57" i="174"/>
  <c r="R57" i="174"/>
  <c r="Q57" i="174"/>
  <c r="P57" i="174"/>
  <c r="O57" i="174"/>
  <c r="N57" i="174"/>
  <c r="M57" i="174"/>
  <c r="L57" i="174"/>
  <c r="K57" i="174"/>
  <c r="J57" i="174"/>
  <c r="V57" i="174" s="1"/>
  <c r="R56" i="174"/>
  <c r="Q56" i="174"/>
  <c r="P56" i="174"/>
  <c r="O56" i="174"/>
  <c r="N56" i="174"/>
  <c r="M56" i="174"/>
  <c r="L56" i="174"/>
  <c r="K56" i="174"/>
  <c r="J56" i="174"/>
  <c r="Y55" i="174"/>
  <c r="U55" i="174"/>
  <c r="T55" i="174"/>
  <c r="S55" i="174"/>
  <c r="R55" i="174"/>
  <c r="Q55" i="174"/>
  <c r="P55" i="174"/>
  <c r="O55" i="174"/>
  <c r="N55" i="174"/>
  <c r="M55" i="174"/>
  <c r="L55" i="174"/>
  <c r="K55" i="174"/>
  <c r="J55" i="174"/>
  <c r="V55" i="174" s="1"/>
  <c r="R54" i="174"/>
  <c r="Q54" i="174"/>
  <c r="P54" i="174"/>
  <c r="O54" i="174"/>
  <c r="N54" i="174"/>
  <c r="M54" i="174"/>
  <c r="L54" i="174"/>
  <c r="K54" i="174"/>
  <c r="J54" i="174"/>
  <c r="AJ53" i="174"/>
  <c r="AI53" i="174"/>
  <c r="AH53" i="174"/>
  <c r="AG53" i="174"/>
  <c r="AF53" i="174"/>
  <c r="AE53" i="174"/>
  <c r="AD53" i="174"/>
  <c r="AC53" i="174"/>
  <c r="AB53" i="174"/>
  <c r="AA53" i="174"/>
  <c r="Z53" i="174"/>
  <c r="Y53" i="174"/>
  <c r="AK53" i="174" s="1"/>
  <c r="U53" i="174"/>
  <c r="T53" i="174"/>
  <c r="S53" i="174"/>
  <c r="R53" i="174"/>
  <c r="Q53" i="174"/>
  <c r="P53" i="174"/>
  <c r="O53" i="174"/>
  <c r="N53" i="174"/>
  <c r="M53" i="174"/>
  <c r="L53" i="174"/>
  <c r="K53" i="174"/>
  <c r="J53" i="174"/>
  <c r="V53" i="174" s="1"/>
  <c r="R52" i="174"/>
  <c r="Q52" i="174"/>
  <c r="P52" i="174"/>
  <c r="O52" i="174"/>
  <c r="N52" i="174"/>
  <c r="M52" i="174"/>
  <c r="L52" i="174"/>
  <c r="K52" i="174"/>
  <c r="J52" i="174"/>
  <c r="R51" i="174"/>
  <c r="Q51" i="174"/>
  <c r="P51" i="174"/>
  <c r="O51" i="174"/>
  <c r="N51" i="174"/>
  <c r="M51" i="174"/>
  <c r="L51" i="174"/>
  <c r="K51" i="174"/>
  <c r="J51" i="174"/>
  <c r="R50" i="174"/>
  <c r="Q50" i="174"/>
  <c r="P50" i="174"/>
  <c r="O50" i="174"/>
  <c r="N50" i="174"/>
  <c r="M50" i="174"/>
  <c r="L50" i="174"/>
  <c r="K50" i="174"/>
  <c r="J50" i="174"/>
  <c r="U42" i="174"/>
  <c r="T42" i="174"/>
  <c r="S42" i="174"/>
  <c r="R42" i="174"/>
  <c r="Q42" i="174"/>
  <c r="P42" i="174"/>
  <c r="O42" i="174"/>
  <c r="N42" i="174"/>
  <c r="M42" i="174"/>
  <c r="L42" i="174"/>
  <c r="K42" i="174"/>
  <c r="J42" i="174"/>
  <c r="V42" i="174" s="1"/>
  <c r="U41" i="174"/>
  <c r="T41" i="174"/>
  <c r="S41" i="174"/>
  <c r="R41" i="174"/>
  <c r="Q41" i="174"/>
  <c r="P41" i="174"/>
  <c r="O41" i="174"/>
  <c r="N41" i="174"/>
  <c r="M41" i="174"/>
  <c r="L41" i="174"/>
  <c r="K41" i="174"/>
  <c r="J41" i="174"/>
  <c r="V41" i="174" s="1"/>
  <c r="U40" i="174"/>
  <c r="T40" i="174"/>
  <c r="S40" i="174"/>
  <c r="R40" i="174"/>
  <c r="Q40" i="174"/>
  <c r="P40" i="174"/>
  <c r="O40" i="174"/>
  <c r="N40" i="174"/>
  <c r="M40" i="174"/>
  <c r="L40" i="174"/>
  <c r="K40" i="174"/>
  <c r="J40" i="174"/>
  <c r="V40" i="174" s="1"/>
  <c r="AJ39" i="174"/>
  <c r="AI39" i="174"/>
  <c r="AH39" i="174"/>
  <c r="AG39" i="174"/>
  <c r="AF39" i="174"/>
  <c r="AE39" i="174"/>
  <c r="AD39" i="174"/>
  <c r="AC39" i="174"/>
  <c r="AB39" i="174"/>
  <c r="AA39" i="174"/>
  <c r="Z39" i="174"/>
  <c r="Y39" i="174"/>
  <c r="AK39" i="174" s="1"/>
  <c r="U39" i="174"/>
  <c r="T39" i="174"/>
  <c r="S39" i="174"/>
  <c r="R39" i="174"/>
  <c r="Q39" i="174"/>
  <c r="P39" i="174"/>
  <c r="O39" i="174"/>
  <c r="N39" i="174"/>
  <c r="M39" i="174"/>
  <c r="L39" i="174"/>
  <c r="K39" i="174"/>
  <c r="J39" i="174"/>
  <c r="V39" i="174" s="1"/>
  <c r="W39" i="174" s="1"/>
  <c r="AJ38" i="174"/>
  <c r="AI38" i="174"/>
  <c r="AH38" i="174"/>
  <c r="AG38" i="174"/>
  <c r="AF38" i="174"/>
  <c r="AE38" i="174"/>
  <c r="AD38" i="174"/>
  <c r="AC38" i="174"/>
  <c r="AB38" i="174"/>
  <c r="AA38" i="174"/>
  <c r="Z38" i="174"/>
  <c r="Y38" i="174"/>
  <c r="AK38" i="174" s="1"/>
  <c r="R38" i="174"/>
  <c r="Q38" i="174"/>
  <c r="P38" i="174"/>
  <c r="O38" i="174"/>
  <c r="N38" i="174"/>
  <c r="M38" i="174"/>
  <c r="L38" i="174"/>
  <c r="K38" i="174"/>
  <c r="J38" i="174"/>
  <c r="AJ33" i="174"/>
  <c r="AI33" i="174"/>
  <c r="AH33" i="174"/>
  <c r="AG33" i="174"/>
  <c r="AF33" i="174"/>
  <c r="AE33" i="174"/>
  <c r="AD33" i="174"/>
  <c r="AC33" i="174"/>
  <c r="AB33" i="174"/>
  <c r="AA33" i="174"/>
  <c r="Z33" i="174"/>
  <c r="Y33" i="174"/>
  <c r="U33" i="174"/>
  <c r="T33" i="174"/>
  <c r="S33" i="174"/>
  <c r="R33" i="174"/>
  <c r="Q33" i="174"/>
  <c r="P33" i="174"/>
  <c r="O33" i="174"/>
  <c r="N33" i="174"/>
  <c r="M33" i="174"/>
  <c r="L33" i="174"/>
  <c r="K33" i="174"/>
  <c r="J33" i="174"/>
  <c r="V33" i="174" s="1"/>
  <c r="AJ32" i="174"/>
  <c r="AI32" i="174"/>
  <c r="AH32" i="174"/>
  <c r="AG32" i="174"/>
  <c r="AF32" i="174"/>
  <c r="AE32" i="174"/>
  <c r="AD32" i="174"/>
  <c r="AC32" i="174"/>
  <c r="AB32" i="174"/>
  <c r="AA32" i="174"/>
  <c r="Z32" i="174"/>
  <c r="Y32" i="174"/>
  <c r="U32" i="174"/>
  <c r="T32" i="174"/>
  <c r="S32" i="174"/>
  <c r="R32" i="174"/>
  <c r="Q32" i="174"/>
  <c r="P32" i="174"/>
  <c r="O32" i="174"/>
  <c r="N32" i="174"/>
  <c r="M32" i="174"/>
  <c r="L32" i="174"/>
  <c r="K32" i="174"/>
  <c r="J32" i="174"/>
  <c r="V32" i="174" s="1"/>
  <c r="AJ31" i="174"/>
  <c r="AI31" i="174"/>
  <c r="AH31" i="174"/>
  <c r="AG31" i="174"/>
  <c r="AF31" i="174"/>
  <c r="AE31" i="174"/>
  <c r="AD31" i="174"/>
  <c r="AC31" i="174"/>
  <c r="AB31" i="174"/>
  <c r="AA31" i="174"/>
  <c r="Z31" i="174"/>
  <c r="Y31" i="174"/>
  <c r="U31" i="174"/>
  <c r="T31" i="174"/>
  <c r="S31" i="174"/>
  <c r="R31" i="174"/>
  <c r="Q31" i="174"/>
  <c r="P31" i="174"/>
  <c r="O31" i="174"/>
  <c r="N31" i="174"/>
  <c r="M31" i="174"/>
  <c r="L31" i="174"/>
  <c r="K31" i="174"/>
  <c r="J31" i="174"/>
  <c r="V31" i="174" s="1"/>
  <c r="U30" i="174"/>
  <c r="T30" i="174"/>
  <c r="S30" i="174"/>
  <c r="R30" i="174"/>
  <c r="Q30" i="174"/>
  <c r="P30" i="174"/>
  <c r="O30" i="174"/>
  <c r="N30" i="174"/>
  <c r="M30" i="174"/>
  <c r="L30" i="174"/>
  <c r="K30" i="174"/>
  <c r="J30" i="174"/>
  <c r="V30" i="174" s="1"/>
  <c r="U29" i="174"/>
  <c r="T29" i="174"/>
  <c r="S29" i="174"/>
  <c r="R29" i="174"/>
  <c r="Q29" i="174"/>
  <c r="P29" i="174"/>
  <c r="O29" i="174"/>
  <c r="N29" i="174"/>
  <c r="M29" i="174"/>
  <c r="L29" i="174"/>
  <c r="K29" i="174"/>
  <c r="J29" i="174"/>
  <c r="V29" i="174" s="1"/>
  <c r="U28" i="174"/>
  <c r="T28" i="174"/>
  <c r="S28" i="174"/>
  <c r="R28" i="174"/>
  <c r="Q28" i="174"/>
  <c r="P28" i="174"/>
  <c r="O28" i="174"/>
  <c r="N28" i="174"/>
  <c r="M28" i="174"/>
  <c r="L28" i="174"/>
  <c r="K28" i="174"/>
  <c r="J28" i="174"/>
  <c r="V28" i="174" s="1"/>
  <c r="U27" i="174"/>
  <c r="T27" i="174"/>
  <c r="S27" i="174"/>
  <c r="R27" i="174"/>
  <c r="Q27" i="174"/>
  <c r="P27" i="174"/>
  <c r="O27" i="174"/>
  <c r="N27" i="174"/>
  <c r="M27" i="174"/>
  <c r="L27" i="174"/>
  <c r="K27" i="174"/>
  <c r="J27" i="174"/>
  <c r="V27" i="174" s="1"/>
  <c r="U26" i="174"/>
  <c r="T26" i="174"/>
  <c r="S26" i="174"/>
  <c r="R26" i="174"/>
  <c r="Q26" i="174"/>
  <c r="P26" i="174"/>
  <c r="O26" i="174"/>
  <c r="N26" i="174"/>
  <c r="M26" i="174"/>
  <c r="L26" i="174"/>
  <c r="K26" i="174"/>
  <c r="J26" i="174"/>
  <c r="V26" i="174" s="1"/>
  <c r="U25" i="174"/>
  <c r="T25" i="174"/>
  <c r="S25" i="174"/>
  <c r="R25" i="174"/>
  <c r="Q25" i="174"/>
  <c r="P25" i="174"/>
  <c r="O25" i="174"/>
  <c r="N25" i="174"/>
  <c r="M25" i="174"/>
  <c r="L25" i="174"/>
  <c r="K25" i="174"/>
  <c r="J25" i="174"/>
  <c r="V25" i="174" s="1"/>
  <c r="U24" i="174"/>
  <c r="T24" i="174"/>
  <c r="S24" i="174"/>
  <c r="R24" i="174"/>
  <c r="Q24" i="174"/>
  <c r="P24" i="174"/>
  <c r="O24" i="174"/>
  <c r="N24" i="174"/>
  <c r="M24" i="174"/>
  <c r="L24" i="174"/>
  <c r="K24" i="174"/>
  <c r="J24" i="174"/>
  <c r="V24" i="174" s="1"/>
  <c r="U23" i="174"/>
  <c r="T23" i="174"/>
  <c r="S23" i="174"/>
  <c r="R23" i="174"/>
  <c r="Q23" i="174"/>
  <c r="P23" i="174"/>
  <c r="O23" i="174"/>
  <c r="N23" i="174"/>
  <c r="M23" i="174"/>
  <c r="L23" i="174"/>
  <c r="K23" i="174"/>
  <c r="J23" i="174"/>
  <c r="V23" i="174" s="1"/>
  <c r="AJ22" i="174"/>
  <c r="AI22" i="174"/>
  <c r="AH22" i="174"/>
  <c r="AG22" i="174"/>
  <c r="AF22" i="174"/>
  <c r="AE22" i="174"/>
  <c r="AD22" i="174"/>
  <c r="AC22" i="174"/>
  <c r="AB22" i="174"/>
  <c r="AA22" i="174"/>
  <c r="Z22" i="174"/>
  <c r="Y22" i="174"/>
  <c r="U22" i="174"/>
  <c r="T22" i="174"/>
  <c r="S22" i="174"/>
  <c r="R22" i="174"/>
  <c r="Q22" i="174"/>
  <c r="P22" i="174"/>
  <c r="O22" i="174"/>
  <c r="N22" i="174"/>
  <c r="M22" i="174"/>
  <c r="L22" i="174"/>
  <c r="K22" i="174"/>
  <c r="J22" i="174"/>
  <c r="V22" i="174" s="1"/>
  <c r="AJ21" i="174"/>
  <c r="AI21" i="174"/>
  <c r="AH21" i="174"/>
  <c r="AG21" i="174"/>
  <c r="AF21" i="174"/>
  <c r="AE21" i="174"/>
  <c r="AD21" i="174"/>
  <c r="AC21" i="174"/>
  <c r="AB21" i="174"/>
  <c r="AA21" i="174"/>
  <c r="Z21" i="174"/>
  <c r="Y21" i="174"/>
  <c r="U21" i="174"/>
  <c r="T21" i="174"/>
  <c r="S21" i="174"/>
  <c r="R21" i="174"/>
  <c r="Q21" i="174"/>
  <c r="P21" i="174"/>
  <c r="O21" i="174"/>
  <c r="N21" i="174"/>
  <c r="M21" i="174"/>
  <c r="L21" i="174"/>
  <c r="K21" i="174"/>
  <c r="J21" i="174"/>
  <c r="V21" i="174" s="1"/>
  <c r="AJ20" i="174"/>
  <c r="AI20" i="174"/>
  <c r="AH20" i="174"/>
  <c r="AG20" i="174"/>
  <c r="AF20" i="174"/>
  <c r="AE20" i="174"/>
  <c r="AD20" i="174"/>
  <c r="AC20" i="174"/>
  <c r="AB20" i="174"/>
  <c r="AA20" i="174"/>
  <c r="Z20" i="174"/>
  <c r="Y20" i="174"/>
  <c r="U20" i="174"/>
  <c r="T20" i="174"/>
  <c r="S20" i="174"/>
  <c r="R20" i="174"/>
  <c r="Q20" i="174"/>
  <c r="P20" i="174"/>
  <c r="O20" i="174"/>
  <c r="N20" i="174"/>
  <c r="M20" i="174"/>
  <c r="L20" i="174"/>
  <c r="K20" i="174"/>
  <c r="J20" i="174"/>
  <c r="V20" i="174" s="1"/>
  <c r="AJ19" i="174"/>
  <c r="AI19" i="174"/>
  <c r="AH19" i="174"/>
  <c r="AG19" i="174"/>
  <c r="AF19" i="174"/>
  <c r="AE19" i="174"/>
  <c r="AD19" i="174"/>
  <c r="AC19" i="174"/>
  <c r="AB19" i="174"/>
  <c r="AA19" i="174"/>
  <c r="Z19" i="174"/>
  <c r="Y19" i="174"/>
  <c r="U19" i="174"/>
  <c r="T19" i="174"/>
  <c r="S19" i="174"/>
  <c r="R19" i="174"/>
  <c r="Q19" i="174"/>
  <c r="P19" i="174"/>
  <c r="O19" i="174"/>
  <c r="N19" i="174"/>
  <c r="M19" i="174"/>
  <c r="L19" i="174"/>
  <c r="K19" i="174"/>
  <c r="J19" i="174"/>
  <c r="V19" i="174" s="1"/>
  <c r="AJ18" i="174"/>
  <c r="AI18" i="174"/>
  <c r="AH18" i="174"/>
  <c r="AG18" i="174"/>
  <c r="AF18" i="174"/>
  <c r="AE18" i="174"/>
  <c r="AD18" i="174"/>
  <c r="AC18" i="174"/>
  <c r="AB18" i="174"/>
  <c r="AA18" i="174"/>
  <c r="Z18" i="174"/>
  <c r="Y18" i="174"/>
  <c r="U18" i="174"/>
  <c r="T18" i="174"/>
  <c r="S18" i="174"/>
  <c r="R18" i="174"/>
  <c r="Q18" i="174"/>
  <c r="P18" i="174"/>
  <c r="O18" i="174"/>
  <c r="N18" i="174"/>
  <c r="M18" i="174"/>
  <c r="L18" i="174"/>
  <c r="K18" i="174"/>
  <c r="J18" i="174"/>
  <c r="V18" i="174" s="1"/>
  <c r="AJ17" i="174"/>
  <c r="AI17" i="174"/>
  <c r="AH17" i="174"/>
  <c r="AG17" i="174"/>
  <c r="AF17" i="174"/>
  <c r="AE17" i="174"/>
  <c r="AD17" i="174"/>
  <c r="AC17" i="174"/>
  <c r="AB17" i="174"/>
  <c r="AA17" i="174"/>
  <c r="Z17" i="174"/>
  <c r="Y17" i="174"/>
  <c r="U17" i="174"/>
  <c r="T17" i="174"/>
  <c r="S17" i="174"/>
  <c r="R17" i="174"/>
  <c r="Q17" i="174"/>
  <c r="P17" i="174"/>
  <c r="O17" i="174"/>
  <c r="N17" i="174"/>
  <c r="M17" i="174"/>
  <c r="L17" i="174"/>
  <c r="K17" i="174"/>
  <c r="J17" i="174"/>
  <c r="V17" i="174" s="1"/>
  <c r="U16" i="174"/>
  <c r="T16" i="174"/>
  <c r="S16" i="174"/>
  <c r="R16" i="174"/>
  <c r="Q16" i="174"/>
  <c r="P16" i="174"/>
  <c r="O16" i="174"/>
  <c r="N16" i="174"/>
  <c r="M16" i="174"/>
  <c r="L16" i="174"/>
  <c r="K16" i="174"/>
  <c r="J16" i="174"/>
  <c r="V16" i="174" s="1"/>
  <c r="U15" i="174"/>
  <c r="T15" i="174"/>
  <c r="S15" i="174"/>
  <c r="R15" i="174"/>
  <c r="Q15" i="174"/>
  <c r="P15" i="174"/>
  <c r="O15" i="174"/>
  <c r="N15" i="174"/>
  <c r="M15" i="174"/>
  <c r="L15" i="174"/>
  <c r="K15" i="174"/>
  <c r="J15" i="174"/>
  <c r="V15" i="174" s="1"/>
  <c r="T14" i="174"/>
  <c r="S14" i="174"/>
  <c r="R14" i="174"/>
  <c r="Q14" i="174"/>
  <c r="P14" i="174"/>
  <c r="O14" i="174"/>
  <c r="N14" i="174"/>
  <c r="M14" i="174"/>
  <c r="L14" i="174"/>
  <c r="K14" i="174"/>
  <c r="J14" i="174"/>
  <c r="T13" i="174"/>
  <c r="S13" i="174"/>
  <c r="R13" i="174"/>
  <c r="Q13" i="174"/>
  <c r="P13" i="174"/>
  <c r="O13" i="174"/>
  <c r="N13" i="174"/>
  <c r="M13" i="174"/>
  <c r="L13" i="174"/>
  <c r="K13" i="174"/>
  <c r="J13" i="174"/>
  <c r="AJ12" i="174"/>
  <c r="AI12" i="174"/>
  <c r="AH12" i="174"/>
  <c r="AG12" i="174"/>
  <c r="AF12" i="174"/>
  <c r="AE12" i="174"/>
  <c r="AD12" i="174"/>
  <c r="AC12" i="174"/>
  <c r="AB12" i="174"/>
  <c r="AA12" i="174"/>
  <c r="Z12" i="174"/>
  <c r="Y12" i="174"/>
  <c r="AK12" i="174" s="1"/>
  <c r="U12" i="174"/>
  <c r="T12" i="174"/>
  <c r="S12" i="174"/>
  <c r="R12" i="174"/>
  <c r="Q12" i="174"/>
  <c r="P12" i="174"/>
  <c r="O12" i="174"/>
  <c r="N12" i="174"/>
  <c r="M12" i="174"/>
  <c r="L12" i="174"/>
  <c r="K12" i="174"/>
  <c r="J12" i="174"/>
  <c r="V12" i="174" s="1"/>
  <c r="AJ11" i="174"/>
  <c r="AI11" i="174"/>
  <c r="AH11" i="174"/>
  <c r="AG11" i="174"/>
  <c r="AF11" i="174"/>
  <c r="AE11" i="174"/>
  <c r="AD11" i="174"/>
  <c r="AC11" i="174"/>
  <c r="AB11" i="174"/>
  <c r="AA11" i="174"/>
  <c r="Z11" i="174"/>
  <c r="Y11" i="174"/>
  <c r="AK11" i="174" s="1"/>
  <c r="U11" i="174"/>
  <c r="T11" i="174"/>
  <c r="S11" i="174"/>
  <c r="R11" i="174"/>
  <c r="Q11" i="174"/>
  <c r="P11" i="174"/>
  <c r="O11" i="174"/>
  <c r="N11" i="174"/>
  <c r="M11" i="174"/>
  <c r="L11" i="174"/>
  <c r="K11" i="174"/>
  <c r="J11" i="174"/>
  <c r="V11" i="174" s="1"/>
  <c r="U10" i="174"/>
  <c r="T10" i="174"/>
  <c r="S10" i="174"/>
  <c r="R10" i="174"/>
  <c r="Q10" i="174"/>
  <c r="P10" i="174"/>
  <c r="O10" i="174"/>
  <c r="N10" i="174"/>
  <c r="M10" i="174"/>
  <c r="L10" i="174"/>
  <c r="K10" i="174"/>
  <c r="J10" i="174"/>
  <c r="V10" i="174" s="1"/>
  <c r="U9" i="174"/>
  <c r="T9" i="174"/>
  <c r="S9" i="174"/>
  <c r="S46" i="174" s="1"/>
  <c r="R9" i="174"/>
  <c r="R46" i="174" s="1"/>
  <c r="Q9" i="174"/>
  <c r="Q46" i="174" s="1"/>
  <c r="P9" i="174"/>
  <c r="P46" i="174" s="1"/>
  <c r="O9" i="174"/>
  <c r="O46" i="174" s="1"/>
  <c r="N9" i="174"/>
  <c r="N46" i="174" s="1"/>
  <c r="M9" i="174"/>
  <c r="M46" i="174" s="1"/>
  <c r="L9" i="174"/>
  <c r="L46" i="174" s="1"/>
  <c r="K9" i="174"/>
  <c r="K46" i="174" s="1"/>
  <c r="J9" i="174"/>
  <c r="U8" i="174"/>
  <c r="T8" i="174"/>
  <c r="S8" i="174"/>
  <c r="S45" i="174" s="1"/>
  <c r="R8" i="174"/>
  <c r="R45" i="174" s="1"/>
  <c r="Q8" i="174"/>
  <c r="Q45" i="174" s="1"/>
  <c r="P8" i="174"/>
  <c r="P45" i="174" s="1"/>
  <c r="O8" i="174"/>
  <c r="O45" i="174" s="1"/>
  <c r="N8" i="174"/>
  <c r="N45" i="174" s="1"/>
  <c r="M8" i="174"/>
  <c r="M45" i="174" s="1"/>
  <c r="L8" i="174"/>
  <c r="L45" i="174" s="1"/>
  <c r="K8" i="174"/>
  <c r="K45" i="174" s="1"/>
  <c r="J8" i="174"/>
  <c r="T7" i="174"/>
  <c r="S7" i="174"/>
  <c r="S44" i="174" s="1"/>
  <c r="R7" i="174"/>
  <c r="R44" i="174" s="1"/>
  <c r="Q7" i="174"/>
  <c r="Q44" i="174" s="1"/>
  <c r="P7" i="174"/>
  <c r="P44" i="174" s="1"/>
  <c r="O7" i="174"/>
  <c r="O44" i="174" s="1"/>
  <c r="N7" i="174"/>
  <c r="N44" i="174" s="1"/>
  <c r="M7" i="174"/>
  <c r="M44" i="174" s="1"/>
  <c r="L7" i="174"/>
  <c r="L44" i="174" s="1"/>
  <c r="K7" i="174"/>
  <c r="K44" i="174" s="1"/>
  <c r="J7" i="174"/>
  <c r="T6" i="174"/>
  <c r="T34" i="174" s="1"/>
  <c r="S6" i="174"/>
  <c r="S34" i="174" s="1"/>
  <c r="R6" i="174"/>
  <c r="R34" i="174" s="1"/>
  <c r="Q6" i="174"/>
  <c r="Q34" i="174" s="1"/>
  <c r="P6" i="174"/>
  <c r="P34" i="174" s="1"/>
  <c r="O6" i="174"/>
  <c r="O34" i="174" s="1"/>
  <c r="N6" i="174"/>
  <c r="N34" i="174" s="1"/>
  <c r="M6" i="174"/>
  <c r="M34" i="174" s="1"/>
  <c r="L6" i="174"/>
  <c r="L34" i="174" s="1"/>
  <c r="K6" i="174"/>
  <c r="K34" i="174" s="1"/>
  <c r="J6" i="174"/>
  <c r="J34" i="174" s="1"/>
  <c r="K149" i="124"/>
  <c r="L149" i="124"/>
  <c r="M149" i="124"/>
  <c r="N149" i="124"/>
  <c r="O149" i="124"/>
  <c r="P149" i="124"/>
  <c r="Q149" i="124"/>
  <c r="R149" i="124"/>
  <c r="K150" i="124"/>
  <c r="L150" i="124"/>
  <c r="M150" i="124"/>
  <c r="N150" i="124"/>
  <c r="O150" i="124"/>
  <c r="P150" i="124"/>
  <c r="Q150" i="124"/>
  <c r="R150" i="124"/>
  <c r="K151" i="124"/>
  <c r="L151" i="124"/>
  <c r="M151" i="124"/>
  <c r="N151" i="124"/>
  <c r="O151" i="124"/>
  <c r="P151" i="124"/>
  <c r="Q151" i="124"/>
  <c r="R151" i="124"/>
  <c r="K152" i="124"/>
  <c r="L152" i="124"/>
  <c r="M152" i="124"/>
  <c r="N152" i="124"/>
  <c r="O152" i="124"/>
  <c r="P152" i="124"/>
  <c r="Q152" i="124"/>
  <c r="R152" i="124"/>
  <c r="K153" i="124"/>
  <c r="L153" i="124"/>
  <c r="M153" i="124"/>
  <c r="N153" i="124"/>
  <c r="O153" i="124"/>
  <c r="P153" i="124"/>
  <c r="Q153" i="124"/>
  <c r="R153" i="124"/>
  <c r="K154" i="124"/>
  <c r="L154" i="124"/>
  <c r="M154" i="124"/>
  <c r="N154" i="124"/>
  <c r="O154" i="124"/>
  <c r="P154" i="124"/>
  <c r="Q154" i="124"/>
  <c r="R154" i="124"/>
  <c r="K155" i="124"/>
  <c r="L155" i="124"/>
  <c r="M155" i="124"/>
  <c r="N155" i="124"/>
  <c r="O155" i="124"/>
  <c r="P155" i="124"/>
  <c r="Q155" i="124"/>
  <c r="R155" i="124"/>
  <c r="J150" i="124"/>
  <c r="J151" i="124"/>
  <c r="J152" i="124"/>
  <c r="J153" i="124"/>
  <c r="J154" i="124"/>
  <c r="J155" i="124"/>
  <c r="J149" i="124"/>
  <c r="J148" i="124" s="1"/>
  <c r="AK128" i="124"/>
  <c r="AK130" i="124"/>
  <c r="AK131" i="124"/>
  <c r="AK132" i="124"/>
  <c r="K113" i="124"/>
  <c r="L113" i="124"/>
  <c r="M113" i="124"/>
  <c r="N113" i="124"/>
  <c r="O113" i="124"/>
  <c r="P113" i="124"/>
  <c r="Q113" i="124"/>
  <c r="R113" i="124"/>
  <c r="S113" i="124"/>
  <c r="K114" i="124"/>
  <c r="L114" i="124"/>
  <c r="M114" i="124"/>
  <c r="N114" i="124"/>
  <c r="O114" i="124"/>
  <c r="P114" i="124"/>
  <c r="Q114" i="124"/>
  <c r="R114" i="124"/>
  <c r="S114" i="124"/>
  <c r="T114" i="124"/>
  <c r="U114" i="124"/>
  <c r="K115" i="124"/>
  <c r="L115" i="124"/>
  <c r="M115" i="124"/>
  <c r="N115" i="124"/>
  <c r="O115" i="124"/>
  <c r="P115" i="124"/>
  <c r="Q115" i="124"/>
  <c r="R115" i="124"/>
  <c r="S115" i="124"/>
  <c r="T115" i="124"/>
  <c r="U115" i="124"/>
  <c r="K116" i="124"/>
  <c r="L116" i="124"/>
  <c r="M116" i="124"/>
  <c r="N116" i="124"/>
  <c r="O116" i="124"/>
  <c r="P116" i="124"/>
  <c r="Q116" i="124"/>
  <c r="R116" i="124"/>
  <c r="S116" i="124"/>
  <c r="T116" i="124"/>
  <c r="U116" i="124"/>
  <c r="K117" i="124"/>
  <c r="L117" i="124"/>
  <c r="M117" i="124"/>
  <c r="N117" i="124"/>
  <c r="O117" i="124"/>
  <c r="P117" i="124"/>
  <c r="Q117" i="124"/>
  <c r="R117" i="124"/>
  <c r="S117" i="124"/>
  <c r="T117" i="124"/>
  <c r="U117" i="124"/>
  <c r="K118" i="124"/>
  <c r="L118" i="124"/>
  <c r="M118" i="124"/>
  <c r="N118" i="124"/>
  <c r="O118" i="124"/>
  <c r="P118" i="124"/>
  <c r="Q118" i="124"/>
  <c r="R118" i="124"/>
  <c r="S118" i="124"/>
  <c r="T118" i="124"/>
  <c r="U118" i="124"/>
  <c r="K119" i="124"/>
  <c r="L119" i="124"/>
  <c r="M119" i="124"/>
  <c r="N119" i="124"/>
  <c r="O119" i="124"/>
  <c r="P119" i="124"/>
  <c r="Q119" i="124"/>
  <c r="R119" i="124"/>
  <c r="S119" i="124"/>
  <c r="T119" i="124"/>
  <c r="U119" i="124"/>
  <c r="K120" i="124"/>
  <c r="L120" i="124"/>
  <c r="M120" i="124"/>
  <c r="N120" i="124"/>
  <c r="O120" i="124"/>
  <c r="P120" i="124"/>
  <c r="Q120" i="124"/>
  <c r="R120" i="124"/>
  <c r="S120" i="124"/>
  <c r="T120" i="124"/>
  <c r="U120" i="124"/>
  <c r="K121" i="124"/>
  <c r="L121" i="124"/>
  <c r="M121" i="124"/>
  <c r="N121" i="124"/>
  <c r="O121" i="124"/>
  <c r="P121" i="124"/>
  <c r="Q121" i="124"/>
  <c r="R121" i="124"/>
  <c r="S121" i="124"/>
  <c r="T121" i="124"/>
  <c r="U121" i="124"/>
  <c r="K122" i="124"/>
  <c r="L122" i="124"/>
  <c r="M122" i="124"/>
  <c r="N122" i="124"/>
  <c r="O122" i="124"/>
  <c r="P122" i="124"/>
  <c r="Q122" i="124"/>
  <c r="R122" i="124"/>
  <c r="S122" i="124"/>
  <c r="T122" i="124"/>
  <c r="U122" i="124"/>
  <c r="K123" i="124"/>
  <c r="L123" i="124"/>
  <c r="M123" i="124"/>
  <c r="N123" i="124"/>
  <c r="O123" i="124"/>
  <c r="P123" i="124"/>
  <c r="Q123" i="124"/>
  <c r="R123" i="124"/>
  <c r="S123" i="124"/>
  <c r="T123" i="124"/>
  <c r="U123" i="124"/>
  <c r="K124" i="124"/>
  <c r="L124" i="124"/>
  <c r="M124" i="124"/>
  <c r="N124" i="124"/>
  <c r="O124" i="124"/>
  <c r="P124" i="124"/>
  <c r="Q124" i="124"/>
  <c r="R124" i="124"/>
  <c r="S124" i="124"/>
  <c r="T124" i="124"/>
  <c r="U124" i="124"/>
  <c r="K125" i="124"/>
  <c r="L125" i="124"/>
  <c r="M125" i="124"/>
  <c r="N125" i="124"/>
  <c r="O125" i="124"/>
  <c r="P125" i="124"/>
  <c r="Q125" i="124"/>
  <c r="R125" i="124"/>
  <c r="S125" i="124"/>
  <c r="T125" i="124"/>
  <c r="U125" i="124"/>
  <c r="K126" i="124"/>
  <c r="L126" i="124"/>
  <c r="M126" i="124"/>
  <c r="N126" i="124"/>
  <c r="O126" i="124"/>
  <c r="P126" i="124"/>
  <c r="Q126" i="124"/>
  <c r="R126" i="124"/>
  <c r="K127" i="124"/>
  <c r="L127" i="124"/>
  <c r="M127" i="124"/>
  <c r="N127" i="124"/>
  <c r="O127" i="124"/>
  <c r="P127" i="124"/>
  <c r="Q127" i="124"/>
  <c r="R127" i="124"/>
  <c r="S127" i="124"/>
  <c r="T127" i="124"/>
  <c r="U127" i="124"/>
  <c r="K128" i="124"/>
  <c r="L128" i="124"/>
  <c r="M128" i="124"/>
  <c r="N128" i="124"/>
  <c r="O128" i="124"/>
  <c r="P128" i="124"/>
  <c r="Q128" i="124"/>
  <c r="R128" i="124"/>
  <c r="S128" i="124"/>
  <c r="T128" i="124"/>
  <c r="U128" i="124"/>
  <c r="K129" i="124"/>
  <c r="L129" i="124"/>
  <c r="M129" i="124"/>
  <c r="N129" i="124"/>
  <c r="O129" i="124"/>
  <c r="P129" i="124"/>
  <c r="Q129" i="124"/>
  <c r="R129" i="124"/>
  <c r="S129" i="124"/>
  <c r="T129" i="124"/>
  <c r="U129" i="124"/>
  <c r="K130" i="124"/>
  <c r="L130" i="124"/>
  <c r="M130" i="124"/>
  <c r="N130" i="124"/>
  <c r="O130" i="124"/>
  <c r="P130" i="124"/>
  <c r="Q130" i="124"/>
  <c r="R130" i="124"/>
  <c r="S130" i="124"/>
  <c r="T130" i="124"/>
  <c r="U130" i="124"/>
  <c r="K131" i="124"/>
  <c r="L131" i="124"/>
  <c r="M131" i="124"/>
  <c r="N131" i="124"/>
  <c r="O131" i="124"/>
  <c r="P131" i="124"/>
  <c r="Q131" i="124"/>
  <c r="R131" i="124"/>
  <c r="S131" i="124"/>
  <c r="T131" i="124"/>
  <c r="U131" i="124"/>
  <c r="K132" i="124"/>
  <c r="L132" i="124"/>
  <c r="M132" i="124"/>
  <c r="N132" i="124"/>
  <c r="O132" i="124"/>
  <c r="P132" i="124"/>
  <c r="Q132" i="124"/>
  <c r="R132" i="124"/>
  <c r="S132" i="124"/>
  <c r="T132" i="124"/>
  <c r="U132" i="124"/>
  <c r="K133" i="124"/>
  <c r="L133" i="124"/>
  <c r="M133" i="124"/>
  <c r="N133" i="124"/>
  <c r="O133" i="124"/>
  <c r="P133" i="124"/>
  <c r="Q133" i="124"/>
  <c r="R133" i="124"/>
  <c r="S133" i="124"/>
  <c r="T133" i="124"/>
  <c r="U133" i="124"/>
  <c r="K134" i="124"/>
  <c r="L134" i="124"/>
  <c r="M134" i="124"/>
  <c r="N134" i="124"/>
  <c r="O134" i="124"/>
  <c r="P134" i="124"/>
  <c r="Q134" i="124"/>
  <c r="R134" i="124"/>
  <c r="S134" i="124"/>
  <c r="T134" i="124"/>
  <c r="U134" i="124"/>
  <c r="K135" i="124"/>
  <c r="L135" i="124"/>
  <c r="M135" i="124"/>
  <c r="N135" i="124"/>
  <c r="O135" i="124"/>
  <c r="P135" i="124"/>
  <c r="Q135" i="124"/>
  <c r="R135" i="124"/>
  <c r="S135" i="124"/>
  <c r="T135" i="124"/>
  <c r="U135" i="124"/>
  <c r="K136" i="124"/>
  <c r="L136" i="124"/>
  <c r="M136" i="124"/>
  <c r="N136" i="124"/>
  <c r="O136" i="124"/>
  <c r="P136" i="124"/>
  <c r="Q136" i="124"/>
  <c r="R136" i="124"/>
  <c r="S136" i="124"/>
  <c r="T136" i="124"/>
  <c r="U136" i="124"/>
  <c r="K137" i="124"/>
  <c r="L137" i="124"/>
  <c r="M137" i="124"/>
  <c r="N137" i="124"/>
  <c r="O137" i="124"/>
  <c r="P137" i="124"/>
  <c r="Q137" i="124"/>
  <c r="R137" i="124"/>
  <c r="S137" i="124"/>
  <c r="T137" i="124"/>
  <c r="U137" i="124"/>
  <c r="K138" i="124"/>
  <c r="L138" i="124"/>
  <c r="M138" i="124"/>
  <c r="N138" i="124"/>
  <c r="O138" i="124"/>
  <c r="P138" i="124"/>
  <c r="Q138" i="124"/>
  <c r="R138" i="124"/>
  <c r="S138" i="124"/>
  <c r="T138" i="124"/>
  <c r="U138" i="124"/>
  <c r="K139" i="124"/>
  <c r="L139" i="124"/>
  <c r="M139" i="124"/>
  <c r="N139" i="124"/>
  <c r="O139" i="124"/>
  <c r="P139" i="124"/>
  <c r="Q139" i="124"/>
  <c r="R139" i="124"/>
  <c r="S139" i="124"/>
  <c r="T139" i="124"/>
  <c r="U139" i="124"/>
  <c r="K140" i="124"/>
  <c r="L140" i="124"/>
  <c r="M140" i="124"/>
  <c r="N140" i="124"/>
  <c r="O140" i="124"/>
  <c r="P140" i="124"/>
  <c r="Q140" i="124"/>
  <c r="R140" i="124"/>
  <c r="S140" i="124"/>
  <c r="T140" i="124"/>
  <c r="U140" i="124"/>
  <c r="K141" i="124"/>
  <c r="L141" i="124"/>
  <c r="M141" i="124"/>
  <c r="N141" i="124"/>
  <c r="O141" i="124"/>
  <c r="P141" i="124"/>
  <c r="Q141" i="124"/>
  <c r="R141" i="124"/>
  <c r="S141" i="124"/>
  <c r="T141" i="124"/>
  <c r="U141" i="124"/>
  <c r="K142" i="124"/>
  <c r="L142" i="124"/>
  <c r="M142" i="124"/>
  <c r="N142" i="124"/>
  <c r="O142" i="124"/>
  <c r="P142" i="124"/>
  <c r="Q142" i="124"/>
  <c r="R142" i="124"/>
  <c r="S142" i="124"/>
  <c r="T142" i="124"/>
  <c r="U142" i="124"/>
  <c r="K143" i="124"/>
  <c r="L143" i="124"/>
  <c r="M143" i="124"/>
  <c r="N143" i="124"/>
  <c r="O143" i="124"/>
  <c r="P143" i="124"/>
  <c r="Q143" i="124"/>
  <c r="R143" i="124"/>
  <c r="S143" i="124"/>
  <c r="T143" i="124"/>
  <c r="U143" i="124"/>
  <c r="K144" i="124"/>
  <c r="L144" i="124"/>
  <c r="M144" i="124"/>
  <c r="N144" i="124"/>
  <c r="O144" i="124"/>
  <c r="P144" i="124"/>
  <c r="Q144" i="124"/>
  <c r="R144" i="124"/>
  <c r="S144" i="124"/>
  <c r="T144" i="124"/>
  <c r="U144" i="124"/>
  <c r="K145" i="124"/>
  <c r="L145" i="124"/>
  <c r="M145" i="124"/>
  <c r="N145" i="124"/>
  <c r="O145" i="124"/>
  <c r="P145" i="124"/>
  <c r="Q145" i="124"/>
  <c r="R145" i="124"/>
  <c r="S145" i="124"/>
  <c r="T145" i="124"/>
  <c r="U145" i="124"/>
  <c r="K146" i="124"/>
  <c r="L146" i="124"/>
  <c r="M146" i="124"/>
  <c r="N146" i="124"/>
  <c r="O146" i="124"/>
  <c r="P146" i="124"/>
  <c r="Q146" i="124"/>
  <c r="R146" i="124"/>
  <c r="S146" i="124"/>
  <c r="T146" i="124"/>
  <c r="K147" i="124"/>
  <c r="L147" i="124"/>
  <c r="M147" i="124"/>
  <c r="N147" i="124"/>
  <c r="O147" i="124"/>
  <c r="P147" i="124"/>
  <c r="Q147" i="124"/>
  <c r="R147" i="124"/>
  <c r="S147" i="124"/>
  <c r="T147" i="124"/>
  <c r="U147" i="124"/>
  <c r="J114" i="124"/>
  <c r="V114" i="124" s="1"/>
  <c r="J115" i="124"/>
  <c r="V115" i="124" s="1"/>
  <c r="J116" i="124"/>
  <c r="V116" i="124" s="1"/>
  <c r="J117" i="124"/>
  <c r="V117" i="124" s="1"/>
  <c r="J118" i="124"/>
  <c r="V118" i="124" s="1"/>
  <c r="J119" i="124"/>
  <c r="V119" i="124" s="1"/>
  <c r="J120" i="124"/>
  <c r="V120" i="124" s="1"/>
  <c r="J121" i="124"/>
  <c r="V121" i="124" s="1"/>
  <c r="J122" i="124"/>
  <c r="V122" i="124" s="1"/>
  <c r="J123" i="124"/>
  <c r="V123" i="124" s="1"/>
  <c r="J124" i="124"/>
  <c r="V124" i="124" s="1"/>
  <c r="J125" i="124"/>
  <c r="V125" i="124" s="1"/>
  <c r="J126" i="124"/>
  <c r="V126" i="124" s="1"/>
  <c r="J127" i="124"/>
  <c r="V127" i="124" s="1"/>
  <c r="J128" i="124"/>
  <c r="V128" i="124" s="1"/>
  <c r="J129" i="124"/>
  <c r="V129" i="124" s="1"/>
  <c r="J130" i="124"/>
  <c r="V130" i="124" s="1"/>
  <c r="J131" i="124"/>
  <c r="V131" i="124" s="1"/>
  <c r="J132" i="124"/>
  <c r="V132" i="124" s="1"/>
  <c r="J133" i="124"/>
  <c r="V133" i="124" s="1"/>
  <c r="J134" i="124"/>
  <c r="V134" i="124" s="1"/>
  <c r="J135" i="124"/>
  <c r="V135" i="124" s="1"/>
  <c r="J136" i="124"/>
  <c r="V136" i="124" s="1"/>
  <c r="J137" i="124"/>
  <c r="V137" i="124" s="1"/>
  <c r="J138" i="124"/>
  <c r="V138" i="124" s="1"/>
  <c r="J139" i="124"/>
  <c r="V139" i="124" s="1"/>
  <c r="J140" i="124"/>
  <c r="V140" i="124" s="1"/>
  <c r="J141" i="124"/>
  <c r="V141" i="124" s="1"/>
  <c r="J142" i="124"/>
  <c r="V142" i="124" s="1"/>
  <c r="J143" i="124"/>
  <c r="V143" i="124" s="1"/>
  <c r="J144" i="124"/>
  <c r="V144" i="124" s="1"/>
  <c r="J145" i="124"/>
  <c r="V145" i="124" s="1"/>
  <c r="J146" i="124"/>
  <c r="V146" i="124" s="1"/>
  <c r="J147" i="124"/>
  <c r="V147" i="124" s="1"/>
  <c r="J113" i="124"/>
  <c r="K51" i="124"/>
  <c r="L51" i="124"/>
  <c r="M51" i="124"/>
  <c r="N51" i="124"/>
  <c r="O51" i="124"/>
  <c r="P51" i="124"/>
  <c r="Q51" i="124"/>
  <c r="R51" i="124"/>
  <c r="L52" i="124"/>
  <c r="M52" i="124"/>
  <c r="N52" i="124"/>
  <c r="O52" i="124"/>
  <c r="P52" i="124"/>
  <c r="Q52" i="124"/>
  <c r="K53" i="124"/>
  <c r="L53" i="124"/>
  <c r="M53" i="124"/>
  <c r="N53" i="124"/>
  <c r="O53" i="124"/>
  <c r="P53" i="124"/>
  <c r="Q53" i="124"/>
  <c r="R53" i="124"/>
  <c r="S53" i="124"/>
  <c r="T53" i="124"/>
  <c r="U53" i="124"/>
  <c r="K54" i="124"/>
  <c r="L54" i="124"/>
  <c r="M54" i="124"/>
  <c r="N54" i="124"/>
  <c r="O54" i="124"/>
  <c r="P54" i="124"/>
  <c r="Q54" i="124"/>
  <c r="R54" i="124"/>
  <c r="K55" i="124"/>
  <c r="L55" i="124"/>
  <c r="M55" i="124"/>
  <c r="N55" i="124"/>
  <c r="O55" i="124"/>
  <c r="P55" i="124"/>
  <c r="Q55" i="124"/>
  <c r="R55" i="124"/>
  <c r="S55" i="124"/>
  <c r="T55" i="124"/>
  <c r="U55" i="124"/>
  <c r="K56" i="124"/>
  <c r="L56" i="124"/>
  <c r="M56" i="124"/>
  <c r="N56" i="124"/>
  <c r="O56" i="124"/>
  <c r="P56" i="124"/>
  <c r="Q56" i="124"/>
  <c r="R56" i="124"/>
  <c r="K57" i="124"/>
  <c r="L57" i="124"/>
  <c r="M57" i="124"/>
  <c r="N57" i="124"/>
  <c r="O57" i="124"/>
  <c r="P57" i="124"/>
  <c r="Q57" i="124"/>
  <c r="R57" i="124"/>
  <c r="S57" i="124"/>
  <c r="T57" i="124"/>
  <c r="U57" i="124"/>
  <c r="K58" i="124"/>
  <c r="L58" i="124"/>
  <c r="M58" i="124"/>
  <c r="N58" i="124"/>
  <c r="O58" i="124"/>
  <c r="P58" i="124"/>
  <c r="Q58" i="124"/>
  <c r="R58" i="124"/>
  <c r="S58" i="124"/>
  <c r="T58" i="124"/>
  <c r="U58" i="124"/>
  <c r="K59" i="124"/>
  <c r="L59" i="124"/>
  <c r="M59" i="124"/>
  <c r="N59" i="124"/>
  <c r="O59" i="124"/>
  <c r="P59" i="124"/>
  <c r="Q59" i="124"/>
  <c r="R59" i="124"/>
  <c r="S59" i="124"/>
  <c r="T59" i="124"/>
  <c r="U59" i="124"/>
  <c r="K60" i="124"/>
  <c r="L60" i="124"/>
  <c r="M60" i="124"/>
  <c r="N60" i="124"/>
  <c r="O60" i="124"/>
  <c r="P60" i="124"/>
  <c r="Q60" i="124"/>
  <c r="R60" i="124"/>
  <c r="S60" i="124"/>
  <c r="T60" i="124"/>
  <c r="U60" i="124"/>
  <c r="K61" i="124"/>
  <c r="L61" i="124"/>
  <c r="M61" i="124"/>
  <c r="N61" i="124"/>
  <c r="O61" i="124"/>
  <c r="P61" i="124"/>
  <c r="Q61" i="124"/>
  <c r="R61" i="124"/>
  <c r="S61" i="124"/>
  <c r="T61" i="124"/>
  <c r="U61" i="124"/>
  <c r="K62" i="124"/>
  <c r="L62" i="124"/>
  <c r="M62" i="124"/>
  <c r="N62" i="124"/>
  <c r="O62" i="124"/>
  <c r="P62" i="124"/>
  <c r="Q62" i="124"/>
  <c r="R62" i="124"/>
  <c r="S62" i="124"/>
  <c r="T62" i="124"/>
  <c r="U62" i="124"/>
  <c r="K63" i="124"/>
  <c r="L63" i="124"/>
  <c r="M63" i="124"/>
  <c r="N63" i="124"/>
  <c r="O63" i="124"/>
  <c r="P63" i="124"/>
  <c r="Q63" i="124"/>
  <c r="R63" i="124"/>
  <c r="K64" i="124"/>
  <c r="L64" i="124"/>
  <c r="M64" i="124"/>
  <c r="N64" i="124"/>
  <c r="O64" i="124"/>
  <c r="P64" i="124"/>
  <c r="Q64" i="124"/>
  <c r="R64" i="124"/>
  <c r="S64" i="124"/>
  <c r="T64" i="124"/>
  <c r="U64" i="124"/>
  <c r="K65" i="124"/>
  <c r="L65" i="124"/>
  <c r="M65" i="124"/>
  <c r="N65" i="124"/>
  <c r="O65" i="124"/>
  <c r="P65" i="124"/>
  <c r="Q65" i="124"/>
  <c r="R65" i="124"/>
  <c r="S65" i="124"/>
  <c r="T65" i="124"/>
  <c r="U65" i="124"/>
  <c r="K66" i="124"/>
  <c r="L66" i="124"/>
  <c r="M66" i="124"/>
  <c r="N66" i="124"/>
  <c r="O66" i="124"/>
  <c r="P66" i="124"/>
  <c r="Q66" i="124"/>
  <c r="R66" i="124"/>
  <c r="K67" i="124"/>
  <c r="L67" i="124"/>
  <c r="M67" i="124"/>
  <c r="N67" i="124"/>
  <c r="O67" i="124"/>
  <c r="P67" i="124"/>
  <c r="Q67" i="124"/>
  <c r="R67" i="124"/>
  <c r="S67" i="124"/>
  <c r="T67" i="124"/>
  <c r="U67" i="124"/>
  <c r="K68" i="124"/>
  <c r="L68" i="124"/>
  <c r="M68" i="124"/>
  <c r="N68" i="124"/>
  <c r="O68" i="124"/>
  <c r="P68" i="124"/>
  <c r="Q68" i="124"/>
  <c r="R68" i="124"/>
  <c r="S68" i="124"/>
  <c r="T68" i="124"/>
  <c r="U68" i="124"/>
  <c r="K69" i="124"/>
  <c r="L69" i="124"/>
  <c r="M69" i="124"/>
  <c r="N69" i="124"/>
  <c r="O69" i="124"/>
  <c r="P69" i="124"/>
  <c r="Q69" i="124"/>
  <c r="R69" i="124"/>
  <c r="K70" i="124"/>
  <c r="L70" i="124"/>
  <c r="M70" i="124"/>
  <c r="N70" i="124"/>
  <c r="O70" i="124"/>
  <c r="P70" i="124"/>
  <c r="Q70" i="124"/>
  <c r="R70" i="124"/>
  <c r="S70" i="124"/>
  <c r="T70" i="124"/>
  <c r="U70" i="124"/>
  <c r="K71" i="124"/>
  <c r="L71" i="124"/>
  <c r="M71" i="124"/>
  <c r="N71" i="124"/>
  <c r="O71" i="124"/>
  <c r="P71" i="124"/>
  <c r="Q71" i="124"/>
  <c r="R71" i="124"/>
  <c r="K72" i="124"/>
  <c r="L72" i="124"/>
  <c r="M72" i="124"/>
  <c r="N72" i="124"/>
  <c r="O72" i="124"/>
  <c r="P72" i="124"/>
  <c r="Q72" i="124"/>
  <c r="R72" i="124"/>
  <c r="S72" i="124"/>
  <c r="T72" i="124"/>
  <c r="U72" i="124"/>
  <c r="K73" i="124"/>
  <c r="L73" i="124"/>
  <c r="M73" i="124"/>
  <c r="N73" i="124"/>
  <c r="O73" i="124"/>
  <c r="P73" i="124"/>
  <c r="Q73" i="124"/>
  <c r="R73" i="124"/>
  <c r="S73" i="124"/>
  <c r="T73" i="124"/>
  <c r="U73" i="124"/>
  <c r="K74" i="124"/>
  <c r="L74" i="124"/>
  <c r="M74" i="124"/>
  <c r="N74" i="124"/>
  <c r="O74" i="124"/>
  <c r="P74" i="124"/>
  <c r="Q74" i="124"/>
  <c r="R74" i="124"/>
  <c r="S74" i="124"/>
  <c r="T74" i="124"/>
  <c r="U74" i="124"/>
  <c r="K75" i="124"/>
  <c r="L75" i="124"/>
  <c r="M75" i="124"/>
  <c r="N75" i="124"/>
  <c r="O75" i="124"/>
  <c r="P75" i="124"/>
  <c r="Q75" i="124"/>
  <c r="R75" i="124"/>
  <c r="K76" i="124"/>
  <c r="L76" i="124"/>
  <c r="M76" i="124"/>
  <c r="N76" i="124"/>
  <c r="O76" i="124"/>
  <c r="P76" i="124"/>
  <c r="Q76" i="124"/>
  <c r="R76" i="124"/>
  <c r="K77" i="124"/>
  <c r="L77" i="124"/>
  <c r="M77" i="124"/>
  <c r="N77" i="124"/>
  <c r="O77" i="124"/>
  <c r="P77" i="124"/>
  <c r="Q77" i="124"/>
  <c r="R77" i="124"/>
  <c r="S77" i="124"/>
  <c r="T77" i="124"/>
  <c r="U77" i="124"/>
  <c r="K78" i="124"/>
  <c r="L78" i="124"/>
  <c r="M78" i="124"/>
  <c r="N78" i="124"/>
  <c r="O78" i="124"/>
  <c r="P78" i="124"/>
  <c r="Q78" i="124"/>
  <c r="R78" i="124"/>
  <c r="S78" i="124"/>
  <c r="T78" i="124"/>
  <c r="U78" i="124"/>
  <c r="K79" i="124"/>
  <c r="L79" i="124"/>
  <c r="M79" i="124"/>
  <c r="N79" i="124"/>
  <c r="O79" i="124"/>
  <c r="P79" i="124"/>
  <c r="Q79" i="124"/>
  <c r="R79" i="124"/>
  <c r="S79" i="124"/>
  <c r="T79" i="124"/>
  <c r="U79" i="124"/>
  <c r="K80" i="124"/>
  <c r="L80" i="124"/>
  <c r="M80" i="124"/>
  <c r="N80" i="124"/>
  <c r="O80" i="124"/>
  <c r="P80" i="124"/>
  <c r="Q80" i="124"/>
  <c r="R80" i="124"/>
  <c r="S80" i="124"/>
  <c r="T80" i="124"/>
  <c r="U80" i="124"/>
  <c r="K81" i="124"/>
  <c r="L81" i="124"/>
  <c r="M81" i="124"/>
  <c r="N81" i="124"/>
  <c r="O81" i="124"/>
  <c r="P81" i="124"/>
  <c r="Q81" i="124"/>
  <c r="R81" i="124"/>
  <c r="S81" i="124"/>
  <c r="T81" i="124"/>
  <c r="U81" i="124"/>
  <c r="K82" i="124"/>
  <c r="L82" i="124"/>
  <c r="M82" i="124"/>
  <c r="N82" i="124"/>
  <c r="O82" i="124"/>
  <c r="P82" i="124"/>
  <c r="Q82" i="124"/>
  <c r="R82" i="124"/>
  <c r="S82" i="124"/>
  <c r="T82" i="124"/>
  <c r="U82" i="124"/>
  <c r="K83" i="124"/>
  <c r="L83" i="124"/>
  <c r="M83" i="124"/>
  <c r="N83" i="124"/>
  <c r="O83" i="124"/>
  <c r="P83" i="124"/>
  <c r="Q83" i="124"/>
  <c r="R83" i="124"/>
  <c r="S83" i="124"/>
  <c r="T83" i="124"/>
  <c r="U83" i="124"/>
  <c r="K84" i="124"/>
  <c r="L84" i="124"/>
  <c r="M84" i="124"/>
  <c r="N84" i="124"/>
  <c r="O84" i="124"/>
  <c r="P84" i="124"/>
  <c r="Q84" i="124"/>
  <c r="R84" i="124"/>
  <c r="S84" i="124"/>
  <c r="T84" i="124"/>
  <c r="U84" i="124"/>
  <c r="K85" i="124"/>
  <c r="L85" i="124"/>
  <c r="M85" i="124"/>
  <c r="N85" i="124"/>
  <c r="O85" i="124"/>
  <c r="P85" i="124"/>
  <c r="Q85" i="124"/>
  <c r="R85" i="124"/>
  <c r="S85" i="124"/>
  <c r="T85" i="124"/>
  <c r="U85" i="124"/>
  <c r="K86" i="124"/>
  <c r="L86" i="124"/>
  <c r="M86" i="124"/>
  <c r="N86" i="124"/>
  <c r="O86" i="124"/>
  <c r="P86" i="124"/>
  <c r="Q86" i="124"/>
  <c r="R86" i="124"/>
  <c r="S86" i="124"/>
  <c r="T86" i="124"/>
  <c r="U86" i="124"/>
  <c r="K87" i="124"/>
  <c r="L87" i="124"/>
  <c r="M87" i="124"/>
  <c r="N87" i="124"/>
  <c r="O87" i="124"/>
  <c r="P87" i="124"/>
  <c r="Q87" i="124"/>
  <c r="R87" i="124"/>
  <c r="S87" i="124"/>
  <c r="T87" i="124"/>
  <c r="U87" i="124"/>
  <c r="K88" i="124"/>
  <c r="L88" i="124"/>
  <c r="M88" i="124"/>
  <c r="N88" i="124"/>
  <c r="O88" i="124"/>
  <c r="P88" i="124"/>
  <c r="Q88" i="124"/>
  <c r="R88" i="124"/>
  <c r="S88" i="124"/>
  <c r="T88" i="124"/>
  <c r="U88" i="124"/>
  <c r="K89" i="124"/>
  <c r="L89" i="124"/>
  <c r="M89" i="124"/>
  <c r="N89" i="124"/>
  <c r="O89" i="124"/>
  <c r="P89" i="124"/>
  <c r="Q89" i="124"/>
  <c r="R89" i="124"/>
  <c r="S89" i="124"/>
  <c r="T89" i="124"/>
  <c r="U89" i="124"/>
  <c r="K90" i="124"/>
  <c r="L90" i="124"/>
  <c r="M90" i="124"/>
  <c r="N90" i="124"/>
  <c r="O90" i="124"/>
  <c r="P90" i="124"/>
  <c r="Q90" i="124"/>
  <c r="R90" i="124"/>
  <c r="S90" i="124"/>
  <c r="T90" i="124"/>
  <c r="U90" i="124"/>
  <c r="J53" i="124"/>
  <c r="J54" i="124"/>
  <c r="J55" i="124"/>
  <c r="J56" i="124"/>
  <c r="J57" i="124"/>
  <c r="J58" i="124"/>
  <c r="J59" i="124"/>
  <c r="J60" i="124"/>
  <c r="J61" i="124"/>
  <c r="J62" i="124"/>
  <c r="J63" i="124"/>
  <c r="J64" i="124"/>
  <c r="J65" i="124"/>
  <c r="J66" i="124"/>
  <c r="J67" i="124"/>
  <c r="J68" i="124"/>
  <c r="J69" i="124"/>
  <c r="J70" i="124"/>
  <c r="J71" i="124"/>
  <c r="J72" i="124"/>
  <c r="J73" i="124"/>
  <c r="J74" i="124"/>
  <c r="J75" i="124"/>
  <c r="J76" i="124"/>
  <c r="J77" i="124"/>
  <c r="V77" i="124" s="1"/>
  <c r="J78" i="124"/>
  <c r="V78" i="124" s="1"/>
  <c r="J79" i="124"/>
  <c r="V79" i="124" s="1"/>
  <c r="J80" i="124"/>
  <c r="V80" i="124" s="1"/>
  <c r="J81" i="124"/>
  <c r="V81" i="124" s="1"/>
  <c r="J82" i="124"/>
  <c r="V82" i="124" s="1"/>
  <c r="J83" i="124"/>
  <c r="V83" i="124" s="1"/>
  <c r="J84" i="124"/>
  <c r="V84" i="124" s="1"/>
  <c r="J85" i="124"/>
  <c r="V85" i="124" s="1"/>
  <c r="J86" i="124"/>
  <c r="V86" i="124" s="1"/>
  <c r="J87" i="124"/>
  <c r="V87" i="124" s="1"/>
  <c r="J88" i="124"/>
  <c r="V88" i="124" s="1"/>
  <c r="J89" i="124"/>
  <c r="V89" i="124" s="1"/>
  <c r="J90" i="124"/>
  <c r="V90" i="124" s="1"/>
  <c r="J51" i="124"/>
  <c r="AK82" i="124"/>
  <c r="AN82" i="124" s="1"/>
  <c r="AK83" i="124"/>
  <c r="AN83" i="124" s="1"/>
  <c r="AK84" i="124"/>
  <c r="AN84" i="124" s="1"/>
  <c r="AK89" i="124"/>
  <c r="AN89" i="124" s="1"/>
  <c r="Z38" i="124"/>
  <c r="AA38" i="124"/>
  <c r="AB38" i="124"/>
  <c r="AC38" i="124"/>
  <c r="AD38" i="124"/>
  <c r="AE38" i="124"/>
  <c r="AF38" i="124"/>
  <c r="AG38" i="124"/>
  <c r="AH38" i="124"/>
  <c r="AI38" i="124"/>
  <c r="AJ38" i="124"/>
  <c r="Y38" i="124"/>
  <c r="K40" i="124"/>
  <c r="L40" i="124"/>
  <c r="M40" i="124"/>
  <c r="N40" i="124"/>
  <c r="O40" i="124"/>
  <c r="P40" i="124"/>
  <c r="Q40" i="124"/>
  <c r="R40" i="124"/>
  <c r="S40" i="124"/>
  <c r="T40" i="124"/>
  <c r="U40" i="124"/>
  <c r="K41" i="124"/>
  <c r="L41" i="124"/>
  <c r="M41" i="124"/>
  <c r="N41" i="124"/>
  <c r="O41" i="124"/>
  <c r="P41" i="124"/>
  <c r="Q41" i="124"/>
  <c r="R41" i="124"/>
  <c r="S41" i="124"/>
  <c r="T41" i="124"/>
  <c r="U41" i="124"/>
  <c r="K42" i="124"/>
  <c r="L42" i="124"/>
  <c r="M42" i="124"/>
  <c r="N42" i="124"/>
  <c r="O42" i="124"/>
  <c r="P42" i="124"/>
  <c r="Q42" i="124"/>
  <c r="R42" i="124"/>
  <c r="S42" i="124"/>
  <c r="T42" i="124"/>
  <c r="U42" i="124"/>
  <c r="J41" i="124"/>
  <c r="J42" i="124"/>
  <c r="J40" i="124"/>
  <c r="K38" i="124"/>
  <c r="L38" i="124"/>
  <c r="M38" i="124"/>
  <c r="N38" i="124"/>
  <c r="O38" i="124"/>
  <c r="P38" i="124"/>
  <c r="Q38" i="124"/>
  <c r="J38" i="124"/>
  <c r="Z17" i="124"/>
  <c r="AA17" i="124"/>
  <c r="AB17" i="124"/>
  <c r="AC17" i="124"/>
  <c r="AD17" i="124"/>
  <c r="AE17" i="124"/>
  <c r="AF17" i="124"/>
  <c r="AG17" i="124"/>
  <c r="AH17" i="124"/>
  <c r="AI17" i="124"/>
  <c r="AJ17" i="124"/>
  <c r="Z18" i="124"/>
  <c r="AA18" i="124"/>
  <c r="AB18" i="124"/>
  <c r="AC18" i="124"/>
  <c r="AD18" i="124"/>
  <c r="AE18" i="124"/>
  <c r="AF18" i="124"/>
  <c r="AG18" i="124"/>
  <c r="AH18" i="124"/>
  <c r="AI18" i="124"/>
  <c r="AJ18" i="124"/>
  <c r="Z19" i="124"/>
  <c r="AA19" i="124"/>
  <c r="AB19" i="124"/>
  <c r="AC19" i="124"/>
  <c r="AD19" i="124"/>
  <c r="AE19" i="124"/>
  <c r="AF19" i="124"/>
  <c r="AG19" i="124"/>
  <c r="AH19" i="124"/>
  <c r="AI19" i="124"/>
  <c r="AJ19" i="124"/>
  <c r="Z20" i="124"/>
  <c r="AA20" i="124"/>
  <c r="AB20" i="124"/>
  <c r="AC20" i="124"/>
  <c r="AD20" i="124"/>
  <c r="AE20" i="124"/>
  <c r="AF20" i="124"/>
  <c r="AG20" i="124"/>
  <c r="AH20" i="124"/>
  <c r="AI20" i="124"/>
  <c r="AJ20" i="124"/>
  <c r="Z21" i="124"/>
  <c r="AA21" i="124"/>
  <c r="AB21" i="124"/>
  <c r="AC21" i="124"/>
  <c r="AD21" i="124"/>
  <c r="AE21" i="124"/>
  <c r="AF21" i="124"/>
  <c r="AG21" i="124"/>
  <c r="AH21" i="124"/>
  <c r="AI21" i="124"/>
  <c r="AJ21" i="124"/>
  <c r="Z22" i="124"/>
  <c r="AA22" i="124"/>
  <c r="AB22" i="124"/>
  <c r="AC22" i="124"/>
  <c r="AD22" i="124"/>
  <c r="AE22" i="124"/>
  <c r="AF22" i="124"/>
  <c r="AG22" i="124"/>
  <c r="AH22" i="124"/>
  <c r="AI22" i="124"/>
  <c r="AJ22" i="124"/>
  <c r="Z31" i="124"/>
  <c r="AA31" i="124"/>
  <c r="AB31" i="124"/>
  <c r="AC31" i="124"/>
  <c r="AD31" i="124"/>
  <c r="AE31" i="124"/>
  <c r="AF31" i="124"/>
  <c r="AG31" i="124"/>
  <c r="AH31" i="124"/>
  <c r="AI31" i="124"/>
  <c r="AJ31" i="124"/>
  <c r="Z32" i="124"/>
  <c r="AA32" i="124"/>
  <c r="AB32" i="124"/>
  <c r="AC32" i="124"/>
  <c r="AD32" i="124"/>
  <c r="AE32" i="124"/>
  <c r="AF32" i="124"/>
  <c r="AG32" i="124"/>
  <c r="AH32" i="124"/>
  <c r="AI32" i="124"/>
  <c r="AJ32" i="124"/>
  <c r="Z33" i="124"/>
  <c r="AA33" i="124"/>
  <c r="AB33" i="124"/>
  <c r="AC33" i="124"/>
  <c r="AD33" i="124"/>
  <c r="AE33" i="124"/>
  <c r="AF33" i="124"/>
  <c r="AG33" i="124"/>
  <c r="AH33" i="124"/>
  <c r="AI33" i="124"/>
  <c r="AJ33" i="124"/>
  <c r="Y17" i="124"/>
  <c r="Y18" i="124"/>
  <c r="Y19" i="124"/>
  <c r="Y20" i="124"/>
  <c r="Y21" i="124"/>
  <c r="Y22" i="124"/>
  <c r="Y31" i="124"/>
  <c r="Y32" i="124"/>
  <c r="Y33" i="124"/>
  <c r="K14" i="124"/>
  <c r="L14" i="124"/>
  <c r="M14" i="124"/>
  <c r="N14" i="124"/>
  <c r="O14" i="124"/>
  <c r="P14" i="124"/>
  <c r="Q14" i="124"/>
  <c r="R14" i="124"/>
  <c r="S14" i="124"/>
  <c r="T14" i="124"/>
  <c r="K15" i="124"/>
  <c r="L15" i="124"/>
  <c r="M15" i="124"/>
  <c r="N15" i="124"/>
  <c r="O15" i="124"/>
  <c r="P15" i="124"/>
  <c r="Q15" i="124"/>
  <c r="R15" i="124"/>
  <c r="S15" i="124"/>
  <c r="T15" i="124"/>
  <c r="U15" i="124"/>
  <c r="K16" i="124"/>
  <c r="L16" i="124"/>
  <c r="M16" i="124"/>
  <c r="N16" i="124"/>
  <c r="O16" i="124"/>
  <c r="P16" i="124"/>
  <c r="Q16" i="124"/>
  <c r="R16" i="124"/>
  <c r="S16" i="124"/>
  <c r="T16" i="124"/>
  <c r="U16" i="124"/>
  <c r="K17" i="124"/>
  <c r="L17" i="124"/>
  <c r="M17" i="124"/>
  <c r="N17" i="124"/>
  <c r="O17" i="124"/>
  <c r="P17" i="124"/>
  <c r="Q17" i="124"/>
  <c r="R17" i="124"/>
  <c r="S17" i="124"/>
  <c r="T17" i="124"/>
  <c r="U17" i="124"/>
  <c r="K18" i="124"/>
  <c r="L18" i="124"/>
  <c r="M18" i="124"/>
  <c r="N18" i="124"/>
  <c r="O18" i="124"/>
  <c r="P18" i="124"/>
  <c r="Q18" i="124"/>
  <c r="R18" i="124"/>
  <c r="S18" i="124"/>
  <c r="T18" i="124"/>
  <c r="U18" i="124"/>
  <c r="K19" i="124"/>
  <c r="L19" i="124"/>
  <c r="M19" i="124"/>
  <c r="N19" i="124"/>
  <c r="O19" i="124"/>
  <c r="P19" i="124"/>
  <c r="Q19" i="124"/>
  <c r="R19" i="124"/>
  <c r="S19" i="124"/>
  <c r="T19" i="124"/>
  <c r="U19" i="124"/>
  <c r="K20" i="124"/>
  <c r="L20" i="124"/>
  <c r="M20" i="124"/>
  <c r="N20" i="124"/>
  <c r="O20" i="124"/>
  <c r="P20" i="124"/>
  <c r="Q20" i="124"/>
  <c r="R20" i="124"/>
  <c r="S20" i="124"/>
  <c r="T20" i="124"/>
  <c r="U20" i="124"/>
  <c r="K21" i="124"/>
  <c r="L21" i="124"/>
  <c r="M21" i="124"/>
  <c r="N21" i="124"/>
  <c r="O21" i="124"/>
  <c r="P21" i="124"/>
  <c r="Q21" i="124"/>
  <c r="R21" i="124"/>
  <c r="S21" i="124"/>
  <c r="T21" i="124"/>
  <c r="U21" i="124"/>
  <c r="K22" i="124"/>
  <c r="L22" i="124"/>
  <c r="M22" i="124"/>
  <c r="N22" i="124"/>
  <c r="O22" i="124"/>
  <c r="P22" i="124"/>
  <c r="Q22" i="124"/>
  <c r="R22" i="124"/>
  <c r="S22" i="124"/>
  <c r="T22" i="124"/>
  <c r="U22" i="124"/>
  <c r="K23" i="124"/>
  <c r="L23" i="124"/>
  <c r="M23" i="124"/>
  <c r="N23" i="124"/>
  <c r="O23" i="124"/>
  <c r="P23" i="124"/>
  <c r="Q23" i="124"/>
  <c r="R23" i="124"/>
  <c r="S23" i="124"/>
  <c r="T23" i="124"/>
  <c r="U23" i="124"/>
  <c r="K24" i="124"/>
  <c r="L24" i="124"/>
  <c r="M24" i="124"/>
  <c r="N24" i="124"/>
  <c r="O24" i="124"/>
  <c r="P24" i="124"/>
  <c r="Q24" i="124"/>
  <c r="R24" i="124"/>
  <c r="S24" i="124"/>
  <c r="T24" i="124"/>
  <c r="U24" i="124"/>
  <c r="K25" i="124"/>
  <c r="L25" i="124"/>
  <c r="M25" i="124"/>
  <c r="N25" i="124"/>
  <c r="O25" i="124"/>
  <c r="P25" i="124"/>
  <c r="Q25" i="124"/>
  <c r="R25" i="124"/>
  <c r="S25" i="124"/>
  <c r="T25" i="124"/>
  <c r="U25" i="124"/>
  <c r="K26" i="124"/>
  <c r="L26" i="124"/>
  <c r="M26" i="124"/>
  <c r="N26" i="124"/>
  <c r="O26" i="124"/>
  <c r="P26" i="124"/>
  <c r="Q26" i="124"/>
  <c r="R26" i="124"/>
  <c r="S26" i="124"/>
  <c r="T26" i="124"/>
  <c r="U26" i="124"/>
  <c r="K27" i="124"/>
  <c r="L27" i="124"/>
  <c r="M27" i="124"/>
  <c r="N27" i="124"/>
  <c r="O27" i="124"/>
  <c r="P27" i="124"/>
  <c r="Q27" i="124"/>
  <c r="R27" i="124"/>
  <c r="S27" i="124"/>
  <c r="T27" i="124"/>
  <c r="U27" i="124"/>
  <c r="K28" i="124"/>
  <c r="L28" i="124"/>
  <c r="M28" i="124"/>
  <c r="N28" i="124"/>
  <c r="O28" i="124"/>
  <c r="P28" i="124"/>
  <c r="Q28" i="124"/>
  <c r="R28" i="124"/>
  <c r="S28" i="124"/>
  <c r="T28" i="124"/>
  <c r="U28" i="124"/>
  <c r="K29" i="124"/>
  <c r="L29" i="124"/>
  <c r="M29" i="124"/>
  <c r="N29" i="124"/>
  <c r="O29" i="124"/>
  <c r="P29" i="124"/>
  <c r="Q29" i="124"/>
  <c r="R29" i="124"/>
  <c r="S29" i="124"/>
  <c r="T29" i="124"/>
  <c r="U29" i="124"/>
  <c r="K30" i="124"/>
  <c r="L30" i="124"/>
  <c r="M30" i="124"/>
  <c r="N30" i="124"/>
  <c r="O30" i="124"/>
  <c r="P30" i="124"/>
  <c r="Q30" i="124"/>
  <c r="R30" i="124"/>
  <c r="S30" i="124"/>
  <c r="T30" i="124"/>
  <c r="U30" i="124"/>
  <c r="K31" i="124"/>
  <c r="L31" i="124"/>
  <c r="M31" i="124"/>
  <c r="N31" i="124"/>
  <c r="O31" i="124"/>
  <c r="P31" i="124"/>
  <c r="Q31" i="124"/>
  <c r="R31" i="124"/>
  <c r="S31" i="124"/>
  <c r="T31" i="124"/>
  <c r="U31" i="124"/>
  <c r="K32" i="124"/>
  <c r="L32" i="124"/>
  <c r="M32" i="124"/>
  <c r="N32" i="124"/>
  <c r="O32" i="124"/>
  <c r="P32" i="124"/>
  <c r="Q32" i="124"/>
  <c r="R32" i="124"/>
  <c r="S32" i="124"/>
  <c r="T32" i="124"/>
  <c r="U32" i="124"/>
  <c r="K33" i="124"/>
  <c r="L33" i="124"/>
  <c r="M33" i="124"/>
  <c r="N33" i="124"/>
  <c r="O33" i="124"/>
  <c r="P33" i="124"/>
  <c r="Q33" i="124"/>
  <c r="R33" i="124"/>
  <c r="S33" i="124"/>
  <c r="T33" i="124"/>
  <c r="U33" i="124"/>
  <c r="J15" i="124"/>
  <c r="J16" i="124"/>
  <c r="J17" i="124"/>
  <c r="J18" i="124"/>
  <c r="J19" i="124"/>
  <c r="J20" i="124"/>
  <c r="V20" i="124" s="1"/>
  <c r="J21" i="124"/>
  <c r="V21" i="124" s="1"/>
  <c r="J22" i="124"/>
  <c r="V22" i="124" s="1"/>
  <c r="J23" i="124"/>
  <c r="V23" i="124" s="1"/>
  <c r="J24" i="124"/>
  <c r="V24" i="124" s="1"/>
  <c r="J25" i="124"/>
  <c r="V25" i="124" s="1"/>
  <c r="J26" i="124"/>
  <c r="V26" i="124" s="1"/>
  <c r="J27" i="124"/>
  <c r="V27" i="124" s="1"/>
  <c r="J28" i="124"/>
  <c r="V28" i="124" s="1"/>
  <c r="J29" i="124"/>
  <c r="V29" i="124" s="1"/>
  <c r="J30" i="124"/>
  <c r="V30" i="124" s="1"/>
  <c r="J31" i="124"/>
  <c r="V31" i="124" s="1"/>
  <c r="J32" i="124"/>
  <c r="V32" i="124" s="1"/>
  <c r="J33" i="124"/>
  <c r="V33" i="124" s="1"/>
  <c r="V153" i="85"/>
  <c r="V151" i="85"/>
  <c r="V150" i="85"/>
  <c r="V149" i="85"/>
  <c r="V147" i="85"/>
  <c r="V146" i="85"/>
  <c r="V145" i="85"/>
  <c r="V144" i="85"/>
  <c r="V143" i="85"/>
  <c r="V142" i="85"/>
  <c r="V141" i="85"/>
  <c r="V140" i="85"/>
  <c r="V139" i="85"/>
  <c r="V138" i="85"/>
  <c r="V137" i="85"/>
  <c r="V136" i="85"/>
  <c r="V135" i="85"/>
  <c r="V122" i="85"/>
  <c r="V121" i="85"/>
  <c r="V120" i="85"/>
  <c r="V119" i="85"/>
  <c r="V118" i="85"/>
  <c r="V117" i="85"/>
  <c r="V116" i="85"/>
  <c r="V115" i="85"/>
  <c r="V114" i="85"/>
  <c r="V113" i="85"/>
  <c r="Y112" i="85"/>
  <c r="V112" i="85"/>
  <c r="Y107" i="85"/>
  <c r="Y91" i="85"/>
  <c r="AK89" i="85"/>
  <c r="AK86" i="85"/>
  <c r="V86" i="85"/>
  <c r="V85" i="85"/>
  <c r="AK84" i="85"/>
  <c r="V84" i="85"/>
  <c r="AK83" i="85"/>
  <c r="V83" i="85"/>
  <c r="AK82" i="85"/>
  <c r="V82" i="85"/>
  <c r="V81" i="85"/>
  <c r="AK80" i="85"/>
  <c r="V80" i="85"/>
  <c r="V79" i="85"/>
  <c r="V78" i="85"/>
  <c r="AK77" i="85"/>
  <c r="V77" i="85"/>
  <c r="AK74" i="85"/>
  <c r="V74" i="85"/>
  <c r="AK73" i="85"/>
  <c r="V73" i="85"/>
  <c r="AK72" i="85"/>
  <c r="V72" i="85"/>
  <c r="AK70" i="85"/>
  <c r="V70" i="85"/>
  <c r="AK68" i="85"/>
  <c r="V68" i="85"/>
  <c r="AK67" i="85"/>
  <c r="V67" i="85"/>
  <c r="V65" i="85"/>
  <c r="AK64" i="85"/>
  <c r="V64" i="85"/>
  <c r="AK62" i="85"/>
  <c r="V62" i="85"/>
  <c r="AK61" i="85"/>
  <c r="V61" i="85"/>
  <c r="AK60" i="85"/>
  <c r="V60" i="85"/>
  <c r="AK59" i="85"/>
  <c r="V59" i="85"/>
  <c r="V58" i="85"/>
  <c r="AK57" i="85"/>
  <c r="V57" i="85"/>
  <c r="V55" i="85"/>
  <c r="AK53" i="85"/>
  <c r="V53" i="85"/>
  <c r="Y50" i="85"/>
  <c r="V42" i="85"/>
  <c r="V41" i="85"/>
  <c r="V40" i="85"/>
  <c r="Y39" i="85"/>
  <c r="V39" i="85"/>
  <c r="W39" i="85" s="1"/>
  <c r="AK38" i="85"/>
  <c r="AK33" i="85"/>
  <c r="V33" i="85"/>
  <c r="AK32" i="85"/>
  <c r="V32" i="85"/>
  <c r="AK31" i="85"/>
  <c r="V31" i="85"/>
  <c r="V30" i="85"/>
  <c r="V29" i="85"/>
  <c r="V28" i="85"/>
  <c r="V27" i="85"/>
  <c r="V26" i="85"/>
  <c r="V25" i="85"/>
  <c r="V24" i="85"/>
  <c r="V23" i="85"/>
  <c r="AK22" i="85"/>
  <c r="V22" i="85"/>
  <c r="AK21" i="85"/>
  <c r="V21" i="85"/>
  <c r="AK20" i="85"/>
  <c r="V20" i="85"/>
  <c r="AK19" i="85"/>
  <c r="V19" i="85"/>
  <c r="AK18" i="85"/>
  <c r="V18" i="85"/>
  <c r="AK17" i="85"/>
  <c r="V17" i="85"/>
  <c r="V16" i="85"/>
  <c r="V15" i="85"/>
  <c r="V14" i="85"/>
  <c r="V13" i="85"/>
  <c r="AK12" i="85"/>
  <c r="V12" i="85"/>
  <c r="AK11" i="85"/>
  <c r="V11" i="85"/>
  <c r="V10" i="85"/>
  <c r="V9" i="85"/>
  <c r="V8" i="85"/>
  <c r="V7" i="85"/>
  <c r="V6" i="85"/>
  <c r="Q161" i="85"/>
  <c r="P161" i="85"/>
  <c r="O161" i="85"/>
  <c r="N161" i="85"/>
  <c r="M161" i="85"/>
  <c r="L161" i="85"/>
  <c r="K161" i="85"/>
  <c r="J161" i="85"/>
  <c r="AK153" i="86"/>
  <c r="AK151" i="86"/>
  <c r="AK150" i="86"/>
  <c r="AK147" i="86"/>
  <c r="AK145" i="86"/>
  <c r="AK144" i="86"/>
  <c r="AK141" i="86"/>
  <c r="AK137" i="86"/>
  <c r="AK136" i="86"/>
  <c r="AK134" i="86"/>
  <c r="AK132" i="86"/>
  <c r="AK131" i="86"/>
  <c r="AK130" i="86"/>
  <c r="AK128" i="86"/>
  <c r="AK122" i="86"/>
  <c r="V122" i="86"/>
  <c r="V121" i="86"/>
  <c r="AK120" i="86"/>
  <c r="V120" i="86"/>
  <c r="V119" i="86"/>
  <c r="AK118" i="86"/>
  <c r="V118" i="86"/>
  <c r="V117" i="86"/>
  <c r="V116" i="86"/>
  <c r="AK115" i="86"/>
  <c r="V115" i="86"/>
  <c r="AK114" i="86"/>
  <c r="V114" i="86"/>
  <c r="V113" i="86"/>
  <c r="Y112" i="86"/>
  <c r="V112" i="86"/>
  <c r="Y107" i="86"/>
  <c r="Y91" i="86"/>
  <c r="AK89" i="86"/>
  <c r="AK86" i="86"/>
  <c r="V86" i="86"/>
  <c r="V85" i="86"/>
  <c r="AK84" i="86"/>
  <c r="V84" i="86"/>
  <c r="AK83" i="86"/>
  <c r="V83" i="86"/>
  <c r="AK82" i="86"/>
  <c r="V82" i="86"/>
  <c r="V81" i="86"/>
  <c r="AK80" i="86"/>
  <c r="V80" i="86"/>
  <c r="V79" i="86"/>
  <c r="V78" i="86"/>
  <c r="AK77" i="86"/>
  <c r="V77" i="86"/>
  <c r="AK74" i="86"/>
  <c r="V74" i="86"/>
  <c r="AK73" i="86"/>
  <c r="V73" i="86"/>
  <c r="AK72" i="86"/>
  <c r="V72" i="86"/>
  <c r="AK70" i="86"/>
  <c r="V70" i="86"/>
  <c r="AK68" i="86"/>
  <c r="V68" i="86"/>
  <c r="AK67" i="86"/>
  <c r="V67" i="86"/>
  <c r="V65" i="86"/>
  <c r="AK64" i="86"/>
  <c r="V64" i="86"/>
  <c r="AK62" i="86"/>
  <c r="V62" i="86"/>
  <c r="AK61" i="86"/>
  <c r="V61" i="86"/>
  <c r="AK60" i="86"/>
  <c r="V60" i="86"/>
  <c r="AK59" i="86"/>
  <c r="V59" i="86"/>
  <c r="V58" i="86"/>
  <c r="AK57" i="86"/>
  <c r="V57" i="86"/>
  <c r="V55" i="86"/>
  <c r="AK53" i="86"/>
  <c r="V53" i="86"/>
  <c r="Y50" i="86"/>
  <c r="V42" i="86"/>
  <c r="V41" i="86"/>
  <c r="V40" i="86"/>
  <c r="Y39" i="86"/>
  <c r="V39" i="86"/>
  <c r="W39" i="86" s="1"/>
  <c r="AK38" i="86"/>
  <c r="AK33" i="86"/>
  <c r="V33" i="86"/>
  <c r="AK32" i="86"/>
  <c r="V32" i="86"/>
  <c r="AK31" i="86"/>
  <c r="V31" i="86"/>
  <c r="V30" i="86"/>
  <c r="Y29" i="86"/>
  <c r="V29" i="86"/>
  <c r="Y28" i="86"/>
  <c r="V28" i="86"/>
  <c r="Y27" i="86"/>
  <c r="V27" i="86"/>
  <c r="Y26" i="86"/>
  <c r="V26" i="86"/>
  <c r="Y25" i="86"/>
  <c r="V25" i="86"/>
  <c r="Y24" i="86"/>
  <c r="V24" i="86"/>
  <c r="Y23" i="86"/>
  <c r="V23" i="86"/>
  <c r="AK22" i="86"/>
  <c r="V22" i="86"/>
  <c r="AK21" i="86"/>
  <c r="V21" i="86"/>
  <c r="AK20" i="86"/>
  <c r="V20" i="86"/>
  <c r="AK19" i="86"/>
  <c r="V19" i="86"/>
  <c r="AK18" i="86"/>
  <c r="V18" i="86"/>
  <c r="AK17" i="86"/>
  <c r="V17" i="86"/>
  <c r="V16" i="86"/>
  <c r="V15" i="86"/>
  <c r="V14" i="86"/>
  <c r="V13" i="86"/>
  <c r="AK12" i="86"/>
  <c r="V12" i="86"/>
  <c r="AK11" i="86"/>
  <c r="V11" i="86"/>
  <c r="Y30" i="86"/>
  <c r="V10" i="86"/>
  <c r="V9" i="86"/>
  <c r="V8" i="86"/>
  <c r="V7" i="86"/>
  <c r="V6" i="86"/>
  <c r="Q161" i="86"/>
  <c r="AK153" i="68"/>
  <c r="V153" i="68"/>
  <c r="AK151" i="68"/>
  <c r="V151" i="68"/>
  <c r="AK150" i="68"/>
  <c r="V150" i="68"/>
  <c r="V149" i="68"/>
  <c r="AK147" i="68"/>
  <c r="AK145" i="68"/>
  <c r="AK144" i="68"/>
  <c r="AK141" i="68"/>
  <c r="AK137" i="68"/>
  <c r="AK136" i="68"/>
  <c r="AK134" i="68"/>
  <c r="AK132" i="68"/>
  <c r="AK131" i="68"/>
  <c r="AK130" i="68"/>
  <c r="AK128" i="68"/>
  <c r="AK122" i="68"/>
  <c r="V122" i="68"/>
  <c r="V121" i="68"/>
  <c r="AK120" i="68"/>
  <c r="V120" i="68"/>
  <c r="V119" i="68"/>
  <c r="AK118" i="68"/>
  <c r="V118" i="68"/>
  <c r="V117" i="68"/>
  <c r="V116" i="68"/>
  <c r="AK115" i="68"/>
  <c r="V115" i="68"/>
  <c r="AK114" i="68"/>
  <c r="V114" i="68"/>
  <c r="V113" i="68"/>
  <c r="Y112" i="68"/>
  <c r="V112" i="68"/>
  <c r="Y107" i="68"/>
  <c r="Y91" i="68"/>
  <c r="AK89" i="68"/>
  <c r="AK86" i="68"/>
  <c r="V86" i="68"/>
  <c r="V85" i="68"/>
  <c r="AK84" i="68"/>
  <c r="V84" i="68"/>
  <c r="AK83" i="68"/>
  <c r="V83" i="68"/>
  <c r="AK82" i="68"/>
  <c r="V82" i="68"/>
  <c r="V81" i="68"/>
  <c r="AK80" i="68"/>
  <c r="V80" i="68"/>
  <c r="V79" i="68"/>
  <c r="V78" i="68"/>
  <c r="AK77" i="68"/>
  <c r="V77" i="68"/>
  <c r="AK74" i="68"/>
  <c r="V74" i="68"/>
  <c r="AK73" i="68"/>
  <c r="V73" i="68"/>
  <c r="AK72" i="68"/>
  <c r="V72" i="68"/>
  <c r="AK70" i="68"/>
  <c r="V70" i="68"/>
  <c r="AK68" i="68"/>
  <c r="V68" i="68"/>
  <c r="AK67" i="68"/>
  <c r="V67" i="68"/>
  <c r="V65" i="68"/>
  <c r="AK64" i="68"/>
  <c r="V64" i="68"/>
  <c r="AK62" i="68"/>
  <c r="V62" i="68"/>
  <c r="AK61" i="68"/>
  <c r="V61" i="68"/>
  <c r="AK60" i="68"/>
  <c r="V60" i="68"/>
  <c r="AK59" i="68"/>
  <c r="V59" i="68"/>
  <c r="V58" i="68"/>
  <c r="V57" i="68"/>
  <c r="V55" i="68"/>
  <c r="AK53" i="68"/>
  <c r="V53" i="68"/>
  <c r="Y50" i="68"/>
  <c r="Y40" i="68"/>
  <c r="Y7" i="68" s="1"/>
  <c r="Y39" i="68"/>
  <c r="W39" i="68"/>
  <c r="AK38" i="68"/>
  <c r="AK33" i="68"/>
  <c r="V33" i="68"/>
  <c r="AK32" i="68"/>
  <c r="V32" i="68"/>
  <c r="AK31" i="68"/>
  <c r="V31" i="68"/>
  <c r="V30" i="68"/>
  <c r="Y29" i="68"/>
  <c r="V29" i="68"/>
  <c r="Y28" i="68"/>
  <c r="V28" i="68"/>
  <c r="Y27" i="68"/>
  <c r="V27" i="68"/>
  <c r="Y26" i="68"/>
  <c r="V26" i="68"/>
  <c r="Y25" i="68"/>
  <c r="V25" i="68"/>
  <c r="Y24" i="68"/>
  <c r="V24" i="68"/>
  <c r="Y23" i="68"/>
  <c r="V23" i="68"/>
  <c r="AK22" i="68"/>
  <c r="V22" i="68"/>
  <c r="AK21" i="68"/>
  <c r="V21" i="68"/>
  <c r="AK20" i="68"/>
  <c r="V20" i="68"/>
  <c r="AK19" i="68"/>
  <c r="V19" i="68"/>
  <c r="AK18" i="68"/>
  <c r="V18" i="68"/>
  <c r="AK17" i="68"/>
  <c r="V17" i="68"/>
  <c r="V16" i="68"/>
  <c r="V15" i="68"/>
  <c r="V14" i="68"/>
  <c r="V13" i="68"/>
  <c r="AK12" i="68"/>
  <c r="V12" i="68"/>
  <c r="AK11" i="68"/>
  <c r="Y30" i="68"/>
  <c r="Q161" i="68"/>
  <c r="AK128" i="87"/>
  <c r="AM128" i="87"/>
  <c r="AK130" i="87"/>
  <c r="AM130" i="87"/>
  <c r="AK131" i="87"/>
  <c r="AM131" i="87"/>
  <c r="AK132" i="87"/>
  <c r="AM132" i="87"/>
  <c r="AK89" i="87"/>
  <c r="AM89" i="87"/>
  <c r="V20" i="87"/>
  <c r="V21" i="87"/>
  <c r="V22" i="87"/>
  <c r="V23" i="87"/>
  <c r="V24" i="87"/>
  <c r="V25" i="87"/>
  <c r="V26" i="87"/>
  <c r="V27" i="87"/>
  <c r="V28" i="87"/>
  <c r="V29" i="87"/>
  <c r="V30" i="87"/>
  <c r="V31" i="87"/>
  <c r="V32" i="87"/>
  <c r="V33" i="87"/>
  <c r="AM20" i="87"/>
  <c r="AM21" i="87"/>
  <c r="AM22" i="87"/>
  <c r="AM31" i="87"/>
  <c r="AM32" i="87"/>
  <c r="AM33" i="87"/>
  <c r="Y10" i="174"/>
  <c r="V64" i="87"/>
  <c r="AK64" i="87"/>
  <c r="AM64" i="87"/>
  <c r="V65" i="87"/>
  <c r="V67" i="87"/>
  <c r="AK67" i="87"/>
  <c r="AM67" i="87"/>
  <c r="V68" i="87"/>
  <c r="AK68" i="87"/>
  <c r="AM68" i="87"/>
  <c r="V70" i="87"/>
  <c r="AK70" i="87"/>
  <c r="AM70" i="87"/>
  <c r="V72" i="87"/>
  <c r="AK72" i="87"/>
  <c r="AM72" i="87"/>
  <c r="V73" i="87"/>
  <c r="AK73" i="87"/>
  <c r="AM73" i="87"/>
  <c r="V74" i="87"/>
  <c r="AK74" i="87"/>
  <c r="AM74" i="87"/>
  <c r="V77" i="87"/>
  <c r="AK77" i="87"/>
  <c r="AM77" i="87"/>
  <c r="V78" i="87"/>
  <c r="V79" i="87"/>
  <c r="V80" i="87"/>
  <c r="AK80" i="87"/>
  <c r="AM80" i="87"/>
  <c r="V81" i="87"/>
  <c r="V82" i="87"/>
  <c r="AK82" i="87"/>
  <c r="AM82" i="87"/>
  <c r="V83" i="87"/>
  <c r="AK83" i="87"/>
  <c r="AM83" i="87"/>
  <c r="V84" i="87"/>
  <c r="AK84" i="87"/>
  <c r="AM84" i="87"/>
  <c r="V85" i="87"/>
  <c r="V86" i="87"/>
  <c r="AK86" i="87"/>
  <c r="AM86" i="87"/>
  <c r="AJ340" i="174"/>
  <c r="AI340" i="174"/>
  <c r="AH340" i="174"/>
  <c r="AG340" i="174"/>
  <c r="AF340" i="174"/>
  <c r="AE340" i="174"/>
  <c r="AD340" i="174"/>
  <c r="AC340" i="174"/>
  <c r="AB340" i="174"/>
  <c r="AA340" i="174"/>
  <c r="Z340" i="174"/>
  <c r="Y340" i="174"/>
  <c r="V340" i="174"/>
  <c r="AJ316" i="174"/>
  <c r="AI316" i="174"/>
  <c r="AH316" i="174"/>
  <c r="AG316" i="174"/>
  <c r="AF316" i="174"/>
  <c r="AE316" i="174"/>
  <c r="AD316" i="174"/>
  <c r="AC316" i="174"/>
  <c r="AB316" i="174"/>
  <c r="AA316" i="174"/>
  <c r="Z316" i="174"/>
  <c r="Y316" i="174"/>
  <c r="V316" i="174"/>
  <c r="AJ315" i="174"/>
  <c r="AI315" i="174"/>
  <c r="AH315" i="174"/>
  <c r="AG315" i="174"/>
  <c r="AF315" i="174"/>
  <c r="AE315" i="174"/>
  <c r="AD315" i="174"/>
  <c r="AC315" i="174"/>
  <c r="AB315" i="174"/>
  <c r="AA315" i="174"/>
  <c r="Z315" i="174"/>
  <c r="Y315" i="174"/>
  <c r="V315" i="174"/>
  <c r="U315" i="174"/>
  <c r="T315" i="174"/>
  <c r="S315" i="174"/>
  <c r="R315" i="174"/>
  <c r="Q315" i="174"/>
  <c r="P315" i="174"/>
  <c r="O315" i="174"/>
  <c r="N315" i="174"/>
  <c r="M315" i="174"/>
  <c r="L315" i="174"/>
  <c r="K315" i="174"/>
  <c r="J315" i="174"/>
  <c r="AJ313" i="174"/>
  <c r="AI313" i="174"/>
  <c r="AH313" i="174"/>
  <c r="AG313" i="174"/>
  <c r="AF313" i="174"/>
  <c r="AE313" i="174"/>
  <c r="AD313" i="174"/>
  <c r="AC313" i="174"/>
  <c r="AB313" i="174"/>
  <c r="AA313" i="174"/>
  <c r="Z313" i="174"/>
  <c r="Y313" i="174"/>
  <c r="U313" i="174"/>
  <c r="T313" i="174"/>
  <c r="S313" i="174"/>
  <c r="R313" i="174"/>
  <c r="Q313" i="174"/>
  <c r="P313" i="174"/>
  <c r="O313" i="174"/>
  <c r="N313" i="174"/>
  <c r="M313" i="174"/>
  <c r="L313" i="174"/>
  <c r="K313" i="174"/>
  <c r="J313" i="174"/>
  <c r="V313" i="174" s="1"/>
  <c r="AJ312" i="174"/>
  <c r="AI312" i="174"/>
  <c r="AH312" i="174"/>
  <c r="AG312" i="174"/>
  <c r="AF312" i="174"/>
  <c r="AE312" i="174"/>
  <c r="AD312" i="174"/>
  <c r="AC312" i="174"/>
  <c r="AB312" i="174"/>
  <c r="AA312" i="174"/>
  <c r="Z312" i="174"/>
  <c r="Y312" i="174"/>
  <c r="U312" i="174"/>
  <c r="T312" i="174"/>
  <c r="S312" i="174"/>
  <c r="R312" i="174"/>
  <c r="Q312" i="174"/>
  <c r="P312" i="174"/>
  <c r="O312" i="174"/>
  <c r="N312" i="174"/>
  <c r="M312" i="174"/>
  <c r="L312" i="174"/>
  <c r="K312" i="174"/>
  <c r="J312" i="174"/>
  <c r="V312" i="174" s="1"/>
  <c r="AJ311" i="174"/>
  <c r="AI311" i="174"/>
  <c r="AH311" i="174"/>
  <c r="AG311" i="174"/>
  <c r="AF311" i="174"/>
  <c r="AE311" i="174"/>
  <c r="AD311" i="174"/>
  <c r="AC311" i="174"/>
  <c r="AB311" i="174"/>
  <c r="AA311" i="174"/>
  <c r="Z311" i="174"/>
  <c r="Y311" i="174"/>
  <c r="U311" i="174"/>
  <c r="T311" i="174"/>
  <c r="S311" i="174"/>
  <c r="R311" i="174"/>
  <c r="Q311" i="174"/>
  <c r="P311" i="174"/>
  <c r="O311" i="174"/>
  <c r="N311" i="174"/>
  <c r="M311" i="174"/>
  <c r="L311" i="174"/>
  <c r="K311" i="174"/>
  <c r="J311" i="174"/>
  <c r="V311" i="174" s="1"/>
  <c r="AJ310" i="174"/>
  <c r="AI310" i="174"/>
  <c r="AH310" i="174"/>
  <c r="AG310" i="174"/>
  <c r="AF310" i="174"/>
  <c r="AE310" i="174"/>
  <c r="AD310" i="174"/>
  <c r="AC310" i="174"/>
  <c r="AB310" i="174"/>
  <c r="AA310" i="174"/>
  <c r="Z310" i="174"/>
  <c r="Y310" i="174"/>
  <c r="U310" i="174"/>
  <c r="T310" i="174"/>
  <c r="S310" i="174"/>
  <c r="R310" i="174"/>
  <c r="Q310" i="174"/>
  <c r="P310" i="174"/>
  <c r="O310" i="174"/>
  <c r="N310" i="174"/>
  <c r="M310" i="174"/>
  <c r="L310" i="174"/>
  <c r="K310" i="174"/>
  <c r="J310" i="174"/>
  <c r="V310" i="174" s="1"/>
  <c r="AJ309" i="174"/>
  <c r="AI309" i="174"/>
  <c r="AH309" i="174"/>
  <c r="AG309" i="174"/>
  <c r="AF309" i="174"/>
  <c r="AE309" i="174"/>
  <c r="AD309" i="174"/>
  <c r="AC309" i="174"/>
  <c r="AB309" i="174"/>
  <c r="AA309" i="174"/>
  <c r="Z309" i="174"/>
  <c r="Y309" i="174"/>
  <c r="U309" i="174"/>
  <c r="T309" i="174"/>
  <c r="S309" i="174"/>
  <c r="R309" i="174"/>
  <c r="Q309" i="174"/>
  <c r="P309" i="174"/>
  <c r="O309" i="174"/>
  <c r="N309" i="174"/>
  <c r="M309" i="174"/>
  <c r="L309" i="174"/>
  <c r="K309" i="174"/>
  <c r="J309" i="174"/>
  <c r="V309" i="174" s="1"/>
  <c r="AJ308" i="174"/>
  <c r="AI308" i="174"/>
  <c r="AH308" i="174"/>
  <c r="AG308" i="174"/>
  <c r="AF308" i="174"/>
  <c r="AE308" i="174"/>
  <c r="AD308" i="174"/>
  <c r="AC308" i="174"/>
  <c r="AB308" i="174"/>
  <c r="AA308" i="174"/>
  <c r="Z308" i="174"/>
  <c r="Y308" i="174"/>
  <c r="U308" i="174"/>
  <c r="T308" i="174"/>
  <c r="S308" i="174"/>
  <c r="R308" i="174"/>
  <c r="Q308" i="174"/>
  <c r="P308" i="174"/>
  <c r="O308" i="174"/>
  <c r="N308" i="174"/>
  <c r="M308" i="174"/>
  <c r="L308" i="174"/>
  <c r="K308" i="174"/>
  <c r="J308" i="174"/>
  <c r="V308" i="174" s="1"/>
  <c r="AJ307" i="174"/>
  <c r="AI307" i="174"/>
  <c r="AH307" i="174"/>
  <c r="AG307" i="174"/>
  <c r="AF307" i="174"/>
  <c r="AE307" i="174"/>
  <c r="AD307" i="174"/>
  <c r="AC307" i="174"/>
  <c r="AB307" i="174"/>
  <c r="AA307" i="174"/>
  <c r="Z307" i="174"/>
  <c r="Y307" i="174"/>
  <c r="U307" i="174"/>
  <c r="T307" i="174"/>
  <c r="S307" i="174"/>
  <c r="R307" i="174"/>
  <c r="Q307" i="174"/>
  <c r="P307" i="174"/>
  <c r="O307" i="174"/>
  <c r="N307" i="174"/>
  <c r="M307" i="174"/>
  <c r="L307" i="174"/>
  <c r="K307" i="174"/>
  <c r="J307" i="174"/>
  <c r="V307" i="174" s="1"/>
  <c r="AJ306" i="174"/>
  <c r="AI306" i="174"/>
  <c r="AH306" i="174"/>
  <c r="AG306" i="174"/>
  <c r="AF306" i="174"/>
  <c r="AE306" i="174"/>
  <c r="AD306" i="174"/>
  <c r="AC306" i="174"/>
  <c r="AB306" i="174"/>
  <c r="AA306" i="174"/>
  <c r="Z306" i="174"/>
  <c r="Y306" i="174"/>
  <c r="U306" i="174"/>
  <c r="T306" i="174"/>
  <c r="S306" i="174"/>
  <c r="R306" i="174"/>
  <c r="Q306" i="174"/>
  <c r="P306" i="174"/>
  <c r="O306" i="174"/>
  <c r="N306" i="174"/>
  <c r="M306" i="174"/>
  <c r="L306" i="174"/>
  <c r="K306" i="174"/>
  <c r="J306" i="174"/>
  <c r="V306" i="174" s="1"/>
  <c r="AJ305" i="174"/>
  <c r="AI305" i="174"/>
  <c r="AH305" i="174"/>
  <c r="AG305" i="174"/>
  <c r="AF305" i="174"/>
  <c r="AE305" i="174"/>
  <c r="AD305" i="174"/>
  <c r="AC305" i="174"/>
  <c r="AB305" i="174"/>
  <c r="AA305" i="174"/>
  <c r="Z305" i="174"/>
  <c r="Y305" i="174"/>
  <c r="U305" i="174"/>
  <c r="T305" i="174"/>
  <c r="S305" i="174"/>
  <c r="R305" i="174"/>
  <c r="Q305" i="174"/>
  <c r="P305" i="174"/>
  <c r="O305" i="174"/>
  <c r="N305" i="174"/>
  <c r="M305" i="174"/>
  <c r="L305" i="174"/>
  <c r="K305" i="174"/>
  <c r="J305" i="174"/>
  <c r="V305" i="174" s="1"/>
  <c r="AJ304" i="174"/>
  <c r="AI304" i="174"/>
  <c r="AH304" i="174"/>
  <c r="AG304" i="174"/>
  <c r="AF304" i="174"/>
  <c r="AE304" i="174"/>
  <c r="AD304" i="174"/>
  <c r="AC304" i="174"/>
  <c r="AB304" i="174"/>
  <c r="AA304" i="174"/>
  <c r="Z304" i="174"/>
  <c r="Y304" i="174"/>
  <c r="U304" i="174"/>
  <c r="T304" i="174"/>
  <c r="S304" i="174"/>
  <c r="R304" i="174"/>
  <c r="Q304" i="174"/>
  <c r="P304" i="174"/>
  <c r="O304" i="174"/>
  <c r="N304" i="174"/>
  <c r="M304" i="174"/>
  <c r="L304" i="174"/>
  <c r="K304" i="174"/>
  <c r="J304" i="174"/>
  <c r="V304" i="174" s="1"/>
  <c r="AJ303" i="174"/>
  <c r="AI303" i="174"/>
  <c r="AH303" i="174"/>
  <c r="AG303" i="174"/>
  <c r="AF303" i="174"/>
  <c r="AE303" i="174"/>
  <c r="AD303" i="174"/>
  <c r="AC303" i="174"/>
  <c r="AB303" i="174"/>
  <c r="AA303" i="174"/>
  <c r="Z303" i="174"/>
  <c r="Y303" i="174"/>
  <c r="U303" i="174"/>
  <c r="T303" i="174"/>
  <c r="S303" i="174"/>
  <c r="R303" i="174"/>
  <c r="Q303" i="174"/>
  <c r="P303" i="174"/>
  <c r="O303" i="174"/>
  <c r="N303" i="174"/>
  <c r="M303" i="174"/>
  <c r="L303" i="174"/>
  <c r="K303" i="174"/>
  <c r="J303" i="174"/>
  <c r="V303" i="174" s="1"/>
  <c r="AJ302" i="174"/>
  <c r="AI302" i="174"/>
  <c r="AH302" i="174"/>
  <c r="AG302" i="174"/>
  <c r="AF302" i="174"/>
  <c r="AE302" i="174"/>
  <c r="AD302" i="174"/>
  <c r="AC302" i="174"/>
  <c r="AB302" i="174"/>
  <c r="AA302" i="174"/>
  <c r="Z302" i="174"/>
  <c r="Y302" i="174"/>
  <c r="U302" i="174"/>
  <c r="T302" i="174"/>
  <c r="S302" i="174"/>
  <c r="R302" i="174"/>
  <c r="Q302" i="174"/>
  <c r="P302" i="174"/>
  <c r="O302" i="174"/>
  <c r="N302" i="174"/>
  <c r="M302" i="174"/>
  <c r="L302" i="174"/>
  <c r="K302" i="174"/>
  <c r="J302" i="174"/>
  <c r="V302" i="174" s="1"/>
  <c r="AJ301" i="174"/>
  <c r="AI301" i="174"/>
  <c r="AH301" i="174"/>
  <c r="AG301" i="174"/>
  <c r="AF301" i="174"/>
  <c r="AE301" i="174"/>
  <c r="AD301" i="174"/>
  <c r="AC301" i="174"/>
  <c r="AB301" i="174"/>
  <c r="AA301" i="174"/>
  <c r="Z301" i="174"/>
  <c r="Y301" i="174"/>
  <c r="U301" i="174"/>
  <c r="T301" i="174"/>
  <c r="S301" i="174"/>
  <c r="R301" i="174"/>
  <c r="Q301" i="174"/>
  <c r="P301" i="174"/>
  <c r="O301" i="174"/>
  <c r="N301" i="174"/>
  <c r="M301" i="174"/>
  <c r="L301" i="174"/>
  <c r="K301" i="174"/>
  <c r="J301" i="174"/>
  <c r="V301" i="174" s="1"/>
  <c r="AJ300" i="174"/>
  <c r="AI300" i="174"/>
  <c r="AH300" i="174"/>
  <c r="AG300" i="174"/>
  <c r="AF300" i="174"/>
  <c r="AE300" i="174"/>
  <c r="AD300" i="174"/>
  <c r="AC300" i="174"/>
  <c r="AB300" i="174"/>
  <c r="AA300" i="174"/>
  <c r="Z300" i="174"/>
  <c r="Y300" i="174"/>
  <c r="U300" i="174"/>
  <c r="T300" i="174"/>
  <c r="S300" i="174"/>
  <c r="R300" i="174"/>
  <c r="Q300" i="174"/>
  <c r="P300" i="174"/>
  <c r="O300" i="174"/>
  <c r="N300" i="174"/>
  <c r="M300" i="174"/>
  <c r="L300" i="174"/>
  <c r="K300" i="174"/>
  <c r="J300" i="174"/>
  <c r="V300" i="174" s="1"/>
  <c r="AJ299" i="174"/>
  <c r="AI299" i="174"/>
  <c r="AH299" i="174"/>
  <c r="AG299" i="174"/>
  <c r="AF299" i="174"/>
  <c r="AE299" i="174"/>
  <c r="AD299" i="174"/>
  <c r="AC299" i="174"/>
  <c r="AB299" i="174"/>
  <c r="AA299" i="174"/>
  <c r="Z299" i="174"/>
  <c r="Y299" i="174"/>
  <c r="U299" i="174"/>
  <c r="T299" i="174"/>
  <c r="S299" i="174"/>
  <c r="R299" i="174"/>
  <c r="Q299" i="174"/>
  <c r="P299" i="174"/>
  <c r="O299" i="174"/>
  <c r="N299" i="174"/>
  <c r="M299" i="174"/>
  <c r="L299" i="174"/>
  <c r="K299" i="174"/>
  <c r="J299" i="174"/>
  <c r="V299" i="174" s="1"/>
  <c r="AJ298" i="174"/>
  <c r="AI298" i="174"/>
  <c r="AH298" i="174"/>
  <c r="AG298" i="174"/>
  <c r="AF298" i="174"/>
  <c r="AE298" i="174"/>
  <c r="AD298" i="174"/>
  <c r="AC298" i="174"/>
  <c r="AB298" i="174"/>
  <c r="AA298" i="174"/>
  <c r="Z298" i="174"/>
  <c r="Y298" i="174"/>
  <c r="U298" i="174"/>
  <c r="T298" i="174"/>
  <c r="S298" i="174"/>
  <c r="R298" i="174"/>
  <c r="Q298" i="174"/>
  <c r="P298" i="174"/>
  <c r="O298" i="174"/>
  <c r="N298" i="174"/>
  <c r="M298" i="174"/>
  <c r="L298" i="174"/>
  <c r="K298" i="174"/>
  <c r="J298" i="174"/>
  <c r="V298" i="174" s="1"/>
  <c r="AJ297" i="174"/>
  <c r="AI297" i="174"/>
  <c r="AH297" i="174"/>
  <c r="AG297" i="174"/>
  <c r="AF297" i="174"/>
  <c r="AE297" i="174"/>
  <c r="AD297" i="174"/>
  <c r="AC297" i="174"/>
  <c r="AB297" i="174"/>
  <c r="AA297" i="174"/>
  <c r="Z297" i="174"/>
  <c r="Y297" i="174"/>
  <c r="U297" i="174"/>
  <c r="T297" i="174"/>
  <c r="S297" i="174"/>
  <c r="R297" i="174"/>
  <c r="Q297" i="174"/>
  <c r="P297" i="174"/>
  <c r="O297" i="174"/>
  <c r="N297" i="174"/>
  <c r="M297" i="174"/>
  <c r="L297" i="174"/>
  <c r="K297" i="174"/>
  <c r="J297" i="174"/>
  <c r="V297" i="174" s="1"/>
  <c r="AJ296" i="174"/>
  <c r="AI296" i="174"/>
  <c r="AH296" i="174"/>
  <c r="AG296" i="174"/>
  <c r="AF296" i="174"/>
  <c r="AE296" i="174"/>
  <c r="AD296" i="174"/>
  <c r="AC296" i="174"/>
  <c r="AB296" i="174"/>
  <c r="AA296" i="174"/>
  <c r="Z296" i="174"/>
  <c r="Y296" i="174"/>
  <c r="U296" i="174"/>
  <c r="T296" i="174"/>
  <c r="S296" i="174"/>
  <c r="R296" i="174"/>
  <c r="Q296" i="174"/>
  <c r="P296" i="174"/>
  <c r="O296" i="174"/>
  <c r="N296" i="174"/>
  <c r="M296" i="174"/>
  <c r="L296" i="174"/>
  <c r="K296" i="174"/>
  <c r="J296" i="174"/>
  <c r="V296" i="174" s="1"/>
  <c r="AJ295" i="174"/>
  <c r="AI295" i="174"/>
  <c r="AH295" i="174"/>
  <c r="AG295" i="174"/>
  <c r="AF295" i="174"/>
  <c r="AE295" i="174"/>
  <c r="AD295" i="174"/>
  <c r="AC295" i="174"/>
  <c r="AB295" i="174"/>
  <c r="AA295" i="174"/>
  <c r="Z295" i="174"/>
  <c r="Y295" i="174"/>
  <c r="U295" i="174"/>
  <c r="T295" i="174"/>
  <c r="S295" i="174"/>
  <c r="R295" i="174"/>
  <c r="Q295" i="174"/>
  <c r="P295" i="174"/>
  <c r="O295" i="174"/>
  <c r="N295" i="174"/>
  <c r="M295" i="174"/>
  <c r="L295" i="174"/>
  <c r="K295" i="174"/>
  <c r="J295" i="174"/>
  <c r="V295" i="174" s="1"/>
  <c r="U294" i="174"/>
  <c r="T294" i="174"/>
  <c r="S294" i="174"/>
  <c r="R294" i="174"/>
  <c r="Q294" i="174"/>
  <c r="P294" i="174"/>
  <c r="O294" i="174"/>
  <c r="N294" i="174"/>
  <c r="M294" i="174"/>
  <c r="L294" i="174"/>
  <c r="K294" i="174"/>
  <c r="J294" i="174"/>
  <c r="V294" i="174" s="1"/>
  <c r="AJ293" i="174"/>
  <c r="AI293" i="174"/>
  <c r="AH293" i="174"/>
  <c r="AG293" i="174"/>
  <c r="AF293" i="174"/>
  <c r="AE293" i="174"/>
  <c r="AD293" i="174"/>
  <c r="AC293" i="174"/>
  <c r="AB293" i="174"/>
  <c r="AA293" i="174"/>
  <c r="Z293" i="174"/>
  <c r="Y293" i="174"/>
  <c r="V293" i="174"/>
  <c r="U293" i="174"/>
  <c r="T293" i="174"/>
  <c r="S293" i="174"/>
  <c r="R293" i="174"/>
  <c r="Q293" i="174"/>
  <c r="P293" i="174"/>
  <c r="O293" i="174"/>
  <c r="N293" i="174"/>
  <c r="M293" i="174"/>
  <c r="L293" i="174"/>
  <c r="K293" i="174"/>
  <c r="J293" i="174"/>
  <c r="Y289" i="174"/>
  <c r="Z289" i="174" s="1"/>
  <c r="AA289" i="174" s="1"/>
  <c r="AB289" i="174" s="1"/>
  <c r="AC289" i="174" s="1"/>
  <c r="AD289" i="174" s="1"/>
  <c r="AE289" i="174" s="1"/>
  <c r="AF289" i="174" s="1"/>
  <c r="AG289" i="174" s="1"/>
  <c r="AH289" i="174" s="1"/>
  <c r="AI289" i="174" s="1"/>
  <c r="AJ289" i="174" s="1"/>
  <c r="V289" i="174"/>
  <c r="Y288" i="174"/>
  <c r="Z288" i="174" s="1"/>
  <c r="AA288" i="174" s="1"/>
  <c r="AB288" i="174" s="1"/>
  <c r="AC288" i="174" s="1"/>
  <c r="AD288" i="174" s="1"/>
  <c r="AE288" i="174" s="1"/>
  <c r="AF288" i="174" s="1"/>
  <c r="AG288" i="174" s="1"/>
  <c r="AH288" i="174" s="1"/>
  <c r="AI288" i="174" s="1"/>
  <c r="AJ288" i="174" s="1"/>
  <c r="V288" i="174"/>
  <c r="Y287" i="174"/>
  <c r="Z287" i="174" s="1"/>
  <c r="AA287" i="174" s="1"/>
  <c r="AB287" i="174" s="1"/>
  <c r="AC287" i="174" s="1"/>
  <c r="AD287" i="174" s="1"/>
  <c r="AE287" i="174" s="1"/>
  <c r="AF287" i="174" s="1"/>
  <c r="AG287" i="174" s="1"/>
  <c r="AH287" i="174" s="1"/>
  <c r="AI287" i="174" s="1"/>
  <c r="AJ287" i="174" s="1"/>
  <c r="V287" i="174"/>
  <c r="Y286" i="174"/>
  <c r="Z286" i="174" s="1"/>
  <c r="AA286" i="174" s="1"/>
  <c r="AB286" i="174" s="1"/>
  <c r="AC286" i="174" s="1"/>
  <c r="AD286" i="174" s="1"/>
  <c r="AE286" i="174" s="1"/>
  <c r="AF286" i="174" s="1"/>
  <c r="AG286" i="174" s="1"/>
  <c r="AH286" i="174" s="1"/>
  <c r="AI286" i="174" s="1"/>
  <c r="AJ286" i="174" s="1"/>
  <c r="V286" i="174"/>
  <c r="Y285" i="174"/>
  <c r="Z285" i="174" s="1"/>
  <c r="AA285" i="174" s="1"/>
  <c r="AB285" i="174" s="1"/>
  <c r="AC285" i="174" s="1"/>
  <c r="AD285" i="174" s="1"/>
  <c r="AE285" i="174" s="1"/>
  <c r="AF285" i="174" s="1"/>
  <c r="AG285" i="174" s="1"/>
  <c r="AH285" i="174" s="1"/>
  <c r="AI285" i="174" s="1"/>
  <c r="AJ285" i="174" s="1"/>
  <c r="V285" i="174"/>
  <c r="Y284" i="174"/>
  <c r="Z284" i="174" s="1"/>
  <c r="AA284" i="174" s="1"/>
  <c r="AB284" i="174" s="1"/>
  <c r="AC284" i="174" s="1"/>
  <c r="AD284" i="174" s="1"/>
  <c r="AE284" i="174" s="1"/>
  <c r="AF284" i="174" s="1"/>
  <c r="AG284" i="174" s="1"/>
  <c r="AH284" i="174" s="1"/>
  <c r="AI284" i="174" s="1"/>
  <c r="AJ284" i="174" s="1"/>
  <c r="V284" i="174"/>
  <c r="AJ283" i="174"/>
  <c r="AI283" i="174"/>
  <c r="AH283" i="174"/>
  <c r="AG283" i="174"/>
  <c r="AF283" i="174"/>
  <c r="AE283" i="174"/>
  <c r="AD283" i="174"/>
  <c r="AC283" i="174"/>
  <c r="AB283" i="174"/>
  <c r="AA283" i="174"/>
  <c r="Z283" i="174"/>
  <c r="Y283" i="174"/>
  <c r="V283" i="174"/>
  <c r="U283" i="174"/>
  <c r="T283" i="174"/>
  <c r="S283" i="174"/>
  <c r="R283" i="174"/>
  <c r="Q283" i="174"/>
  <c r="P283" i="174"/>
  <c r="O283" i="174"/>
  <c r="N283" i="174"/>
  <c r="M283" i="174"/>
  <c r="L283" i="174"/>
  <c r="K283" i="174"/>
  <c r="J283" i="174"/>
  <c r="V281" i="174"/>
  <c r="AJ280" i="174"/>
  <c r="AI280" i="174"/>
  <c r="AH280" i="174"/>
  <c r="AG280" i="174"/>
  <c r="AF280" i="174"/>
  <c r="AE280" i="174"/>
  <c r="AD280" i="174"/>
  <c r="AC280" i="174"/>
  <c r="AB280" i="174"/>
  <c r="AA280" i="174"/>
  <c r="Z280" i="174"/>
  <c r="Y280" i="174"/>
  <c r="V280" i="174"/>
  <c r="Z279" i="174"/>
  <c r="AA279" i="174" s="1"/>
  <c r="AB279" i="174" s="1"/>
  <c r="AC279" i="174" s="1"/>
  <c r="AD279" i="174" s="1"/>
  <c r="AE279" i="174" s="1"/>
  <c r="AF279" i="174" s="1"/>
  <c r="AG279" i="174" s="1"/>
  <c r="AH279" i="174" s="1"/>
  <c r="AI279" i="174" s="1"/>
  <c r="AJ279" i="174" s="1"/>
  <c r="V279" i="174"/>
  <c r="V278" i="174"/>
  <c r="AJ277" i="174"/>
  <c r="AI277" i="174"/>
  <c r="AH277" i="174"/>
  <c r="AG277" i="174"/>
  <c r="AF277" i="174"/>
  <c r="AE277" i="174"/>
  <c r="AD277" i="174"/>
  <c r="AC277" i="174"/>
  <c r="AB277" i="174"/>
  <c r="AA277" i="174"/>
  <c r="Z277" i="174"/>
  <c r="Y277" i="174"/>
  <c r="V277" i="174"/>
  <c r="U277" i="174"/>
  <c r="T277" i="174"/>
  <c r="S277" i="174"/>
  <c r="R277" i="174"/>
  <c r="Q277" i="174"/>
  <c r="P277" i="174"/>
  <c r="O277" i="174"/>
  <c r="N277" i="174"/>
  <c r="M277" i="174"/>
  <c r="L277" i="174"/>
  <c r="K277" i="174"/>
  <c r="J277" i="174"/>
  <c r="V275" i="174"/>
  <c r="V274" i="174"/>
  <c r="V273" i="174"/>
  <c r="V272" i="174"/>
  <c r="V271" i="174"/>
  <c r="V270" i="174"/>
  <c r="Y269" i="174"/>
  <c r="Z269" i="174" s="1"/>
  <c r="AA269" i="174" s="1"/>
  <c r="AB269" i="174" s="1"/>
  <c r="AC269" i="174" s="1"/>
  <c r="AD269" i="174" s="1"/>
  <c r="AE269" i="174" s="1"/>
  <c r="AF269" i="174" s="1"/>
  <c r="AG269" i="174" s="1"/>
  <c r="AH269" i="174" s="1"/>
  <c r="AI269" i="174" s="1"/>
  <c r="AJ269" i="174" s="1"/>
  <c r="V269" i="174"/>
  <c r="V268" i="174"/>
  <c r="V267" i="174"/>
  <c r="V266" i="174"/>
  <c r="V265" i="174"/>
  <c r="V264" i="174"/>
  <c r="V263" i="174"/>
  <c r="AJ262" i="174"/>
  <c r="AI262" i="174"/>
  <c r="AH262" i="174"/>
  <c r="AG262" i="174"/>
  <c r="AF262" i="174"/>
  <c r="AE262" i="174"/>
  <c r="AD262" i="174"/>
  <c r="AC262" i="174"/>
  <c r="AB262" i="174"/>
  <c r="AA262" i="174"/>
  <c r="Z262" i="174"/>
  <c r="Y262" i="174"/>
  <c r="V262" i="174"/>
  <c r="U262" i="174"/>
  <c r="T262" i="174"/>
  <c r="S262" i="174"/>
  <c r="R262" i="174"/>
  <c r="Q262" i="174"/>
  <c r="P262" i="174"/>
  <c r="O262" i="174"/>
  <c r="N262" i="174"/>
  <c r="M262" i="174"/>
  <c r="L262" i="174"/>
  <c r="K262" i="174"/>
  <c r="J262" i="174"/>
  <c r="AJ251" i="174"/>
  <c r="AI251" i="174"/>
  <c r="AH251" i="174"/>
  <c r="AG251" i="174"/>
  <c r="AF251" i="174"/>
  <c r="AE251" i="174"/>
  <c r="AD251" i="174"/>
  <c r="AC251" i="174"/>
  <c r="AB251" i="174"/>
  <c r="AA251" i="174"/>
  <c r="Z251" i="174"/>
  <c r="Y251" i="174"/>
  <c r="U251" i="174"/>
  <c r="T251" i="174"/>
  <c r="S251" i="174"/>
  <c r="R251" i="174"/>
  <c r="Q251" i="174"/>
  <c r="P251" i="174"/>
  <c r="O251" i="174"/>
  <c r="N251" i="174"/>
  <c r="M251" i="174"/>
  <c r="L251" i="174"/>
  <c r="K251" i="174"/>
  <c r="J251" i="174"/>
  <c r="V251" i="174" s="1"/>
  <c r="AJ250" i="174"/>
  <c r="AI250" i="174"/>
  <c r="AH250" i="174"/>
  <c r="AG250" i="174"/>
  <c r="AF250" i="174"/>
  <c r="AE250" i="174"/>
  <c r="AD250" i="174"/>
  <c r="AC250" i="174"/>
  <c r="AB250" i="174"/>
  <c r="AA250" i="174"/>
  <c r="Z250" i="174"/>
  <c r="Y250" i="174"/>
  <c r="U250" i="174"/>
  <c r="T250" i="174"/>
  <c r="S250" i="174"/>
  <c r="R250" i="174"/>
  <c r="Q250" i="174"/>
  <c r="P250" i="174"/>
  <c r="O250" i="174"/>
  <c r="N250" i="174"/>
  <c r="M250" i="174"/>
  <c r="L250" i="174"/>
  <c r="K250" i="174"/>
  <c r="J250" i="174"/>
  <c r="V250" i="174" s="1"/>
  <c r="AJ249" i="174"/>
  <c r="AI249" i="174"/>
  <c r="AH249" i="174"/>
  <c r="AG249" i="174"/>
  <c r="AF249" i="174"/>
  <c r="AE249" i="174"/>
  <c r="AD249" i="174"/>
  <c r="AC249" i="174"/>
  <c r="AB249" i="174"/>
  <c r="AA249" i="174"/>
  <c r="Z249" i="174"/>
  <c r="Y249" i="174"/>
  <c r="U249" i="174"/>
  <c r="T249" i="174"/>
  <c r="S249" i="174"/>
  <c r="R249" i="174"/>
  <c r="Q249" i="174"/>
  <c r="P249" i="174"/>
  <c r="O249" i="174"/>
  <c r="N249" i="174"/>
  <c r="M249" i="174"/>
  <c r="L249" i="174"/>
  <c r="K249" i="174"/>
  <c r="J249" i="174"/>
  <c r="V249" i="174" s="1"/>
  <c r="AJ248" i="174"/>
  <c r="AI248" i="174"/>
  <c r="AH248" i="174"/>
  <c r="AG248" i="174"/>
  <c r="AF248" i="174"/>
  <c r="AE248" i="174"/>
  <c r="AD248" i="174"/>
  <c r="AC248" i="174"/>
  <c r="AB248" i="174"/>
  <c r="AA248" i="174"/>
  <c r="Z248" i="174"/>
  <c r="Y248" i="174"/>
  <c r="U248" i="174"/>
  <c r="T248" i="174"/>
  <c r="S248" i="174"/>
  <c r="R248" i="174"/>
  <c r="Q248" i="174"/>
  <c r="P248" i="174"/>
  <c r="O248" i="174"/>
  <c r="N248" i="174"/>
  <c r="M248" i="174"/>
  <c r="L248" i="174"/>
  <c r="K248" i="174"/>
  <c r="J248" i="174"/>
  <c r="V248" i="174" s="1"/>
  <c r="AJ247" i="174"/>
  <c r="AI247" i="174"/>
  <c r="AH247" i="174"/>
  <c r="AG247" i="174"/>
  <c r="AF247" i="174"/>
  <c r="AE247" i="174"/>
  <c r="AD247" i="174"/>
  <c r="AC247" i="174"/>
  <c r="AB247" i="174"/>
  <c r="AA247" i="174"/>
  <c r="Z247" i="174"/>
  <c r="Y247" i="174"/>
  <c r="U247" i="174"/>
  <c r="T247" i="174"/>
  <c r="S247" i="174"/>
  <c r="R247" i="174"/>
  <c r="Q247" i="174"/>
  <c r="P247" i="174"/>
  <c r="O247" i="174"/>
  <c r="N247" i="174"/>
  <c r="M247" i="174"/>
  <c r="L247" i="174"/>
  <c r="K247" i="174"/>
  <c r="J247" i="174"/>
  <c r="V247" i="174" s="1"/>
  <c r="AJ246" i="174"/>
  <c r="AI246" i="174"/>
  <c r="AH246" i="174"/>
  <c r="AG246" i="174"/>
  <c r="AF246" i="174"/>
  <c r="AE246" i="174"/>
  <c r="AD246" i="174"/>
  <c r="AC246" i="174"/>
  <c r="AB246" i="174"/>
  <c r="AA246" i="174"/>
  <c r="Z246" i="174"/>
  <c r="Y246" i="174"/>
  <c r="U246" i="174"/>
  <c r="T246" i="174"/>
  <c r="S246" i="174"/>
  <c r="R246" i="174"/>
  <c r="Q246" i="174"/>
  <c r="P246" i="174"/>
  <c r="O246" i="174"/>
  <c r="N246" i="174"/>
  <c r="M246" i="174"/>
  <c r="L246" i="174"/>
  <c r="K246" i="174"/>
  <c r="J246" i="174"/>
  <c r="V246" i="174" s="1"/>
  <c r="AJ245" i="174"/>
  <c r="AI245" i="174"/>
  <c r="AH245" i="174"/>
  <c r="AG245" i="174"/>
  <c r="AF245" i="174"/>
  <c r="AE245" i="174"/>
  <c r="AD245" i="174"/>
  <c r="AC245" i="174"/>
  <c r="AB245" i="174"/>
  <c r="AA245" i="174"/>
  <c r="Z245" i="174"/>
  <c r="Y245" i="174"/>
  <c r="V245" i="174"/>
  <c r="U245" i="174"/>
  <c r="T245" i="174"/>
  <c r="S245" i="174"/>
  <c r="R245" i="174"/>
  <c r="Q245" i="174"/>
  <c r="P245" i="174"/>
  <c r="O245" i="174"/>
  <c r="N245" i="174"/>
  <c r="M245" i="174"/>
  <c r="L245" i="174"/>
  <c r="K245" i="174"/>
  <c r="J245" i="174"/>
  <c r="AJ244" i="174"/>
  <c r="AI244" i="174"/>
  <c r="AH244" i="174"/>
  <c r="AG244" i="174"/>
  <c r="AF244" i="174"/>
  <c r="AE244" i="174"/>
  <c r="AD244" i="174"/>
  <c r="AC244" i="174"/>
  <c r="AB244" i="174"/>
  <c r="AA244" i="174"/>
  <c r="Z244" i="174"/>
  <c r="Y244" i="174"/>
  <c r="U244" i="174"/>
  <c r="T244" i="174"/>
  <c r="S244" i="174"/>
  <c r="R244" i="174"/>
  <c r="Q244" i="174"/>
  <c r="P244" i="174"/>
  <c r="O244" i="174"/>
  <c r="N244" i="174"/>
  <c r="M244" i="174"/>
  <c r="L244" i="174"/>
  <c r="K244" i="174"/>
  <c r="J244" i="174"/>
  <c r="V244" i="174" s="1"/>
  <c r="AJ243" i="174"/>
  <c r="AI243" i="174"/>
  <c r="AH243" i="174"/>
  <c r="AG243" i="174"/>
  <c r="AF243" i="174"/>
  <c r="AE243" i="174"/>
  <c r="AD243" i="174"/>
  <c r="AC243" i="174"/>
  <c r="AB243" i="174"/>
  <c r="AA243" i="174"/>
  <c r="Z243" i="174"/>
  <c r="Y243" i="174"/>
  <c r="U243" i="174"/>
  <c r="T243" i="174"/>
  <c r="S243" i="174"/>
  <c r="R243" i="174"/>
  <c r="Q243" i="174"/>
  <c r="P243" i="174"/>
  <c r="O243" i="174"/>
  <c r="N243" i="174"/>
  <c r="M243" i="174"/>
  <c r="L243" i="174"/>
  <c r="K243" i="174"/>
  <c r="J243" i="174"/>
  <c r="V243" i="174" s="1"/>
  <c r="AJ242" i="174"/>
  <c r="AI242" i="174"/>
  <c r="AH242" i="174"/>
  <c r="AG242" i="174"/>
  <c r="AF242" i="174"/>
  <c r="AE242" i="174"/>
  <c r="AD242" i="174"/>
  <c r="AC242" i="174"/>
  <c r="AB242" i="174"/>
  <c r="AA242" i="174"/>
  <c r="Z242" i="174"/>
  <c r="Y242" i="174"/>
  <c r="U242" i="174"/>
  <c r="T242" i="174"/>
  <c r="S242" i="174"/>
  <c r="R242" i="174"/>
  <c r="Q242" i="174"/>
  <c r="P242" i="174"/>
  <c r="O242" i="174"/>
  <c r="N242" i="174"/>
  <c r="M242" i="174"/>
  <c r="L242" i="174"/>
  <c r="K242" i="174"/>
  <c r="J242" i="174"/>
  <c r="V242" i="174" s="1"/>
  <c r="AJ241" i="174"/>
  <c r="AI241" i="174"/>
  <c r="AH241" i="174"/>
  <c r="AG241" i="174"/>
  <c r="AF241" i="174"/>
  <c r="AE241" i="174"/>
  <c r="AD241" i="174"/>
  <c r="AC241" i="174"/>
  <c r="AB241" i="174"/>
  <c r="AA241" i="174"/>
  <c r="Z241" i="174"/>
  <c r="Y241" i="174"/>
  <c r="U241" i="174"/>
  <c r="T241" i="174"/>
  <c r="S241" i="174"/>
  <c r="R241" i="174"/>
  <c r="Q241" i="174"/>
  <c r="P241" i="174"/>
  <c r="O241" i="174"/>
  <c r="N241" i="174"/>
  <c r="M241" i="174"/>
  <c r="L241" i="174"/>
  <c r="K241" i="174"/>
  <c r="J241" i="174"/>
  <c r="V241" i="174" s="1"/>
  <c r="AJ240" i="174"/>
  <c r="AI240" i="174"/>
  <c r="AH240" i="174"/>
  <c r="AG240" i="174"/>
  <c r="AF240" i="174"/>
  <c r="AE240" i="174"/>
  <c r="AD240" i="174"/>
  <c r="AC240" i="174"/>
  <c r="AB240" i="174"/>
  <c r="AA240" i="174"/>
  <c r="Z240" i="174"/>
  <c r="Y240" i="174"/>
  <c r="U240" i="174"/>
  <c r="T240" i="174"/>
  <c r="S240" i="174"/>
  <c r="R240" i="174"/>
  <c r="Q240" i="174"/>
  <c r="P240" i="174"/>
  <c r="O240" i="174"/>
  <c r="N240" i="174"/>
  <c r="M240" i="174"/>
  <c r="L240" i="174"/>
  <c r="K240" i="174"/>
  <c r="J240" i="174"/>
  <c r="V240" i="174" s="1"/>
  <c r="AJ239" i="174"/>
  <c r="AI239" i="174"/>
  <c r="AH239" i="174"/>
  <c r="AG239" i="174"/>
  <c r="AF239" i="174"/>
  <c r="AE239" i="174"/>
  <c r="AD239" i="174"/>
  <c r="AC239" i="174"/>
  <c r="AB239" i="174"/>
  <c r="AA239" i="174"/>
  <c r="Z239" i="174"/>
  <c r="Y239" i="174"/>
  <c r="U239" i="174"/>
  <c r="T239" i="174"/>
  <c r="S239" i="174"/>
  <c r="R239" i="174"/>
  <c r="Q239" i="174"/>
  <c r="P239" i="174"/>
  <c r="O239" i="174"/>
  <c r="N239" i="174"/>
  <c r="M239" i="174"/>
  <c r="L239" i="174"/>
  <c r="K239" i="174"/>
  <c r="J239" i="174"/>
  <c r="V239" i="174" s="1"/>
  <c r="AJ238" i="174"/>
  <c r="AI238" i="174"/>
  <c r="AH238" i="174"/>
  <c r="AG238" i="174"/>
  <c r="AF238" i="174"/>
  <c r="AE238" i="174"/>
  <c r="AD238" i="174"/>
  <c r="AC238" i="174"/>
  <c r="AB238" i="174"/>
  <c r="AA238" i="174"/>
  <c r="Z238" i="174"/>
  <c r="Y238" i="174"/>
  <c r="U238" i="174"/>
  <c r="T238" i="174"/>
  <c r="S238" i="174"/>
  <c r="R238" i="174"/>
  <c r="Q238" i="174"/>
  <c r="P238" i="174"/>
  <c r="O238" i="174"/>
  <c r="N238" i="174"/>
  <c r="M238" i="174"/>
  <c r="L238" i="174"/>
  <c r="K238" i="174"/>
  <c r="J238" i="174"/>
  <c r="V238" i="174" s="1"/>
  <c r="AJ237" i="174"/>
  <c r="AI237" i="174"/>
  <c r="AH237" i="174"/>
  <c r="AG237" i="174"/>
  <c r="AF237" i="174"/>
  <c r="AE237" i="174"/>
  <c r="AD237" i="174"/>
  <c r="AC237" i="174"/>
  <c r="AB237" i="174"/>
  <c r="AA237" i="174"/>
  <c r="Z237" i="174"/>
  <c r="Y237" i="174"/>
  <c r="U237" i="174"/>
  <c r="T237" i="174"/>
  <c r="S237" i="174"/>
  <c r="R237" i="174"/>
  <c r="Q237" i="174"/>
  <c r="P237" i="174"/>
  <c r="O237" i="174"/>
  <c r="N237" i="174"/>
  <c r="M237" i="174"/>
  <c r="L237" i="174"/>
  <c r="K237" i="174"/>
  <c r="J237" i="174"/>
  <c r="V237" i="174" s="1"/>
  <c r="AJ236" i="174"/>
  <c r="AI236" i="174"/>
  <c r="AH236" i="174"/>
  <c r="AG236" i="174"/>
  <c r="AF236" i="174"/>
  <c r="AE236" i="174"/>
  <c r="AD236" i="174"/>
  <c r="AC236" i="174"/>
  <c r="AB236" i="174"/>
  <c r="AA236" i="174"/>
  <c r="Z236" i="174"/>
  <c r="Y236" i="174"/>
  <c r="U236" i="174"/>
  <c r="T236" i="174"/>
  <c r="S236" i="174"/>
  <c r="R236" i="174"/>
  <c r="Q236" i="174"/>
  <c r="P236" i="174"/>
  <c r="O236" i="174"/>
  <c r="N236" i="174"/>
  <c r="M236" i="174"/>
  <c r="L236" i="174"/>
  <c r="K236" i="174"/>
  <c r="J236" i="174"/>
  <c r="V236" i="174" s="1"/>
  <c r="AJ235" i="174"/>
  <c r="AI235" i="174"/>
  <c r="AH235" i="174"/>
  <c r="AG235" i="174"/>
  <c r="AF235" i="174"/>
  <c r="AE235" i="174"/>
  <c r="AD235" i="174"/>
  <c r="AC235" i="174"/>
  <c r="AB235" i="174"/>
  <c r="AA235" i="174"/>
  <c r="Z235" i="174"/>
  <c r="Y235" i="174"/>
  <c r="V235" i="174"/>
  <c r="U235" i="174"/>
  <c r="T235" i="174"/>
  <c r="S235" i="174"/>
  <c r="R235" i="174"/>
  <c r="Q235" i="174"/>
  <c r="P235" i="174"/>
  <c r="O235" i="174"/>
  <c r="N235" i="174"/>
  <c r="M235" i="174"/>
  <c r="L235" i="174"/>
  <c r="K235" i="174"/>
  <c r="J235" i="174"/>
  <c r="AJ234" i="174"/>
  <c r="AI234" i="174"/>
  <c r="AH234" i="174"/>
  <c r="AG234" i="174"/>
  <c r="AF234" i="174"/>
  <c r="AE234" i="174"/>
  <c r="AD234" i="174"/>
  <c r="AC234" i="174"/>
  <c r="AB234" i="174"/>
  <c r="AA234" i="174"/>
  <c r="Z234" i="174"/>
  <c r="Y234" i="174"/>
  <c r="U234" i="174"/>
  <c r="T234" i="174"/>
  <c r="S234" i="174"/>
  <c r="R234" i="174"/>
  <c r="Q234" i="174"/>
  <c r="P234" i="174"/>
  <c r="O234" i="174"/>
  <c r="N234" i="174"/>
  <c r="M234" i="174"/>
  <c r="L234" i="174"/>
  <c r="K234" i="174"/>
  <c r="J234" i="174"/>
  <c r="V234" i="174" s="1"/>
  <c r="AJ233" i="174"/>
  <c r="AI233" i="174"/>
  <c r="AH233" i="174"/>
  <c r="AG233" i="174"/>
  <c r="AF233" i="174"/>
  <c r="AE233" i="174"/>
  <c r="AD233" i="174"/>
  <c r="AC233" i="174"/>
  <c r="AB233" i="174"/>
  <c r="AA233" i="174"/>
  <c r="Z233" i="174"/>
  <c r="Y233" i="174"/>
  <c r="U233" i="174"/>
  <c r="T233" i="174"/>
  <c r="S233" i="174"/>
  <c r="R233" i="174"/>
  <c r="Q233" i="174"/>
  <c r="P233" i="174"/>
  <c r="O233" i="174"/>
  <c r="N233" i="174"/>
  <c r="M233" i="174"/>
  <c r="L233" i="174"/>
  <c r="K233" i="174"/>
  <c r="J233" i="174"/>
  <c r="V233" i="174" s="1"/>
  <c r="AJ232" i="174"/>
  <c r="AI232" i="174"/>
  <c r="AH232" i="174"/>
  <c r="AG232" i="174"/>
  <c r="AF232" i="174"/>
  <c r="AE232" i="174"/>
  <c r="AD232" i="174"/>
  <c r="AC232" i="174"/>
  <c r="AB232" i="174"/>
  <c r="AA232" i="174"/>
  <c r="Z232" i="174"/>
  <c r="Y232" i="174"/>
  <c r="U232" i="174"/>
  <c r="T232" i="174"/>
  <c r="S232" i="174"/>
  <c r="R232" i="174"/>
  <c r="Q232" i="174"/>
  <c r="P232" i="174"/>
  <c r="O232" i="174"/>
  <c r="N232" i="174"/>
  <c r="M232" i="174"/>
  <c r="L232" i="174"/>
  <c r="K232" i="174"/>
  <c r="J232" i="174"/>
  <c r="V232" i="174" s="1"/>
  <c r="AJ231" i="174"/>
  <c r="AI231" i="174"/>
  <c r="AH231" i="174"/>
  <c r="AG231" i="174"/>
  <c r="AF231" i="174"/>
  <c r="AE231" i="174"/>
  <c r="AD231" i="174"/>
  <c r="AC231" i="174"/>
  <c r="AB231" i="174"/>
  <c r="AA231" i="174"/>
  <c r="Z231" i="174"/>
  <c r="Y231" i="174"/>
  <c r="U231" i="174"/>
  <c r="T231" i="174"/>
  <c r="S231" i="174"/>
  <c r="R231" i="174"/>
  <c r="Q231" i="174"/>
  <c r="P231" i="174"/>
  <c r="O231" i="174"/>
  <c r="N231" i="174"/>
  <c r="M231" i="174"/>
  <c r="L231" i="174"/>
  <c r="K231" i="174"/>
  <c r="J231" i="174"/>
  <c r="V231" i="174" s="1"/>
  <c r="AJ230" i="174"/>
  <c r="AI230" i="174"/>
  <c r="AH230" i="174"/>
  <c r="AG230" i="174"/>
  <c r="AF230" i="174"/>
  <c r="AE230" i="174"/>
  <c r="AD230" i="174"/>
  <c r="AC230" i="174"/>
  <c r="AB230" i="174"/>
  <c r="AA230" i="174"/>
  <c r="Z230" i="174"/>
  <c r="Y230" i="174"/>
  <c r="V230" i="174"/>
  <c r="U230" i="174"/>
  <c r="T230" i="174"/>
  <c r="S230" i="174"/>
  <c r="R230" i="174"/>
  <c r="Q230" i="174"/>
  <c r="P230" i="174"/>
  <c r="O230" i="174"/>
  <c r="N230" i="174"/>
  <c r="M230" i="174"/>
  <c r="L230" i="174"/>
  <c r="K230" i="174"/>
  <c r="J230" i="174"/>
  <c r="AJ229" i="174"/>
  <c r="AI229" i="174"/>
  <c r="AH229" i="174"/>
  <c r="AG229" i="174"/>
  <c r="AF229" i="174"/>
  <c r="AE229" i="174"/>
  <c r="AD229" i="174"/>
  <c r="AC229" i="174"/>
  <c r="AB229" i="174"/>
  <c r="AA229" i="174"/>
  <c r="Z229" i="174"/>
  <c r="Y229" i="174"/>
  <c r="U229" i="174"/>
  <c r="T229" i="174"/>
  <c r="S229" i="174"/>
  <c r="R229" i="174"/>
  <c r="Q229" i="174"/>
  <c r="P229" i="174"/>
  <c r="O229" i="174"/>
  <c r="N229" i="174"/>
  <c r="M229" i="174"/>
  <c r="L229" i="174"/>
  <c r="K229" i="174"/>
  <c r="J229" i="174"/>
  <c r="V229" i="174" s="1"/>
  <c r="AJ228" i="174"/>
  <c r="AI228" i="174"/>
  <c r="AH228" i="174"/>
  <c r="AG228" i="174"/>
  <c r="AF228" i="174"/>
  <c r="AE228" i="174"/>
  <c r="AD228" i="174"/>
  <c r="AC228" i="174"/>
  <c r="AB228" i="174"/>
  <c r="AA228" i="174"/>
  <c r="Z228" i="174"/>
  <c r="Y228" i="174"/>
  <c r="U228" i="174"/>
  <c r="T228" i="174"/>
  <c r="S228" i="174"/>
  <c r="R228" i="174"/>
  <c r="Q228" i="174"/>
  <c r="P228" i="174"/>
  <c r="O228" i="174"/>
  <c r="N228" i="174"/>
  <c r="M228" i="174"/>
  <c r="L228" i="174"/>
  <c r="K228" i="174"/>
  <c r="J228" i="174"/>
  <c r="V228" i="174" s="1"/>
  <c r="AJ227" i="174"/>
  <c r="AI227" i="174"/>
  <c r="AH227" i="174"/>
  <c r="AG227" i="174"/>
  <c r="AF227" i="174"/>
  <c r="AE227" i="174"/>
  <c r="AD227" i="174"/>
  <c r="AC227" i="174"/>
  <c r="AB227" i="174"/>
  <c r="AA227" i="174"/>
  <c r="Z227" i="174"/>
  <c r="Y227" i="174"/>
  <c r="U227" i="174"/>
  <c r="T227" i="174"/>
  <c r="S227" i="174"/>
  <c r="R227" i="174"/>
  <c r="Q227" i="174"/>
  <c r="P227" i="174"/>
  <c r="O227" i="174"/>
  <c r="N227" i="174"/>
  <c r="M227" i="174"/>
  <c r="L227" i="174"/>
  <c r="K227" i="174"/>
  <c r="J227" i="174"/>
  <c r="V227" i="174" s="1"/>
  <c r="AJ226" i="174"/>
  <c r="AI226" i="174"/>
  <c r="AH226" i="174"/>
  <c r="AG226" i="174"/>
  <c r="AF226" i="174"/>
  <c r="AE226" i="174"/>
  <c r="AD226" i="174"/>
  <c r="AC226" i="174"/>
  <c r="AB226" i="174"/>
  <c r="AA226" i="174"/>
  <c r="Z226" i="174"/>
  <c r="Y226" i="174"/>
  <c r="U226" i="174"/>
  <c r="T226" i="174"/>
  <c r="S226" i="174"/>
  <c r="R226" i="174"/>
  <c r="Q226" i="174"/>
  <c r="P226" i="174"/>
  <c r="O226" i="174"/>
  <c r="N226" i="174"/>
  <c r="M226" i="174"/>
  <c r="L226" i="174"/>
  <c r="K226" i="174"/>
  <c r="J226" i="174"/>
  <c r="V226" i="174" s="1"/>
  <c r="AJ225" i="174"/>
  <c r="AI225" i="174"/>
  <c r="AH225" i="174"/>
  <c r="AG225" i="174"/>
  <c r="AF225" i="174"/>
  <c r="AE225" i="174"/>
  <c r="AD225" i="174"/>
  <c r="AC225" i="174"/>
  <c r="AB225" i="174"/>
  <c r="AA225" i="174"/>
  <c r="Z225" i="174"/>
  <c r="Y225" i="174"/>
  <c r="U225" i="174"/>
  <c r="T225" i="174"/>
  <c r="S225" i="174"/>
  <c r="R225" i="174"/>
  <c r="Q225" i="174"/>
  <c r="P225" i="174"/>
  <c r="O225" i="174"/>
  <c r="N225" i="174"/>
  <c r="M225" i="174"/>
  <c r="L225" i="174"/>
  <c r="K225" i="174"/>
  <c r="J225" i="174"/>
  <c r="AJ224" i="174"/>
  <c r="AI224" i="174"/>
  <c r="AH224" i="174"/>
  <c r="AG224" i="174"/>
  <c r="AF224" i="174"/>
  <c r="AE224" i="174"/>
  <c r="AD224" i="174"/>
  <c r="AC224" i="174"/>
  <c r="AB224" i="174"/>
  <c r="AA224" i="174"/>
  <c r="Z224" i="174"/>
  <c r="Y224" i="174"/>
  <c r="U224" i="174"/>
  <c r="T224" i="174"/>
  <c r="S224" i="174"/>
  <c r="R224" i="174"/>
  <c r="Q224" i="174"/>
  <c r="P224" i="174"/>
  <c r="O224" i="174"/>
  <c r="N224" i="174"/>
  <c r="M224" i="174"/>
  <c r="L224" i="174"/>
  <c r="K224" i="174"/>
  <c r="J224" i="174"/>
  <c r="V224" i="174" s="1"/>
  <c r="AJ223" i="174"/>
  <c r="AI223" i="174"/>
  <c r="AH223" i="174"/>
  <c r="AG223" i="174"/>
  <c r="AF223" i="174"/>
  <c r="AE223" i="174"/>
  <c r="AD223" i="174"/>
  <c r="AC223" i="174"/>
  <c r="AB223" i="174"/>
  <c r="AA223" i="174"/>
  <c r="Z223" i="174"/>
  <c r="Y223" i="174"/>
  <c r="U223" i="174"/>
  <c r="T223" i="174"/>
  <c r="S223" i="174"/>
  <c r="R223" i="174"/>
  <c r="Q223" i="174"/>
  <c r="P223" i="174"/>
  <c r="O223" i="174"/>
  <c r="N223" i="174"/>
  <c r="M223" i="174"/>
  <c r="L223" i="174"/>
  <c r="K223" i="174"/>
  <c r="J223" i="174"/>
  <c r="V223" i="174" s="1"/>
  <c r="AJ222" i="174"/>
  <c r="AI222" i="174"/>
  <c r="AH222" i="174"/>
  <c r="AG222" i="174"/>
  <c r="AF222" i="174"/>
  <c r="AE222" i="174"/>
  <c r="AD222" i="174"/>
  <c r="AC222" i="174"/>
  <c r="AB222" i="174"/>
  <c r="AA222" i="174"/>
  <c r="Z222" i="174"/>
  <c r="Y222" i="174"/>
  <c r="U222" i="174"/>
  <c r="T222" i="174"/>
  <c r="S222" i="174"/>
  <c r="R222" i="174"/>
  <c r="Q222" i="174"/>
  <c r="P222" i="174"/>
  <c r="O222" i="174"/>
  <c r="N222" i="174"/>
  <c r="M222" i="174"/>
  <c r="L222" i="174"/>
  <c r="K222" i="174"/>
  <c r="J222" i="174"/>
  <c r="V222" i="174" s="1"/>
  <c r="AJ221" i="174"/>
  <c r="AI221" i="174"/>
  <c r="AH221" i="174"/>
  <c r="AG221" i="174"/>
  <c r="AF221" i="174"/>
  <c r="AE221" i="174"/>
  <c r="AD221" i="174"/>
  <c r="AC221" i="174"/>
  <c r="AB221" i="174"/>
  <c r="AA221" i="174"/>
  <c r="Z221" i="174"/>
  <c r="Y221" i="174"/>
  <c r="U221" i="174"/>
  <c r="T221" i="174"/>
  <c r="S221" i="174"/>
  <c r="R221" i="174"/>
  <c r="Q221" i="174"/>
  <c r="P221" i="174"/>
  <c r="O221" i="174"/>
  <c r="N221" i="174"/>
  <c r="M221" i="174"/>
  <c r="L221" i="174"/>
  <c r="K221" i="174"/>
  <c r="J221" i="174"/>
  <c r="V221" i="174" s="1"/>
  <c r="AJ220" i="174"/>
  <c r="AI220" i="174"/>
  <c r="AH220" i="174"/>
  <c r="AG220" i="174"/>
  <c r="AF220" i="174"/>
  <c r="AE220" i="174"/>
  <c r="AD220" i="174"/>
  <c r="AC220" i="174"/>
  <c r="AB220" i="174"/>
  <c r="AA220" i="174"/>
  <c r="Z220" i="174"/>
  <c r="Y220" i="174"/>
  <c r="U220" i="174"/>
  <c r="T220" i="174"/>
  <c r="S220" i="174"/>
  <c r="R220" i="174"/>
  <c r="Q220" i="174"/>
  <c r="P220" i="174"/>
  <c r="O220" i="174"/>
  <c r="N220" i="174"/>
  <c r="M220" i="174"/>
  <c r="L220" i="174"/>
  <c r="K220" i="174"/>
  <c r="J220" i="174"/>
  <c r="V220" i="174" s="1"/>
  <c r="AJ219" i="174"/>
  <c r="AI219" i="174"/>
  <c r="AH219" i="174"/>
  <c r="AG219" i="174"/>
  <c r="AF219" i="174"/>
  <c r="AE219" i="174"/>
  <c r="AD219" i="174"/>
  <c r="AC219" i="174"/>
  <c r="AB219" i="174"/>
  <c r="AA219" i="174"/>
  <c r="Z219" i="174"/>
  <c r="Y219" i="174"/>
  <c r="U219" i="174"/>
  <c r="T219" i="174"/>
  <c r="S219" i="174"/>
  <c r="R219" i="174"/>
  <c r="Q219" i="174"/>
  <c r="P219" i="174"/>
  <c r="O219" i="174"/>
  <c r="N219" i="174"/>
  <c r="M219" i="174"/>
  <c r="L219" i="174"/>
  <c r="K219" i="174"/>
  <c r="J219" i="174"/>
  <c r="V219" i="174" s="1"/>
  <c r="AJ218" i="174"/>
  <c r="AI218" i="174"/>
  <c r="AH218" i="174"/>
  <c r="AG218" i="174"/>
  <c r="AF218" i="174"/>
  <c r="AE218" i="174"/>
  <c r="AD218" i="174"/>
  <c r="AC218" i="174"/>
  <c r="AB218" i="174"/>
  <c r="AA218" i="174"/>
  <c r="Z218" i="174"/>
  <c r="Y218" i="174"/>
  <c r="U218" i="174"/>
  <c r="T218" i="174"/>
  <c r="S218" i="174"/>
  <c r="R218" i="174"/>
  <c r="Q218" i="174"/>
  <c r="P218" i="174"/>
  <c r="O218" i="174"/>
  <c r="N218" i="174"/>
  <c r="M218" i="174"/>
  <c r="L218" i="174"/>
  <c r="K218" i="174"/>
  <c r="J218" i="174"/>
  <c r="V218" i="174" s="1"/>
  <c r="AJ217" i="174"/>
  <c r="AI217" i="174"/>
  <c r="AH217" i="174"/>
  <c r="AG217" i="174"/>
  <c r="AF217" i="174"/>
  <c r="AE217" i="174"/>
  <c r="AD217" i="174"/>
  <c r="AC217" i="174"/>
  <c r="AB217" i="174"/>
  <c r="AA217" i="174"/>
  <c r="Z217" i="174"/>
  <c r="Y217" i="174"/>
  <c r="U217" i="174"/>
  <c r="T217" i="174"/>
  <c r="S217" i="174"/>
  <c r="R217" i="174"/>
  <c r="Q217" i="174"/>
  <c r="P217" i="174"/>
  <c r="O217" i="174"/>
  <c r="N217" i="174"/>
  <c r="M217" i="174"/>
  <c r="L217" i="174"/>
  <c r="K217" i="174"/>
  <c r="J217" i="174"/>
  <c r="V217" i="174" s="1"/>
  <c r="AJ216" i="174"/>
  <c r="AI216" i="174"/>
  <c r="AH216" i="174"/>
  <c r="AG216" i="174"/>
  <c r="AF216" i="174"/>
  <c r="AE216" i="174"/>
  <c r="AD216" i="174"/>
  <c r="AC216" i="174"/>
  <c r="AB216" i="174"/>
  <c r="AA216" i="174"/>
  <c r="Z216" i="174"/>
  <c r="Y216" i="174"/>
  <c r="U216" i="174"/>
  <c r="T216" i="174"/>
  <c r="S216" i="174"/>
  <c r="R216" i="174"/>
  <c r="Q216" i="174"/>
  <c r="P216" i="174"/>
  <c r="O216" i="174"/>
  <c r="N216" i="174"/>
  <c r="M216" i="174"/>
  <c r="L216" i="174"/>
  <c r="K216" i="174"/>
  <c r="J216" i="174"/>
  <c r="V216" i="174" s="1"/>
  <c r="AJ215" i="174"/>
  <c r="AI215" i="174"/>
  <c r="AH215" i="174"/>
  <c r="AG215" i="174"/>
  <c r="AF215" i="174"/>
  <c r="AE215" i="174"/>
  <c r="AD215" i="174"/>
  <c r="AC215" i="174"/>
  <c r="AB215" i="174"/>
  <c r="AA215" i="174"/>
  <c r="Z215" i="174"/>
  <c r="Y215" i="174"/>
  <c r="U215" i="174"/>
  <c r="T215" i="174"/>
  <c r="S215" i="174"/>
  <c r="R215" i="174"/>
  <c r="Q215" i="174"/>
  <c r="P215" i="174"/>
  <c r="O215" i="174"/>
  <c r="N215" i="174"/>
  <c r="M215" i="174"/>
  <c r="L215" i="174"/>
  <c r="K215" i="174"/>
  <c r="J215" i="174"/>
  <c r="V215" i="174" s="1"/>
  <c r="AJ214" i="174"/>
  <c r="AI214" i="174"/>
  <c r="AH214" i="174"/>
  <c r="AG214" i="174"/>
  <c r="AF214" i="174"/>
  <c r="AE214" i="174"/>
  <c r="AD214" i="174"/>
  <c r="AC214" i="174"/>
  <c r="AB214" i="174"/>
  <c r="AA214" i="174"/>
  <c r="Z214" i="174"/>
  <c r="Y214" i="174"/>
  <c r="U214" i="174"/>
  <c r="T214" i="174"/>
  <c r="S214" i="174"/>
  <c r="R214" i="174"/>
  <c r="Q214" i="174"/>
  <c r="P214" i="174"/>
  <c r="O214" i="174"/>
  <c r="N214" i="174"/>
  <c r="M214" i="174"/>
  <c r="L214" i="174"/>
  <c r="K214" i="174"/>
  <c r="J214" i="174"/>
  <c r="V214" i="174" s="1"/>
  <c r="AJ213" i="174"/>
  <c r="AI213" i="174"/>
  <c r="AH213" i="174"/>
  <c r="AG213" i="174"/>
  <c r="AF213" i="174"/>
  <c r="AE213" i="174"/>
  <c r="AD213" i="174"/>
  <c r="AC213" i="174"/>
  <c r="AB213" i="174"/>
  <c r="AA213" i="174"/>
  <c r="Z213" i="174"/>
  <c r="Y213" i="174"/>
  <c r="V213" i="174"/>
  <c r="U213" i="174"/>
  <c r="T213" i="174"/>
  <c r="S213" i="174"/>
  <c r="R213" i="174"/>
  <c r="Q213" i="174"/>
  <c r="P213" i="174"/>
  <c r="O213" i="174"/>
  <c r="N213" i="174"/>
  <c r="M213" i="174"/>
  <c r="L213" i="174"/>
  <c r="K213" i="174"/>
  <c r="J213" i="174"/>
  <c r="AJ212" i="174"/>
  <c r="AI212" i="174"/>
  <c r="AH212" i="174"/>
  <c r="AG212" i="174"/>
  <c r="AF212" i="174"/>
  <c r="AE212" i="174"/>
  <c r="AD212" i="174"/>
  <c r="AC212" i="174"/>
  <c r="AB212" i="174"/>
  <c r="AA212" i="174"/>
  <c r="Z212" i="174"/>
  <c r="Y212" i="174"/>
  <c r="U212" i="174"/>
  <c r="T212" i="174"/>
  <c r="S212" i="174"/>
  <c r="R212" i="174"/>
  <c r="Q212" i="174"/>
  <c r="P212" i="174"/>
  <c r="O212" i="174"/>
  <c r="N212" i="174"/>
  <c r="M212" i="174"/>
  <c r="L212" i="174"/>
  <c r="K212" i="174"/>
  <c r="J212" i="174"/>
  <c r="V212" i="174" s="1"/>
  <c r="AJ211" i="174"/>
  <c r="AI211" i="174"/>
  <c r="AH211" i="174"/>
  <c r="AG211" i="174"/>
  <c r="AF211" i="174"/>
  <c r="AE211" i="174"/>
  <c r="AD211" i="174"/>
  <c r="AC211" i="174"/>
  <c r="AB211" i="174"/>
  <c r="AA211" i="174"/>
  <c r="Z211" i="174"/>
  <c r="Y211" i="174"/>
  <c r="U211" i="174"/>
  <c r="T211" i="174"/>
  <c r="S211" i="174"/>
  <c r="R211" i="174"/>
  <c r="Q211" i="174"/>
  <c r="P211" i="174"/>
  <c r="O211" i="174"/>
  <c r="N211" i="174"/>
  <c r="M211" i="174"/>
  <c r="L211" i="174"/>
  <c r="K211" i="174"/>
  <c r="J211" i="174"/>
  <c r="V211" i="174" s="1"/>
  <c r="AJ210" i="174"/>
  <c r="AI210" i="174"/>
  <c r="AH210" i="174"/>
  <c r="AG210" i="174"/>
  <c r="AF210" i="174"/>
  <c r="AE210" i="174"/>
  <c r="AD210" i="174"/>
  <c r="AC210" i="174"/>
  <c r="AB210" i="174"/>
  <c r="AA210" i="174"/>
  <c r="Z210" i="174"/>
  <c r="Y210" i="174"/>
  <c r="U210" i="174"/>
  <c r="T210" i="174"/>
  <c r="S210" i="174"/>
  <c r="R210" i="174"/>
  <c r="Q210" i="174"/>
  <c r="P210" i="174"/>
  <c r="O210" i="174"/>
  <c r="N210" i="174"/>
  <c r="M210" i="174"/>
  <c r="L210" i="174"/>
  <c r="K210" i="174"/>
  <c r="J210" i="174"/>
  <c r="V210" i="174" s="1"/>
  <c r="AJ209" i="174"/>
  <c r="AI209" i="174"/>
  <c r="AH209" i="174"/>
  <c r="AG209" i="174"/>
  <c r="AF209" i="174"/>
  <c r="AE209" i="174"/>
  <c r="AD209" i="174"/>
  <c r="AC209" i="174"/>
  <c r="AB209" i="174"/>
  <c r="AA209" i="174"/>
  <c r="Z209" i="174"/>
  <c r="Y209" i="174"/>
  <c r="U209" i="174"/>
  <c r="T209" i="174"/>
  <c r="S209" i="174"/>
  <c r="R209" i="174"/>
  <c r="Q209" i="174"/>
  <c r="P209" i="174"/>
  <c r="O209" i="174"/>
  <c r="N209" i="174"/>
  <c r="M209" i="174"/>
  <c r="L209" i="174"/>
  <c r="K209" i="174"/>
  <c r="J209" i="174"/>
  <c r="V209" i="174" s="1"/>
  <c r="AJ208" i="174"/>
  <c r="AI208" i="174"/>
  <c r="AH208" i="174"/>
  <c r="AG208" i="174"/>
  <c r="AF208" i="174"/>
  <c r="AE208" i="174"/>
  <c r="AD208" i="174"/>
  <c r="AC208" i="174"/>
  <c r="AB208" i="174"/>
  <c r="AA208" i="174"/>
  <c r="Z208" i="174"/>
  <c r="Y208" i="174"/>
  <c r="U208" i="174"/>
  <c r="T208" i="174"/>
  <c r="S208" i="174"/>
  <c r="R208" i="174"/>
  <c r="Q208" i="174"/>
  <c r="P208" i="174"/>
  <c r="O208" i="174"/>
  <c r="N208" i="174"/>
  <c r="M208" i="174"/>
  <c r="L208" i="174"/>
  <c r="K208" i="174"/>
  <c r="J208" i="174"/>
  <c r="V208" i="174" s="1"/>
  <c r="AJ207" i="174"/>
  <c r="AI207" i="174"/>
  <c r="AH207" i="174"/>
  <c r="AG207" i="174"/>
  <c r="AF207" i="174"/>
  <c r="AE207" i="174"/>
  <c r="AD207" i="174"/>
  <c r="AC207" i="174"/>
  <c r="AB207" i="174"/>
  <c r="AA207" i="174"/>
  <c r="Z207" i="174"/>
  <c r="Y207" i="174"/>
  <c r="U207" i="174"/>
  <c r="T207" i="174"/>
  <c r="S207" i="174"/>
  <c r="R207" i="174"/>
  <c r="Q207" i="174"/>
  <c r="P207" i="174"/>
  <c r="O207" i="174"/>
  <c r="N207" i="174"/>
  <c r="M207" i="174"/>
  <c r="L207" i="174"/>
  <c r="K207" i="174"/>
  <c r="J207" i="174"/>
  <c r="V207" i="174" s="1"/>
  <c r="AJ206" i="174"/>
  <c r="AI206" i="174"/>
  <c r="AH206" i="174"/>
  <c r="AG206" i="174"/>
  <c r="AF206" i="174"/>
  <c r="AE206" i="174"/>
  <c r="AD206" i="174"/>
  <c r="AC206" i="174"/>
  <c r="AB206" i="174"/>
  <c r="AA206" i="174"/>
  <c r="Z206" i="174"/>
  <c r="Y206" i="174"/>
  <c r="U206" i="174"/>
  <c r="T206" i="174"/>
  <c r="S206" i="174"/>
  <c r="R206" i="174"/>
  <c r="Q206" i="174"/>
  <c r="P206" i="174"/>
  <c r="O206" i="174"/>
  <c r="N206" i="174"/>
  <c r="M206" i="174"/>
  <c r="L206" i="174"/>
  <c r="K206" i="174"/>
  <c r="J206" i="174"/>
  <c r="V206" i="174" s="1"/>
  <c r="AJ205" i="174"/>
  <c r="AI205" i="174"/>
  <c r="AH205" i="174"/>
  <c r="AG205" i="174"/>
  <c r="AF205" i="174"/>
  <c r="AE205" i="174"/>
  <c r="AD205" i="174"/>
  <c r="AC205" i="174"/>
  <c r="AB205" i="174"/>
  <c r="AA205" i="174"/>
  <c r="Z205" i="174"/>
  <c r="Y205" i="174"/>
  <c r="U205" i="174"/>
  <c r="T205" i="174"/>
  <c r="S205" i="174"/>
  <c r="R205" i="174"/>
  <c r="Q205" i="174"/>
  <c r="P205" i="174"/>
  <c r="O205" i="174"/>
  <c r="N205" i="174"/>
  <c r="M205" i="174"/>
  <c r="L205" i="174"/>
  <c r="K205" i="174"/>
  <c r="J205" i="174"/>
  <c r="V205" i="174" s="1"/>
  <c r="AJ204" i="174"/>
  <c r="AI204" i="174"/>
  <c r="AH204" i="174"/>
  <c r="AG204" i="174"/>
  <c r="AF204" i="174"/>
  <c r="AE204" i="174"/>
  <c r="AD204" i="174"/>
  <c r="AC204" i="174"/>
  <c r="AB204" i="174"/>
  <c r="AA204" i="174"/>
  <c r="Z204" i="174"/>
  <c r="Y204" i="174"/>
  <c r="U204" i="174"/>
  <c r="T204" i="174"/>
  <c r="S204" i="174"/>
  <c r="R204" i="174"/>
  <c r="Q204" i="174"/>
  <c r="P204" i="174"/>
  <c r="O204" i="174"/>
  <c r="N204" i="174"/>
  <c r="M204" i="174"/>
  <c r="L204" i="174"/>
  <c r="K204" i="174"/>
  <c r="J204" i="174"/>
  <c r="V204" i="174" s="1"/>
  <c r="AJ203" i="174"/>
  <c r="AI203" i="174"/>
  <c r="AH203" i="174"/>
  <c r="AG203" i="174"/>
  <c r="AF203" i="174"/>
  <c r="AE203" i="174"/>
  <c r="AD203" i="174"/>
  <c r="AC203" i="174"/>
  <c r="AB203" i="174"/>
  <c r="AA203" i="174"/>
  <c r="Z203" i="174"/>
  <c r="Y203" i="174"/>
  <c r="U203" i="174"/>
  <c r="T203" i="174"/>
  <c r="S203" i="174"/>
  <c r="R203" i="174"/>
  <c r="Q203" i="174"/>
  <c r="P203" i="174"/>
  <c r="O203" i="174"/>
  <c r="N203" i="174"/>
  <c r="M203" i="174"/>
  <c r="L203" i="174"/>
  <c r="K203" i="174"/>
  <c r="J203" i="174"/>
  <c r="V203" i="174" s="1"/>
  <c r="AJ202" i="174"/>
  <c r="AI202" i="174"/>
  <c r="AH202" i="174"/>
  <c r="AG202" i="174"/>
  <c r="AF202" i="174"/>
  <c r="AE202" i="174"/>
  <c r="AD202" i="174"/>
  <c r="AC202" i="174"/>
  <c r="AB202" i="174"/>
  <c r="AA202" i="174"/>
  <c r="Z202" i="174"/>
  <c r="Y202" i="174"/>
  <c r="U202" i="174"/>
  <c r="T202" i="174"/>
  <c r="S202" i="174"/>
  <c r="R202" i="174"/>
  <c r="Q202" i="174"/>
  <c r="P202" i="174"/>
  <c r="O202" i="174"/>
  <c r="N202" i="174"/>
  <c r="M202" i="174"/>
  <c r="L202" i="174"/>
  <c r="K202" i="174"/>
  <c r="J202" i="174"/>
  <c r="V202" i="174" s="1"/>
  <c r="AJ201" i="174"/>
  <c r="AI201" i="174"/>
  <c r="AH201" i="174"/>
  <c r="AG201" i="174"/>
  <c r="AF201" i="174"/>
  <c r="AE201" i="174"/>
  <c r="AD201" i="174"/>
  <c r="AC201" i="174"/>
  <c r="AB201" i="174"/>
  <c r="AA201" i="174"/>
  <c r="Z201" i="174"/>
  <c r="Y201" i="174"/>
  <c r="U201" i="174"/>
  <c r="T201" i="174"/>
  <c r="S201" i="174"/>
  <c r="R201" i="174"/>
  <c r="Q201" i="174"/>
  <c r="P201" i="174"/>
  <c r="O201" i="174"/>
  <c r="N201" i="174"/>
  <c r="M201" i="174"/>
  <c r="L201" i="174"/>
  <c r="K201" i="174"/>
  <c r="J201" i="174"/>
  <c r="V201" i="174" s="1"/>
  <c r="AJ200" i="174"/>
  <c r="AI200" i="174"/>
  <c r="AH200" i="174"/>
  <c r="AG200" i="174"/>
  <c r="AF200" i="174"/>
  <c r="AE200" i="174"/>
  <c r="AD200" i="174"/>
  <c r="AC200" i="174"/>
  <c r="AB200" i="174"/>
  <c r="AA200" i="174"/>
  <c r="Z200" i="174"/>
  <c r="Y200" i="174"/>
  <c r="U200" i="174"/>
  <c r="T200" i="174"/>
  <c r="S200" i="174"/>
  <c r="R200" i="174"/>
  <c r="Q200" i="174"/>
  <c r="P200" i="174"/>
  <c r="O200" i="174"/>
  <c r="N200" i="174"/>
  <c r="M200" i="174"/>
  <c r="L200" i="174"/>
  <c r="K200" i="174"/>
  <c r="J200" i="174"/>
  <c r="V200" i="174" s="1"/>
  <c r="AJ199" i="174"/>
  <c r="AI199" i="174"/>
  <c r="AH199" i="174"/>
  <c r="AG199" i="174"/>
  <c r="AF199" i="174"/>
  <c r="AE199" i="174"/>
  <c r="AD199" i="174"/>
  <c r="AC199" i="174"/>
  <c r="AB199" i="174"/>
  <c r="AA199" i="174"/>
  <c r="Z199" i="174"/>
  <c r="Y199" i="174"/>
  <c r="U199" i="174"/>
  <c r="T199" i="174"/>
  <c r="S199" i="174"/>
  <c r="R199" i="174"/>
  <c r="Q199" i="174"/>
  <c r="P199" i="174"/>
  <c r="O199" i="174"/>
  <c r="N199" i="174"/>
  <c r="M199" i="174"/>
  <c r="L199" i="174"/>
  <c r="K199" i="174"/>
  <c r="J199" i="174"/>
  <c r="V199" i="174" s="1"/>
  <c r="AJ198" i="174"/>
  <c r="AI198" i="174"/>
  <c r="AH198" i="174"/>
  <c r="AG198" i="174"/>
  <c r="AF198" i="174"/>
  <c r="AE198" i="174"/>
  <c r="AD198" i="174"/>
  <c r="AC198" i="174"/>
  <c r="AB198" i="174"/>
  <c r="AA198" i="174"/>
  <c r="Z198" i="174"/>
  <c r="Y198" i="174"/>
  <c r="U198" i="174"/>
  <c r="T198" i="174"/>
  <c r="S198" i="174"/>
  <c r="R198" i="174"/>
  <c r="Q198" i="174"/>
  <c r="P198" i="174"/>
  <c r="O198" i="174"/>
  <c r="N198" i="174"/>
  <c r="M198" i="174"/>
  <c r="L198" i="174"/>
  <c r="K198" i="174"/>
  <c r="J198" i="174"/>
  <c r="V198" i="174" s="1"/>
  <c r="AJ197" i="174"/>
  <c r="AI197" i="174"/>
  <c r="AH197" i="174"/>
  <c r="AG197" i="174"/>
  <c r="AF197" i="174"/>
  <c r="AE197" i="174"/>
  <c r="AD197" i="174"/>
  <c r="AC197" i="174"/>
  <c r="AB197" i="174"/>
  <c r="AA197" i="174"/>
  <c r="Z197" i="174"/>
  <c r="Y197" i="174"/>
  <c r="U197" i="174"/>
  <c r="T197" i="174"/>
  <c r="S197" i="174"/>
  <c r="R197" i="174"/>
  <c r="Q197" i="174"/>
  <c r="P197" i="174"/>
  <c r="O197" i="174"/>
  <c r="N197" i="174"/>
  <c r="M197" i="174"/>
  <c r="L197" i="174"/>
  <c r="K197" i="174"/>
  <c r="J197" i="174"/>
  <c r="V197" i="174" s="1"/>
  <c r="AJ196" i="174"/>
  <c r="AI196" i="174"/>
  <c r="AH196" i="174"/>
  <c r="AG196" i="174"/>
  <c r="AF196" i="174"/>
  <c r="AE196" i="174"/>
  <c r="AD196" i="174"/>
  <c r="AC196" i="174"/>
  <c r="AB196" i="174"/>
  <c r="AA196" i="174"/>
  <c r="Z196" i="174"/>
  <c r="Y196" i="174"/>
  <c r="U196" i="174"/>
  <c r="T196" i="174"/>
  <c r="S196" i="174"/>
  <c r="R196" i="174"/>
  <c r="Q196" i="174"/>
  <c r="P196" i="174"/>
  <c r="O196" i="174"/>
  <c r="N196" i="174"/>
  <c r="M196" i="174"/>
  <c r="L196" i="174"/>
  <c r="K196" i="174"/>
  <c r="J196" i="174"/>
  <c r="V196" i="174" s="1"/>
  <c r="AJ195" i="174"/>
  <c r="AI195" i="174"/>
  <c r="AH195" i="174"/>
  <c r="AG195" i="174"/>
  <c r="AF195" i="174"/>
  <c r="AE195" i="174"/>
  <c r="AD195" i="174"/>
  <c r="AC195" i="174"/>
  <c r="AB195" i="174"/>
  <c r="AA195" i="174"/>
  <c r="Z195" i="174"/>
  <c r="Y195" i="174"/>
  <c r="U195" i="174"/>
  <c r="T195" i="174"/>
  <c r="S195" i="174"/>
  <c r="R195" i="174"/>
  <c r="Q195" i="174"/>
  <c r="P195" i="174"/>
  <c r="O195" i="174"/>
  <c r="N195" i="174"/>
  <c r="M195" i="174"/>
  <c r="L195" i="174"/>
  <c r="K195" i="174"/>
  <c r="J195" i="174"/>
  <c r="V195" i="174" s="1"/>
  <c r="AJ194" i="174"/>
  <c r="AI194" i="174"/>
  <c r="AH194" i="174"/>
  <c r="AG194" i="174"/>
  <c r="AF194" i="174"/>
  <c r="AE194" i="174"/>
  <c r="AD194" i="174"/>
  <c r="AC194" i="174"/>
  <c r="AB194" i="174"/>
  <c r="AA194" i="174"/>
  <c r="Z194" i="174"/>
  <c r="Y194" i="174"/>
  <c r="U194" i="174"/>
  <c r="T194" i="174"/>
  <c r="S194" i="174"/>
  <c r="R194" i="174"/>
  <c r="Q194" i="174"/>
  <c r="P194" i="174"/>
  <c r="O194" i="174"/>
  <c r="N194" i="174"/>
  <c r="M194" i="174"/>
  <c r="L194" i="174"/>
  <c r="K194" i="174"/>
  <c r="J194" i="174"/>
  <c r="V194" i="174" s="1"/>
  <c r="AJ193" i="174"/>
  <c r="AI193" i="174"/>
  <c r="AH193" i="174"/>
  <c r="AG193" i="174"/>
  <c r="AF193" i="174"/>
  <c r="AE193" i="174"/>
  <c r="AD193" i="174"/>
  <c r="AC193" i="174"/>
  <c r="AB193" i="174"/>
  <c r="AA193" i="174"/>
  <c r="Z193" i="174"/>
  <c r="Y193" i="174"/>
  <c r="U193" i="174"/>
  <c r="T193" i="174"/>
  <c r="S193" i="174"/>
  <c r="R193" i="174"/>
  <c r="Q193" i="174"/>
  <c r="P193" i="174"/>
  <c r="O193" i="174"/>
  <c r="N193" i="174"/>
  <c r="M193" i="174"/>
  <c r="L193" i="174"/>
  <c r="K193" i="174"/>
  <c r="J193" i="174"/>
  <c r="V193" i="174" s="1"/>
  <c r="AJ192" i="174"/>
  <c r="AI192" i="174"/>
  <c r="AH192" i="174"/>
  <c r="AG192" i="174"/>
  <c r="AF192" i="174"/>
  <c r="AE192" i="174"/>
  <c r="AD192" i="174"/>
  <c r="AC192" i="174"/>
  <c r="AB192" i="174"/>
  <c r="AA192" i="174"/>
  <c r="Z192" i="174"/>
  <c r="Y192" i="174"/>
  <c r="U192" i="174"/>
  <c r="T192" i="174"/>
  <c r="S192" i="174"/>
  <c r="R192" i="174"/>
  <c r="Q192" i="174"/>
  <c r="P192" i="174"/>
  <c r="O192" i="174"/>
  <c r="N192" i="174"/>
  <c r="M192" i="174"/>
  <c r="L192" i="174"/>
  <c r="K192" i="174"/>
  <c r="J192" i="174"/>
  <c r="V192" i="174" s="1"/>
  <c r="AJ191" i="174"/>
  <c r="AI191" i="174"/>
  <c r="AH191" i="174"/>
  <c r="AG191" i="174"/>
  <c r="AF191" i="174"/>
  <c r="AE191" i="174"/>
  <c r="AD191" i="174"/>
  <c r="AC191" i="174"/>
  <c r="AB191" i="174"/>
  <c r="AA191" i="174"/>
  <c r="Z191" i="174"/>
  <c r="Y191" i="174"/>
  <c r="U191" i="174"/>
  <c r="T191" i="174"/>
  <c r="S191" i="174"/>
  <c r="R191" i="174"/>
  <c r="Q191" i="174"/>
  <c r="P191" i="174"/>
  <c r="O191" i="174"/>
  <c r="N191" i="174"/>
  <c r="M191" i="174"/>
  <c r="L191" i="174"/>
  <c r="K191" i="174"/>
  <c r="J191" i="174"/>
  <c r="V191" i="174" s="1"/>
  <c r="AJ190" i="174"/>
  <c r="AI190" i="174"/>
  <c r="AH190" i="174"/>
  <c r="AG190" i="174"/>
  <c r="AF190" i="174"/>
  <c r="AE190" i="174"/>
  <c r="AD190" i="174"/>
  <c r="AC190" i="174"/>
  <c r="AB190" i="174"/>
  <c r="AA190" i="174"/>
  <c r="Z190" i="174"/>
  <c r="Y190" i="174"/>
  <c r="U190" i="174"/>
  <c r="T190" i="174"/>
  <c r="S190" i="174"/>
  <c r="R190" i="174"/>
  <c r="Q190" i="174"/>
  <c r="P190" i="174"/>
  <c r="O190" i="174"/>
  <c r="N190" i="174"/>
  <c r="M190" i="174"/>
  <c r="L190" i="174"/>
  <c r="K190" i="174"/>
  <c r="J190" i="174"/>
  <c r="V190" i="174" s="1"/>
  <c r="AJ189" i="174"/>
  <c r="AI189" i="174"/>
  <c r="AH189" i="174"/>
  <c r="AG189" i="174"/>
  <c r="AF189" i="174"/>
  <c r="AE189" i="174"/>
  <c r="AD189" i="174"/>
  <c r="AC189" i="174"/>
  <c r="AB189" i="174"/>
  <c r="AA189" i="174"/>
  <c r="Z189" i="174"/>
  <c r="Y189" i="174"/>
  <c r="U189" i="174"/>
  <c r="T189" i="174"/>
  <c r="S189" i="174"/>
  <c r="R189" i="174"/>
  <c r="Q189" i="174"/>
  <c r="P189" i="174"/>
  <c r="O189" i="174"/>
  <c r="N189" i="174"/>
  <c r="M189" i="174"/>
  <c r="L189" i="174"/>
  <c r="K189" i="174"/>
  <c r="J189" i="174"/>
  <c r="V189" i="174" s="1"/>
  <c r="AJ188" i="174"/>
  <c r="AI188" i="174"/>
  <c r="AH188" i="174"/>
  <c r="AG188" i="174"/>
  <c r="AF188" i="174"/>
  <c r="AE188" i="174"/>
  <c r="AD188" i="174"/>
  <c r="AC188" i="174"/>
  <c r="AB188" i="174"/>
  <c r="AA188" i="174"/>
  <c r="Z188" i="174"/>
  <c r="Y188" i="174"/>
  <c r="U188" i="174"/>
  <c r="T188" i="174"/>
  <c r="S188" i="174"/>
  <c r="R188" i="174"/>
  <c r="Q188" i="174"/>
  <c r="P188" i="174"/>
  <c r="O188" i="174"/>
  <c r="N188" i="174"/>
  <c r="M188" i="174"/>
  <c r="L188" i="174"/>
  <c r="K188" i="174"/>
  <c r="J188" i="174"/>
  <c r="V188" i="174" s="1"/>
  <c r="AJ187" i="174"/>
  <c r="AI187" i="174"/>
  <c r="AH187" i="174"/>
  <c r="AG187" i="174"/>
  <c r="AF187" i="174"/>
  <c r="AE187" i="174"/>
  <c r="AD187" i="174"/>
  <c r="AC187" i="174"/>
  <c r="AB187" i="174"/>
  <c r="AA187" i="174"/>
  <c r="Z187" i="174"/>
  <c r="Y187" i="174"/>
  <c r="U187" i="174"/>
  <c r="T187" i="174"/>
  <c r="S187" i="174"/>
  <c r="R187" i="174"/>
  <c r="Q187" i="174"/>
  <c r="P187" i="174"/>
  <c r="O187" i="174"/>
  <c r="N187" i="174"/>
  <c r="M187" i="174"/>
  <c r="L187" i="174"/>
  <c r="K187" i="174"/>
  <c r="J187" i="174"/>
  <c r="V187" i="174" s="1"/>
  <c r="AJ186" i="174"/>
  <c r="AI186" i="174"/>
  <c r="AH186" i="174"/>
  <c r="AG186" i="174"/>
  <c r="AF186" i="174"/>
  <c r="AE186" i="174"/>
  <c r="AD186" i="174"/>
  <c r="AC186" i="174"/>
  <c r="AB186" i="174"/>
  <c r="AA186" i="174"/>
  <c r="Z186" i="174"/>
  <c r="Y186" i="174"/>
  <c r="U186" i="174"/>
  <c r="T186" i="174"/>
  <c r="S186" i="174"/>
  <c r="R186" i="174"/>
  <c r="Q186" i="174"/>
  <c r="P186" i="174"/>
  <c r="O186" i="174"/>
  <c r="N186" i="174"/>
  <c r="M186" i="174"/>
  <c r="L186" i="174"/>
  <c r="K186" i="174"/>
  <c r="J186" i="174"/>
  <c r="V186" i="174" s="1"/>
  <c r="AJ185" i="174"/>
  <c r="AI185" i="174"/>
  <c r="AH185" i="174"/>
  <c r="AG185" i="174"/>
  <c r="AF185" i="174"/>
  <c r="AE185" i="174"/>
  <c r="AD185" i="174"/>
  <c r="AC185" i="174"/>
  <c r="AB185" i="174"/>
  <c r="AA185" i="174"/>
  <c r="Z185" i="174"/>
  <c r="Y185" i="174"/>
  <c r="U185" i="174"/>
  <c r="T185" i="174"/>
  <c r="S185" i="174"/>
  <c r="R185" i="174"/>
  <c r="Q185" i="174"/>
  <c r="P185" i="174"/>
  <c r="O185" i="174"/>
  <c r="N185" i="174"/>
  <c r="M185" i="174"/>
  <c r="L185" i="174"/>
  <c r="K185" i="174"/>
  <c r="J185" i="174"/>
  <c r="V185" i="174" s="1"/>
  <c r="AJ184" i="174"/>
  <c r="AI184" i="174"/>
  <c r="AH184" i="174"/>
  <c r="AG184" i="174"/>
  <c r="AF184" i="174"/>
  <c r="AE184" i="174"/>
  <c r="AD184" i="174"/>
  <c r="AC184" i="174"/>
  <c r="AB184" i="174"/>
  <c r="AA184" i="174"/>
  <c r="Z184" i="174"/>
  <c r="Y184" i="174"/>
  <c r="U184" i="174"/>
  <c r="T184" i="174"/>
  <c r="S184" i="174"/>
  <c r="R184" i="174"/>
  <c r="Q184" i="174"/>
  <c r="P184" i="174"/>
  <c r="O184" i="174"/>
  <c r="N184" i="174"/>
  <c r="M184" i="174"/>
  <c r="L184" i="174"/>
  <c r="K184" i="174"/>
  <c r="J184" i="174"/>
  <c r="V184" i="174" s="1"/>
  <c r="AJ183" i="174"/>
  <c r="AI183" i="174"/>
  <c r="AH183" i="174"/>
  <c r="AG183" i="174"/>
  <c r="AF183" i="174"/>
  <c r="AE183" i="174"/>
  <c r="AD183" i="174"/>
  <c r="AC183" i="174"/>
  <c r="AB183" i="174"/>
  <c r="AA183" i="174"/>
  <c r="Z183" i="174"/>
  <c r="Y183" i="174"/>
  <c r="U183" i="174"/>
  <c r="T183" i="174"/>
  <c r="S183" i="174"/>
  <c r="R183" i="174"/>
  <c r="Q183" i="174"/>
  <c r="P183" i="174"/>
  <c r="O183" i="174"/>
  <c r="N183" i="174"/>
  <c r="M183" i="174"/>
  <c r="L183" i="174"/>
  <c r="K183" i="174"/>
  <c r="J183" i="174"/>
  <c r="V183" i="174" s="1"/>
  <c r="AJ182" i="174"/>
  <c r="AI182" i="174"/>
  <c r="AH182" i="174"/>
  <c r="AG182" i="174"/>
  <c r="AF182" i="174"/>
  <c r="AE182" i="174"/>
  <c r="AD182" i="174"/>
  <c r="AC182" i="174"/>
  <c r="AB182" i="174"/>
  <c r="AA182" i="174"/>
  <c r="Z182" i="174"/>
  <c r="Y182" i="174"/>
  <c r="U182" i="174"/>
  <c r="T182" i="174"/>
  <c r="S182" i="174"/>
  <c r="R182" i="174"/>
  <c r="Q182" i="174"/>
  <c r="P182" i="174"/>
  <c r="O182" i="174"/>
  <c r="N182" i="174"/>
  <c r="M182" i="174"/>
  <c r="L182" i="174"/>
  <c r="K182" i="174"/>
  <c r="J182" i="174"/>
  <c r="V182" i="174" s="1"/>
  <c r="AJ181" i="174"/>
  <c r="AI181" i="174"/>
  <c r="AH181" i="174"/>
  <c r="AG181" i="174"/>
  <c r="AF181" i="174"/>
  <c r="AE181" i="174"/>
  <c r="AD181" i="174"/>
  <c r="AC181" i="174"/>
  <c r="AB181" i="174"/>
  <c r="AA181" i="174"/>
  <c r="Z181" i="174"/>
  <c r="Y181" i="174"/>
  <c r="U181" i="174"/>
  <c r="T181" i="174"/>
  <c r="S181" i="174"/>
  <c r="R181" i="174"/>
  <c r="Q181" i="174"/>
  <c r="P181" i="174"/>
  <c r="O181" i="174"/>
  <c r="N181" i="174"/>
  <c r="M181" i="174"/>
  <c r="L181" i="174"/>
  <c r="K181" i="174"/>
  <c r="J181" i="174"/>
  <c r="V181" i="174" s="1"/>
  <c r="AJ180" i="174"/>
  <c r="AI180" i="174"/>
  <c r="AH180" i="174"/>
  <c r="AG180" i="174"/>
  <c r="AF180" i="174"/>
  <c r="AE180" i="174"/>
  <c r="AD180" i="174"/>
  <c r="AC180" i="174"/>
  <c r="AB180" i="174"/>
  <c r="AA180" i="174"/>
  <c r="Z180" i="174"/>
  <c r="Y180" i="174"/>
  <c r="U180" i="174"/>
  <c r="T180" i="174"/>
  <c r="S180" i="174"/>
  <c r="R180" i="174"/>
  <c r="Q180" i="174"/>
  <c r="P180" i="174"/>
  <c r="O180" i="174"/>
  <c r="N180" i="174"/>
  <c r="M180" i="174"/>
  <c r="L180" i="174"/>
  <c r="K180" i="174"/>
  <c r="J180" i="174"/>
  <c r="V180" i="174" s="1"/>
  <c r="AJ179" i="174"/>
  <c r="AI179" i="174"/>
  <c r="AH179" i="174"/>
  <c r="AG179" i="174"/>
  <c r="AF179" i="174"/>
  <c r="AE179" i="174"/>
  <c r="AD179" i="174"/>
  <c r="AC179" i="174"/>
  <c r="AB179" i="174"/>
  <c r="AA179" i="174"/>
  <c r="Z179" i="174"/>
  <c r="Y179" i="174"/>
  <c r="U179" i="174"/>
  <c r="T179" i="174"/>
  <c r="S179" i="174"/>
  <c r="R179" i="174"/>
  <c r="Q179" i="174"/>
  <c r="P179" i="174"/>
  <c r="O179" i="174"/>
  <c r="N179" i="174"/>
  <c r="M179" i="174"/>
  <c r="L179" i="174"/>
  <c r="K179" i="174"/>
  <c r="J179" i="174"/>
  <c r="V179" i="174" s="1"/>
  <c r="AJ178" i="174"/>
  <c r="AI178" i="174"/>
  <c r="AH178" i="174"/>
  <c r="AG178" i="174"/>
  <c r="AF178" i="174"/>
  <c r="AE178" i="174"/>
  <c r="AD178" i="174"/>
  <c r="AC178" i="174"/>
  <c r="AB178" i="174"/>
  <c r="AA178" i="174"/>
  <c r="Z178" i="174"/>
  <c r="Y178" i="174"/>
  <c r="U178" i="174"/>
  <c r="T178" i="174"/>
  <c r="S178" i="174"/>
  <c r="R178" i="174"/>
  <c r="Q178" i="174"/>
  <c r="P178" i="174"/>
  <c r="O178" i="174"/>
  <c r="N178" i="174"/>
  <c r="M178" i="174"/>
  <c r="L178" i="174"/>
  <c r="K178" i="174"/>
  <c r="J178" i="174"/>
  <c r="V178" i="174" s="1"/>
  <c r="AJ177" i="174"/>
  <c r="AI177" i="174"/>
  <c r="AH177" i="174"/>
  <c r="AG177" i="174"/>
  <c r="AF177" i="174"/>
  <c r="AE177" i="174"/>
  <c r="AD177" i="174"/>
  <c r="AC177" i="174"/>
  <c r="AB177" i="174"/>
  <c r="AA177" i="174"/>
  <c r="Z177" i="174"/>
  <c r="Y177" i="174"/>
  <c r="U177" i="174"/>
  <c r="T177" i="174"/>
  <c r="S177" i="174"/>
  <c r="R177" i="174"/>
  <c r="Q177" i="174"/>
  <c r="P177" i="174"/>
  <c r="O177" i="174"/>
  <c r="N177" i="174"/>
  <c r="M177" i="174"/>
  <c r="L177" i="174"/>
  <c r="K177" i="174"/>
  <c r="J177" i="174"/>
  <c r="V177" i="174" s="1"/>
  <c r="I177" i="174"/>
  <c r="AJ176" i="174"/>
  <c r="AI176" i="174"/>
  <c r="AH176" i="174"/>
  <c r="AG176" i="174"/>
  <c r="AF176" i="174"/>
  <c r="AE176" i="174"/>
  <c r="AD176" i="174"/>
  <c r="AC176" i="174"/>
  <c r="AB176" i="174"/>
  <c r="AA176" i="174"/>
  <c r="Z176" i="174"/>
  <c r="Y176" i="174"/>
  <c r="U176" i="174"/>
  <c r="T176" i="174"/>
  <c r="S176" i="174"/>
  <c r="R176" i="174"/>
  <c r="Q176" i="174"/>
  <c r="P176" i="174"/>
  <c r="O176" i="174"/>
  <c r="N176" i="174"/>
  <c r="M176" i="174"/>
  <c r="L176" i="174"/>
  <c r="K176" i="174"/>
  <c r="J176" i="174"/>
  <c r="V176" i="174" s="1"/>
  <c r="AJ175" i="174"/>
  <c r="AI175" i="174"/>
  <c r="AH175" i="174"/>
  <c r="AG175" i="174"/>
  <c r="AF175" i="174"/>
  <c r="AE175" i="174"/>
  <c r="AD175" i="174"/>
  <c r="AC175" i="174"/>
  <c r="AB175" i="174"/>
  <c r="AA175" i="174"/>
  <c r="Z175" i="174"/>
  <c r="Y175" i="174"/>
  <c r="U175" i="174"/>
  <c r="T175" i="174"/>
  <c r="S175" i="174"/>
  <c r="R175" i="174"/>
  <c r="Q175" i="174"/>
  <c r="P175" i="174"/>
  <c r="O175" i="174"/>
  <c r="N175" i="174"/>
  <c r="M175" i="174"/>
  <c r="L175" i="174"/>
  <c r="K175" i="174"/>
  <c r="J175" i="174"/>
  <c r="V175" i="174" s="1"/>
  <c r="AJ174" i="174"/>
  <c r="AI174" i="174"/>
  <c r="AH174" i="174"/>
  <c r="AG174" i="174"/>
  <c r="AF174" i="174"/>
  <c r="AE174" i="174"/>
  <c r="AD174" i="174"/>
  <c r="AC174" i="174"/>
  <c r="AB174" i="174"/>
  <c r="AA174" i="174"/>
  <c r="Z174" i="174"/>
  <c r="Y174" i="174"/>
  <c r="U174" i="174"/>
  <c r="T174" i="174"/>
  <c r="S174" i="174"/>
  <c r="R174" i="174"/>
  <c r="Q174" i="174"/>
  <c r="P174" i="174"/>
  <c r="O174" i="174"/>
  <c r="N174" i="174"/>
  <c r="M174" i="174"/>
  <c r="L174" i="174"/>
  <c r="K174" i="174"/>
  <c r="J174" i="174"/>
  <c r="V174" i="174" s="1"/>
  <c r="AJ173" i="174"/>
  <c r="AI173" i="174"/>
  <c r="AH173" i="174"/>
  <c r="AG173" i="174"/>
  <c r="AF173" i="174"/>
  <c r="AE173" i="174"/>
  <c r="AD173" i="174"/>
  <c r="AC173" i="174"/>
  <c r="AB173" i="174"/>
  <c r="AA173" i="174"/>
  <c r="Z173" i="174"/>
  <c r="Y173" i="174"/>
  <c r="U173" i="174"/>
  <c r="T173" i="174"/>
  <c r="S173" i="174"/>
  <c r="R173" i="174"/>
  <c r="Q173" i="174"/>
  <c r="P173" i="174"/>
  <c r="O173" i="174"/>
  <c r="N173" i="174"/>
  <c r="M173" i="174"/>
  <c r="L173" i="174"/>
  <c r="K173" i="174"/>
  <c r="J173" i="174"/>
  <c r="V173" i="174" s="1"/>
  <c r="AJ172" i="174"/>
  <c r="AI172" i="174"/>
  <c r="AH172" i="174"/>
  <c r="AG172" i="174"/>
  <c r="AF172" i="174"/>
  <c r="AE172" i="174"/>
  <c r="AD172" i="174"/>
  <c r="AC172" i="174"/>
  <c r="AB172" i="174"/>
  <c r="AA172" i="174"/>
  <c r="Z172" i="174"/>
  <c r="Y172" i="174"/>
  <c r="U172" i="174"/>
  <c r="T172" i="174"/>
  <c r="S172" i="174"/>
  <c r="R172" i="174"/>
  <c r="Q172" i="174"/>
  <c r="P172" i="174"/>
  <c r="O172" i="174"/>
  <c r="N172" i="174"/>
  <c r="M172" i="174"/>
  <c r="L172" i="174"/>
  <c r="K172" i="174"/>
  <c r="J172" i="174"/>
  <c r="V172" i="174" s="1"/>
  <c r="AJ171" i="174"/>
  <c r="AI171" i="174"/>
  <c r="AH171" i="174"/>
  <c r="AG171" i="174"/>
  <c r="AF171" i="174"/>
  <c r="AE171" i="174"/>
  <c r="AD171" i="174"/>
  <c r="AC171" i="174"/>
  <c r="AB171" i="174"/>
  <c r="AA171" i="174"/>
  <c r="Z171" i="174"/>
  <c r="Y171" i="174"/>
  <c r="U171" i="174"/>
  <c r="T171" i="174"/>
  <c r="S171" i="174"/>
  <c r="R171" i="174"/>
  <c r="Q171" i="174"/>
  <c r="P171" i="174"/>
  <c r="O171" i="174"/>
  <c r="N171" i="174"/>
  <c r="M171" i="174"/>
  <c r="L171" i="174"/>
  <c r="K171" i="174"/>
  <c r="J171" i="174"/>
  <c r="V171" i="174" s="1"/>
  <c r="AJ170" i="174"/>
  <c r="AI170" i="174"/>
  <c r="AH170" i="174"/>
  <c r="AG170" i="174"/>
  <c r="AF170" i="174"/>
  <c r="AE170" i="174"/>
  <c r="AD170" i="174"/>
  <c r="AC170" i="174"/>
  <c r="AB170" i="174"/>
  <c r="AA170" i="174"/>
  <c r="Z170" i="174"/>
  <c r="Y170" i="174"/>
  <c r="U170" i="174"/>
  <c r="T170" i="174"/>
  <c r="S170" i="174"/>
  <c r="R170" i="174"/>
  <c r="Q170" i="174"/>
  <c r="P170" i="174"/>
  <c r="O170" i="174"/>
  <c r="N170" i="174"/>
  <c r="M170" i="174"/>
  <c r="L170" i="174"/>
  <c r="K170" i="174"/>
  <c r="J170" i="174"/>
  <c r="V170" i="174" s="1"/>
  <c r="AJ169" i="174"/>
  <c r="AI169" i="174"/>
  <c r="AH169" i="174"/>
  <c r="AG169" i="174"/>
  <c r="AF169" i="174"/>
  <c r="AE169" i="174"/>
  <c r="AD169" i="174"/>
  <c r="AC169" i="174"/>
  <c r="AB169" i="174"/>
  <c r="AA169" i="174"/>
  <c r="Z169" i="174"/>
  <c r="Y169" i="174"/>
  <c r="U169" i="174"/>
  <c r="T169" i="174"/>
  <c r="S169" i="174"/>
  <c r="R169" i="174"/>
  <c r="Q169" i="174"/>
  <c r="P169" i="174"/>
  <c r="O169" i="174"/>
  <c r="N169" i="174"/>
  <c r="M169" i="174"/>
  <c r="L169" i="174"/>
  <c r="K169" i="174"/>
  <c r="J169" i="174"/>
  <c r="V169" i="174" s="1"/>
  <c r="AJ168" i="174"/>
  <c r="AI168" i="174"/>
  <c r="AH168" i="174"/>
  <c r="AG168" i="174"/>
  <c r="AF168" i="174"/>
  <c r="AE168" i="174"/>
  <c r="AD168" i="174"/>
  <c r="AC168" i="174"/>
  <c r="AB168" i="174"/>
  <c r="AA168" i="174"/>
  <c r="Z168" i="174"/>
  <c r="Y168" i="174"/>
  <c r="U168" i="174"/>
  <c r="T168" i="174"/>
  <c r="S168" i="174"/>
  <c r="R168" i="174"/>
  <c r="Q168" i="174"/>
  <c r="P168" i="174"/>
  <c r="O168" i="174"/>
  <c r="N168" i="174"/>
  <c r="M168" i="174"/>
  <c r="L168" i="174"/>
  <c r="K168" i="174"/>
  <c r="J168" i="174"/>
  <c r="V168" i="174" s="1"/>
  <c r="AJ167" i="174"/>
  <c r="AI167" i="174"/>
  <c r="AH167" i="174"/>
  <c r="AG167" i="174"/>
  <c r="AF167" i="174"/>
  <c r="AE167" i="174"/>
  <c r="AD167" i="174"/>
  <c r="AC167" i="174"/>
  <c r="AB167" i="174"/>
  <c r="AA167" i="174"/>
  <c r="Z167" i="174"/>
  <c r="Y167" i="174"/>
  <c r="U167" i="174"/>
  <c r="T167" i="174"/>
  <c r="S167" i="174"/>
  <c r="R167" i="174"/>
  <c r="Q167" i="174"/>
  <c r="P167" i="174"/>
  <c r="O167" i="174"/>
  <c r="N167" i="174"/>
  <c r="M167" i="174"/>
  <c r="L167" i="174"/>
  <c r="K167" i="174"/>
  <c r="J167" i="174"/>
  <c r="V167" i="174" s="1"/>
  <c r="AJ166" i="174"/>
  <c r="AI166" i="174"/>
  <c r="AH166" i="174"/>
  <c r="AG166" i="174"/>
  <c r="AF166" i="174"/>
  <c r="AE166" i="174"/>
  <c r="AD166" i="174"/>
  <c r="AC166" i="174"/>
  <c r="AB166" i="174"/>
  <c r="AA166" i="174"/>
  <c r="Z166" i="174"/>
  <c r="Y166" i="174"/>
  <c r="U166" i="174"/>
  <c r="T166" i="174"/>
  <c r="S166" i="174"/>
  <c r="R166" i="174"/>
  <c r="Q166" i="174"/>
  <c r="P166" i="174"/>
  <c r="O166" i="174"/>
  <c r="N166" i="174"/>
  <c r="M166" i="174"/>
  <c r="L166" i="174"/>
  <c r="K166" i="174"/>
  <c r="J166" i="174"/>
  <c r="V166" i="174" s="1"/>
  <c r="AJ165" i="174"/>
  <c r="AI165" i="174"/>
  <c r="AH165" i="174"/>
  <c r="AG165" i="174"/>
  <c r="AF165" i="174"/>
  <c r="AE165" i="174"/>
  <c r="AD165" i="174"/>
  <c r="AC165" i="174"/>
  <c r="AB165" i="174"/>
  <c r="AA165" i="174"/>
  <c r="Z165" i="174"/>
  <c r="Y165" i="174"/>
  <c r="U165" i="174"/>
  <c r="T165" i="174"/>
  <c r="S165" i="174"/>
  <c r="R165" i="174"/>
  <c r="Q165" i="174"/>
  <c r="P165" i="174"/>
  <c r="O165" i="174"/>
  <c r="N165" i="174"/>
  <c r="M165" i="174"/>
  <c r="L165" i="174"/>
  <c r="K165" i="174"/>
  <c r="J165" i="174"/>
  <c r="V165" i="174" s="1"/>
  <c r="AJ164" i="174"/>
  <c r="AI164" i="174"/>
  <c r="AH164" i="174"/>
  <c r="AG164" i="174"/>
  <c r="AF164" i="174"/>
  <c r="AE164" i="174"/>
  <c r="AD164" i="174"/>
  <c r="AC164" i="174"/>
  <c r="AB164" i="174"/>
  <c r="AA164" i="174"/>
  <c r="Z164" i="174"/>
  <c r="Y164" i="174"/>
  <c r="U164" i="174"/>
  <c r="T164" i="174"/>
  <c r="S164" i="174"/>
  <c r="R164" i="174"/>
  <c r="Q164" i="174"/>
  <c r="P164" i="174"/>
  <c r="O164" i="174"/>
  <c r="N164" i="174"/>
  <c r="M164" i="174"/>
  <c r="L164" i="174"/>
  <c r="K164" i="174"/>
  <c r="J164" i="174"/>
  <c r="V164" i="174" s="1"/>
  <c r="AJ163" i="174"/>
  <c r="AJ252" i="174" s="1"/>
  <c r="AI163" i="174"/>
  <c r="AI252" i="174" s="1"/>
  <c r="AH163" i="174"/>
  <c r="AH252" i="174" s="1"/>
  <c r="AG163" i="174"/>
  <c r="AG252" i="174" s="1"/>
  <c r="AF163" i="174"/>
  <c r="AF252" i="174" s="1"/>
  <c r="AE163" i="174"/>
  <c r="AE252" i="174" s="1"/>
  <c r="AD163" i="174"/>
  <c r="AD252" i="174" s="1"/>
  <c r="AC163" i="174"/>
  <c r="AC252" i="174" s="1"/>
  <c r="AB163" i="174"/>
  <c r="AB252" i="174" s="1"/>
  <c r="AA163" i="174"/>
  <c r="AA252" i="174" s="1"/>
  <c r="Z163" i="174"/>
  <c r="Z252" i="174" s="1"/>
  <c r="Y163" i="174"/>
  <c r="Y252" i="174" s="1"/>
  <c r="V163" i="174"/>
  <c r="U163" i="174"/>
  <c r="U252" i="174" s="1"/>
  <c r="T163" i="174"/>
  <c r="T252" i="174" s="1"/>
  <c r="S163" i="174"/>
  <c r="S252" i="174" s="1"/>
  <c r="R163" i="174"/>
  <c r="R252" i="174" s="1"/>
  <c r="Q163" i="174"/>
  <c r="Q252" i="174" s="1"/>
  <c r="P163" i="174"/>
  <c r="P252" i="174" s="1"/>
  <c r="O163" i="174"/>
  <c r="O252" i="174" s="1"/>
  <c r="N163" i="174"/>
  <c r="N252" i="174" s="1"/>
  <c r="M163" i="174"/>
  <c r="M252" i="174" s="1"/>
  <c r="L163" i="174"/>
  <c r="L252" i="174" s="1"/>
  <c r="K163" i="174"/>
  <c r="K252" i="174" s="1"/>
  <c r="J163" i="174"/>
  <c r="J252" i="174" s="1"/>
  <c r="AJ255" i="174"/>
  <c r="AI255" i="174"/>
  <c r="AH255" i="174"/>
  <c r="AG255" i="174"/>
  <c r="AF255" i="174"/>
  <c r="AE255" i="174"/>
  <c r="AD255" i="174"/>
  <c r="AC255" i="174"/>
  <c r="AB255" i="174"/>
  <c r="AA255" i="174"/>
  <c r="Z255" i="174"/>
  <c r="Y255" i="174"/>
  <c r="U258" i="174"/>
  <c r="T258" i="174"/>
  <c r="S258" i="174"/>
  <c r="R258" i="174"/>
  <c r="Q258" i="174"/>
  <c r="P258" i="174"/>
  <c r="O258" i="174"/>
  <c r="N258" i="174"/>
  <c r="M258" i="174"/>
  <c r="L258" i="174"/>
  <c r="K258" i="174"/>
  <c r="AK352" i="173"/>
  <c r="V352" i="173"/>
  <c r="AK328" i="173"/>
  <c r="V328" i="173"/>
  <c r="AK327" i="173"/>
  <c r="V327" i="173"/>
  <c r="AK326" i="173"/>
  <c r="V326" i="173"/>
  <c r="AK325" i="173"/>
  <c r="V325" i="173"/>
  <c r="AK324" i="173"/>
  <c r="V324" i="173"/>
  <c r="AK323" i="173"/>
  <c r="V323" i="173"/>
  <c r="AK322" i="173"/>
  <c r="V322" i="173"/>
  <c r="AK321" i="173"/>
  <c r="V321" i="173"/>
  <c r="AK320" i="173"/>
  <c r="V320" i="173"/>
  <c r="AK319" i="173"/>
  <c r="AJ319" i="173"/>
  <c r="AI319" i="173"/>
  <c r="AH319" i="173"/>
  <c r="AG319" i="173"/>
  <c r="AF319" i="173"/>
  <c r="AE319" i="173"/>
  <c r="AD319" i="173"/>
  <c r="AC319" i="173"/>
  <c r="AB319" i="173"/>
  <c r="AA319" i="173"/>
  <c r="Z319" i="173"/>
  <c r="Y319" i="173"/>
  <c r="V319" i="173"/>
  <c r="AK311" i="173"/>
  <c r="V311" i="173"/>
  <c r="AK310" i="173"/>
  <c r="V310" i="173"/>
  <c r="AK309" i="173"/>
  <c r="V309" i="173"/>
  <c r="AK308" i="173"/>
  <c r="V308" i="173"/>
  <c r="AK307" i="173"/>
  <c r="V307" i="173"/>
  <c r="AK306" i="173"/>
  <c r="V306" i="173"/>
  <c r="AK305" i="173"/>
  <c r="V305" i="173"/>
  <c r="AK304" i="173"/>
  <c r="V304" i="173"/>
  <c r="AK303" i="173"/>
  <c r="V303" i="173"/>
  <c r="AK302" i="173"/>
  <c r="V302" i="173"/>
  <c r="AK301" i="173"/>
  <c r="V301" i="173"/>
  <c r="AK300" i="173"/>
  <c r="V300" i="173"/>
  <c r="AK299" i="173"/>
  <c r="V299" i="173"/>
  <c r="AK298" i="173"/>
  <c r="V298" i="173"/>
  <c r="AK297" i="173"/>
  <c r="V297" i="173"/>
  <c r="AK296" i="173"/>
  <c r="V296" i="173"/>
  <c r="AK295" i="173"/>
  <c r="V295" i="173"/>
  <c r="AK294" i="173"/>
  <c r="V294" i="173"/>
  <c r="AK293" i="173"/>
  <c r="V293" i="173"/>
  <c r="AK292" i="173"/>
  <c r="AJ292" i="173"/>
  <c r="AI292" i="173"/>
  <c r="AH292" i="173"/>
  <c r="AG292" i="173"/>
  <c r="AF292" i="173"/>
  <c r="AE292" i="173"/>
  <c r="AD292" i="173"/>
  <c r="AC292" i="173"/>
  <c r="AB292" i="173"/>
  <c r="AA292" i="173"/>
  <c r="Z292" i="173"/>
  <c r="Y292" i="173"/>
  <c r="V292" i="173"/>
  <c r="AK286" i="173"/>
  <c r="V286" i="173"/>
  <c r="AK285" i="173"/>
  <c r="V285" i="173"/>
  <c r="AK284" i="173"/>
  <c r="V284" i="173"/>
  <c r="AK283" i="173"/>
  <c r="V283" i="173"/>
  <c r="AK282" i="173"/>
  <c r="V282" i="173"/>
  <c r="AK281" i="173"/>
  <c r="V281" i="173"/>
  <c r="AK280" i="173"/>
  <c r="AJ280" i="173"/>
  <c r="AI280" i="173"/>
  <c r="AH280" i="173"/>
  <c r="AG280" i="173"/>
  <c r="AF280" i="173"/>
  <c r="AE280" i="173"/>
  <c r="AD280" i="173"/>
  <c r="AC280" i="173"/>
  <c r="AB280" i="173"/>
  <c r="AA280" i="173"/>
  <c r="Z280" i="173"/>
  <c r="Y280" i="173"/>
  <c r="V280" i="173"/>
  <c r="AK278" i="173"/>
  <c r="V278" i="173"/>
  <c r="AK276" i="173"/>
  <c r="V276" i="173"/>
  <c r="AK275" i="173"/>
  <c r="V275" i="173"/>
  <c r="AK274" i="173"/>
  <c r="V274" i="173"/>
  <c r="AK273" i="173"/>
  <c r="AJ273" i="173"/>
  <c r="AI273" i="173"/>
  <c r="AH273" i="173"/>
  <c r="AG273" i="173"/>
  <c r="AF273" i="173"/>
  <c r="AE273" i="173"/>
  <c r="AD273" i="173"/>
  <c r="AC273" i="173"/>
  <c r="AB273" i="173"/>
  <c r="AA273" i="173"/>
  <c r="Z273" i="173"/>
  <c r="Y273" i="173"/>
  <c r="V273" i="173"/>
  <c r="AK265" i="173"/>
  <c r="V265" i="173"/>
  <c r="AK263" i="173"/>
  <c r="V263" i="173"/>
  <c r="AK259" i="173"/>
  <c r="V259" i="173"/>
  <c r="AK258" i="173"/>
  <c r="AJ258" i="173"/>
  <c r="AI258" i="173"/>
  <c r="AH258" i="173"/>
  <c r="AG258" i="173"/>
  <c r="AF258" i="173"/>
  <c r="AE258" i="173"/>
  <c r="AD258" i="173"/>
  <c r="AC258" i="173"/>
  <c r="AB258" i="173"/>
  <c r="AA258" i="173"/>
  <c r="Z258" i="173"/>
  <c r="Y258" i="173"/>
  <c r="V258" i="173"/>
  <c r="AJ254" i="173"/>
  <c r="AI254" i="173"/>
  <c r="AH254" i="173"/>
  <c r="AG254" i="173"/>
  <c r="AF254" i="173"/>
  <c r="AE254" i="173"/>
  <c r="AD254" i="173"/>
  <c r="AC254" i="173"/>
  <c r="AB254" i="173"/>
  <c r="AA254" i="173"/>
  <c r="Z254" i="173"/>
  <c r="Y254" i="173"/>
  <c r="AK247" i="173"/>
  <c r="V247" i="173"/>
  <c r="AK246" i="173"/>
  <c r="V246" i="173"/>
  <c r="AK245" i="173"/>
  <c r="V245" i="173"/>
  <c r="AK244" i="173"/>
  <c r="V244" i="173"/>
  <c r="AK243" i="173"/>
  <c r="V243" i="173"/>
  <c r="AK242" i="173"/>
  <c r="V242" i="173"/>
  <c r="AK241" i="173"/>
  <c r="AJ241" i="173"/>
  <c r="AI241" i="173"/>
  <c r="AH241" i="173"/>
  <c r="AG241" i="173"/>
  <c r="AF241" i="173"/>
  <c r="AE241" i="173"/>
  <c r="AD241" i="173"/>
  <c r="AC241" i="173"/>
  <c r="AB241" i="173"/>
  <c r="AA241" i="173"/>
  <c r="Z241" i="173"/>
  <c r="Y241" i="173"/>
  <c r="V241" i="173"/>
  <c r="AK240" i="173"/>
  <c r="V240" i="173"/>
  <c r="AK239" i="173"/>
  <c r="V239" i="173"/>
  <c r="AK238" i="173"/>
  <c r="V238" i="173"/>
  <c r="AK237" i="173"/>
  <c r="V237" i="173"/>
  <c r="AK236" i="173"/>
  <c r="V236" i="173"/>
  <c r="AK235" i="173"/>
  <c r="V235" i="173"/>
  <c r="AK234" i="173"/>
  <c r="V234" i="173"/>
  <c r="AK233" i="173"/>
  <c r="V233" i="173"/>
  <c r="AK232" i="173"/>
  <c r="V232" i="173"/>
  <c r="AK231" i="173"/>
  <c r="AJ231" i="173"/>
  <c r="AI231" i="173"/>
  <c r="AH231" i="173"/>
  <c r="AG231" i="173"/>
  <c r="AF231" i="173"/>
  <c r="AE231" i="173"/>
  <c r="AD231" i="173"/>
  <c r="AC231" i="173"/>
  <c r="AB231" i="173"/>
  <c r="AA231" i="173"/>
  <c r="Z231" i="173"/>
  <c r="Y231" i="173"/>
  <c r="V231" i="173"/>
  <c r="AK230" i="173"/>
  <c r="V230" i="173"/>
  <c r="AK229" i="173"/>
  <c r="V229" i="173"/>
  <c r="AK228" i="173"/>
  <c r="V228" i="173"/>
  <c r="AK227" i="173"/>
  <c r="V227" i="173"/>
  <c r="AK226" i="173"/>
  <c r="AJ226" i="173"/>
  <c r="AI226" i="173"/>
  <c r="AH226" i="173"/>
  <c r="AG226" i="173"/>
  <c r="AF226" i="173"/>
  <c r="AE226" i="173"/>
  <c r="AD226" i="173"/>
  <c r="AC226" i="173"/>
  <c r="AB226" i="173"/>
  <c r="AA226" i="173"/>
  <c r="Z226" i="173"/>
  <c r="Y226" i="173"/>
  <c r="V226" i="173"/>
  <c r="AK225" i="173"/>
  <c r="V225" i="173"/>
  <c r="AK224" i="173"/>
  <c r="V224" i="173"/>
  <c r="AK223" i="173"/>
  <c r="V223" i="173"/>
  <c r="AK222" i="173"/>
  <c r="V222" i="173"/>
  <c r="AK221" i="173"/>
  <c r="V221" i="173"/>
  <c r="AK220" i="173"/>
  <c r="V220" i="173"/>
  <c r="AK219" i="173"/>
  <c r="V219" i="173"/>
  <c r="AK218" i="173"/>
  <c r="V218" i="173"/>
  <c r="AK217" i="173"/>
  <c r="V217" i="173"/>
  <c r="AK216" i="173"/>
  <c r="V216" i="173"/>
  <c r="AK215" i="173"/>
  <c r="V215" i="173"/>
  <c r="AK214" i="173"/>
  <c r="V214" i="173"/>
  <c r="AK213" i="173"/>
  <c r="V213" i="173"/>
  <c r="AK212" i="173"/>
  <c r="V212" i="173"/>
  <c r="AK211" i="173"/>
  <c r="V211" i="173"/>
  <c r="AK210" i="173"/>
  <c r="V210" i="173"/>
  <c r="AK209" i="173"/>
  <c r="AJ209" i="173"/>
  <c r="AI209" i="173"/>
  <c r="AH209" i="173"/>
  <c r="AG209" i="173"/>
  <c r="AF209" i="173"/>
  <c r="AE209" i="173"/>
  <c r="AD209" i="173"/>
  <c r="AC209" i="173"/>
  <c r="AB209" i="173"/>
  <c r="AA209" i="173"/>
  <c r="Z209" i="173"/>
  <c r="Y209" i="173"/>
  <c r="V209" i="173"/>
  <c r="AK208" i="173"/>
  <c r="V208" i="173"/>
  <c r="AK207" i="173"/>
  <c r="V207" i="173"/>
  <c r="AK206" i="173"/>
  <c r="V206" i="173"/>
  <c r="AK205" i="173"/>
  <c r="V205" i="173"/>
  <c r="AK204" i="173"/>
  <c r="V204" i="173"/>
  <c r="AK203" i="173"/>
  <c r="V203" i="173"/>
  <c r="AK202" i="173"/>
  <c r="V202" i="173"/>
  <c r="AK201" i="173"/>
  <c r="V201" i="173"/>
  <c r="AK200" i="173"/>
  <c r="V200" i="173"/>
  <c r="AK199" i="173"/>
  <c r="V199" i="173"/>
  <c r="AK198" i="173"/>
  <c r="V198" i="173"/>
  <c r="AK197" i="173"/>
  <c r="V197" i="173"/>
  <c r="AK196" i="173"/>
  <c r="V196" i="173"/>
  <c r="AK195" i="173"/>
  <c r="V195" i="173"/>
  <c r="AK194" i="173"/>
  <c r="V194" i="173"/>
  <c r="AK193" i="173"/>
  <c r="V193" i="173"/>
  <c r="AK192" i="173"/>
  <c r="V192" i="173"/>
  <c r="AK191" i="173"/>
  <c r="V191" i="173"/>
  <c r="AK190" i="173"/>
  <c r="V190" i="173"/>
  <c r="AK189" i="173"/>
  <c r="V189" i="173"/>
  <c r="AK188" i="173"/>
  <c r="V188" i="173"/>
  <c r="AK187" i="173"/>
  <c r="V187" i="173"/>
  <c r="AK186" i="173"/>
  <c r="V186" i="173"/>
  <c r="AK185" i="173"/>
  <c r="V185" i="173"/>
  <c r="AK184" i="173"/>
  <c r="V184" i="173"/>
  <c r="AK183" i="173"/>
  <c r="V183" i="173"/>
  <c r="AK182" i="173"/>
  <c r="V182" i="173"/>
  <c r="AK181" i="173"/>
  <c r="V181" i="173"/>
  <c r="AK180" i="173"/>
  <c r="V180" i="173"/>
  <c r="AK179" i="173"/>
  <c r="V179" i="173"/>
  <c r="AK178" i="173"/>
  <c r="V178" i="173"/>
  <c r="AK177" i="173"/>
  <c r="V177" i="173"/>
  <c r="AK176" i="173"/>
  <c r="V176" i="173"/>
  <c r="AK175" i="173"/>
  <c r="V175" i="173"/>
  <c r="AK174" i="173"/>
  <c r="V174" i="173"/>
  <c r="AK173" i="173"/>
  <c r="V173" i="173"/>
  <c r="AK172" i="173"/>
  <c r="V172" i="173"/>
  <c r="AK171" i="173"/>
  <c r="V171" i="173"/>
  <c r="AK170" i="173"/>
  <c r="V170" i="173"/>
  <c r="AK169" i="173"/>
  <c r="V169" i="173"/>
  <c r="AK168" i="173"/>
  <c r="V168" i="173"/>
  <c r="AK167" i="173"/>
  <c r="V167" i="173"/>
  <c r="AK166" i="173"/>
  <c r="V166" i="173"/>
  <c r="AK165" i="173"/>
  <c r="V165" i="173"/>
  <c r="AK164" i="173"/>
  <c r="V164" i="173"/>
  <c r="AK163" i="173"/>
  <c r="V163" i="173"/>
  <c r="AK162" i="173"/>
  <c r="V162" i="173"/>
  <c r="AK161" i="173"/>
  <c r="V161" i="173"/>
  <c r="AK160" i="173"/>
  <c r="V160" i="173"/>
  <c r="AK159" i="173"/>
  <c r="AJ159" i="173"/>
  <c r="AJ248" i="173" s="1"/>
  <c r="AI159" i="173"/>
  <c r="AI248" i="173" s="1"/>
  <c r="AH159" i="173"/>
  <c r="AH248" i="173" s="1"/>
  <c r="AG159" i="173"/>
  <c r="AG248" i="173" s="1"/>
  <c r="AF159" i="173"/>
  <c r="AF248" i="173" s="1"/>
  <c r="AE159" i="173"/>
  <c r="AE248" i="173" s="1"/>
  <c r="AD159" i="173"/>
  <c r="AD248" i="173" s="1"/>
  <c r="AC159" i="173"/>
  <c r="AC248" i="173" s="1"/>
  <c r="AB159" i="173"/>
  <c r="AB248" i="173" s="1"/>
  <c r="AA159" i="173"/>
  <c r="AA248" i="173" s="1"/>
  <c r="Z159" i="173"/>
  <c r="Z248" i="173" s="1"/>
  <c r="Y159" i="173"/>
  <c r="Y248" i="173" s="1"/>
  <c r="V159" i="173"/>
  <c r="AJ153" i="173"/>
  <c r="AI153" i="173"/>
  <c r="AH153" i="173"/>
  <c r="AG153" i="173"/>
  <c r="AF153" i="173"/>
  <c r="AE153" i="173"/>
  <c r="AD153" i="173"/>
  <c r="AC153" i="173"/>
  <c r="AB153" i="173"/>
  <c r="AA153" i="173"/>
  <c r="Z153" i="173"/>
  <c r="Y153" i="173"/>
  <c r="AK151" i="173"/>
  <c r="V151" i="173"/>
  <c r="AK150" i="173"/>
  <c r="V150" i="173"/>
  <c r="AK149" i="173"/>
  <c r="V149" i="173"/>
  <c r="AK148" i="173"/>
  <c r="V148" i="173"/>
  <c r="AK147" i="173"/>
  <c r="V147" i="173"/>
  <c r="AK146" i="173"/>
  <c r="V146" i="173"/>
  <c r="AK145" i="173"/>
  <c r="V145" i="173"/>
  <c r="AK144" i="173"/>
  <c r="AJ144" i="173"/>
  <c r="AI144" i="173"/>
  <c r="AH144" i="173"/>
  <c r="AG144" i="173"/>
  <c r="AF144" i="173"/>
  <c r="AE144" i="173"/>
  <c r="AD144" i="173"/>
  <c r="AC144" i="173"/>
  <c r="AB144" i="173"/>
  <c r="AA144" i="173"/>
  <c r="Z144" i="173"/>
  <c r="Y144" i="173"/>
  <c r="V144" i="173"/>
  <c r="AK112" i="173"/>
  <c r="V112" i="173"/>
  <c r="AK111" i="173"/>
  <c r="V111" i="173"/>
  <c r="AK110" i="173"/>
  <c r="V110" i="173"/>
  <c r="AK109" i="173"/>
  <c r="AJ109" i="173"/>
  <c r="AI109" i="173"/>
  <c r="AH109" i="173"/>
  <c r="AG109" i="173"/>
  <c r="AF109" i="173"/>
  <c r="AE109" i="173"/>
  <c r="AD109" i="173"/>
  <c r="AC109" i="173"/>
  <c r="AB109" i="173"/>
  <c r="AA109" i="173"/>
  <c r="Z109" i="173"/>
  <c r="Y109" i="173"/>
  <c r="V109" i="173"/>
  <c r="AK108" i="173"/>
  <c r="V108" i="173"/>
  <c r="AK107" i="173"/>
  <c r="V107" i="173"/>
  <c r="AK106" i="173"/>
  <c r="V106" i="173"/>
  <c r="AK105" i="173"/>
  <c r="V105" i="173"/>
  <c r="AK104" i="173"/>
  <c r="AJ104" i="173"/>
  <c r="AI104" i="173"/>
  <c r="AH104" i="173"/>
  <c r="AG104" i="173"/>
  <c r="AF104" i="173"/>
  <c r="AE104" i="173"/>
  <c r="AD104" i="173"/>
  <c r="AC104" i="173"/>
  <c r="AB104" i="173"/>
  <c r="AA104" i="173"/>
  <c r="Z104" i="173"/>
  <c r="Y104" i="173"/>
  <c r="V104" i="173"/>
  <c r="AK103" i="173"/>
  <c r="V103" i="173"/>
  <c r="AK102" i="173"/>
  <c r="V102" i="173"/>
  <c r="AK101" i="173"/>
  <c r="V101" i="173"/>
  <c r="AK100" i="173"/>
  <c r="V100" i="173"/>
  <c r="AK99" i="173"/>
  <c r="V99" i="173"/>
  <c r="AK98" i="173"/>
  <c r="V98" i="173"/>
  <c r="AK97" i="173"/>
  <c r="V97" i="173"/>
  <c r="AK96" i="173"/>
  <c r="V96" i="173"/>
  <c r="AK95" i="173"/>
  <c r="V95" i="173"/>
  <c r="AK94" i="173"/>
  <c r="V94" i="173"/>
  <c r="AK93" i="173"/>
  <c r="V93" i="173"/>
  <c r="AK92" i="173"/>
  <c r="V92" i="173"/>
  <c r="AK91" i="173"/>
  <c r="V91" i="173"/>
  <c r="AK90" i="173"/>
  <c r="V90" i="173"/>
  <c r="AK89" i="173"/>
  <c r="V89" i="173"/>
  <c r="AK88" i="173"/>
  <c r="AJ88" i="173"/>
  <c r="AI88" i="173"/>
  <c r="AH88" i="173"/>
  <c r="AG88" i="173"/>
  <c r="AF88" i="173"/>
  <c r="AE88" i="173"/>
  <c r="AD88" i="173"/>
  <c r="AC88" i="173"/>
  <c r="AB88" i="173"/>
  <c r="AA88" i="173"/>
  <c r="Z88" i="173"/>
  <c r="Y88" i="173"/>
  <c r="V88" i="173"/>
  <c r="AK72" i="173"/>
  <c r="V72" i="173"/>
  <c r="AK71" i="173"/>
  <c r="V71" i="173"/>
  <c r="AK70" i="173"/>
  <c r="V70" i="173"/>
  <c r="AK69" i="173"/>
  <c r="V69" i="173"/>
  <c r="AK68" i="173"/>
  <c r="V68" i="173"/>
  <c r="AK67" i="173"/>
  <c r="V67" i="173"/>
  <c r="AK66" i="173"/>
  <c r="V66" i="173"/>
  <c r="AK65" i="173"/>
  <c r="V65" i="173"/>
  <c r="AK64" i="173"/>
  <c r="V64" i="173"/>
  <c r="AK63" i="173"/>
  <c r="V63" i="173"/>
  <c r="AK62" i="173"/>
  <c r="V62" i="173"/>
  <c r="AK61" i="173"/>
  <c r="V61" i="173"/>
  <c r="AK60" i="173"/>
  <c r="V60" i="173"/>
  <c r="AK59" i="173"/>
  <c r="V59" i="173"/>
  <c r="AK58" i="173"/>
  <c r="V58" i="173"/>
  <c r="AK57" i="173"/>
  <c r="V57" i="173"/>
  <c r="AK56" i="173"/>
  <c r="V56" i="173"/>
  <c r="AK55" i="173"/>
  <c r="V55" i="173"/>
  <c r="AK54" i="173"/>
  <c r="V54" i="173"/>
  <c r="AK53" i="173"/>
  <c r="V53" i="173"/>
  <c r="AK52" i="173"/>
  <c r="V52" i="173"/>
  <c r="AK51" i="173"/>
  <c r="V51" i="173"/>
  <c r="AK50" i="173"/>
  <c r="V50" i="173"/>
  <c r="AK49" i="173"/>
  <c r="AJ49" i="173"/>
  <c r="AJ152" i="173" s="1"/>
  <c r="AI49" i="173"/>
  <c r="AI152" i="173" s="1"/>
  <c r="AH49" i="173"/>
  <c r="AH152" i="173" s="1"/>
  <c r="AG49" i="173"/>
  <c r="AG152" i="173" s="1"/>
  <c r="AF49" i="173"/>
  <c r="AF152" i="173" s="1"/>
  <c r="AE49" i="173"/>
  <c r="AE152" i="173" s="1"/>
  <c r="AD49" i="173"/>
  <c r="AD152" i="173" s="1"/>
  <c r="AC49" i="173"/>
  <c r="AC152" i="173" s="1"/>
  <c r="AB49" i="173"/>
  <c r="AB152" i="173" s="1"/>
  <c r="AA49" i="173"/>
  <c r="AA152" i="173" s="1"/>
  <c r="Z49" i="173"/>
  <c r="Z152" i="173" s="1"/>
  <c r="Y49" i="173"/>
  <c r="Y152" i="173" s="1"/>
  <c r="V49" i="173"/>
  <c r="AJ45" i="173"/>
  <c r="AI45" i="173"/>
  <c r="AH45" i="173"/>
  <c r="AG45" i="173"/>
  <c r="AF45" i="173"/>
  <c r="AE45" i="173"/>
  <c r="AD45" i="173"/>
  <c r="AC45" i="173"/>
  <c r="AB45" i="173"/>
  <c r="AA45" i="173"/>
  <c r="Z45" i="173"/>
  <c r="Y45" i="173"/>
  <c r="AJ44" i="173"/>
  <c r="AI44" i="173"/>
  <c r="AH44" i="173"/>
  <c r="AG44" i="173"/>
  <c r="AF44" i="173"/>
  <c r="AE44" i="173"/>
  <c r="AD44" i="173"/>
  <c r="AC44" i="173"/>
  <c r="AB44" i="173"/>
  <c r="AA44" i="173"/>
  <c r="Z44" i="173"/>
  <c r="Y44" i="173"/>
  <c r="AJ43" i="173"/>
  <c r="AI43" i="173"/>
  <c r="AH43" i="173"/>
  <c r="AG43" i="173"/>
  <c r="AF43" i="173"/>
  <c r="AE43" i="173"/>
  <c r="AD43" i="173"/>
  <c r="AC43" i="173"/>
  <c r="AB43" i="173"/>
  <c r="AA43" i="173"/>
  <c r="Z43" i="173"/>
  <c r="Y43" i="173"/>
  <c r="V42" i="173"/>
  <c r="AK41" i="173"/>
  <c r="V41" i="173"/>
  <c r="AK40" i="173"/>
  <c r="V40" i="173"/>
  <c r="AK39" i="173"/>
  <c r="V39" i="173"/>
  <c r="AJ38" i="173"/>
  <c r="AI38" i="173"/>
  <c r="AH38" i="173"/>
  <c r="AG38" i="173"/>
  <c r="AF38" i="173"/>
  <c r="AE38" i="173"/>
  <c r="AD38" i="173"/>
  <c r="AC38" i="173"/>
  <c r="AB38" i="173"/>
  <c r="AA38" i="173"/>
  <c r="Z38" i="173"/>
  <c r="Y38" i="173"/>
  <c r="AK38" i="173" s="1"/>
  <c r="V38" i="173"/>
  <c r="W38" i="173" s="1"/>
  <c r="AJ35" i="173"/>
  <c r="AI35" i="173"/>
  <c r="AH35" i="173"/>
  <c r="AG35" i="173"/>
  <c r="AF35" i="173"/>
  <c r="AE35" i="173"/>
  <c r="AD35" i="173"/>
  <c r="AC35" i="173"/>
  <c r="AB35" i="173"/>
  <c r="AA35" i="173"/>
  <c r="Z35" i="173"/>
  <c r="Y35" i="173"/>
  <c r="AK35" i="173" s="1"/>
  <c r="V35" i="173"/>
  <c r="AJ34" i="173"/>
  <c r="AI34" i="173"/>
  <c r="AH34" i="173"/>
  <c r="AG34" i="173"/>
  <c r="AF34" i="173"/>
  <c r="AE34" i="173"/>
  <c r="AD34" i="173"/>
  <c r="AC34" i="173"/>
  <c r="AB34" i="173"/>
  <c r="AA34" i="173"/>
  <c r="Z34" i="173"/>
  <c r="Y34" i="173"/>
  <c r="AK34" i="173" s="1"/>
  <c r="V34" i="173"/>
  <c r="AJ33" i="173"/>
  <c r="AI33" i="173"/>
  <c r="AH33" i="173"/>
  <c r="AG33" i="173"/>
  <c r="AF33" i="173"/>
  <c r="AE33" i="173"/>
  <c r="AD33" i="173"/>
  <c r="AC33" i="173"/>
  <c r="AB33" i="173"/>
  <c r="AA33" i="173"/>
  <c r="Z33" i="173"/>
  <c r="Y33" i="173"/>
  <c r="AK33" i="173" s="1"/>
  <c r="V33" i="173"/>
  <c r="AK31" i="173"/>
  <c r="V31" i="173"/>
  <c r="AK28" i="173"/>
  <c r="V28" i="173"/>
  <c r="AK27" i="173"/>
  <c r="V27" i="173"/>
  <c r="AK26" i="173"/>
  <c r="V26" i="173"/>
  <c r="AK25" i="173"/>
  <c r="V25" i="173"/>
  <c r="AK24" i="173"/>
  <c r="V24" i="173"/>
  <c r="AK23" i="173"/>
  <c r="V23" i="173"/>
  <c r="AK22" i="173"/>
  <c r="V22" i="173"/>
  <c r="AK21" i="173"/>
  <c r="V21" i="173"/>
  <c r="AK20" i="173"/>
  <c r="V20" i="173"/>
  <c r="AK19" i="173"/>
  <c r="V19" i="173"/>
  <c r="AK18" i="173"/>
  <c r="V18" i="173"/>
  <c r="AK17" i="173"/>
  <c r="V17" i="173"/>
  <c r="AK16" i="173"/>
  <c r="V16" i="173"/>
  <c r="AJ15" i="173"/>
  <c r="AI15" i="173"/>
  <c r="AH15" i="173"/>
  <c r="AG15" i="173"/>
  <c r="AF15" i="173"/>
  <c r="AE15" i="173"/>
  <c r="AD15" i="173"/>
  <c r="AC15" i="173"/>
  <c r="AB15" i="173"/>
  <c r="AA15" i="173"/>
  <c r="Z15" i="173"/>
  <c r="Y15" i="173"/>
  <c r="AK15" i="173" s="1"/>
  <c r="V15" i="173"/>
  <c r="AK11" i="173"/>
  <c r="V11" i="173"/>
  <c r="AK10" i="173"/>
  <c r="V10" i="173"/>
  <c r="AK9" i="173"/>
  <c r="V9" i="173"/>
  <c r="AK8" i="173"/>
  <c r="V8" i="173"/>
  <c r="AK7" i="173"/>
  <c r="V7" i="173"/>
  <c r="AJ6" i="173"/>
  <c r="AJ32" i="173" s="1"/>
  <c r="AI6" i="173"/>
  <c r="AI32" i="173" s="1"/>
  <c r="AH6" i="173"/>
  <c r="AH32" i="173" s="1"/>
  <c r="AG6" i="173"/>
  <c r="AG32" i="173" s="1"/>
  <c r="AF6" i="173"/>
  <c r="AF32" i="173" s="1"/>
  <c r="AE6" i="173"/>
  <c r="AE32" i="173" s="1"/>
  <c r="AD6" i="173"/>
  <c r="AD32" i="173" s="1"/>
  <c r="AC6" i="173"/>
  <c r="AC32" i="173" s="1"/>
  <c r="AB6" i="173"/>
  <c r="AB32" i="173" s="1"/>
  <c r="AA6" i="173"/>
  <c r="AA32" i="173" s="1"/>
  <c r="Z6" i="173"/>
  <c r="Z32" i="173" s="1"/>
  <c r="Y6" i="173"/>
  <c r="V6" i="173"/>
  <c r="B18" i="38"/>
  <c r="Y102" i="174"/>
  <c r="Y103" i="174"/>
  <c r="Y104" i="174"/>
  <c r="Y105" i="174"/>
  <c r="Y106" i="174"/>
  <c r="Y108" i="174"/>
  <c r="Y109" i="174"/>
  <c r="Y110" i="174"/>
  <c r="Y111" i="174"/>
  <c r="Y101" i="174"/>
  <c r="AK151" i="87"/>
  <c r="Y148" i="87"/>
  <c r="AK145" i="87"/>
  <c r="AK144" i="87"/>
  <c r="AK141" i="87"/>
  <c r="AK137" i="87"/>
  <c r="AK136" i="87"/>
  <c r="AK134" i="87"/>
  <c r="AK122" i="87"/>
  <c r="AK120" i="87"/>
  <c r="AK118" i="87"/>
  <c r="AK115" i="87"/>
  <c r="AK114" i="87"/>
  <c r="Y112" i="87"/>
  <c r="Y107" i="87"/>
  <c r="Y91" i="87"/>
  <c r="Y100" i="174" s="1"/>
  <c r="AK62" i="87"/>
  <c r="AK61" i="87"/>
  <c r="AK60" i="87"/>
  <c r="AK59" i="87"/>
  <c r="AK53" i="87"/>
  <c r="V153" i="87"/>
  <c r="V151" i="87"/>
  <c r="V150" i="87"/>
  <c r="V149" i="87"/>
  <c r="V122" i="87"/>
  <c r="V121" i="87"/>
  <c r="V120" i="87"/>
  <c r="V119" i="87"/>
  <c r="V118" i="87"/>
  <c r="V117" i="87"/>
  <c r="V116" i="87"/>
  <c r="V115" i="87"/>
  <c r="V114" i="87"/>
  <c r="V113" i="87"/>
  <c r="V112" i="87"/>
  <c r="Q100" i="174"/>
  <c r="Q91" i="174" s="1"/>
  <c r="P100" i="174"/>
  <c r="P91" i="174" s="1"/>
  <c r="O100" i="174"/>
  <c r="O91" i="174" s="1"/>
  <c r="N100" i="174"/>
  <c r="N91" i="174" s="1"/>
  <c r="M100" i="174"/>
  <c r="M91" i="174" s="1"/>
  <c r="L100" i="174"/>
  <c r="L91" i="174" s="1"/>
  <c r="K100" i="174"/>
  <c r="K91" i="174" s="1"/>
  <c r="J100" i="174"/>
  <c r="V62" i="87"/>
  <c r="V61" i="87"/>
  <c r="V60" i="87"/>
  <c r="V59" i="87"/>
  <c r="V58" i="87"/>
  <c r="V57" i="87"/>
  <c r="V55" i="87"/>
  <c r="V53" i="87"/>
  <c r="V42" i="87"/>
  <c r="V41" i="87"/>
  <c r="V40" i="87"/>
  <c r="V39" i="87"/>
  <c r="W39" i="87" s="1"/>
  <c r="V19" i="87"/>
  <c r="V18" i="87"/>
  <c r="V17" i="87"/>
  <c r="V16" i="87"/>
  <c r="V15" i="87"/>
  <c r="V12" i="87"/>
  <c r="V11" i="87"/>
  <c r="V10" i="87"/>
  <c r="V9" i="87"/>
  <c r="V8" i="87"/>
  <c r="AH156" i="85" l="1"/>
  <c r="AH156" i="86"/>
  <c r="AH156" i="68"/>
  <c r="AH156" i="87"/>
  <c r="AG156" i="85"/>
  <c r="AG156" i="86"/>
  <c r="AG156" i="68"/>
  <c r="AG156" i="87"/>
  <c r="AF156" i="85"/>
  <c r="AF156" i="86"/>
  <c r="AF156" i="68"/>
  <c r="AF156" i="87"/>
  <c r="AE156" i="85"/>
  <c r="AE156" i="86"/>
  <c r="AE156" i="68"/>
  <c r="AE156" i="87"/>
  <c r="AD156" i="85"/>
  <c r="AD156" i="86"/>
  <c r="AD156" i="68"/>
  <c r="AD156" i="87"/>
  <c r="AC156" i="85"/>
  <c r="AC156" i="86"/>
  <c r="AC156" i="68"/>
  <c r="AC156" i="87"/>
  <c r="AB156" i="85"/>
  <c r="AB156" i="86"/>
  <c r="AB156" i="68"/>
  <c r="AB156" i="87"/>
  <c r="AA156" i="85"/>
  <c r="AA156" i="86"/>
  <c r="AA156" i="68"/>
  <c r="AA156" i="87"/>
  <c r="Z156" i="85"/>
  <c r="Z156" i="86"/>
  <c r="Z156" i="68"/>
  <c r="Z156" i="87"/>
  <c r="Y156" i="85"/>
  <c r="Y156" i="86"/>
  <c r="Y156" i="68"/>
  <c r="Y156" i="87"/>
  <c r="T34" i="85"/>
  <c r="U34" i="85"/>
  <c r="T34" i="86"/>
  <c r="U34" i="86"/>
  <c r="T34" i="68"/>
  <c r="U34" i="68"/>
  <c r="T6" i="87"/>
  <c r="U7" i="87"/>
  <c r="T13" i="87"/>
  <c r="U14" i="87"/>
  <c r="U148" i="87"/>
  <c r="T148" i="87"/>
  <c r="U107" i="87"/>
  <c r="T107" i="87"/>
  <c r="U91" i="87"/>
  <c r="T91" i="87"/>
  <c r="U50" i="87"/>
  <c r="U157" i="87" s="1"/>
  <c r="T50" i="87"/>
  <c r="T157" i="87" s="1"/>
  <c r="AI156" i="124"/>
  <c r="U156" i="124"/>
  <c r="Y107" i="124"/>
  <c r="Y106" i="124"/>
  <c r="Y105" i="124"/>
  <c r="Y104" i="124"/>
  <c r="Y103" i="124"/>
  <c r="Y102" i="124"/>
  <c r="Y101" i="124"/>
  <c r="Y100" i="124"/>
  <c r="Y99" i="124"/>
  <c r="Y98" i="124"/>
  <c r="Y97" i="124"/>
  <c r="Y96" i="124"/>
  <c r="Y95" i="124"/>
  <c r="Y94" i="124"/>
  <c r="Y93" i="124"/>
  <c r="Y92" i="124"/>
  <c r="Z150" i="87"/>
  <c r="AA150" i="87" s="1"/>
  <c r="AB150" i="87" s="1"/>
  <c r="Y91" i="124"/>
  <c r="AN132" i="124"/>
  <c r="AN131" i="124"/>
  <c r="AN130" i="124"/>
  <c r="AN128" i="124"/>
  <c r="AN136" i="124"/>
  <c r="AN137" i="124"/>
  <c r="AN141" i="124"/>
  <c r="AN144" i="124"/>
  <c r="AN145" i="124"/>
  <c r="S161" i="87"/>
  <c r="R100" i="174"/>
  <c r="R91" i="174" s="1"/>
  <c r="R161" i="87"/>
  <c r="R38" i="124"/>
  <c r="S38" i="124"/>
  <c r="R161" i="85"/>
  <c r="R161" i="86"/>
  <c r="R161" i="68"/>
  <c r="T51" i="85"/>
  <c r="T35" i="85"/>
  <c r="T44" i="85" s="1"/>
  <c r="T51" i="86"/>
  <c r="T35" i="86"/>
  <c r="T44" i="86" s="1"/>
  <c r="T152" i="68"/>
  <c r="T13" i="124"/>
  <c r="S13" i="124"/>
  <c r="R13" i="124"/>
  <c r="Q13" i="124"/>
  <c r="P13" i="124"/>
  <c r="O13" i="124"/>
  <c r="N13" i="124"/>
  <c r="M13" i="124"/>
  <c r="L13" i="124"/>
  <c r="K13" i="124"/>
  <c r="V6" i="68"/>
  <c r="Y55" i="124"/>
  <c r="Y63" i="124"/>
  <c r="Y65" i="124"/>
  <c r="Y69" i="124"/>
  <c r="Y119" i="124"/>
  <c r="Y52" i="124"/>
  <c r="Y85" i="124"/>
  <c r="Y87" i="124"/>
  <c r="Y116" i="124"/>
  <c r="Y117" i="124"/>
  <c r="Y121" i="124"/>
  <c r="Y123" i="124"/>
  <c r="Y124" i="124"/>
  <c r="Y35" i="85"/>
  <c r="Y28" i="85"/>
  <c r="Y25" i="85"/>
  <c r="Y23" i="85"/>
  <c r="Y29" i="85"/>
  <c r="Y26" i="85"/>
  <c r="Y24" i="85"/>
  <c r="Y27" i="85"/>
  <c r="W123" i="68"/>
  <c r="W124" i="68"/>
  <c r="W125" i="68"/>
  <c r="W126" i="68"/>
  <c r="W127" i="68"/>
  <c r="W128" i="68"/>
  <c r="W129" i="68"/>
  <c r="W130" i="68"/>
  <c r="W131" i="68"/>
  <c r="W132" i="68"/>
  <c r="W133" i="68"/>
  <c r="W134" i="68"/>
  <c r="W135" i="68"/>
  <c r="W136" i="68"/>
  <c r="W137" i="68"/>
  <c r="W138" i="68"/>
  <c r="W139" i="68"/>
  <c r="W140" i="68"/>
  <c r="W141" i="68"/>
  <c r="W142" i="68"/>
  <c r="W143" i="68"/>
  <c r="W144" i="68"/>
  <c r="W145" i="68"/>
  <c r="W146" i="68"/>
  <c r="W147" i="68"/>
  <c r="W87" i="68"/>
  <c r="W88" i="68"/>
  <c r="W89" i="68"/>
  <c r="W90" i="68"/>
  <c r="W123" i="86"/>
  <c r="W124" i="86"/>
  <c r="W125" i="86"/>
  <c r="W126" i="86"/>
  <c r="W127" i="86"/>
  <c r="W128" i="86"/>
  <c r="W129" i="86"/>
  <c r="W130" i="86"/>
  <c r="W131" i="86"/>
  <c r="W132" i="86"/>
  <c r="W133" i="86"/>
  <c r="W134" i="86"/>
  <c r="W135" i="86"/>
  <c r="W136" i="86"/>
  <c r="W137" i="86"/>
  <c r="W138" i="86"/>
  <c r="W139" i="86"/>
  <c r="W140" i="86"/>
  <c r="W141" i="86"/>
  <c r="W142" i="86"/>
  <c r="W143" i="86"/>
  <c r="W144" i="86"/>
  <c r="W145" i="86"/>
  <c r="W146" i="86"/>
  <c r="W147" i="86"/>
  <c r="W87" i="86"/>
  <c r="W88" i="86"/>
  <c r="W89" i="86"/>
  <c r="W90" i="86"/>
  <c r="W123" i="85"/>
  <c r="W124" i="85"/>
  <c r="W125" i="85"/>
  <c r="W126" i="85"/>
  <c r="W127" i="85"/>
  <c r="W128" i="85"/>
  <c r="W129" i="85"/>
  <c r="W130" i="85"/>
  <c r="W131" i="85"/>
  <c r="W132" i="85"/>
  <c r="W133" i="85"/>
  <c r="W134" i="85"/>
  <c r="W87" i="85"/>
  <c r="W88" i="85"/>
  <c r="W89" i="85"/>
  <c r="W90" i="85"/>
  <c r="R148" i="124"/>
  <c r="Q148" i="124"/>
  <c r="P148" i="124"/>
  <c r="O148" i="124"/>
  <c r="N148" i="124"/>
  <c r="M148" i="124"/>
  <c r="L148" i="124"/>
  <c r="K148" i="124"/>
  <c r="AK20" i="174"/>
  <c r="AK20" i="124"/>
  <c r="AK21" i="174"/>
  <c r="AK21" i="124"/>
  <c r="AK22" i="174"/>
  <c r="AK22" i="124"/>
  <c r="AK31" i="174"/>
  <c r="AK31" i="124"/>
  <c r="AK32" i="174"/>
  <c r="AK32" i="124"/>
  <c r="AK33" i="174"/>
  <c r="AK33" i="124"/>
  <c r="J35" i="174"/>
  <c r="J35" i="124"/>
  <c r="K35" i="174"/>
  <c r="K35" i="124"/>
  <c r="L35" i="174"/>
  <c r="L35" i="124"/>
  <c r="M35" i="174"/>
  <c r="M35" i="124"/>
  <c r="N35" i="174"/>
  <c r="N35" i="124"/>
  <c r="O35" i="174"/>
  <c r="O35" i="124"/>
  <c r="P35" i="174"/>
  <c r="P35" i="124"/>
  <c r="Q35" i="174"/>
  <c r="Q35" i="124"/>
  <c r="R35" i="174"/>
  <c r="S35" i="174"/>
  <c r="J36" i="174"/>
  <c r="J36" i="124"/>
  <c r="K36" i="174"/>
  <c r="K36" i="124"/>
  <c r="L36" i="174"/>
  <c r="L36" i="124"/>
  <c r="M36" i="174"/>
  <c r="M36" i="124"/>
  <c r="N36" i="174"/>
  <c r="N36" i="124"/>
  <c r="O36" i="174"/>
  <c r="O36" i="124"/>
  <c r="P36" i="174"/>
  <c r="P36" i="124"/>
  <c r="Q36" i="174"/>
  <c r="Q36" i="124"/>
  <c r="R36" i="174"/>
  <c r="S36" i="174"/>
  <c r="J37" i="174"/>
  <c r="J37" i="124"/>
  <c r="K37" i="174"/>
  <c r="K37" i="124"/>
  <c r="L37" i="174"/>
  <c r="L37" i="124"/>
  <c r="M37" i="174"/>
  <c r="M37" i="124"/>
  <c r="N37" i="174"/>
  <c r="N37" i="124"/>
  <c r="O37" i="174"/>
  <c r="O37" i="124"/>
  <c r="P37" i="174"/>
  <c r="P37" i="124"/>
  <c r="Q37" i="174"/>
  <c r="Q37" i="124"/>
  <c r="R37" i="174"/>
  <c r="S37" i="174"/>
  <c r="J91" i="174"/>
  <c r="J156" i="174"/>
  <c r="K156" i="174"/>
  <c r="L156" i="174"/>
  <c r="M156" i="174"/>
  <c r="N156" i="174"/>
  <c r="O156" i="174"/>
  <c r="P156" i="174"/>
  <c r="Q156" i="174"/>
  <c r="R156" i="174"/>
  <c r="AK151" i="174"/>
  <c r="AK151" i="124"/>
  <c r="AM132" i="124"/>
  <c r="AM131" i="124"/>
  <c r="AM130" i="124"/>
  <c r="AM128" i="124"/>
  <c r="Y40" i="174"/>
  <c r="Y40" i="124"/>
  <c r="Y41" i="174"/>
  <c r="Y41" i="124"/>
  <c r="Y42" i="174"/>
  <c r="Y42" i="124"/>
  <c r="AJ80" i="174"/>
  <c r="AI80" i="174"/>
  <c r="AH80" i="174"/>
  <c r="AG80" i="174"/>
  <c r="AF80" i="174"/>
  <c r="AE80" i="174"/>
  <c r="AD80" i="174"/>
  <c r="AC80" i="174"/>
  <c r="AB80" i="174"/>
  <c r="AA80" i="174"/>
  <c r="Z80" i="174"/>
  <c r="Y80" i="174"/>
  <c r="AK80" i="174" s="1"/>
  <c r="AK80" i="124"/>
  <c r="AN80" i="124" s="1"/>
  <c r="Y50" i="87"/>
  <c r="Y157" i="87" s="1"/>
  <c r="Y51" i="174"/>
  <c r="Y51" i="124"/>
  <c r="Y78" i="174"/>
  <c r="Y155" i="174"/>
  <c r="AJ77" i="174"/>
  <c r="AI77" i="174"/>
  <c r="AH77" i="174"/>
  <c r="AG77" i="174"/>
  <c r="AF77" i="174"/>
  <c r="AE77" i="174"/>
  <c r="AD77" i="174"/>
  <c r="AC77" i="174"/>
  <c r="AB77" i="174"/>
  <c r="AA77" i="174"/>
  <c r="Z77" i="174"/>
  <c r="Y77" i="174"/>
  <c r="AK77" i="174" s="1"/>
  <c r="AK77" i="124"/>
  <c r="AN77" i="124" s="1"/>
  <c r="Y58" i="174"/>
  <c r="Y54" i="174"/>
  <c r="AJ68" i="174"/>
  <c r="AI68" i="174"/>
  <c r="AH68" i="174"/>
  <c r="AG68" i="174"/>
  <c r="AF68" i="174"/>
  <c r="AE68" i="174"/>
  <c r="AD68" i="174"/>
  <c r="AC68" i="174"/>
  <c r="AB68" i="174"/>
  <c r="AA68" i="174"/>
  <c r="Z68" i="174"/>
  <c r="Y68" i="174"/>
  <c r="AK68" i="174" s="1"/>
  <c r="Y52" i="174"/>
  <c r="Y113" i="174"/>
  <c r="Y113" i="124"/>
  <c r="Y56" i="174"/>
  <c r="Y81" i="174"/>
  <c r="Y59" i="174"/>
  <c r="AJ59" i="174"/>
  <c r="AI59" i="174"/>
  <c r="AH59" i="174"/>
  <c r="AG59" i="174"/>
  <c r="AF59" i="174"/>
  <c r="AE59" i="174"/>
  <c r="AD59" i="174"/>
  <c r="AC59" i="174"/>
  <c r="AB59" i="174"/>
  <c r="AA59" i="174"/>
  <c r="Z59" i="174"/>
  <c r="Y57" i="174"/>
  <c r="Y154" i="174"/>
  <c r="AJ95" i="174"/>
  <c r="AJ86" i="174"/>
  <c r="AI95" i="174"/>
  <c r="AI86" i="174"/>
  <c r="AH95" i="174"/>
  <c r="AH86" i="174"/>
  <c r="AG95" i="174"/>
  <c r="AG86" i="174"/>
  <c r="AF95" i="174"/>
  <c r="AF86" i="174"/>
  <c r="AE95" i="174"/>
  <c r="AE86" i="174"/>
  <c r="AD95" i="174"/>
  <c r="AD86" i="174"/>
  <c r="AC95" i="174"/>
  <c r="AC86" i="174"/>
  <c r="AB95" i="174"/>
  <c r="AB86" i="174"/>
  <c r="AA95" i="174"/>
  <c r="AA86" i="174"/>
  <c r="Z95" i="174"/>
  <c r="Z86" i="174"/>
  <c r="Y95" i="174"/>
  <c r="Y86" i="174"/>
  <c r="AK86" i="174" s="1"/>
  <c r="AK86" i="124"/>
  <c r="AN86" i="124" s="1"/>
  <c r="AJ73" i="174"/>
  <c r="AI73" i="174"/>
  <c r="AH73" i="174"/>
  <c r="AG73" i="174"/>
  <c r="AF73" i="174"/>
  <c r="AE73" i="174"/>
  <c r="AD73" i="174"/>
  <c r="AC73" i="174"/>
  <c r="AB73" i="174"/>
  <c r="AA73" i="174"/>
  <c r="Z73" i="174"/>
  <c r="Y73" i="174"/>
  <c r="AK73" i="174" s="1"/>
  <c r="Y71" i="174"/>
  <c r="AJ67" i="174"/>
  <c r="AI67" i="174"/>
  <c r="AH67" i="174"/>
  <c r="AG67" i="174"/>
  <c r="AF67" i="174"/>
  <c r="AE67" i="174"/>
  <c r="AD67" i="174"/>
  <c r="AC67" i="174"/>
  <c r="AB67" i="174"/>
  <c r="AA67" i="174"/>
  <c r="Z67" i="174"/>
  <c r="Y67" i="174"/>
  <c r="AK67" i="174" s="1"/>
  <c r="Y65" i="174"/>
  <c r="Y152" i="174"/>
  <c r="Y149" i="174"/>
  <c r="Y149" i="124"/>
  <c r="Y150" i="174"/>
  <c r="Y153" i="174"/>
  <c r="Y114" i="174"/>
  <c r="AJ114" i="174"/>
  <c r="AI114" i="174"/>
  <c r="AH114" i="174"/>
  <c r="AG114" i="174"/>
  <c r="AF114" i="174"/>
  <c r="AE114" i="174"/>
  <c r="AD114" i="174"/>
  <c r="AC114" i="174"/>
  <c r="AB114" i="174"/>
  <c r="AA114" i="174"/>
  <c r="Z114" i="174"/>
  <c r="Y115" i="174"/>
  <c r="AJ115" i="174"/>
  <c r="AI115" i="174"/>
  <c r="AH115" i="174"/>
  <c r="AG115" i="174"/>
  <c r="AF115" i="174"/>
  <c r="AE115" i="174"/>
  <c r="AD115" i="174"/>
  <c r="AC115" i="174"/>
  <c r="AB115" i="174"/>
  <c r="AA115" i="174"/>
  <c r="Z115" i="174"/>
  <c r="Y116" i="174"/>
  <c r="Y118" i="174"/>
  <c r="AJ118" i="174"/>
  <c r="AI118" i="174"/>
  <c r="AH118" i="174"/>
  <c r="AG118" i="174"/>
  <c r="AF118" i="174"/>
  <c r="AE118" i="174"/>
  <c r="AD118" i="174"/>
  <c r="AC118" i="174"/>
  <c r="AB118" i="174"/>
  <c r="AA118" i="174"/>
  <c r="Z118" i="174"/>
  <c r="Y119" i="174"/>
  <c r="Y121" i="174"/>
  <c r="Y122" i="174"/>
  <c r="AJ122" i="174"/>
  <c r="AI122" i="174"/>
  <c r="AH122" i="174"/>
  <c r="AG122" i="174"/>
  <c r="AF122" i="174"/>
  <c r="AE122" i="174"/>
  <c r="AD122" i="174"/>
  <c r="AC122" i="174"/>
  <c r="AB122" i="174"/>
  <c r="AA122" i="174"/>
  <c r="Z122" i="174"/>
  <c r="Y134" i="174"/>
  <c r="AJ134" i="174"/>
  <c r="AI134" i="174"/>
  <c r="AH134" i="174"/>
  <c r="AG134" i="174"/>
  <c r="AF134" i="174"/>
  <c r="AE134" i="174"/>
  <c r="AD134" i="174"/>
  <c r="AC134" i="174"/>
  <c r="AB134" i="174"/>
  <c r="AA134" i="174"/>
  <c r="Z134" i="174"/>
  <c r="Y136" i="174"/>
  <c r="AJ136" i="174"/>
  <c r="AI136" i="174"/>
  <c r="AH136" i="174"/>
  <c r="AG136" i="174"/>
  <c r="AF136" i="174"/>
  <c r="AE136" i="174"/>
  <c r="AD136" i="174"/>
  <c r="AC136" i="174"/>
  <c r="AB136" i="174"/>
  <c r="AA136" i="174"/>
  <c r="Z136" i="174"/>
  <c r="Y138" i="174"/>
  <c r="Y139" i="174"/>
  <c r="Y140" i="174"/>
  <c r="Y142" i="174"/>
  <c r="Y143" i="174"/>
  <c r="Y145" i="174"/>
  <c r="AJ145" i="174"/>
  <c r="AI145" i="174"/>
  <c r="AH145" i="174"/>
  <c r="AG145" i="174"/>
  <c r="AF145" i="174"/>
  <c r="AE145" i="174"/>
  <c r="AD145" i="174"/>
  <c r="AC145" i="174"/>
  <c r="AB145" i="174"/>
  <c r="AA145" i="174"/>
  <c r="Z145" i="174"/>
  <c r="Y147" i="174"/>
  <c r="Y107" i="174"/>
  <c r="Y135" i="174"/>
  <c r="Y117" i="174"/>
  <c r="Y120" i="174"/>
  <c r="AJ120" i="174"/>
  <c r="AI120" i="174"/>
  <c r="AH120" i="174"/>
  <c r="AG120" i="174"/>
  <c r="AF120" i="174"/>
  <c r="AE120" i="174"/>
  <c r="AD120" i="174"/>
  <c r="AC120" i="174"/>
  <c r="AB120" i="174"/>
  <c r="AA120" i="174"/>
  <c r="Z120" i="174"/>
  <c r="Y144" i="174"/>
  <c r="AJ144" i="174"/>
  <c r="AI144" i="174"/>
  <c r="AH144" i="174"/>
  <c r="AG144" i="174"/>
  <c r="AF144" i="174"/>
  <c r="AE144" i="174"/>
  <c r="AD144" i="174"/>
  <c r="AC144" i="174"/>
  <c r="AB144" i="174"/>
  <c r="AA144" i="174"/>
  <c r="Z144" i="174"/>
  <c r="Y146" i="174"/>
  <c r="J159" i="174"/>
  <c r="J43" i="174"/>
  <c r="K159" i="174"/>
  <c r="K43" i="174"/>
  <c r="L159" i="174"/>
  <c r="L43" i="174"/>
  <c r="M159" i="174"/>
  <c r="M43" i="174"/>
  <c r="N159" i="174"/>
  <c r="N43" i="174"/>
  <c r="O159" i="174"/>
  <c r="O43" i="174"/>
  <c r="P159" i="174"/>
  <c r="P43" i="174"/>
  <c r="Q159" i="174"/>
  <c r="Q43" i="174"/>
  <c r="R159" i="174"/>
  <c r="R43" i="174"/>
  <c r="S43" i="174"/>
  <c r="T43" i="174"/>
  <c r="J44" i="174"/>
  <c r="V44" i="174" s="1"/>
  <c r="W44" i="174" s="1"/>
  <c r="J45" i="174"/>
  <c r="V45" i="174" s="1"/>
  <c r="W45" i="174" s="1"/>
  <c r="V8" i="174"/>
  <c r="J46" i="174"/>
  <c r="V46" i="174" s="1"/>
  <c r="W46" i="174" s="1"/>
  <c r="V9" i="174"/>
  <c r="AM11" i="174"/>
  <c r="AM12" i="174"/>
  <c r="AM20" i="174"/>
  <c r="AM21" i="174"/>
  <c r="AM22" i="174"/>
  <c r="AM31" i="174"/>
  <c r="AM32" i="174"/>
  <c r="AM33" i="174"/>
  <c r="AL38" i="174"/>
  <c r="AM39" i="174"/>
  <c r="AL39" i="174"/>
  <c r="W40" i="174"/>
  <c r="W41" i="174"/>
  <c r="W42" i="174"/>
  <c r="J158" i="174"/>
  <c r="J157" i="174"/>
  <c r="K158" i="174"/>
  <c r="K157" i="174"/>
  <c r="L158" i="174"/>
  <c r="L157" i="174"/>
  <c r="M158" i="174"/>
  <c r="M157" i="174"/>
  <c r="N158" i="174"/>
  <c r="N157" i="174"/>
  <c r="O158" i="174"/>
  <c r="O157" i="174"/>
  <c r="P158" i="174"/>
  <c r="P157" i="174"/>
  <c r="Q158" i="174"/>
  <c r="Q157" i="174"/>
  <c r="R158" i="174"/>
  <c r="R157" i="174"/>
  <c r="AM53" i="174"/>
  <c r="AM60" i="174"/>
  <c r="AM61" i="174"/>
  <c r="AM62" i="174"/>
  <c r="AM64" i="174"/>
  <c r="AM67" i="174"/>
  <c r="AM68" i="174"/>
  <c r="AM70" i="174"/>
  <c r="AM72" i="174"/>
  <c r="AM73" i="174"/>
  <c r="AM74" i="174"/>
  <c r="AM77" i="174"/>
  <c r="AM80" i="174"/>
  <c r="AM82" i="174"/>
  <c r="AM83" i="174"/>
  <c r="AM84" i="174"/>
  <c r="AM86" i="174"/>
  <c r="AM89" i="174"/>
  <c r="AM92" i="174"/>
  <c r="AM93" i="174"/>
  <c r="AM98" i="174"/>
  <c r="AM128" i="174"/>
  <c r="AM130" i="174"/>
  <c r="AM131" i="174"/>
  <c r="AM132" i="174"/>
  <c r="AM137" i="174"/>
  <c r="AM141" i="174"/>
  <c r="AM84" i="124"/>
  <c r="AM83" i="124"/>
  <c r="AM82" i="124"/>
  <c r="AM80" i="124"/>
  <c r="AM77" i="124"/>
  <c r="AM33" i="124"/>
  <c r="AM32" i="124"/>
  <c r="AM31" i="124"/>
  <c r="AM22" i="124"/>
  <c r="AM21" i="124"/>
  <c r="AM20" i="124"/>
  <c r="W6" i="85"/>
  <c r="W7" i="85"/>
  <c r="Z43" i="85"/>
  <c r="AA43" i="85"/>
  <c r="AB43" i="85"/>
  <c r="AC43" i="85"/>
  <c r="AD43" i="85"/>
  <c r="AE43" i="85"/>
  <c r="AF43" i="85"/>
  <c r="AG43" i="85"/>
  <c r="AH43" i="85"/>
  <c r="AI43" i="85"/>
  <c r="AJ43" i="85"/>
  <c r="W8" i="85"/>
  <c r="W9" i="85"/>
  <c r="W10" i="85"/>
  <c r="W11" i="85"/>
  <c r="AM11" i="85"/>
  <c r="W12" i="85"/>
  <c r="AM12" i="85"/>
  <c r="W13" i="85"/>
  <c r="W14" i="85"/>
  <c r="W15" i="85"/>
  <c r="W16" i="85"/>
  <c r="W17" i="85"/>
  <c r="AM17" i="85"/>
  <c r="W18" i="85"/>
  <c r="AM18" i="85"/>
  <c r="W19" i="85"/>
  <c r="AM19" i="85"/>
  <c r="W20" i="85"/>
  <c r="AM20" i="85"/>
  <c r="W21" i="85"/>
  <c r="AM21" i="85"/>
  <c r="W22" i="85"/>
  <c r="AM22" i="85"/>
  <c r="W23" i="85"/>
  <c r="W24" i="85"/>
  <c r="W25" i="85"/>
  <c r="W26" i="85"/>
  <c r="W27" i="85"/>
  <c r="W28" i="85"/>
  <c r="W29" i="85"/>
  <c r="W30" i="85"/>
  <c r="W31" i="85"/>
  <c r="AM31" i="85"/>
  <c r="W32" i="85"/>
  <c r="AM32" i="85"/>
  <c r="W33" i="85"/>
  <c r="AM33" i="85"/>
  <c r="W40" i="85"/>
  <c r="W41" i="85"/>
  <c r="W42" i="85"/>
  <c r="W53" i="85"/>
  <c r="AM53" i="85"/>
  <c r="W55" i="85"/>
  <c r="W57" i="85"/>
  <c r="AM57" i="85"/>
  <c r="W58" i="85"/>
  <c r="W59" i="85"/>
  <c r="AM59" i="85"/>
  <c r="W60" i="85"/>
  <c r="AM60" i="85"/>
  <c r="W61" i="85"/>
  <c r="AM61" i="85"/>
  <c r="W62" i="85"/>
  <c r="AM62" i="85"/>
  <c r="W64" i="85"/>
  <c r="AM64" i="85"/>
  <c r="W65" i="85"/>
  <c r="W67" i="85"/>
  <c r="AM67" i="85"/>
  <c r="W68" i="85"/>
  <c r="AM68" i="85"/>
  <c r="W70" i="85"/>
  <c r="AM70" i="85"/>
  <c r="W72" i="85"/>
  <c r="AM72" i="85"/>
  <c r="W73" i="85"/>
  <c r="AM73" i="85"/>
  <c r="W74" i="85"/>
  <c r="AM74" i="85"/>
  <c r="W77" i="85"/>
  <c r="AM77" i="85"/>
  <c r="W78" i="85"/>
  <c r="W79" i="85"/>
  <c r="W80" i="85"/>
  <c r="AM80" i="85"/>
  <c r="W81" i="85"/>
  <c r="W82" i="85"/>
  <c r="AM82" i="85"/>
  <c r="W83" i="85"/>
  <c r="AM83" i="85"/>
  <c r="W84" i="85"/>
  <c r="AM84" i="85"/>
  <c r="W85" i="85"/>
  <c r="W86" i="85"/>
  <c r="AM86" i="85"/>
  <c r="AM89" i="85"/>
  <c r="W112" i="85"/>
  <c r="W113" i="85"/>
  <c r="W114" i="85"/>
  <c r="AM114" i="85"/>
  <c r="W115" i="85"/>
  <c r="AM115" i="85"/>
  <c r="W116" i="85"/>
  <c r="W117" i="85"/>
  <c r="W118" i="85"/>
  <c r="AM118" i="85"/>
  <c r="W119" i="85"/>
  <c r="W120" i="85"/>
  <c r="AM120" i="85"/>
  <c r="W121" i="85"/>
  <c r="W122" i="85"/>
  <c r="AM122" i="85"/>
  <c r="AM128" i="85"/>
  <c r="AM130" i="85"/>
  <c r="AM131" i="85"/>
  <c r="AM132" i="85"/>
  <c r="AM134" i="85"/>
  <c r="W135" i="85"/>
  <c r="W136" i="85"/>
  <c r="AM136" i="85"/>
  <c r="W137" i="85"/>
  <c r="AM137" i="85"/>
  <c r="W138" i="85"/>
  <c r="W139" i="85"/>
  <c r="W140" i="85"/>
  <c r="W141" i="85"/>
  <c r="AM141" i="85"/>
  <c r="W142" i="85"/>
  <c r="W143" i="85"/>
  <c r="W144" i="85"/>
  <c r="AM144" i="85"/>
  <c r="W145" i="85"/>
  <c r="AM145" i="85"/>
  <c r="W146" i="85"/>
  <c r="W149" i="85"/>
  <c r="W150" i="85"/>
  <c r="W151" i="85"/>
  <c r="AM151" i="85"/>
  <c r="W153" i="85"/>
  <c r="AM153" i="85"/>
  <c r="W6" i="86"/>
  <c r="W7" i="86"/>
  <c r="W8" i="86"/>
  <c r="W9" i="86"/>
  <c r="W10" i="86"/>
  <c r="W11" i="86"/>
  <c r="AM11" i="86"/>
  <c r="W12" i="86"/>
  <c r="AM12" i="86"/>
  <c r="W13" i="86"/>
  <c r="W14" i="86"/>
  <c r="W15" i="86"/>
  <c r="W16" i="86"/>
  <c r="W17" i="86"/>
  <c r="AM17" i="86"/>
  <c r="W18" i="86"/>
  <c r="AM18" i="86"/>
  <c r="W19" i="86"/>
  <c r="AM19" i="86"/>
  <c r="W20" i="86"/>
  <c r="AM20" i="86"/>
  <c r="W21" i="86"/>
  <c r="AM21" i="86"/>
  <c r="W22" i="86"/>
  <c r="AM22" i="86"/>
  <c r="W23" i="86"/>
  <c r="W24" i="86"/>
  <c r="W25" i="86"/>
  <c r="W26" i="86"/>
  <c r="W27" i="86"/>
  <c r="W28" i="86"/>
  <c r="W29" i="86"/>
  <c r="W30" i="86"/>
  <c r="W31" i="86"/>
  <c r="AM31" i="86"/>
  <c r="W32" i="86"/>
  <c r="AM32" i="86"/>
  <c r="W33" i="86"/>
  <c r="AM33" i="86"/>
  <c r="W40" i="86"/>
  <c r="W41" i="86"/>
  <c r="W42" i="86"/>
  <c r="W46" i="86"/>
  <c r="W53" i="86"/>
  <c r="AM53" i="86"/>
  <c r="W55" i="86"/>
  <c r="W57" i="86"/>
  <c r="AM57" i="86"/>
  <c r="W58" i="86"/>
  <c r="W59" i="86"/>
  <c r="AM59" i="86"/>
  <c r="W60" i="86"/>
  <c r="AM60" i="86"/>
  <c r="W61" i="86"/>
  <c r="AM61" i="86"/>
  <c r="W62" i="86"/>
  <c r="AM62" i="86"/>
  <c r="W64" i="86"/>
  <c r="AM64" i="86"/>
  <c r="W65" i="86"/>
  <c r="W67" i="86"/>
  <c r="AM67" i="86"/>
  <c r="W68" i="86"/>
  <c r="AM68" i="86"/>
  <c r="W70" i="86"/>
  <c r="AM70" i="86"/>
  <c r="W72" i="86"/>
  <c r="AM72" i="86"/>
  <c r="W73" i="86"/>
  <c r="AM73" i="86"/>
  <c r="W74" i="86"/>
  <c r="AM74" i="86"/>
  <c r="W77" i="86"/>
  <c r="AM77" i="86"/>
  <c r="W78" i="86"/>
  <c r="W79" i="86"/>
  <c r="W80" i="86"/>
  <c r="AM80" i="86"/>
  <c r="W81" i="86"/>
  <c r="W82" i="86"/>
  <c r="AM82" i="86"/>
  <c r="W83" i="86"/>
  <c r="AM83" i="86"/>
  <c r="W84" i="86"/>
  <c r="AM84" i="86"/>
  <c r="W85" i="86"/>
  <c r="W86" i="86"/>
  <c r="AM86" i="86"/>
  <c r="AM89" i="86"/>
  <c r="W112" i="86"/>
  <c r="W113" i="86"/>
  <c r="W114" i="86"/>
  <c r="AM114" i="86"/>
  <c r="W115" i="86"/>
  <c r="AM115" i="86"/>
  <c r="W116" i="86"/>
  <c r="W117" i="86"/>
  <c r="W118" i="86"/>
  <c r="AM118" i="86"/>
  <c r="W119" i="86"/>
  <c r="W120" i="86"/>
  <c r="AM120" i="86"/>
  <c r="W121" i="86"/>
  <c r="W122" i="86"/>
  <c r="AM122" i="86"/>
  <c r="AM128" i="86"/>
  <c r="AM130" i="86"/>
  <c r="AM131" i="86"/>
  <c r="AM132" i="86"/>
  <c r="AM134" i="86"/>
  <c r="AM136" i="86"/>
  <c r="AM137" i="86"/>
  <c r="AM141" i="86"/>
  <c r="AM144" i="86"/>
  <c r="AM145" i="86"/>
  <c r="AM147" i="86"/>
  <c r="W6" i="68"/>
  <c r="W7" i="68"/>
  <c r="W8" i="68"/>
  <c r="W9" i="68"/>
  <c r="W10" i="68"/>
  <c r="W11" i="68"/>
  <c r="AM11" i="68"/>
  <c r="W12" i="68"/>
  <c r="AM12" i="68"/>
  <c r="W13" i="68"/>
  <c r="W14" i="68"/>
  <c r="W15" i="68"/>
  <c r="W16" i="68"/>
  <c r="W17" i="68"/>
  <c r="AM17" i="68"/>
  <c r="W18" i="68"/>
  <c r="AM18" i="68"/>
  <c r="W19" i="68"/>
  <c r="AM19" i="68"/>
  <c r="W20" i="68"/>
  <c r="AM20" i="68"/>
  <c r="W21" i="68"/>
  <c r="AM21" i="68"/>
  <c r="W22" i="68"/>
  <c r="AM22" i="68"/>
  <c r="W23" i="68"/>
  <c r="W24" i="68"/>
  <c r="W25" i="68"/>
  <c r="W26" i="68"/>
  <c r="W27" i="68"/>
  <c r="W28" i="68"/>
  <c r="W29" i="68"/>
  <c r="W30" i="68"/>
  <c r="W31" i="68"/>
  <c r="AM31" i="68"/>
  <c r="W32" i="68"/>
  <c r="AM32" i="68"/>
  <c r="W33" i="68"/>
  <c r="AM33" i="68"/>
  <c r="W40" i="68"/>
  <c r="W41" i="68"/>
  <c r="W42" i="68"/>
  <c r="W53" i="68"/>
  <c r="AM53" i="68"/>
  <c r="W55" i="68"/>
  <c r="W57" i="68"/>
  <c r="W58" i="68"/>
  <c r="W59" i="68"/>
  <c r="AM59" i="68"/>
  <c r="W60" i="68"/>
  <c r="AM60" i="68"/>
  <c r="W61" i="68"/>
  <c r="AM61" i="68"/>
  <c r="W62" i="68"/>
  <c r="AM62" i="68"/>
  <c r="W64" i="68"/>
  <c r="AM64" i="68"/>
  <c r="W65" i="68"/>
  <c r="W67" i="68"/>
  <c r="AM67" i="68"/>
  <c r="W68" i="68"/>
  <c r="AM68" i="68"/>
  <c r="W70" i="68"/>
  <c r="AM70" i="68"/>
  <c r="W72" i="68"/>
  <c r="AM72" i="68"/>
  <c r="W73" i="68"/>
  <c r="AM73" i="68"/>
  <c r="W74" i="68"/>
  <c r="AM74" i="68"/>
  <c r="W77" i="68"/>
  <c r="AM77" i="68"/>
  <c r="W78" i="68"/>
  <c r="W79" i="68"/>
  <c r="W80" i="68"/>
  <c r="AM80" i="68"/>
  <c r="W81" i="68"/>
  <c r="W82" i="68"/>
  <c r="AM82" i="68"/>
  <c r="W83" i="68"/>
  <c r="AM83" i="68"/>
  <c r="W84" i="68"/>
  <c r="AM84" i="68"/>
  <c r="W85" i="68"/>
  <c r="W86" i="68"/>
  <c r="AM86" i="68"/>
  <c r="AM89" i="68"/>
  <c r="W112" i="68"/>
  <c r="W113" i="68"/>
  <c r="W114" i="68"/>
  <c r="AM114" i="68"/>
  <c r="W115" i="68"/>
  <c r="AM115" i="68"/>
  <c r="W116" i="68"/>
  <c r="W117" i="68"/>
  <c r="W118" i="68"/>
  <c r="AM118" i="68"/>
  <c r="W119" i="68"/>
  <c r="W120" i="68"/>
  <c r="AM120" i="68"/>
  <c r="W121" i="68"/>
  <c r="W122" i="68"/>
  <c r="AM122" i="68"/>
  <c r="AM128" i="68"/>
  <c r="AM130" i="68"/>
  <c r="AM131" i="68"/>
  <c r="AM132" i="68"/>
  <c r="AM134" i="68"/>
  <c r="AM136" i="68"/>
  <c r="AM137" i="68"/>
  <c r="AM141" i="68"/>
  <c r="AM144" i="68"/>
  <c r="AM145" i="68"/>
  <c r="AM147" i="68"/>
  <c r="W149" i="68"/>
  <c r="W150" i="68"/>
  <c r="AM150" i="68"/>
  <c r="W151" i="68"/>
  <c r="AM151" i="68"/>
  <c r="W153" i="68"/>
  <c r="AM153" i="68"/>
  <c r="J258" i="174"/>
  <c r="K291" i="174"/>
  <c r="K338" i="174" s="1"/>
  <c r="K341" i="174" s="1"/>
  <c r="K260" i="174"/>
  <c r="K261" i="174" s="1"/>
  <c r="K259" i="174"/>
  <c r="L291" i="174"/>
  <c r="L338" i="174" s="1"/>
  <c r="L341" i="174" s="1"/>
  <c r="L260" i="174"/>
  <c r="L261" i="174" s="1"/>
  <c r="L259" i="174"/>
  <c r="M291" i="174"/>
  <c r="M338" i="174" s="1"/>
  <c r="M341" i="174" s="1"/>
  <c r="M260" i="174"/>
  <c r="M261" i="174" s="1"/>
  <c r="M259" i="174"/>
  <c r="N291" i="174"/>
  <c r="N338" i="174" s="1"/>
  <c r="N341" i="174" s="1"/>
  <c r="N260" i="174"/>
  <c r="N261" i="174" s="1"/>
  <c r="N259" i="174"/>
  <c r="O291" i="174"/>
  <c r="O338" i="174" s="1"/>
  <c r="O341" i="174" s="1"/>
  <c r="O260" i="174"/>
  <c r="O261" i="174" s="1"/>
  <c r="O259" i="174"/>
  <c r="P291" i="174"/>
  <c r="P338" i="174" s="1"/>
  <c r="P341" i="174" s="1"/>
  <c r="P260" i="174"/>
  <c r="P261" i="174" s="1"/>
  <c r="P259" i="174"/>
  <c r="Q291" i="174"/>
  <c r="Q338" i="174" s="1"/>
  <c r="Q341" i="174" s="1"/>
  <c r="Q260" i="174"/>
  <c r="Q261" i="174" s="1"/>
  <c r="Q259" i="174"/>
  <c r="R291" i="174"/>
  <c r="R338" i="174" s="1"/>
  <c r="R341" i="174" s="1"/>
  <c r="R260" i="174"/>
  <c r="R261" i="174" s="1"/>
  <c r="R259" i="174"/>
  <c r="S291" i="174"/>
  <c r="S338" i="174" s="1"/>
  <c r="S341" i="174" s="1"/>
  <c r="S260" i="174"/>
  <c r="S261" i="174" s="1"/>
  <c r="S259" i="174"/>
  <c r="T291" i="174"/>
  <c r="T338" i="174" s="1"/>
  <c r="T341" i="174" s="1"/>
  <c r="T260" i="174"/>
  <c r="T261" i="174" s="1"/>
  <c r="T259" i="174"/>
  <c r="U291" i="174"/>
  <c r="U338" i="174" s="1"/>
  <c r="U341" i="174" s="1"/>
  <c r="U260" i="174"/>
  <c r="U261" i="174" s="1"/>
  <c r="U259" i="174"/>
  <c r="Y257" i="174"/>
  <c r="J256" i="174"/>
  <c r="J257" i="174" s="1"/>
  <c r="J254" i="174"/>
  <c r="J255" i="174" s="1"/>
  <c r="J253" i="174"/>
  <c r="K256" i="174"/>
  <c r="K257" i="174" s="1"/>
  <c r="K254" i="174"/>
  <c r="K255" i="174" s="1"/>
  <c r="K253" i="174"/>
  <c r="L256" i="174"/>
  <c r="L257" i="174" s="1"/>
  <c r="L254" i="174"/>
  <c r="L255" i="174" s="1"/>
  <c r="L253" i="174"/>
  <c r="M256" i="174"/>
  <c r="M257" i="174" s="1"/>
  <c r="M254" i="174"/>
  <c r="M255" i="174" s="1"/>
  <c r="M253" i="174"/>
  <c r="N256" i="174"/>
  <c r="N257" i="174" s="1"/>
  <c r="N254" i="174"/>
  <c r="N255" i="174" s="1"/>
  <c r="N253" i="174"/>
  <c r="O256" i="174"/>
  <c r="O257" i="174" s="1"/>
  <c r="O254" i="174"/>
  <c r="O255" i="174" s="1"/>
  <c r="O253" i="174"/>
  <c r="P256" i="174"/>
  <c r="P257" i="174" s="1"/>
  <c r="P254" i="174"/>
  <c r="P255" i="174" s="1"/>
  <c r="P253" i="174"/>
  <c r="Q256" i="174"/>
  <c r="Q257" i="174" s="1"/>
  <c r="Q254" i="174"/>
  <c r="Q255" i="174" s="1"/>
  <c r="Q253" i="174"/>
  <c r="R256" i="174"/>
  <c r="R257" i="174" s="1"/>
  <c r="R254" i="174"/>
  <c r="R255" i="174" s="1"/>
  <c r="R253" i="174"/>
  <c r="S256" i="174"/>
  <c r="S257" i="174" s="1"/>
  <c r="S254" i="174"/>
  <c r="S255" i="174" s="1"/>
  <c r="S253" i="174"/>
  <c r="T256" i="174"/>
  <c r="T257" i="174" s="1"/>
  <c r="T254" i="174"/>
  <c r="T255" i="174" s="1"/>
  <c r="T253" i="174"/>
  <c r="U256" i="174"/>
  <c r="U257" i="174" s="1"/>
  <c r="U254" i="174"/>
  <c r="U255" i="174" s="1"/>
  <c r="U253" i="174"/>
  <c r="V252" i="174"/>
  <c r="Y254" i="174"/>
  <c r="Y253" i="174"/>
  <c r="Z253" i="174"/>
  <c r="AA253" i="174"/>
  <c r="AB253" i="174"/>
  <c r="AC253" i="174"/>
  <c r="AD253" i="174"/>
  <c r="AE253" i="174"/>
  <c r="AF253" i="174"/>
  <c r="AG253" i="174"/>
  <c r="AH253" i="174"/>
  <c r="AI253" i="174"/>
  <c r="AJ253" i="174"/>
  <c r="V32" i="173"/>
  <c r="W6" i="173"/>
  <c r="Y32" i="173"/>
  <c r="AK6" i="173"/>
  <c r="Z155" i="173"/>
  <c r="Z251" i="173" s="1"/>
  <c r="Z288" i="173" s="1"/>
  <c r="Z350" i="173" s="1"/>
  <c r="Z353" i="173" s="1"/>
  <c r="Z42" i="173"/>
  <c r="AA155" i="173"/>
  <c r="AA251" i="173" s="1"/>
  <c r="AA288" i="173" s="1"/>
  <c r="AA350" i="173" s="1"/>
  <c r="AA353" i="173" s="1"/>
  <c r="AA42" i="173"/>
  <c r="AB155" i="173"/>
  <c r="AB251" i="173" s="1"/>
  <c r="AB288" i="173" s="1"/>
  <c r="AB350" i="173" s="1"/>
  <c r="AB353" i="173" s="1"/>
  <c r="AB42" i="173"/>
  <c r="AC155" i="173"/>
  <c r="AC251" i="173" s="1"/>
  <c r="AC288" i="173" s="1"/>
  <c r="AC350" i="173" s="1"/>
  <c r="AC353" i="173" s="1"/>
  <c r="AC42" i="173"/>
  <c r="AD155" i="173"/>
  <c r="AD251" i="173" s="1"/>
  <c r="AD288" i="173" s="1"/>
  <c r="AD350" i="173" s="1"/>
  <c r="AD353" i="173" s="1"/>
  <c r="AD42" i="173"/>
  <c r="AE155" i="173"/>
  <c r="AE251" i="173" s="1"/>
  <c r="AE288" i="173" s="1"/>
  <c r="AE350" i="173" s="1"/>
  <c r="AE353" i="173" s="1"/>
  <c r="AE42" i="173"/>
  <c r="AF155" i="173"/>
  <c r="AF251" i="173" s="1"/>
  <c r="AF288" i="173" s="1"/>
  <c r="AF350" i="173" s="1"/>
  <c r="AF353" i="173" s="1"/>
  <c r="AF42" i="173"/>
  <c r="AG155" i="173"/>
  <c r="AG251" i="173" s="1"/>
  <c r="AG288" i="173" s="1"/>
  <c r="AG350" i="173" s="1"/>
  <c r="AG353" i="173" s="1"/>
  <c r="AG42" i="173"/>
  <c r="AH155" i="173"/>
  <c r="AH251" i="173" s="1"/>
  <c r="AH288" i="173" s="1"/>
  <c r="AH350" i="173" s="1"/>
  <c r="AH353" i="173" s="1"/>
  <c r="AH42" i="173"/>
  <c r="AI155" i="173"/>
  <c r="AI251" i="173" s="1"/>
  <c r="AI288" i="173" s="1"/>
  <c r="AI350" i="173" s="1"/>
  <c r="AI353" i="173" s="1"/>
  <c r="AI42" i="173"/>
  <c r="AJ155" i="173"/>
  <c r="AJ251" i="173" s="1"/>
  <c r="AJ288" i="173" s="1"/>
  <c r="AJ350" i="173" s="1"/>
  <c r="AJ353" i="173" s="1"/>
  <c r="AJ42" i="173"/>
  <c r="V43" i="173"/>
  <c r="W7" i="173"/>
  <c r="AK43" i="173"/>
  <c r="AM43" i="173" s="1"/>
  <c r="AM7" i="173"/>
  <c r="AL7" i="173"/>
  <c r="V44" i="173"/>
  <c r="W8" i="173"/>
  <c r="AK44" i="173"/>
  <c r="AM44" i="173" s="1"/>
  <c r="AM8" i="173"/>
  <c r="AL8" i="173"/>
  <c r="V45" i="173"/>
  <c r="W9" i="173"/>
  <c r="AK45" i="173"/>
  <c r="AM45" i="173" s="1"/>
  <c r="AM9" i="173"/>
  <c r="AL9" i="173"/>
  <c r="W10" i="173"/>
  <c r="AM10" i="173"/>
  <c r="AL10" i="173"/>
  <c r="W11" i="173"/>
  <c r="AM11" i="173"/>
  <c r="AL11" i="173"/>
  <c r="W15" i="173"/>
  <c r="AM15" i="173"/>
  <c r="AL15" i="173"/>
  <c r="W16" i="173"/>
  <c r="AM16" i="173"/>
  <c r="AL16" i="173"/>
  <c r="W17" i="173"/>
  <c r="AM17" i="173"/>
  <c r="AL17" i="173"/>
  <c r="W18" i="173"/>
  <c r="AM18" i="173"/>
  <c r="AL18" i="173"/>
  <c r="W19" i="173"/>
  <c r="AM19" i="173"/>
  <c r="AL19" i="173"/>
  <c r="W20" i="173"/>
  <c r="AM20" i="173"/>
  <c r="AL20" i="173"/>
  <c r="W21" i="173"/>
  <c r="AM21" i="173"/>
  <c r="AL21" i="173"/>
  <c r="W22" i="173"/>
  <c r="AM22" i="173"/>
  <c r="AL22" i="173"/>
  <c r="W23" i="173"/>
  <c r="AM23" i="173"/>
  <c r="AL23" i="173"/>
  <c r="W24" i="173"/>
  <c r="AM24" i="173"/>
  <c r="AL24" i="173"/>
  <c r="W25" i="173"/>
  <c r="AM25" i="173"/>
  <c r="AL25" i="173"/>
  <c r="W26" i="173"/>
  <c r="AM26" i="173"/>
  <c r="AL26" i="173"/>
  <c r="W27" i="173"/>
  <c r="AM27" i="173"/>
  <c r="AL27" i="173"/>
  <c r="W28" i="173"/>
  <c r="AM28" i="173"/>
  <c r="AL28" i="173"/>
  <c r="W31" i="173"/>
  <c r="AM31" i="173"/>
  <c r="AL31" i="173"/>
  <c r="AM33" i="173"/>
  <c r="AM34" i="173"/>
  <c r="AM35" i="173"/>
  <c r="AM38" i="173"/>
  <c r="AL38" i="173"/>
  <c r="W39" i="173"/>
  <c r="AM39" i="173"/>
  <c r="AL39" i="173"/>
  <c r="W40" i="173"/>
  <c r="AM40" i="173"/>
  <c r="AL40" i="173"/>
  <c r="W41" i="173"/>
  <c r="AM41" i="173"/>
  <c r="AL41" i="173"/>
  <c r="V152" i="173"/>
  <c r="W49" i="173"/>
  <c r="Y154" i="173"/>
  <c r="Z154" i="173"/>
  <c r="AA154" i="173"/>
  <c r="AB154" i="173"/>
  <c r="AC154" i="173"/>
  <c r="AD154" i="173"/>
  <c r="AE154" i="173"/>
  <c r="AF154" i="173"/>
  <c r="AG154" i="173"/>
  <c r="AH154" i="173"/>
  <c r="AI154" i="173"/>
  <c r="AJ154" i="173"/>
  <c r="AK152" i="173"/>
  <c r="AM49" i="173"/>
  <c r="AL49" i="173"/>
  <c r="W50" i="173"/>
  <c r="AM50" i="173"/>
  <c r="AL50" i="173"/>
  <c r="W51" i="173"/>
  <c r="AM51" i="173"/>
  <c r="AL51" i="173"/>
  <c r="W52" i="173"/>
  <c r="AM52" i="173"/>
  <c r="AL52" i="173"/>
  <c r="W53" i="173"/>
  <c r="AM53" i="173"/>
  <c r="AL53" i="173"/>
  <c r="W54" i="173"/>
  <c r="AM54" i="173"/>
  <c r="AL54" i="173"/>
  <c r="W55" i="173"/>
  <c r="AM55" i="173"/>
  <c r="AL55" i="173"/>
  <c r="W56" i="173"/>
  <c r="AM56" i="173"/>
  <c r="AL56" i="173"/>
  <c r="W57" i="173"/>
  <c r="AM57" i="173"/>
  <c r="AL57" i="173"/>
  <c r="W58" i="173"/>
  <c r="AM58" i="173"/>
  <c r="AL58" i="173"/>
  <c r="W59" i="173"/>
  <c r="AM59" i="173"/>
  <c r="AL59" i="173"/>
  <c r="W60" i="173"/>
  <c r="AM60" i="173"/>
  <c r="AL60" i="173"/>
  <c r="W61" i="173"/>
  <c r="AM61" i="173"/>
  <c r="AL61" i="173"/>
  <c r="W62" i="173"/>
  <c r="AM62" i="173"/>
  <c r="AL62" i="173"/>
  <c r="W63" i="173"/>
  <c r="AM63" i="173"/>
  <c r="AL63" i="173"/>
  <c r="W64" i="173"/>
  <c r="AM64" i="173"/>
  <c r="AL64" i="173"/>
  <c r="W65" i="173"/>
  <c r="AM65" i="173"/>
  <c r="AL65" i="173"/>
  <c r="W66" i="173"/>
  <c r="AM66" i="173"/>
  <c r="AL66" i="173"/>
  <c r="W67" i="173"/>
  <c r="AM67" i="173"/>
  <c r="AL67" i="173"/>
  <c r="W68" i="173"/>
  <c r="AM68" i="173"/>
  <c r="AL68" i="173"/>
  <c r="W69" i="173"/>
  <c r="AM69" i="173"/>
  <c r="AL69" i="173"/>
  <c r="W70" i="173"/>
  <c r="AM70" i="173"/>
  <c r="AL70" i="173"/>
  <c r="W71" i="173"/>
  <c r="AM71" i="173"/>
  <c r="AL71" i="173"/>
  <c r="W72" i="173"/>
  <c r="AM72" i="173"/>
  <c r="AL72" i="173"/>
  <c r="W88" i="173"/>
  <c r="AM88" i="173"/>
  <c r="AL88" i="173"/>
  <c r="W89" i="173"/>
  <c r="AM89" i="173"/>
  <c r="AL89" i="173"/>
  <c r="W90" i="173"/>
  <c r="AM90" i="173"/>
  <c r="AL90" i="173"/>
  <c r="W91" i="173"/>
  <c r="AM91" i="173"/>
  <c r="AL91" i="173"/>
  <c r="W92" i="173"/>
  <c r="AM92" i="173"/>
  <c r="AL92" i="173"/>
  <c r="W93" i="173"/>
  <c r="AM93" i="173"/>
  <c r="AL93" i="173"/>
  <c r="W94" i="173"/>
  <c r="AM94" i="173"/>
  <c r="AL94" i="173"/>
  <c r="W95" i="173"/>
  <c r="AM95" i="173"/>
  <c r="AL95" i="173"/>
  <c r="W96" i="173"/>
  <c r="AM96" i="173"/>
  <c r="AL96" i="173"/>
  <c r="W97" i="173"/>
  <c r="AM97" i="173"/>
  <c r="AL97" i="173"/>
  <c r="W98" i="173"/>
  <c r="AM98" i="173"/>
  <c r="AL98" i="173"/>
  <c r="W99" i="173"/>
  <c r="AM99" i="173"/>
  <c r="AL99" i="173"/>
  <c r="W100" i="173"/>
  <c r="AM100" i="173"/>
  <c r="AL100" i="173"/>
  <c r="W101" i="173"/>
  <c r="AM101" i="173"/>
  <c r="AL101" i="173"/>
  <c r="W102" i="173"/>
  <c r="AM102" i="173"/>
  <c r="AL102" i="173"/>
  <c r="W103" i="173"/>
  <c r="AM103" i="173"/>
  <c r="AL103" i="173"/>
  <c r="W104" i="173"/>
  <c r="AM104" i="173"/>
  <c r="AL104" i="173"/>
  <c r="W105" i="173"/>
  <c r="AM105" i="173"/>
  <c r="AL105" i="173"/>
  <c r="W106" i="173"/>
  <c r="AM106" i="173"/>
  <c r="AL106" i="173"/>
  <c r="W107" i="173"/>
  <c r="AM107" i="173"/>
  <c r="AL107" i="173"/>
  <c r="W108" i="173"/>
  <c r="AM108" i="173"/>
  <c r="AL108" i="173"/>
  <c r="W109" i="173"/>
  <c r="AM109" i="173"/>
  <c r="AL109" i="173"/>
  <c r="W110" i="173"/>
  <c r="AM110" i="173"/>
  <c r="AL110" i="173"/>
  <c r="W111" i="173"/>
  <c r="AM111" i="173"/>
  <c r="AL111" i="173"/>
  <c r="W112" i="173"/>
  <c r="AM112" i="173"/>
  <c r="AL112" i="173"/>
  <c r="W144" i="173"/>
  <c r="AM144" i="173"/>
  <c r="AL144" i="173"/>
  <c r="W145" i="173"/>
  <c r="AM145" i="173"/>
  <c r="AL145" i="173"/>
  <c r="W146" i="173"/>
  <c r="AM146" i="173"/>
  <c r="AL146" i="173"/>
  <c r="W147" i="173"/>
  <c r="AM147" i="173"/>
  <c r="AL147" i="173"/>
  <c r="W148" i="173"/>
  <c r="AM148" i="173"/>
  <c r="AL148" i="173"/>
  <c r="W149" i="173"/>
  <c r="AM149" i="173"/>
  <c r="AL149" i="173"/>
  <c r="W150" i="173"/>
  <c r="AM150" i="173"/>
  <c r="AL150" i="173"/>
  <c r="V153" i="173"/>
  <c r="W153" i="173" s="1"/>
  <c r="W151" i="173"/>
  <c r="AK153" i="173"/>
  <c r="AM151" i="173"/>
  <c r="AL151" i="173"/>
  <c r="V248" i="173"/>
  <c r="W159" i="173"/>
  <c r="AK248" i="173"/>
  <c r="AM159" i="173"/>
  <c r="AL159" i="173"/>
  <c r="W160" i="173"/>
  <c r="AM160" i="173"/>
  <c r="AL160" i="173"/>
  <c r="W161" i="173"/>
  <c r="AM161" i="173"/>
  <c r="AL161" i="173"/>
  <c r="W162" i="173"/>
  <c r="AM162" i="173"/>
  <c r="AL162" i="173"/>
  <c r="W163" i="173"/>
  <c r="AM163" i="173"/>
  <c r="AL163" i="173"/>
  <c r="W164" i="173"/>
  <c r="AM164" i="173"/>
  <c r="AL164" i="173"/>
  <c r="W165" i="173"/>
  <c r="AM165" i="173"/>
  <c r="AL165" i="173"/>
  <c r="W166" i="173"/>
  <c r="AM166" i="173"/>
  <c r="AL166" i="173"/>
  <c r="W167" i="173"/>
  <c r="AM167" i="173"/>
  <c r="AL167" i="173"/>
  <c r="W168" i="173"/>
  <c r="AM168" i="173"/>
  <c r="AL168" i="173"/>
  <c r="W169" i="173"/>
  <c r="AM169" i="173"/>
  <c r="AL169" i="173"/>
  <c r="W170" i="173"/>
  <c r="AM170" i="173"/>
  <c r="AL170" i="173"/>
  <c r="W171" i="173"/>
  <c r="AM171" i="173"/>
  <c r="AL171" i="173"/>
  <c r="W172" i="173"/>
  <c r="AM172" i="173"/>
  <c r="AL172" i="173"/>
  <c r="W173" i="173"/>
  <c r="AM173" i="173"/>
  <c r="AL173" i="173"/>
  <c r="W174" i="173"/>
  <c r="AM174" i="173"/>
  <c r="AL174" i="173"/>
  <c r="W175" i="173"/>
  <c r="AM175" i="173"/>
  <c r="AL175" i="173"/>
  <c r="W176" i="173"/>
  <c r="AM176" i="173"/>
  <c r="AL176" i="173"/>
  <c r="W177" i="173"/>
  <c r="AM177" i="173"/>
  <c r="AL177" i="173"/>
  <c r="W178" i="173"/>
  <c r="AM178" i="173"/>
  <c r="AL178" i="173"/>
  <c r="W179" i="173"/>
  <c r="AM179" i="173"/>
  <c r="AL179" i="173"/>
  <c r="W180" i="173"/>
  <c r="AM180" i="173"/>
  <c r="AL180" i="173"/>
  <c r="W181" i="173"/>
  <c r="AM181" i="173"/>
  <c r="AL181" i="173"/>
  <c r="W182" i="173"/>
  <c r="AM182" i="173"/>
  <c r="AL182" i="173"/>
  <c r="W183" i="173"/>
  <c r="AM183" i="173"/>
  <c r="AL183" i="173"/>
  <c r="W184" i="173"/>
  <c r="AM184" i="173"/>
  <c r="AL184" i="173"/>
  <c r="W185" i="173"/>
  <c r="AM185" i="173"/>
  <c r="AL185" i="173"/>
  <c r="W186" i="173"/>
  <c r="AM186" i="173"/>
  <c r="AL186" i="173"/>
  <c r="W187" i="173"/>
  <c r="AM187" i="173"/>
  <c r="AL187" i="173"/>
  <c r="W188" i="173"/>
  <c r="AM188" i="173"/>
  <c r="AL188" i="173"/>
  <c r="W189" i="173"/>
  <c r="AM189" i="173"/>
  <c r="AL189" i="173"/>
  <c r="W190" i="173"/>
  <c r="AM190" i="173"/>
  <c r="AL190" i="173"/>
  <c r="W191" i="173"/>
  <c r="AM191" i="173"/>
  <c r="AL191" i="173"/>
  <c r="W192" i="173"/>
  <c r="AM192" i="173"/>
  <c r="AL192" i="173"/>
  <c r="W193" i="173"/>
  <c r="AM193" i="173"/>
  <c r="AL193" i="173"/>
  <c r="W194" i="173"/>
  <c r="AM194" i="173"/>
  <c r="AL194" i="173"/>
  <c r="W195" i="173"/>
  <c r="AM195" i="173"/>
  <c r="AL195" i="173"/>
  <c r="W196" i="173"/>
  <c r="AM196" i="173"/>
  <c r="AL196" i="173"/>
  <c r="W197" i="173"/>
  <c r="AM197" i="173"/>
  <c r="AL197" i="173"/>
  <c r="W198" i="173"/>
  <c r="AM198" i="173"/>
  <c r="AL198" i="173"/>
  <c r="W199" i="173"/>
  <c r="AM199" i="173"/>
  <c r="AL199" i="173"/>
  <c r="W200" i="173"/>
  <c r="AM200" i="173"/>
  <c r="AL200" i="173"/>
  <c r="W201" i="173"/>
  <c r="AM201" i="173"/>
  <c r="AL201" i="173"/>
  <c r="W202" i="173"/>
  <c r="AM202" i="173"/>
  <c r="AL202" i="173"/>
  <c r="W203" i="173"/>
  <c r="AM203" i="173"/>
  <c r="AL203" i="173"/>
  <c r="W204" i="173"/>
  <c r="AM204" i="173"/>
  <c r="AL204" i="173"/>
  <c r="W205" i="173"/>
  <c r="AM205" i="173"/>
  <c r="AL205" i="173"/>
  <c r="W206" i="173"/>
  <c r="AM206" i="173"/>
  <c r="AL206" i="173"/>
  <c r="W207" i="173"/>
  <c r="AM207" i="173"/>
  <c r="AL207" i="173"/>
  <c r="W208" i="173"/>
  <c r="AM208" i="173"/>
  <c r="AL208" i="173"/>
  <c r="W209" i="173"/>
  <c r="AM209" i="173"/>
  <c r="AL209" i="173"/>
  <c r="W210" i="173"/>
  <c r="AM210" i="173"/>
  <c r="AL210" i="173"/>
  <c r="W211" i="173"/>
  <c r="AM211" i="173"/>
  <c r="AL211" i="173"/>
  <c r="W212" i="173"/>
  <c r="AM212" i="173"/>
  <c r="AL212" i="173"/>
  <c r="W213" i="173"/>
  <c r="AM213" i="173"/>
  <c r="AL213" i="173"/>
  <c r="W214" i="173"/>
  <c r="AM214" i="173"/>
  <c r="AL214" i="173"/>
  <c r="W215" i="173"/>
  <c r="AM215" i="173"/>
  <c r="AL215" i="173"/>
  <c r="W216" i="173"/>
  <c r="AM216" i="173"/>
  <c r="AL216" i="173"/>
  <c r="W217" i="173"/>
  <c r="AM217" i="173"/>
  <c r="AL217" i="173"/>
  <c r="W218" i="173"/>
  <c r="AM218" i="173"/>
  <c r="AL218" i="173"/>
  <c r="W219" i="173"/>
  <c r="AM219" i="173"/>
  <c r="AL219" i="173"/>
  <c r="W220" i="173"/>
  <c r="AM220" i="173"/>
  <c r="AL220" i="173"/>
  <c r="W221" i="173"/>
  <c r="AM221" i="173"/>
  <c r="AL221" i="173"/>
  <c r="W222" i="173"/>
  <c r="AM222" i="173"/>
  <c r="AL222" i="173"/>
  <c r="W223" i="173"/>
  <c r="AM223" i="173"/>
  <c r="AL223" i="173"/>
  <c r="W224" i="173"/>
  <c r="AM224" i="173"/>
  <c r="AL224" i="173"/>
  <c r="W225" i="173"/>
  <c r="AM225" i="173"/>
  <c r="AL225" i="173"/>
  <c r="W226" i="173"/>
  <c r="AM226" i="173"/>
  <c r="AL226" i="173"/>
  <c r="W227" i="173"/>
  <c r="AM227" i="173"/>
  <c r="AL227" i="173"/>
  <c r="W228" i="173"/>
  <c r="AM228" i="173"/>
  <c r="AL228" i="173"/>
  <c r="W229" i="173"/>
  <c r="AM229" i="173"/>
  <c r="AL229" i="173"/>
  <c r="W230" i="173"/>
  <c r="AM230" i="173"/>
  <c r="AL230" i="173"/>
  <c r="W231" i="173"/>
  <c r="AM231" i="173"/>
  <c r="AL231" i="173"/>
  <c r="W232" i="173"/>
  <c r="AM232" i="173"/>
  <c r="AL232" i="173"/>
  <c r="W233" i="173"/>
  <c r="AM233" i="173"/>
  <c r="AL233" i="173"/>
  <c r="W234" i="173"/>
  <c r="AM234" i="173"/>
  <c r="AL234" i="173"/>
  <c r="W235" i="173"/>
  <c r="AM235" i="173"/>
  <c r="AL235" i="173"/>
  <c r="W236" i="173"/>
  <c r="AM236" i="173"/>
  <c r="AL236" i="173"/>
  <c r="W237" i="173"/>
  <c r="AM237" i="173"/>
  <c r="AL237" i="173"/>
  <c r="W238" i="173"/>
  <c r="AM238" i="173"/>
  <c r="AL238" i="173"/>
  <c r="W239" i="173"/>
  <c r="AM239" i="173"/>
  <c r="AL239" i="173"/>
  <c r="W240" i="173"/>
  <c r="AM240" i="173"/>
  <c r="AL240" i="173"/>
  <c r="W241" i="173"/>
  <c r="AM241" i="173"/>
  <c r="AL241" i="173"/>
  <c r="W242" i="173"/>
  <c r="AM242" i="173"/>
  <c r="AL242" i="173"/>
  <c r="W243" i="173"/>
  <c r="AM243" i="173"/>
  <c r="AL243" i="173"/>
  <c r="W244" i="173"/>
  <c r="AM244" i="173"/>
  <c r="AL244" i="173"/>
  <c r="W245" i="173"/>
  <c r="AM245" i="173"/>
  <c r="AL245" i="173"/>
  <c r="W246" i="173"/>
  <c r="AM246" i="173"/>
  <c r="AL246" i="173"/>
  <c r="W247" i="173"/>
  <c r="AM247" i="173"/>
  <c r="AL247" i="173"/>
  <c r="W258" i="173"/>
  <c r="AM258" i="173"/>
  <c r="AL258" i="173"/>
  <c r="W259" i="173"/>
  <c r="AM259" i="173"/>
  <c r="AL259" i="173"/>
  <c r="W263" i="173"/>
  <c r="AM263" i="173"/>
  <c r="AL263" i="173"/>
  <c r="W265" i="173"/>
  <c r="AM265" i="173"/>
  <c r="AL265" i="173"/>
  <c r="W273" i="173"/>
  <c r="AM273" i="173"/>
  <c r="AL273" i="173"/>
  <c r="W274" i="173"/>
  <c r="AM274" i="173"/>
  <c r="AL274" i="173"/>
  <c r="W275" i="173"/>
  <c r="AM275" i="173"/>
  <c r="AL275" i="173"/>
  <c r="W276" i="173"/>
  <c r="AM276" i="173"/>
  <c r="AL276" i="173"/>
  <c r="W278" i="173"/>
  <c r="AM278" i="173"/>
  <c r="AL278" i="173"/>
  <c r="W280" i="173"/>
  <c r="AM280" i="173"/>
  <c r="AL280" i="173"/>
  <c r="W281" i="173"/>
  <c r="AM281" i="173"/>
  <c r="AL281" i="173"/>
  <c r="W282" i="173"/>
  <c r="AM282" i="173"/>
  <c r="AL282" i="173"/>
  <c r="W283" i="173"/>
  <c r="AM283" i="173"/>
  <c r="AL283" i="173"/>
  <c r="W284" i="173"/>
  <c r="AM284" i="173"/>
  <c r="AL284" i="173"/>
  <c r="W285" i="173"/>
  <c r="AM285" i="173"/>
  <c r="AL285" i="173"/>
  <c r="W286" i="173"/>
  <c r="AM286" i="173"/>
  <c r="AL286" i="173"/>
  <c r="W292" i="173"/>
  <c r="AM292" i="173"/>
  <c r="AL292" i="173"/>
  <c r="W293" i="173"/>
  <c r="AM293" i="173"/>
  <c r="AL293" i="173"/>
  <c r="W294" i="173"/>
  <c r="AM294" i="173"/>
  <c r="AL294" i="173"/>
  <c r="W295" i="173"/>
  <c r="AM295" i="173"/>
  <c r="AL295" i="173"/>
  <c r="W296" i="173"/>
  <c r="AM296" i="173"/>
  <c r="AL296" i="173"/>
  <c r="W297" i="173"/>
  <c r="AM297" i="173"/>
  <c r="AL297" i="173"/>
  <c r="W298" i="173"/>
  <c r="AM298" i="173"/>
  <c r="AL298" i="173"/>
  <c r="W299" i="173"/>
  <c r="AM299" i="173"/>
  <c r="AL299" i="173"/>
  <c r="W300" i="173"/>
  <c r="AM300" i="173"/>
  <c r="AL300" i="173"/>
  <c r="W301" i="173"/>
  <c r="AM301" i="173"/>
  <c r="AL301" i="173"/>
  <c r="W302" i="173"/>
  <c r="AM302" i="173"/>
  <c r="AL302" i="173"/>
  <c r="W303" i="173"/>
  <c r="AM303" i="173"/>
  <c r="AL303" i="173"/>
  <c r="W304" i="173"/>
  <c r="AM304" i="173"/>
  <c r="AL304" i="173"/>
  <c r="W305" i="173"/>
  <c r="AM305" i="173"/>
  <c r="AL305" i="173"/>
  <c r="W306" i="173"/>
  <c r="AM306" i="173"/>
  <c r="AL306" i="173"/>
  <c r="W307" i="173"/>
  <c r="AM307" i="173"/>
  <c r="AL307" i="173"/>
  <c r="W308" i="173"/>
  <c r="AM308" i="173"/>
  <c r="AL308" i="173"/>
  <c r="W309" i="173"/>
  <c r="AM309" i="173"/>
  <c r="AL309" i="173"/>
  <c r="W310" i="173"/>
  <c r="AM310" i="173"/>
  <c r="AL310" i="173"/>
  <c r="W311" i="173"/>
  <c r="AM311" i="173"/>
  <c r="AL311" i="173"/>
  <c r="W319" i="173"/>
  <c r="AM319" i="173"/>
  <c r="AL319" i="173"/>
  <c r="W320" i="173"/>
  <c r="AM320" i="173"/>
  <c r="AL320" i="173"/>
  <c r="W321" i="173"/>
  <c r="AM321" i="173"/>
  <c r="AL321" i="173"/>
  <c r="W322" i="173"/>
  <c r="AM322" i="173"/>
  <c r="AL322" i="173"/>
  <c r="W323" i="173"/>
  <c r="AM323" i="173"/>
  <c r="AL323" i="173"/>
  <c r="W324" i="173"/>
  <c r="AM324" i="173"/>
  <c r="AL324" i="173"/>
  <c r="W325" i="173"/>
  <c r="AM325" i="173"/>
  <c r="AL325" i="173"/>
  <c r="W326" i="173"/>
  <c r="AM326" i="173"/>
  <c r="AL326" i="173"/>
  <c r="W327" i="173"/>
  <c r="AM327" i="173"/>
  <c r="AL327" i="173"/>
  <c r="W328" i="173"/>
  <c r="AM328" i="173"/>
  <c r="AL328" i="173"/>
  <c r="W352" i="173"/>
  <c r="AM352" i="173"/>
  <c r="AL352" i="173"/>
  <c r="AM53" i="87"/>
  <c r="AM59" i="87"/>
  <c r="AM60" i="87"/>
  <c r="AM61" i="87"/>
  <c r="AM62" i="87"/>
  <c r="AM114" i="87"/>
  <c r="AM115" i="87"/>
  <c r="AM118" i="87"/>
  <c r="AM120" i="87"/>
  <c r="AM122" i="87"/>
  <c r="AM134" i="87"/>
  <c r="AM136" i="87"/>
  <c r="AM137" i="87"/>
  <c r="AM141" i="87"/>
  <c r="AM144" i="87"/>
  <c r="AM145" i="87"/>
  <c r="AM151" i="87"/>
  <c r="W40" i="87"/>
  <c r="W41" i="87"/>
  <c r="W42" i="87"/>
  <c r="W46" i="87"/>
  <c r="AI156" i="85" l="1"/>
  <c r="AI156" i="86"/>
  <c r="AI156" i="68"/>
  <c r="AI156" i="87"/>
  <c r="Y157" i="68"/>
  <c r="Y157" i="86"/>
  <c r="Y157" i="85"/>
  <c r="U13" i="87"/>
  <c r="U14" i="174"/>
  <c r="U14" i="124"/>
  <c r="U13" i="124" s="1"/>
  <c r="V14" i="87"/>
  <c r="U6" i="87"/>
  <c r="U34" i="87" s="1"/>
  <c r="U7" i="174"/>
  <c r="V7" i="87"/>
  <c r="T34" i="87"/>
  <c r="V43" i="174"/>
  <c r="W43" i="174" s="1"/>
  <c r="AC150" i="87"/>
  <c r="AD150" i="87" s="1"/>
  <c r="AE150" i="87" s="1"/>
  <c r="AF150" i="87" s="1"/>
  <c r="AB150" i="124"/>
  <c r="AJ156" i="124"/>
  <c r="V156" i="124"/>
  <c r="AC150" i="124"/>
  <c r="AD150" i="124"/>
  <c r="Z150" i="124"/>
  <c r="AE150" i="124"/>
  <c r="AA150" i="124"/>
  <c r="R37" i="124"/>
  <c r="R36" i="124"/>
  <c r="R35" i="124"/>
  <c r="T38" i="124"/>
  <c r="T38" i="68"/>
  <c r="T37" i="68"/>
  <c r="T36" i="68"/>
  <c r="T35" i="68"/>
  <c r="S100" i="174"/>
  <c r="T155" i="85"/>
  <c r="T154" i="85"/>
  <c r="T152" i="85"/>
  <c r="T148" i="85" s="1"/>
  <c r="T111" i="85"/>
  <c r="T110" i="85"/>
  <c r="T109" i="85"/>
  <c r="T108" i="85"/>
  <c r="T107" i="85" s="1"/>
  <c r="T106" i="85"/>
  <c r="T105" i="85"/>
  <c r="T104" i="85"/>
  <c r="T102" i="85"/>
  <c r="T101" i="85"/>
  <c r="T100" i="85"/>
  <c r="T99" i="85"/>
  <c r="T98" i="85"/>
  <c r="T97" i="85"/>
  <c r="T95" i="85"/>
  <c r="T94" i="85"/>
  <c r="T93" i="85"/>
  <c r="T92" i="85"/>
  <c r="T91" i="85" s="1"/>
  <c r="T76" i="85"/>
  <c r="T75" i="85"/>
  <c r="U75" i="85" s="1"/>
  <c r="T71" i="85"/>
  <c r="T69" i="85"/>
  <c r="T66" i="85"/>
  <c r="T63" i="85"/>
  <c r="T56" i="85"/>
  <c r="T54" i="85"/>
  <c r="T52" i="85"/>
  <c r="T50" i="85" s="1"/>
  <c r="U51" i="85"/>
  <c r="T38" i="85"/>
  <c r="T36" i="85"/>
  <c r="U35" i="85"/>
  <c r="T155" i="86"/>
  <c r="U155" i="86" s="1"/>
  <c r="T154" i="86"/>
  <c r="U154" i="86" s="1"/>
  <c r="T152" i="86"/>
  <c r="S153" i="174"/>
  <c r="S153" i="124"/>
  <c r="S151" i="174"/>
  <c r="S151" i="124"/>
  <c r="S150" i="174"/>
  <c r="S150" i="124"/>
  <c r="S149" i="174"/>
  <c r="S149" i="124"/>
  <c r="T111" i="86"/>
  <c r="T110" i="86"/>
  <c r="T109" i="86"/>
  <c r="T108" i="86"/>
  <c r="T107" i="86" s="1"/>
  <c r="T106" i="86"/>
  <c r="T105" i="86"/>
  <c r="T104" i="86"/>
  <c r="T102" i="86"/>
  <c r="T101" i="86"/>
  <c r="T100" i="86"/>
  <c r="T99" i="86"/>
  <c r="T98" i="86"/>
  <c r="T97" i="86"/>
  <c r="T95" i="86"/>
  <c r="T94" i="86"/>
  <c r="T93" i="86"/>
  <c r="T92" i="86"/>
  <c r="T91" i="86" s="1"/>
  <c r="T76" i="86"/>
  <c r="T75" i="86"/>
  <c r="T71" i="86"/>
  <c r="T69" i="86"/>
  <c r="T66" i="86"/>
  <c r="T63" i="86"/>
  <c r="T56" i="86"/>
  <c r="T54" i="86"/>
  <c r="T52" i="86"/>
  <c r="T50" i="86" s="1"/>
  <c r="U51" i="86"/>
  <c r="S38" i="174"/>
  <c r="T38" i="86"/>
  <c r="T36" i="86"/>
  <c r="U35" i="86"/>
  <c r="T155" i="68"/>
  <c r="T154" i="68"/>
  <c r="U152" i="68"/>
  <c r="T111" i="68"/>
  <c r="T110" i="68"/>
  <c r="T109" i="68"/>
  <c r="T108" i="68"/>
  <c r="T107" i="68" s="1"/>
  <c r="T106" i="68"/>
  <c r="T105" i="68"/>
  <c r="T104" i="68"/>
  <c r="T103" i="68"/>
  <c r="T102" i="68"/>
  <c r="T101" i="68"/>
  <c r="T100" i="68"/>
  <c r="T99" i="68"/>
  <c r="T98" i="68"/>
  <c r="T97" i="68"/>
  <c r="T95" i="68"/>
  <c r="T94" i="68"/>
  <c r="T93" i="68"/>
  <c r="T92" i="68"/>
  <c r="T91" i="68" s="1"/>
  <c r="T76" i="68"/>
  <c r="T75" i="68"/>
  <c r="U75" i="68" s="1"/>
  <c r="T71" i="68"/>
  <c r="T69" i="68"/>
  <c r="T66" i="68"/>
  <c r="U66" i="68" s="1"/>
  <c r="T63" i="68"/>
  <c r="T56" i="68"/>
  <c r="T54" i="68"/>
  <c r="T52" i="68"/>
  <c r="S51" i="174"/>
  <c r="S51" i="124"/>
  <c r="T51" i="68"/>
  <c r="T50" i="68" s="1"/>
  <c r="S155" i="174"/>
  <c r="S155" i="124"/>
  <c r="S154" i="174"/>
  <c r="S154" i="124"/>
  <c r="S152" i="174"/>
  <c r="S152" i="124"/>
  <c r="S148" i="124" s="1"/>
  <c r="S111" i="124"/>
  <c r="S110" i="124"/>
  <c r="S109" i="124"/>
  <c r="S108" i="124"/>
  <c r="S106" i="124"/>
  <c r="S105" i="124"/>
  <c r="S104" i="124"/>
  <c r="S103" i="124"/>
  <c r="S102" i="124"/>
  <c r="S111" i="174"/>
  <c r="S101" i="124"/>
  <c r="S110" i="174"/>
  <c r="S100" i="124"/>
  <c r="S109" i="174"/>
  <c r="S99" i="124"/>
  <c r="S108" i="174"/>
  <c r="S98" i="124"/>
  <c r="S97" i="124"/>
  <c r="S106" i="174"/>
  <c r="S96" i="124"/>
  <c r="S105" i="174"/>
  <c r="T96" i="124"/>
  <c r="T105" i="174"/>
  <c r="S95" i="124"/>
  <c r="S104" i="174"/>
  <c r="S94" i="124"/>
  <c r="S103" i="174"/>
  <c r="S93" i="124"/>
  <c r="S102" i="174"/>
  <c r="S92" i="124"/>
  <c r="S101" i="174"/>
  <c r="T100" i="174"/>
  <c r="S76" i="174"/>
  <c r="S76" i="124"/>
  <c r="S75" i="174"/>
  <c r="S75" i="124"/>
  <c r="T75" i="124"/>
  <c r="S71" i="174"/>
  <c r="S71" i="124"/>
  <c r="S69" i="174"/>
  <c r="S69" i="124"/>
  <c r="S66" i="174"/>
  <c r="S66" i="124"/>
  <c r="S63" i="174"/>
  <c r="S63" i="124"/>
  <c r="S56" i="174"/>
  <c r="S56" i="124"/>
  <c r="S54" i="174"/>
  <c r="S54" i="124"/>
  <c r="S52" i="174"/>
  <c r="S52" i="124"/>
  <c r="T51" i="174"/>
  <c r="T51" i="124"/>
  <c r="AK145" i="174"/>
  <c r="AM145" i="174" s="1"/>
  <c r="AK136" i="174"/>
  <c r="AM136" i="174" s="1"/>
  <c r="AK134" i="174"/>
  <c r="AM134" i="174" s="1"/>
  <c r="AK134" i="124"/>
  <c r="AN134" i="124" s="1"/>
  <c r="AK122" i="174"/>
  <c r="AM122" i="174" s="1"/>
  <c r="AK122" i="124"/>
  <c r="AN122" i="124" s="1"/>
  <c r="AK118" i="174"/>
  <c r="AM118" i="174" s="1"/>
  <c r="AK115" i="174"/>
  <c r="AM115" i="174" s="1"/>
  <c r="AK114" i="174"/>
  <c r="AM114" i="174" s="1"/>
  <c r="AK59" i="174"/>
  <c r="AM59" i="174" s="1"/>
  <c r="Y50" i="174"/>
  <c r="Y112" i="174"/>
  <c r="AK144" i="174"/>
  <c r="AM144" i="174" s="1"/>
  <c r="AK120" i="174"/>
  <c r="AM120" i="174" s="1"/>
  <c r="AK120" i="124"/>
  <c r="AN120" i="124" s="1"/>
  <c r="AK95" i="174"/>
  <c r="Y91" i="174"/>
  <c r="Y148" i="174"/>
  <c r="Y156" i="174" s="1"/>
  <c r="Y258" i="174"/>
  <c r="Y43" i="85"/>
  <c r="V256" i="174"/>
  <c r="V257" i="174" s="1"/>
  <c r="V254" i="174"/>
  <c r="V255" i="174" s="1"/>
  <c r="V253" i="174"/>
  <c r="J291" i="174"/>
  <c r="J338" i="174" s="1"/>
  <c r="J341" i="174" s="1"/>
  <c r="J260" i="174"/>
  <c r="J261" i="174" s="1"/>
  <c r="J259" i="174"/>
  <c r="AK250" i="173"/>
  <c r="AM248" i="173"/>
  <c r="AL248" i="173"/>
  <c r="V250" i="173"/>
  <c r="W250" i="173" s="1"/>
  <c r="W248" i="173"/>
  <c r="AM153" i="173"/>
  <c r="AL153" i="173"/>
  <c r="AK154" i="173"/>
  <c r="AM152" i="173"/>
  <c r="AL152" i="173"/>
  <c r="V154" i="173"/>
  <c r="W152" i="173"/>
  <c r="AK32" i="173"/>
  <c r="AM6" i="173"/>
  <c r="AL6" i="173"/>
  <c r="Y155" i="173"/>
  <c r="Y251" i="173" s="1"/>
  <c r="Y288" i="173" s="1"/>
  <c r="Y350" i="173" s="1"/>
  <c r="Y353" i="173" s="1"/>
  <c r="Y42" i="173"/>
  <c r="AK42" i="173" s="1"/>
  <c r="AM42" i="173" s="1"/>
  <c r="V155" i="173"/>
  <c r="W32" i="173"/>
  <c r="AJ156" i="85" l="1"/>
  <c r="AJ156" i="86"/>
  <c r="AK156" i="86" s="1"/>
  <c r="AJ156" i="68"/>
  <c r="AK156" i="68" s="1"/>
  <c r="AJ156" i="87"/>
  <c r="AK156" i="87" s="1"/>
  <c r="Y159" i="85"/>
  <c r="Y158" i="85"/>
  <c r="Y159" i="86"/>
  <c r="Y158" i="86"/>
  <c r="Y159" i="68"/>
  <c r="Y158" i="68"/>
  <c r="T43" i="87"/>
  <c r="T160" i="87"/>
  <c r="T161" i="87" s="1"/>
  <c r="V6" i="87"/>
  <c r="W7" i="87"/>
  <c r="U6" i="174"/>
  <c r="V7" i="174"/>
  <c r="V6" i="174" s="1"/>
  <c r="U43" i="87"/>
  <c r="U160" i="87"/>
  <c r="U161" i="87" s="1"/>
  <c r="V13" i="87"/>
  <c r="W13" i="87" s="1"/>
  <c r="W14" i="87"/>
  <c r="U13" i="174"/>
  <c r="V14" i="174"/>
  <c r="V13" i="174" s="1"/>
  <c r="AG150" i="87"/>
  <c r="AH150" i="87" s="1"/>
  <c r="AF150" i="124"/>
  <c r="AK156" i="124"/>
  <c r="AG150" i="124"/>
  <c r="T157" i="85"/>
  <c r="T160" i="85" s="1"/>
  <c r="R44" i="124"/>
  <c r="R34" i="124"/>
  <c r="S35" i="124"/>
  <c r="R45" i="124"/>
  <c r="S36" i="124"/>
  <c r="R46" i="124"/>
  <c r="S37" i="124"/>
  <c r="U38" i="124"/>
  <c r="U44" i="85"/>
  <c r="V35" i="85"/>
  <c r="T161" i="85"/>
  <c r="T43" i="85"/>
  <c r="U36" i="85"/>
  <c r="T45" i="85"/>
  <c r="V36" i="85"/>
  <c r="S161" i="85"/>
  <c r="U37" i="85"/>
  <c r="V37" i="85"/>
  <c r="W37" i="85" s="1"/>
  <c r="V51" i="85"/>
  <c r="U44" i="86"/>
  <c r="V35" i="86"/>
  <c r="T43" i="86"/>
  <c r="T45" i="86"/>
  <c r="S161" i="86"/>
  <c r="U152" i="86"/>
  <c r="U148" i="86" s="1"/>
  <c r="T148" i="86"/>
  <c r="V152" i="68"/>
  <c r="U154" i="68"/>
  <c r="T148" i="68"/>
  <c r="T157" i="68" s="1"/>
  <c r="T44" i="68"/>
  <c r="T160" i="68"/>
  <c r="U35" i="68"/>
  <c r="T45" i="68"/>
  <c r="U36" i="68"/>
  <c r="T46" i="68"/>
  <c r="U37" i="68"/>
  <c r="U38" i="68"/>
  <c r="V38" i="68" s="1"/>
  <c r="S161" i="68"/>
  <c r="T35" i="174"/>
  <c r="V38" i="87"/>
  <c r="W38" i="87" s="1"/>
  <c r="U155" i="85"/>
  <c r="V155" i="85" s="1"/>
  <c r="W155" i="85" s="1"/>
  <c r="U154" i="85"/>
  <c r="V154" i="85" s="1"/>
  <c r="W154" i="85" s="1"/>
  <c r="U152" i="85"/>
  <c r="U108" i="85"/>
  <c r="U109" i="85"/>
  <c r="V109" i="85" s="1"/>
  <c r="W109" i="85" s="1"/>
  <c r="U110" i="85"/>
  <c r="V110" i="85" s="1"/>
  <c r="W110" i="85" s="1"/>
  <c r="U111" i="85"/>
  <c r="V111" i="85" s="1"/>
  <c r="W111" i="85" s="1"/>
  <c r="U96" i="85"/>
  <c r="V96" i="85" s="1"/>
  <c r="W96" i="85" s="1"/>
  <c r="U92" i="85"/>
  <c r="U93" i="85"/>
  <c r="V93" i="85" s="1"/>
  <c r="W93" i="85" s="1"/>
  <c r="U94" i="85"/>
  <c r="V94" i="85" s="1"/>
  <c r="W94" i="85" s="1"/>
  <c r="U95" i="85"/>
  <c r="V95" i="85" s="1"/>
  <c r="W95" i="85" s="1"/>
  <c r="U97" i="85"/>
  <c r="V97" i="85" s="1"/>
  <c r="W97" i="85" s="1"/>
  <c r="U98" i="85"/>
  <c r="V98" i="85" s="1"/>
  <c r="W98" i="85" s="1"/>
  <c r="U99" i="85"/>
  <c r="V99" i="85" s="1"/>
  <c r="W99" i="85" s="1"/>
  <c r="U100" i="85"/>
  <c r="V100" i="85" s="1"/>
  <c r="W100" i="85" s="1"/>
  <c r="U101" i="85"/>
  <c r="V101" i="85" s="1"/>
  <c r="W101" i="85" s="1"/>
  <c r="U102" i="85"/>
  <c r="V102" i="85" s="1"/>
  <c r="W102" i="85" s="1"/>
  <c r="W103" i="85"/>
  <c r="U104" i="85"/>
  <c r="V104" i="85" s="1"/>
  <c r="W104" i="85" s="1"/>
  <c r="U105" i="85"/>
  <c r="V105" i="85" s="1"/>
  <c r="W105" i="85" s="1"/>
  <c r="U106" i="85"/>
  <c r="V106" i="85" s="1"/>
  <c r="W106" i="85" s="1"/>
  <c r="U76" i="85"/>
  <c r="V76" i="85" s="1"/>
  <c r="W76" i="85" s="1"/>
  <c r="V75" i="85"/>
  <c r="W75" i="85" s="1"/>
  <c r="U71" i="85"/>
  <c r="V71" i="85" s="1"/>
  <c r="W71" i="85" s="1"/>
  <c r="U69" i="85"/>
  <c r="V69" i="85" s="1"/>
  <c r="W69" i="85" s="1"/>
  <c r="U66" i="85"/>
  <c r="V66" i="85" s="1"/>
  <c r="W66" i="85" s="1"/>
  <c r="U63" i="85"/>
  <c r="V63" i="85" s="1"/>
  <c r="W63" i="85" s="1"/>
  <c r="U56" i="85"/>
  <c r="V56" i="85" s="1"/>
  <c r="W56" i="85" s="1"/>
  <c r="U54" i="85"/>
  <c r="V54" i="85" s="1"/>
  <c r="W54" i="85" s="1"/>
  <c r="U52" i="85"/>
  <c r="W51" i="85"/>
  <c r="T46" i="85"/>
  <c r="U46" i="85" s="1"/>
  <c r="V46" i="85"/>
  <c r="W46" i="85" s="1"/>
  <c r="U38" i="85"/>
  <c r="V38" i="85" s="1"/>
  <c r="T149" i="174"/>
  <c r="T149" i="124"/>
  <c r="T150" i="174"/>
  <c r="T150" i="124"/>
  <c r="T151" i="174"/>
  <c r="T151" i="124"/>
  <c r="V152" i="86"/>
  <c r="W152" i="86" s="1"/>
  <c r="T153" i="174"/>
  <c r="T153" i="124"/>
  <c r="V154" i="86"/>
  <c r="W154" i="86" s="1"/>
  <c r="V155" i="86"/>
  <c r="W155" i="86" s="1"/>
  <c r="U108" i="86"/>
  <c r="U109" i="86"/>
  <c r="V109" i="86" s="1"/>
  <c r="W109" i="86" s="1"/>
  <c r="U110" i="86"/>
  <c r="V110" i="86" s="1"/>
  <c r="W110" i="86" s="1"/>
  <c r="U111" i="86"/>
  <c r="V111" i="86" s="1"/>
  <c r="W111" i="86" s="1"/>
  <c r="U96" i="86"/>
  <c r="V96" i="86" s="1"/>
  <c r="W96" i="86" s="1"/>
  <c r="U92" i="86"/>
  <c r="U93" i="86"/>
  <c r="V93" i="86" s="1"/>
  <c r="W93" i="86" s="1"/>
  <c r="U94" i="86"/>
  <c r="V94" i="86" s="1"/>
  <c r="W94" i="86" s="1"/>
  <c r="U95" i="86"/>
  <c r="V95" i="86" s="1"/>
  <c r="W95" i="86" s="1"/>
  <c r="U97" i="86"/>
  <c r="V97" i="86" s="1"/>
  <c r="W97" i="86" s="1"/>
  <c r="U98" i="86"/>
  <c r="V98" i="86" s="1"/>
  <c r="W98" i="86" s="1"/>
  <c r="U99" i="86"/>
  <c r="V99" i="86" s="1"/>
  <c r="W99" i="86" s="1"/>
  <c r="U100" i="86"/>
  <c r="V100" i="86" s="1"/>
  <c r="W100" i="86" s="1"/>
  <c r="U101" i="86"/>
  <c r="V101" i="86" s="1"/>
  <c r="W101" i="86" s="1"/>
  <c r="U102" i="86"/>
  <c r="V102" i="86" s="1"/>
  <c r="W102" i="86" s="1"/>
  <c r="W103" i="86"/>
  <c r="U104" i="86"/>
  <c r="V104" i="86" s="1"/>
  <c r="W104" i="86" s="1"/>
  <c r="U105" i="86"/>
  <c r="V105" i="86" s="1"/>
  <c r="W105" i="86" s="1"/>
  <c r="U106" i="86"/>
  <c r="V106" i="86" s="1"/>
  <c r="W106" i="86" s="1"/>
  <c r="U76" i="86"/>
  <c r="V76" i="86" s="1"/>
  <c r="W76" i="86" s="1"/>
  <c r="U75" i="86"/>
  <c r="V75" i="86" s="1"/>
  <c r="W75" i="86" s="1"/>
  <c r="U71" i="86"/>
  <c r="V71" i="86" s="1"/>
  <c r="W71" i="86" s="1"/>
  <c r="U69" i="86"/>
  <c r="V69" i="86" s="1"/>
  <c r="W69" i="86" s="1"/>
  <c r="U66" i="86"/>
  <c r="V66" i="86" s="1"/>
  <c r="W66" i="86" s="1"/>
  <c r="U63" i="86"/>
  <c r="V63" i="86" s="1"/>
  <c r="W63" i="86" s="1"/>
  <c r="U56" i="86"/>
  <c r="V56" i="86" s="1"/>
  <c r="W56" i="86" s="1"/>
  <c r="U54" i="86"/>
  <c r="V54" i="86" s="1"/>
  <c r="W54" i="86" s="1"/>
  <c r="U52" i="86"/>
  <c r="V51" i="86"/>
  <c r="T37" i="174"/>
  <c r="U37" i="86"/>
  <c r="V37" i="86" s="1"/>
  <c r="W37" i="86" s="1"/>
  <c r="U35" i="174"/>
  <c r="V35" i="174" s="1"/>
  <c r="W35" i="174" s="1"/>
  <c r="T36" i="174"/>
  <c r="U36" i="86"/>
  <c r="T38" i="174"/>
  <c r="U38" i="86"/>
  <c r="V38" i="86" s="1"/>
  <c r="U155" i="68"/>
  <c r="V155" i="68" s="1"/>
  <c r="W155" i="68" s="1"/>
  <c r="V154" i="68"/>
  <c r="W154" i="68" s="1"/>
  <c r="V148" i="68"/>
  <c r="W148" i="68" s="1"/>
  <c r="W152" i="68"/>
  <c r="U108" i="68"/>
  <c r="U109" i="68"/>
  <c r="V109" i="68" s="1"/>
  <c r="W109" i="68" s="1"/>
  <c r="U110" i="68"/>
  <c r="V110" i="68" s="1"/>
  <c r="W110" i="68" s="1"/>
  <c r="U111" i="68"/>
  <c r="V111" i="68" s="1"/>
  <c r="W111" i="68" s="1"/>
  <c r="U96" i="68"/>
  <c r="V96" i="68" s="1"/>
  <c r="W96" i="68" s="1"/>
  <c r="U92" i="68"/>
  <c r="U93" i="68"/>
  <c r="V93" i="68" s="1"/>
  <c r="W93" i="68" s="1"/>
  <c r="U94" i="68"/>
  <c r="V94" i="68" s="1"/>
  <c r="W94" i="68" s="1"/>
  <c r="U95" i="68"/>
  <c r="V95" i="68" s="1"/>
  <c r="W95" i="68" s="1"/>
  <c r="U97" i="68"/>
  <c r="V97" i="68" s="1"/>
  <c r="W97" i="68" s="1"/>
  <c r="U98" i="68"/>
  <c r="V98" i="68" s="1"/>
  <c r="W98" i="68" s="1"/>
  <c r="U99" i="68"/>
  <c r="V99" i="68" s="1"/>
  <c r="W99" i="68" s="1"/>
  <c r="U100" i="68"/>
  <c r="V100" i="68" s="1"/>
  <c r="W100" i="68" s="1"/>
  <c r="U101" i="68"/>
  <c r="V101" i="68" s="1"/>
  <c r="W101" i="68" s="1"/>
  <c r="U102" i="68"/>
  <c r="V102" i="68" s="1"/>
  <c r="W102" i="68" s="1"/>
  <c r="U103" i="68"/>
  <c r="V103" i="68" s="1"/>
  <c r="W103" i="68" s="1"/>
  <c r="U104" i="68"/>
  <c r="V104" i="68" s="1"/>
  <c r="W104" i="68" s="1"/>
  <c r="U105" i="68"/>
  <c r="V105" i="68" s="1"/>
  <c r="W105" i="68" s="1"/>
  <c r="U106" i="68"/>
  <c r="V106" i="68" s="1"/>
  <c r="W106" i="68" s="1"/>
  <c r="U76" i="68"/>
  <c r="V76" i="68" s="1"/>
  <c r="W76" i="68" s="1"/>
  <c r="V75" i="68"/>
  <c r="W75" i="68" s="1"/>
  <c r="U71" i="68"/>
  <c r="V71" i="68" s="1"/>
  <c r="W71" i="68" s="1"/>
  <c r="U69" i="68"/>
  <c r="V69" i="68" s="1"/>
  <c r="W69" i="68" s="1"/>
  <c r="V66" i="68"/>
  <c r="W66" i="68" s="1"/>
  <c r="U63" i="68"/>
  <c r="V63" i="68" s="1"/>
  <c r="W63" i="68" s="1"/>
  <c r="U56" i="68"/>
  <c r="V56" i="68" s="1"/>
  <c r="W56" i="68" s="1"/>
  <c r="U54" i="68"/>
  <c r="V54" i="68" s="1"/>
  <c r="W54" i="68" s="1"/>
  <c r="U52" i="68"/>
  <c r="V52" i="68" s="1"/>
  <c r="W52" i="68" s="1"/>
  <c r="U51" i="68"/>
  <c r="T154" i="174"/>
  <c r="T154" i="124"/>
  <c r="T155" i="174"/>
  <c r="T155" i="124"/>
  <c r="T152" i="174"/>
  <c r="T148" i="174" s="1"/>
  <c r="T152" i="124"/>
  <c r="T148" i="124" s="1"/>
  <c r="S148" i="174"/>
  <c r="T108" i="124"/>
  <c r="T109" i="124"/>
  <c r="T110" i="124"/>
  <c r="T111" i="124"/>
  <c r="T92" i="124"/>
  <c r="T101" i="174"/>
  <c r="S91" i="174"/>
  <c r="T93" i="124"/>
  <c r="T102" i="174"/>
  <c r="T94" i="124"/>
  <c r="T103" i="174"/>
  <c r="T95" i="124"/>
  <c r="T104" i="174"/>
  <c r="T97" i="124"/>
  <c r="T106" i="174"/>
  <c r="T98" i="124"/>
  <c r="T99" i="124"/>
  <c r="T108" i="174"/>
  <c r="S107" i="174"/>
  <c r="T100" i="124"/>
  <c r="T109" i="174"/>
  <c r="T101" i="124"/>
  <c r="T110" i="174"/>
  <c r="T102" i="124"/>
  <c r="T111" i="174"/>
  <c r="T103" i="124"/>
  <c r="T104" i="124"/>
  <c r="T105" i="124"/>
  <c r="T106" i="124"/>
  <c r="T76" i="174"/>
  <c r="T76" i="124"/>
  <c r="T75" i="174"/>
  <c r="U75" i="124"/>
  <c r="T71" i="174"/>
  <c r="T71" i="124"/>
  <c r="T69" i="174"/>
  <c r="T69" i="124"/>
  <c r="T66" i="174"/>
  <c r="T66" i="124"/>
  <c r="T63" i="174"/>
  <c r="T63" i="124"/>
  <c r="T56" i="174"/>
  <c r="T56" i="124"/>
  <c r="T54" i="174"/>
  <c r="T54" i="124"/>
  <c r="T52" i="174"/>
  <c r="S50" i="174"/>
  <c r="S156" i="174" s="1"/>
  <c r="U51" i="174"/>
  <c r="U51" i="124"/>
  <c r="V51" i="87"/>
  <c r="T50" i="174"/>
  <c r="V51" i="174"/>
  <c r="AM122" i="124"/>
  <c r="AM134" i="124"/>
  <c r="AM136" i="124"/>
  <c r="AM120" i="124"/>
  <c r="AM95" i="174"/>
  <c r="Y158" i="174"/>
  <c r="Y157" i="174"/>
  <c r="Y291" i="174"/>
  <c r="Y338" i="174" s="1"/>
  <c r="Y341" i="174" s="1"/>
  <c r="Y260" i="174"/>
  <c r="Y261" i="174" s="1"/>
  <c r="Y259" i="174"/>
  <c r="W142" i="174"/>
  <c r="W118" i="174"/>
  <c r="V34" i="174"/>
  <c r="W6" i="174"/>
  <c r="W10" i="174"/>
  <c r="W11" i="174"/>
  <c r="W12" i="174"/>
  <c r="W13" i="174"/>
  <c r="W14" i="174"/>
  <c r="W15" i="174"/>
  <c r="W16" i="174"/>
  <c r="W17" i="174"/>
  <c r="W18" i="174"/>
  <c r="W19" i="174"/>
  <c r="W20" i="174"/>
  <c r="W21" i="174"/>
  <c r="W22" i="174"/>
  <c r="W23" i="174"/>
  <c r="W24" i="174"/>
  <c r="W25" i="174"/>
  <c r="W26" i="174"/>
  <c r="W27" i="174"/>
  <c r="W28" i="174"/>
  <c r="W29" i="174"/>
  <c r="W30" i="174"/>
  <c r="W31" i="174"/>
  <c r="W32" i="174"/>
  <c r="W33" i="174"/>
  <c r="W51" i="174"/>
  <c r="W53" i="174"/>
  <c r="W55" i="174"/>
  <c r="W57" i="174"/>
  <c r="W58" i="174"/>
  <c r="W59" i="174"/>
  <c r="W60" i="174"/>
  <c r="W61" i="174"/>
  <c r="W62" i="174"/>
  <c r="W64" i="174"/>
  <c r="W65" i="174"/>
  <c r="W67" i="174"/>
  <c r="W68" i="174"/>
  <c r="W70" i="174"/>
  <c r="W72" i="174"/>
  <c r="W73" i="174"/>
  <c r="W74" i="174"/>
  <c r="W86" i="174"/>
  <c r="W87" i="174"/>
  <c r="W88" i="174"/>
  <c r="W89" i="174"/>
  <c r="W90" i="174"/>
  <c r="W92" i="174"/>
  <c r="W93" i="174"/>
  <c r="W94" i="174"/>
  <c r="W95" i="174"/>
  <c r="W96" i="174"/>
  <c r="W97" i="174"/>
  <c r="W98" i="174"/>
  <c r="W99" i="174"/>
  <c r="W112" i="174"/>
  <c r="W113" i="174"/>
  <c r="W114" i="174"/>
  <c r="W115" i="174"/>
  <c r="W116" i="174"/>
  <c r="W117" i="174"/>
  <c r="W119" i="174"/>
  <c r="W120" i="174"/>
  <c r="W121" i="174"/>
  <c r="W122" i="174"/>
  <c r="W123" i="174"/>
  <c r="W124" i="174"/>
  <c r="W125" i="174"/>
  <c r="W126" i="174"/>
  <c r="W127" i="174"/>
  <c r="W128" i="174"/>
  <c r="W129" i="174"/>
  <c r="W130" i="174"/>
  <c r="W131" i="174"/>
  <c r="W132" i="174"/>
  <c r="W133" i="174"/>
  <c r="W134" i="174"/>
  <c r="W135" i="174"/>
  <c r="W136" i="174"/>
  <c r="W137" i="174"/>
  <c r="W138" i="174"/>
  <c r="W139" i="174"/>
  <c r="W140" i="174"/>
  <c r="W141" i="174"/>
  <c r="W143" i="174"/>
  <c r="W144" i="174"/>
  <c r="W145" i="174"/>
  <c r="W146" i="174"/>
  <c r="W147" i="174"/>
  <c r="W163" i="174"/>
  <c r="W164" i="174"/>
  <c r="W165" i="174"/>
  <c r="W166" i="174"/>
  <c r="W167" i="174"/>
  <c r="W168" i="174"/>
  <c r="W169" i="174"/>
  <c r="W170" i="174"/>
  <c r="W171" i="174"/>
  <c r="W172" i="174"/>
  <c r="W173" i="174"/>
  <c r="W174" i="174"/>
  <c r="W175" i="174"/>
  <c r="W176" i="174"/>
  <c r="W177" i="174"/>
  <c r="W178" i="174"/>
  <c r="W179" i="174"/>
  <c r="W180" i="174"/>
  <c r="W181" i="174"/>
  <c r="W182" i="174"/>
  <c r="W183" i="174"/>
  <c r="W184" i="174"/>
  <c r="W185" i="174"/>
  <c r="W186" i="174"/>
  <c r="W187" i="174"/>
  <c r="W188" i="174"/>
  <c r="W189" i="174"/>
  <c r="W190" i="174"/>
  <c r="W191" i="174"/>
  <c r="W192" i="174"/>
  <c r="W193" i="174"/>
  <c r="W194" i="174"/>
  <c r="W195" i="174"/>
  <c r="W196" i="174"/>
  <c r="W197" i="174"/>
  <c r="W198" i="174"/>
  <c r="W199" i="174"/>
  <c r="W200" i="174"/>
  <c r="W201" i="174"/>
  <c r="W202" i="174"/>
  <c r="W203" i="174"/>
  <c r="W204" i="174"/>
  <c r="W205" i="174"/>
  <c r="W206" i="174"/>
  <c r="W207" i="174"/>
  <c r="W208" i="174"/>
  <c r="W209" i="174"/>
  <c r="W210" i="174"/>
  <c r="W211" i="174"/>
  <c r="W212" i="174"/>
  <c r="W213" i="174"/>
  <c r="W214" i="174"/>
  <c r="W215" i="174"/>
  <c r="W216" i="174"/>
  <c r="W217" i="174"/>
  <c r="W218" i="174"/>
  <c r="W219" i="174"/>
  <c r="W220" i="174"/>
  <c r="W221" i="174"/>
  <c r="W222" i="174"/>
  <c r="W223" i="174"/>
  <c r="W224" i="174"/>
  <c r="W226" i="174"/>
  <c r="W227" i="174"/>
  <c r="W228" i="174"/>
  <c r="W229" i="174"/>
  <c r="W230" i="174"/>
  <c r="W231" i="174"/>
  <c r="W232" i="174"/>
  <c r="W233" i="174"/>
  <c r="W234" i="174"/>
  <c r="W235" i="174"/>
  <c r="W236" i="174"/>
  <c r="W237" i="174"/>
  <c r="W238" i="174"/>
  <c r="W239" i="174"/>
  <c r="W240" i="174"/>
  <c r="W241" i="174"/>
  <c r="W242" i="174"/>
  <c r="W243" i="174"/>
  <c r="W244" i="174"/>
  <c r="W245" i="174"/>
  <c r="W246" i="174"/>
  <c r="W247" i="174"/>
  <c r="W248" i="174"/>
  <c r="W249" i="174"/>
  <c r="W250" i="174"/>
  <c r="W251" i="174"/>
  <c r="W262" i="174"/>
  <c r="W263" i="174"/>
  <c r="W264" i="174"/>
  <c r="W265" i="174"/>
  <c r="W266" i="174"/>
  <c r="W267" i="174"/>
  <c r="W268" i="174"/>
  <c r="W269" i="174"/>
  <c r="W270" i="174"/>
  <c r="W271" i="174"/>
  <c r="W272" i="174"/>
  <c r="W273" i="174"/>
  <c r="W274" i="174"/>
  <c r="W275" i="174"/>
  <c r="W277" i="174"/>
  <c r="W278" i="174"/>
  <c r="W279" i="174"/>
  <c r="W280" i="174"/>
  <c r="W281" i="174"/>
  <c r="W283" i="174"/>
  <c r="W284" i="174"/>
  <c r="W285" i="174"/>
  <c r="W286" i="174"/>
  <c r="W287" i="174"/>
  <c r="W288" i="174"/>
  <c r="W289" i="174"/>
  <c r="W293" i="174"/>
  <c r="W294" i="174"/>
  <c r="W295" i="174"/>
  <c r="W296" i="174"/>
  <c r="W297" i="174"/>
  <c r="W298" i="174"/>
  <c r="W299" i="174"/>
  <c r="W300" i="174"/>
  <c r="W301" i="174"/>
  <c r="W302" i="174"/>
  <c r="W303" i="174"/>
  <c r="W304" i="174"/>
  <c r="W305" i="174"/>
  <c r="W306" i="174"/>
  <c r="W307" i="174"/>
  <c r="W308" i="174"/>
  <c r="W309" i="174"/>
  <c r="W310" i="174"/>
  <c r="W311" i="174"/>
  <c r="W312" i="174"/>
  <c r="W313" i="174"/>
  <c r="W315" i="174"/>
  <c r="W316" i="174"/>
  <c r="W340" i="174"/>
  <c r="W9" i="174"/>
  <c r="W8" i="174"/>
  <c r="W7" i="174"/>
  <c r="V251" i="173"/>
  <c r="W155" i="173"/>
  <c r="AK155" i="173"/>
  <c r="AM32" i="173"/>
  <c r="AL32" i="173"/>
  <c r="V252" i="173"/>
  <c r="W154" i="173"/>
  <c r="AK252" i="173"/>
  <c r="AM154" i="173"/>
  <c r="AL154" i="173"/>
  <c r="AM250" i="173"/>
  <c r="AL250" i="173"/>
  <c r="AM156" i="87" l="1"/>
  <c r="AM156" i="68"/>
  <c r="AM156" i="86"/>
  <c r="AK156" i="85"/>
  <c r="W252" i="174"/>
  <c r="W225" i="174"/>
  <c r="W253" i="174"/>
  <c r="W255" i="174"/>
  <c r="W257" i="174"/>
  <c r="U34" i="174"/>
  <c r="U43" i="174" s="1"/>
  <c r="W123" i="87"/>
  <c r="W124" i="87"/>
  <c r="W125" i="87"/>
  <c r="W126" i="87"/>
  <c r="W127" i="87"/>
  <c r="W128" i="87"/>
  <c r="W129" i="87"/>
  <c r="W130" i="87"/>
  <c r="W131" i="87"/>
  <c r="W132" i="87"/>
  <c r="W133" i="87"/>
  <c r="W134" i="87"/>
  <c r="W135" i="87"/>
  <c r="W136" i="87"/>
  <c r="W137" i="87"/>
  <c r="W138" i="87"/>
  <c r="W139" i="87"/>
  <c r="W140" i="87"/>
  <c r="W141" i="87"/>
  <c r="W142" i="87"/>
  <c r="W143" i="87"/>
  <c r="W144" i="87"/>
  <c r="W145" i="87"/>
  <c r="W146" i="87"/>
  <c r="W147" i="87"/>
  <c r="W87" i="87"/>
  <c r="W88" i="87"/>
  <c r="W89" i="87"/>
  <c r="W90" i="87"/>
  <c r="W20" i="87"/>
  <c r="W21" i="87"/>
  <c r="W22" i="87"/>
  <c r="W23" i="87"/>
  <c r="W24" i="87"/>
  <c r="W25" i="87"/>
  <c r="W26" i="87"/>
  <c r="W27" i="87"/>
  <c r="W28" i="87"/>
  <c r="W29" i="87"/>
  <c r="W30" i="87"/>
  <c r="W31" i="87"/>
  <c r="W32" i="87"/>
  <c r="W33" i="87"/>
  <c r="W64" i="87"/>
  <c r="W65" i="87"/>
  <c r="W67" i="87"/>
  <c r="W68" i="87"/>
  <c r="W70" i="87"/>
  <c r="W72" i="87"/>
  <c r="W73" i="87"/>
  <c r="W74" i="87"/>
  <c r="W77" i="87"/>
  <c r="W78" i="87"/>
  <c r="W79" i="87"/>
  <c r="W80" i="87"/>
  <c r="W81" i="87"/>
  <c r="W82" i="87"/>
  <c r="W83" i="87"/>
  <c r="W84" i="87"/>
  <c r="W85" i="87"/>
  <c r="W86" i="87"/>
  <c r="W6" i="87"/>
  <c r="W8" i="87"/>
  <c r="W9" i="87"/>
  <c r="W10" i="87"/>
  <c r="W11" i="87"/>
  <c r="W12" i="87"/>
  <c r="W15" i="87"/>
  <c r="W16" i="87"/>
  <c r="W17" i="87"/>
  <c r="W18" i="87"/>
  <c r="W19" i="87"/>
  <c r="W53" i="87"/>
  <c r="W55" i="87"/>
  <c r="W57" i="87"/>
  <c r="W58" i="87"/>
  <c r="W59" i="87"/>
  <c r="W60" i="87"/>
  <c r="W61" i="87"/>
  <c r="W62" i="87"/>
  <c r="W112" i="87"/>
  <c r="W113" i="87"/>
  <c r="W114" i="87"/>
  <c r="W115" i="87"/>
  <c r="W116" i="87"/>
  <c r="W117" i="87"/>
  <c r="W118" i="87"/>
  <c r="W119" i="87"/>
  <c r="W120" i="87"/>
  <c r="W121" i="87"/>
  <c r="W122" i="87"/>
  <c r="W149" i="87"/>
  <c r="W150" i="87"/>
  <c r="W151" i="87"/>
  <c r="W153" i="87"/>
  <c r="T157" i="86"/>
  <c r="T160" i="86" s="1"/>
  <c r="T161" i="86" s="1"/>
  <c r="R43" i="124"/>
  <c r="AM156" i="124"/>
  <c r="AI150" i="87"/>
  <c r="AH150" i="124"/>
  <c r="V36" i="87"/>
  <c r="S46" i="124"/>
  <c r="T37" i="124"/>
  <c r="S45" i="124"/>
  <c r="T36" i="124"/>
  <c r="S44" i="124"/>
  <c r="S34" i="124"/>
  <c r="T35" i="124"/>
  <c r="V37" i="87"/>
  <c r="W37" i="87" s="1"/>
  <c r="V52" i="85"/>
  <c r="U50" i="85"/>
  <c r="V92" i="85"/>
  <c r="U91" i="85"/>
  <c r="V108" i="85"/>
  <c r="U107" i="85"/>
  <c r="V152" i="85"/>
  <c r="U148" i="85"/>
  <c r="V45" i="85"/>
  <c r="W45" i="85" s="1"/>
  <c r="W36" i="85"/>
  <c r="U45" i="85"/>
  <c r="V44" i="85"/>
  <c r="W44" i="85" s="1"/>
  <c r="W35" i="85"/>
  <c r="U45" i="86"/>
  <c r="V36" i="86"/>
  <c r="V52" i="86"/>
  <c r="W52" i="86" s="1"/>
  <c r="U50" i="86"/>
  <c r="V92" i="86"/>
  <c r="U91" i="86"/>
  <c r="V108" i="86"/>
  <c r="U107" i="86"/>
  <c r="U157" i="86" s="1"/>
  <c r="V44" i="86"/>
  <c r="W44" i="86" s="1"/>
  <c r="W35" i="86"/>
  <c r="V51" i="68"/>
  <c r="U50" i="68"/>
  <c r="V92" i="68"/>
  <c r="U91" i="68"/>
  <c r="V108" i="68"/>
  <c r="U107" i="68"/>
  <c r="W38" i="68"/>
  <c r="AM38" i="68"/>
  <c r="U46" i="68"/>
  <c r="V37" i="68"/>
  <c r="U45" i="68"/>
  <c r="V36" i="68"/>
  <c r="U44" i="68"/>
  <c r="V35" i="68"/>
  <c r="T161" i="68"/>
  <c r="T43" i="68"/>
  <c r="U148" i="68"/>
  <c r="V45" i="87"/>
  <c r="W45" i="87" s="1"/>
  <c r="W36" i="87"/>
  <c r="V35" i="87"/>
  <c r="V148" i="85"/>
  <c r="W148" i="85" s="1"/>
  <c r="W152" i="85"/>
  <c r="V107" i="85"/>
  <c r="W107" i="85" s="1"/>
  <c r="W108" i="85"/>
  <c r="V91" i="85"/>
  <c r="W91" i="85" s="1"/>
  <c r="W92" i="85"/>
  <c r="W38" i="85"/>
  <c r="V34" i="85"/>
  <c r="AM38" i="85"/>
  <c r="U153" i="174"/>
  <c r="V153" i="174" s="1"/>
  <c r="W153" i="174" s="1"/>
  <c r="U153" i="124"/>
  <c r="V153" i="86"/>
  <c r="U151" i="174"/>
  <c r="V151" i="174" s="1"/>
  <c r="U151" i="124"/>
  <c r="V151" i="86"/>
  <c r="U150" i="174"/>
  <c r="V150" i="174" s="1"/>
  <c r="W150" i="174" s="1"/>
  <c r="U150" i="124"/>
  <c r="V150" i="86"/>
  <c r="U149" i="174"/>
  <c r="V149" i="174" s="1"/>
  <c r="W149" i="174" s="1"/>
  <c r="U149" i="124"/>
  <c r="V149" i="86"/>
  <c r="V107" i="86"/>
  <c r="W107" i="86" s="1"/>
  <c r="W108" i="86"/>
  <c r="V91" i="86"/>
  <c r="W91" i="86" s="1"/>
  <c r="W92" i="86"/>
  <c r="V50" i="86"/>
  <c r="W51" i="86"/>
  <c r="U37" i="174"/>
  <c r="V37" i="174"/>
  <c r="W37" i="174" s="1"/>
  <c r="U38" i="174"/>
  <c r="V38" i="174" s="1"/>
  <c r="U36" i="174"/>
  <c r="U160" i="86"/>
  <c r="V36" i="174"/>
  <c r="W36" i="174" s="1"/>
  <c r="V107" i="68"/>
  <c r="W107" i="68" s="1"/>
  <c r="W108" i="68"/>
  <c r="V91" i="68"/>
  <c r="W91" i="68" s="1"/>
  <c r="W92" i="68"/>
  <c r="V50" i="68"/>
  <c r="W51" i="68"/>
  <c r="U155" i="174"/>
  <c r="V155" i="174" s="1"/>
  <c r="W155" i="174" s="1"/>
  <c r="U155" i="124"/>
  <c r="V155" i="87"/>
  <c r="W155" i="87" s="1"/>
  <c r="U154" i="174"/>
  <c r="V154" i="174" s="1"/>
  <c r="W154" i="174" s="1"/>
  <c r="U154" i="124"/>
  <c r="V154" i="87"/>
  <c r="W154" i="87" s="1"/>
  <c r="U152" i="174"/>
  <c r="U152" i="124"/>
  <c r="U148" i="124" s="1"/>
  <c r="V152" i="87"/>
  <c r="U111" i="124"/>
  <c r="V111" i="87"/>
  <c r="W111" i="87" s="1"/>
  <c r="U110" i="124"/>
  <c r="V110" i="87"/>
  <c r="W110" i="87" s="1"/>
  <c r="U109" i="124"/>
  <c r="V109" i="87"/>
  <c r="W109" i="87" s="1"/>
  <c r="U108" i="124"/>
  <c r="V108" i="87"/>
  <c r="U96" i="124"/>
  <c r="V96" i="124" s="1"/>
  <c r="U105" i="174"/>
  <c r="V105" i="174" s="1"/>
  <c r="W105" i="174" s="1"/>
  <c r="V96" i="87"/>
  <c r="W96" i="87" s="1"/>
  <c r="U106" i="124"/>
  <c r="V106" i="124" s="1"/>
  <c r="V106" i="87"/>
  <c r="W106" i="87" s="1"/>
  <c r="U105" i="124"/>
  <c r="V105" i="124" s="1"/>
  <c r="V105" i="87"/>
  <c r="W105" i="87" s="1"/>
  <c r="U104" i="124"/>
  <c r="V104" i="124" s="1"/>
  <c r="V104" i="87"/>
  <c r="W104" i="87" s="1"/>
  <c r="U103" i="124"/>
  <c r="V103" i="124" s="1"/>
  <c r="V103" i="87"/>
  <c r="W103" i="87" s="1"/>
  <c r="U102" i="124"/>
  <c r="V102" i="124" s="1"/>
  <c r="U111" i="174"/>
  <c r="V111" i="174" s="1"/>
  <c r="W111" i="174" s="1"/>
  <c r="V102" i="87"/>
  <c r="W102" i="87" s="1"/>
  <c r="U101" i="124"/>
  <c r="V101" i="124" s="1"/>
  <c r="U110" i="174"/>
  <c r="V110" i="174" s="1"/>
  <c r="W110" i="174" s="1"/>
  <c r="V101" i="87"/>
  <c r="W101" i="87" s="1"/>
  <c r="U100" i="124"/>
  <c r="V100" i="124" s="1"/>
  <c r="U109" i="174"/>
  <c r="V109" i="174" s="1"/>
  <c r="W109" i="174" s="1"/>
  <c r="V100" i="87"/>
  <c r="W100" i="87" s="1"/>
  <c r="U99" i="124"/>
  <c r="V99" i="124" s="1"/>
  <c r="U108" i="174"/>
  <c r="V99" i="87"/>
  <c r="W99" i="87" s="1"/>
  <c r="T107" i="174"/>
  <c r="U98" i="124"/>
  <c r="V98" i="124" s="1"/>
  <c r="V98" i="87"/>
  <c r="W98" i="87" s="1"/>
  <c r="U97" i="124"/>
  <c r="V97" i="124" s="1"/>
  <c r="U106" i="174"/>
  <c r="V106" i="174" s="1"/>
  <c r="W106" i="174" s="1"/>
  <c r="V97" i="87"/>
  <c r="W97" i="87" s="1"/>
  <c r="U95" i="124"/>
  <c r="V95" i="124" s="1"/>
  <c r="U104" i="174"/>
  <c r="V104" i="174" s="1"/>
  <c r="W104" i="174" s="1"/>
  <c r="V95" i="87"/>
  <c r="W95" i="87" s="1"/>
  <c r="U94" i="124"/>
  <c r="V94" i="124" s="1"/>
  <c r="U103" i="174"/>
  <c r="V103" i="174" s="1"/>
  <c r="W103" i="174" s="1"/>
  <c r="V94" i="87"/>
  <c r="W94" i="87" s="1"/>
  <c r="U93" i="124"/>
  <c r="V93" i="124" s="1"/>
  <c r="U102" i="174"/>
  <c r="V102" i="174" s="1"/>
  <c r="W102" i="174" s="1"/>
  <c r="V93" i="87"/>
  <c r="W93" i="87" s="1"/>
  <c r="U92" i="124"/>
  <c r="V92" i="124" s="1"/>
  <c r="U101" i="174"/>
  <c r="V92" i="87"/>
  <c r="T91" i="174"/>
  <c r="T156" i="174" s="1"/>
  <c r="U76" i="174"/>
  <c r="U76" i="124"/>
  <c r="V76" i="124" s="1"/>
  <c r="V76" i="87"/>
  <c r="W76" i="87" s="1"/>
  <c r="U75" i="174"/>
  <c r="V75" i="124"/>
  <c r="V75" i="87"/>
  <c r="W75" i="87" s="1"/>
  <c r="U71" i="174"/>
  <c r="V71" i="174" s="1"/>
  <c r="W71" i="174" s="1"/>
  <c r="U71" i="124"/>
  <c r="V71" i="124" s="1"/>
  <c r="V71" i="87"/>
  <c r="W71" i="87" s="1"/>
  <c r="U69" i="174"/>
  <c r="V69" i="174" s="1"/>
  <c r="W69" i="174" s="1"/>
  <c r="U69" i="124"/>
  <c r="V69" i="87"/>
  <c r="W69" i="87" s="1"/>
  <c r="U66" i="174"/>
  <c r="V66" i="174" s="1"/>
  <c r="W66" i="174" s="1"/>
  <c r="U66" i="124"/>
  <c r="V66" i="87"/>
  <c r="W66" i="87" s="1"/>
  <c r="U63" i="174"/>
  <c r="V63" i="174" s="1"/>
  <c r="W63" i="174" s="1"/>
  <c r="U63" i="124"/>
  <c r="V63" i="87"/>
  <c r="W63" i="87" s="1"/>
  <c r="U56" i="174"/>
  <c r="V56" i="174" s="1"/>
  <c r="W56" i="174" s="1"/>
  <c r="U56" i="124"/>
  <c r="V56" i="87"/>
  <c r="W56" i="87" s="1"/>
  <c r="U54" i="174"/>
  <c r="V54" i="174" s="1"/>
  <c r="W54" i="174" s="1"/>
  <c r="U54" i="124"/>
  <c r="V54" i="87"/>
  <c r="W54" i="87" s="1"/>
  <c r="S159" i="174"/>
  <c r="S158" i="174"/>
  <c r="S157" i="174"/>
  <c r="U52" i="174"/>
  <c r="V52" i="87"/>
  <c r="W52" i="87" s="1"/>
  <c r="T159" i="174"/>
  <c r="T158" i="174"/>
  <c r="T157" i="174"/>
  <c r="V50" i="87"/>
  <c r="W51" i="87"/>
  <c r="W34" i="174"/>
  <c r="V258" i="174"/>
  <c r="AK254" i="173"/>
  <c r="AM252" i="173"/>
  <c r="AL252" i="173"/>
  <c r="V254" i="173"/>
  <c r="W252" i="173"/>
  <c r="AK251" i="173"/>
  <c r="AM155" i="173"/>
  <c r="AL155" i="173"/>
  <c r="V288" i="173"/>
  <c r="V253" i="173"/>
  <c r="W251" i="173"/>
  <c r="AM156" i="85" l="1"/>
  <c r="AK166" i="124"/>
  <c r="S43" i="124"/>
  <c r="V91" i="124"/>
  <c r="AJ150" i="87"/>
  <c r="AJ150" i="124" s="1"/>
  <c r="AI150" i="124"/>
  <c r="T44" i="124"/>
  <c r="T34" i="124"/>
  <c r="U35" i="124"/>
  <c r="T45" i="124"/>
  <c r="U36" i="124"/>
  <c r="U45" i="124" s="1"/>
  <c r="T46" i="124"/>
  <c r="U37" i="124"/>
  <c r="U46" i="124" s="1"/>
  <c r="U43" i="85"/>
  <c r="U157" i="85"/>
  <c r="W52" i="85"/>
  <c r="V50" i="85"/>
  <c r="U43" i="86"/>
  <c r="U161" i="86"/>
  <c r="V45" i="86"/>
  <c r="W45" i="86" s="1"/>
  <c r="W36" i="86"/>
  <c r="V44" i="68"/>
  <c r="W44" i="68" s="1"/>
  <c r="V34" i="68"/>
  <c r="W35" i="68"/>
  <c r="U43" i="68"/>
  <c r="V45" i="68"/>
  <c r="W45" i="68" s="1"/>
  <c r="W36" i="68"/>
  <c r="V46" i="68"/>
  <c r="W46" i="68" s="1"/>
  <c r="W37" i="68"/>
  <c r="U157" i="68"/>
  <c r="V44" i="87"/>
  <c r="W44" i="87" s="1"/>
  <c r="V34" i="87"/>
  <c r="W35" i="87"/>
  <c r="U100" i="174"/>
  <c r="V100" i="174" s="1"/>
  <c r="W100" i="174" s="1"/>
  <c r="V43" i="85"/>
  <c r="W43" i="85" s="1"/>
  <c r="W34" i="85"/>
  <c r="V148" i="86"/>
  <c r="W148" i="86" s="1"/>
  <c r="W149" i="86"/>
  <c r="W150" i="86"/>
  <c r="AM150" i="86"/>
  <c r="W151" i="86"/>
  <c r="AM151" i="86"/>
  <c r="AM151" i="174"/>
  <c r="W151" i="174"/>
  <c r="W153" i="86"/>
  <c r="AM153" i="86"/>
  <c r="V157" i="86"/>
  <c r="W50" i="86"/>
  <c r="W38" i="86"/>
  <c r="V34" i="86"/>
  <c r="AM38" i="86"/>
  <c r="W38" i="174"/>
  <c r="AM38" i="174"/>
  <c r="V157" i="68"/>
  <c r="W50" i="68"/>
  <c r="V148" i="87"/>
  <c r="W148" i="87" s="1"/>
  <c r="W152" i="87"/>
  <c r="U148" i="174"/>
  <c r="V152" i="174"/>
  <c r="V107" i="87"/>
  <c r="W107" i="87" s="1"/>
  <c r="W108" i="87"/>
  <c r="V91" i="87"/>
  <c r="W92" i="87"/>
  <c r="U91" i="174"/>
  <c r="V101" i="174"/>
  <c r="U107" i="174"/>
  <c r="V108" i="174"/>
  <c r="V52" i="174"/>
  <c r="U50" i="174"/>
  <c r="U156" i="174" s="1"/>
  <c r="V157" i="87"/>
  <c r="W50" i="87"/>
  <c r="V291" i="174"/>
  <c r="V260" i="174"/>
  <c r="V259" i="174"/>
  <c r="W259" i="174" s="1"/>
  <c r="W258" i="174"/>
  <c r="V255" i="173"/>
  <c r="W255" i="173" s="1"/>
  <c r="W253" i="173"/>
  <c r="V350" i="173"/>
  <c r="W288" i="173"/>
  <c r="AK288" i="173"/>
  <c r="AK253" i="173"/>
  <c r="AM251" i="173"/>
  <c r="AL251" i="173"/>
  <c r="V256" i="173"/>
  <c r="W256" i="173" s="1"/>
  <c r="W254" i="173"/>
  <c r="AK256" i="173"/>
  <c r="AM254" i="173"/>
  <c r="AL254" i="173"/>
  <c r="U160" i="85" l="1"/>
  <c r="U161" i="85" s="1"/>
  <c r="U160" i="68"/>
  <c r="U161" i="68" s="1"/>
  <c r="T43" i="124"/>
  <c r="U44" i="124"/>
  <c r="U34" i="124"/>
  <c r="V157" i="85"/>
  <c r="W50" i="85"/>
  <c r="V43" i="68"/>
  <c r="W43" i="68" s="1"/>
  <c r="W34" i="68"/>
  <c r="V43" i="87"/>
  <c r="W43" i="87" s="1"/>
  <c r="W34" i="87"/>
  <c r="V159" i="86"/>
  <c r="W159" i="86" s="1"/>
  <c r="V158" i="86"/>
  <c r="W158" i="86" s="1"/>
  <c r="W157" i="86"/>
  <c r="V160" i="86"/>
  <c r="V43" i="86"/>
  <c r="W43" i="86" s="1"/>
  <c r="W34" i="86"/>
  <c r="V159" i="68"/>
  <c r="W159" i="68" s="1"/>
  <c r="V158" i="68"/>
  <c r="W158" i="68" s="1"/>
  <c r="W157" i="68"/>
  <c r="V160" i="68"/>
  <c r="V148" i="174"/>
  <c r="W148" i="174" s="1"/>
  <c r="W152" i="174"/>
  <c r="V107" i="174"/>
  <c r="W107" i="174" s="1"/>
  <c r="W108" i="174"/>
  <c r="V91" i="174"/>
  <c r="W91" i="174" s="1"/>
  <c r="W101" i="174"/>
  <c r="W91" i="87"/>
  <c r="U159" i="174"/>
  <c r="U158" i="174"/>
  <c r="U157" i="174"/>
  <c r="W52" i="174"/>
  <c r="V50" i="174"/>
  <c r="V159" i="87"/>
  <c r="W159" i="87" s="1"/>
  <c r="V158" i="87"/>
  <c r="W158" i="87" s="1"/>
  <c r="W157" i="87"/>
  <c r="V160" i="87"/>
  <c r="V261" i="174"/>
  <c r="W261" i="174" s="1"/>
  <c r="W260" i="174"/>
  <c r="V338" i="174"/>
  <c r="W291" i="174"/>
  <c r="AM256" i="173"/>
  <c r="AL256" i="173"/>
  <c r="AK255" i="173"/>
  <c r="AM253" i="173"/>
  <c r="AL253" i="173"/>
  <c r="AK350" i="173"/>
  <c r="AM288" i="173"/>
  <c r="AL288" i="173"/>
  <c r="V353" i="173"/>
  <c r="W353" i="173" s="1"/>
  <c r="W350" i="173"/>
  <c r="U43" i="124" l="1"/>
  <c r="V159" i="85"/>
  <c r="W159" i="85" s="1"/>
  <c r="V158" i="85"/>
  <c r="W158" i="85" s="1"/>
  <c r="W157" i="85"/>
  <c r="V160" i="85"/>
  <c r="V161" i="86"/>
  <c r="W161" i="86" s="1"/>
  <c r="W160" i="86"/>
  <c r="V161" i="68"/>
  <c r="W161" i="68" s="1"/>
  <c r="W160" i="68"/>
  <c r="V156" i="174"/>
  <c r="W50" i="174"/>
  <c r="V161" i="87"/>
  <c r="W161" i="87" s="1"/>
  <c r="W160" i="87"/>
  <c r="V341" i="174"/>
  <c r="W341" i="174" s="1"/>
  <c r="W338" i="174"/>
  <c r="AK353" i="173"/>
  <c r="AM350" i="173"/>
  <c r="AL350" i="173"/>
  <c r="AM255" i="173"/>
  <c r="AL255" i="173"/>
  <c r="V161" i="85" l="1"/>
  <c r="W161" i="85" s="1"/>
  <c r="W160" i="85"/>
  <c r="W156" i="174"/>
  <c r="V158" i="174"/>
  <c r="W158" i="174" s="1"/>
  <c r="V157" i="174"/>
  <c r="W157" i="174" s="1"/>
  <c r="V159" i="174"/>
  <c r="W159" i="174" s="1"/>
  <c r="AM353" i="173"/>
  <c r="AL353" i="173"/>
  <c r="U112" i="124" l="1"/>
  <c r="Y112" i="124" l="1"/>
  <c r="Z11" i="124"/>
  <c r="AA11" i="124"/>
  <c r="AB11" i="124"/>
  <c r="AC11" i="124"/>
  <c r="AD11" i="124"/>
  <c r="AE11" i="124"/>
  <c r="AF11" i="124"/>
  <c r="AG11" i="124"/>
  <c r="AH11" i="124"/>
  <c r="AI11" i="124"/>
  <c r="AJ11" i="124"/>
  <c r="Y10" i="124"/>
  <c r="Y11" i="124"/>
  <c r="P56" i="38" l="1"/>
  <c r="P50" i="38"/>
  <c r="P44" i="38"/>
  <c r="P38" i="38"/>
  <c r="P31" i="38"/>
  <c r="P32" i="38"/>
  <c r="P55" i="38"/>
  <c r="P49" i="38"/>
  <c r="P43" i="38"/>
  <c r="P37" i="38"/>
  <c r="P30" i="38"/>
  <c r="P42" i="38"/>
  <c r="P48" i="38"/>
  <c r="P54" i="38"/>
  <c r="P36" i="38"/>
  <c r="Y39" i="87" l="1"/>
  <c r="Y29" i="87"/>
  <c r="Y28" i="87"/>
  <c r="Y27" i="87"/>
  <c r="Y26" i="87"/>
  <c r="Y25" i="87"/>
  <c r="Y24" i="87"/>
  <c r="Y23" i="87"/>
  <c r="Z1" i="87"/>
  <c r="Z1" i="68"/>
  <c r="Z1" i="86"/>
  <c r="Z1" i="85"/>
  <c r="Z56" i="85" l="1"/>
  <c r="Z142" i="85"/>
  <c r="Z56" i="86"/>
  <c r="Z142" i="86"/>
  <c r="Z56" i="68"/>
  <c r="Z142" i="68"/>
  <c r="Z57" i="68"/>
  <c r="Z57" i="87"/>
  <c r="Z142" i="87"/>
  <c r="Z56" i="87"/>
  <c r="Z57" i="124"/>
  <c r="Z57" i="174"/>
  <c r="Z92" i="85"/>
  <c r="Z93" i="85"/>
  <c r="Z94" i="85"/>
  <c r="Z95" i="85"/>
  <c r="Z96" i="85"/>
  <c r="Z97" i="85"/>
  <c r="Z98" i="85"/>
  <c r="Z99" i="85"/>
  <c r="Z100" i="85"/>
  <c r="Z101" i="85"/>
  <c r="Z102" i="85"/>
  <c r="Z103" i="85"/>
  <c r="Z104" i="85"/>
  <c r="Z105" i="85"/>
  <c r="Z106" i="85"/>
  <c r="Z108" i="85"/>
  <c r="Z109" i="85"/>
  <c r="Z110" i="85"/>
  <c r="Z111" i="85"/>
  <c r="Z92" i="86"/>
  <c r="Z93" i="86"/>
  <c r="Z94" i="86"/>
  <c r="Z95" i="86"/>
  <c r="Z96" i="86"/>
  <c r="Z97" i="86"/>
  <c r="Z98" i="86"/>
  <c r="Z99" i="86"/>
  <c r="Z100" i="86"/>
  <c r="Z101" i="86"/>
  <c r="Z102" i="86"/>
  <c r="Z103" i="86"/>
  <c r="Z104" i="86"/>
  <c r="Z105" i="86"/>
  <c r="Z106" i="86"/>
  <c r="Z108" i="86"/>
  <c r="Z109" i="86"/>
  <c r="Z110" i="86"/>
  <c r="Z111" i="86"/>
  <c r="Z92" i="68"/>
  <c r="Z93" i="68"/>
  <c r="Z94" i="68"/>
  <c r="Z95" i="68"/>
  <c r="Z96" i="68"/>
  <c r="Z97" i="68"/>
  <c r="Z98" i="68"/>
  <c r="Z99" i="68"/>
  <c r="Z100" i="68"/>
  <c r="Z101" i="68"/>
  <c r="Z102" i="68"/>
  <c r="Z103" i="68"/>
  <c r="Z104" i="68"/>
  <c r="Z105" i="68"/>
  <c r="Z106" i="68"/>
  <c r="Z108" i="68"/>
  <c r="Z109" i="68"/>
  <c r="Z110" i="68"/>
  <c r="Z111" i="68"/>
  <c r="Z42" i="87"/>
  <c r="Z41" i="87"/>
  <c r="Z40" i="87"/>
  <c r="Z113" i="87"/>
  <c r="Z92" i="87"/>
  <c r="Z92" i="124" s="1"/>
  <c r="Z93" i="87"/>
  <c r="Z93" i="124" s="1"/>
  <c r="Z94" i="87"/>
  <c r="Z94" i="124" s="1"/>
  <c r="Z95" i="87"/>
  <c r="Z95" i="124" s="1"/>
  <c r="Z96" i="87"/>
  <c r="Z96" i="124" s="1"/>
  <c r="Z97" i="87"/>
  <c r="Z97" i="124" s="1"/>
  <c r="Z98" i="87"/>
  <c r="Z98" i="124" s="1"/>
  <c r="Z99" i="87"/>
  <c r="Z99" i="124" s="1"/>
  <c r="Z100" i="87"/>
  <c r="Z100" i="124" s="1"/>
  <c r="Z101" i="87"/>
  <c r="Z101" i="124" s="1"/>
  <c r="Z102" i="87"/>
  <c r="Z102" i="124" s="1"/>
  <c r="Z103" i="87"/>
  <c r="Z103" i="124" s="1"/>
  <c r="Z104" i="87"/>
  <c r="Z104" i="124" s="1"/>
  <c r="Z105" i="87"/>
  <c r="Z105" i="124" s="1"/>
  <c r="Z106" i="87"/>
  <c r="Z106" i="124" s="1"/>
  <c r="Z108" i="87"/>
  <c r="Z109" i="87"/>
  <c r="Z110" i="87"/>
  <c r="Z111" i="87"/>
  <c r="Z113" i="85"/>
  <c r="Z63" i="85"/>
  <c r="Z90" i="85"/>
  <c r="Z87" i="85"/>
  <c r="Z88" i="85"/>
  <c r="Z85" i="85"/>
  <c r="Z78" i="85"/>
  <c r="Z79" i="85"/>
  <c r="Z75" i="85"/>
  <c r="Z76" i="85"/>
  <c r="Z71" i="85"/>
  <c r="Z69" i="85"/>
  <c r="Z65" i="85"/>
  <c r="Z66" i="85"/>
  <c r="Z54" i="85"/>
  <c r="Z55" i="85"/>
  <c r="Z58" i="85"/>
  <c r="Z51" i="85"/>
  <c r="Z52" i="85"/>
  <c r="Z152" i="85"/>
  <c r="Z154" i="85"/>
  <c r="Z155" i="85"/>
  <c r="Z149" i="85"/>
  <c r="Z146" i="85"/>
  <c r="Z143" i="85"/>
  <c r="Z138" i="85"/>
  <c r="Z139" i="85"/>
  <c r="Z140" i="85"/>
  <c r="Z135" i="85"/>
  <c r="Z133" i="85"/>
  <c r="Z129" i="85"/>
  <c r="Z123" i="85"/>
  <c r="Z124" i="85"/>
  <c r="Z125" i="85"/>
  <c r="Z126" i="85"/>
  <c r="Z127" i="85"/>
  <c r="Z121" i="85"/>
  <c r="Z119" i="85"/>
  <c r="Z116" i="85"/>
  <c r="Z117" i="85"/>
  <c r="Z10" i="85"/>
  <c r="Z42" i="85"/>
  <c r="Z41" i="85"/>
  <c r="Z40" i="85"/>
  <c r="Z113" i="86"/>
  <c r="Z63" i="86"/>
  <c r="Z152" i="86"/>
  <c r="Z154" i="86"/>
  <c r="Z155" i="86"/>
  <c r="Z149" i="86"/>
  <c r="Z146" i="86"/>
  <c r="Z143" i="86"/>
  <c r="Z138" i="86"/>
  <c r="Z139" i="86"/>
  <c r="Z140" i="86"/>
  <c r="Z135" i="86"/>
  <c r="Z133" i="86"/>
  <c r="Z129" i="86"/>
  <c r="Z123" i="86"/>
  <c r="Z124" i="86"/>
  <c r="Z125" i="86"/>
  <c r="Z126" i="86"/>
  <c r="Z127" i="86"/>
  <c r="Z121" i="86"/>
  <c r="Z119" i="86"/>
  <c r="Z116" i="86"/>
  <c r="Z117" i="86"/>
  <c r="Z90" i="86"/>
  <c r="Z87" i="86"/>
  <c r="Z88" i="86"/>
  <c r="Z85" i="86"/>
  <c r="Z78" i="86"/>
  <c r="Z79" i="86"/>
  <c r="Z75" i="86"/>
  <c r="Z76" i="86"/>
  <c r="Z71" i="86"/>
  <c r="Z69" i="86"/>
  <c r="Z65" i="86"/>
  <c r="Z66" i="86"/>
  <c r="Z54" i="86"/>
  <c r="Z55" i="86"/>
  <c r="Z58" i="86"/>
  <c r="Z51" i="86"/>
  <c r="Z52" i="86"/>
  <c r="Z10" i="86"/>
  <c r="Z42" i="86"/>
  <c r="Z9" i="86" s="1"/>
  <c r="Z41" i="86"/>
  <c r="Z113" i="68"/>
  <c r="Z63" i="68"/>
  <c r="Z152" i="68"/>
  <c r="Z154" i="68"/>
  <c r="Z155" i="68"/>
  <c r="Z149" i="68"/>
  <c r="Z146" i="68"/>
  <c r="Z143" i="68"/>
  <c r="Z138" i="68"/>
  <c r="Z139" i="68"/>
  <c r="Z140" i="68"/>
  <c r="Z135" i="68"/>
  <c r="Z133" i="68"/>
  <c r="Z129" i="68"/>
  <c r="Z123" i="68"/>
  <c r="Z124" i="68"/>
  <c r="Z125" i="68"/>
  <c r="Z126" i="68"/>
  <c r="Z127" i="68"/>
  <c r="Z121" i="68"/>
  <c r="Z119" i="68"/>
  <c r="Z116" i="68"/>
  <c r="Z117" i="68"/>
  <c r="Z90" i="68"/>
  <c r="Z87" i="68"/>
  <c r="Z88" i="68"/>
  <c r="Z85" i="68"/>
  <c r="Z78" i="68"/>
  <c r="Z79" i="68"/>
  <c r="Z75" i="68"/>
  <c r="Z76" i="68"/>
  <c r="Z71" i="68"/>
  <c r="Z69" i="68"/>
  <c r="Z65" i="68"/>
  <c r="Z66" i="68"/>
  <c r="Z54" i="68"/>
  <c r="Z55" i="68"/>
  <c r="Z58" i="68"/>
  <c r="Z51" i="68"/>
  <c r="Z52" i="68"/>
  <c r="Z10" i="68"/>
  <c r="Z42" i="68"/>
  <c r="Z9" i="68" s="1"/>
  <c r="Z41" i="68"/>
  <c r="Z8" i="68" s="1"/>
  <c r="Y39" i="124"/>
  <c r="Y159" i="87"/>
  <c r="Z63" i="87"/>
  <c r="Z63" i="124" s="1"/>
  <c r="Z152" i="87"/>
  <c r="Z149" i="87"/>
  <c r="Z147" i="124"/>
  <c r="Z146" i="87"/>
  <c r="Z143" i="87"/>
  <c r="Z140" i="87"/>
  <c r="Z139" i="87"/>
  <c r="Z138" i="87"/>
  <c r="Z135" i="87"/>
  <c r="Z133" i="87"/>
  <c r="Z129" i="87"/>
  <c r="Z127" i="87"/>
  <c r="Z126" i="87"/>
  <c r="Z124" i="87"/>
  <c r="Z124" i="124" s="1"/>
  <c r="Z123" i="87"/>
  <c r="Z123" i="124" s="1"/>
  <c r="Z121" i="87"/>
  <c r="Z121" i="124" s="1"/>
  <c r="Z117" i="87"/>
  <c r="Z117" i="124" s="1"/>
  <c r="Z116" i="87"/>
  <c r="Z116" i="124" s="1"/>
  <c r="Z113" i="124"/>
  <c r="Z10" i="87"/>
  <c r="Z85" i="87"/>
  <c r="Z79" i="87"/>
  <c r="Z79" i="124" s="1"/>
  <c r="Z78" i="87"/>
  <c r="Z65" i="87"/>
  <c r="Z65" i="124" s="1"/>
  <c r="Z108" i="124"/>
  <c r="Z109" i="124"/>
  <c r="Z110" i="124"/>
  <c r="Z111" i="124"/>
  <c r="Z8" i="87"/>
  <c r="Z7" i="87"/>
  <c r="Z88" i="87"/>
  <c r="Z88" i="124" s="1"/>
  <c r="Z87" i="87"/>
  <c r="Z87" i="124" s="1"/>
  <c r="Z81" i="124"/>
  <c r="Z76" i="124"/>
  <c r="Z75" i="87"/>
  <c r="Z75" i="124" s="1"/>
  <c r="Z69" i="87"/>
  <c r="Z69" i="124" s="1"/>
  <c r="Z66" i="87"/>
  <c r="Z66" i="124" s="1"/>
  <c r="Z58" i="87"/>
  <c r="Z58" i="124" s="1"/>
  <c r="Z54" i="87"/>
  <c r="Z54" i="124" s="1"/>
  <c r="Z52" i="87"/>
  <c r="Z52" i="124" s="1"/>
  <c r="Z51" i="87"/>
  <c r="Z51" i="124" s="1"/>
  <c r="Z155" i="87"/>
  <c r="Z155" i="124" s="1"/>
  <c r="Z127" i="124"/>
  <c r="Z129" i="124"/>
  <c r="Z133" i="124"/>
  <c r="Z135" i="124"/>
  <c r="Z138" i="124"/>
  <c r="Z139" i="124"/>
  <c r="Z140" i="124"/>
  <c r="Z142" i="124"/>
  <c r="Z55" i="87"/>
  <c r="Z55" i="124" s="1"/>
  <c r="Z71" i="87"/>
  <c r="Z71" i="124" s="1"/>
  <c r="Z154" i="87"/>
  <c r="Z154" i="124" s="1"/>
  <c r="Z152" i="124"/>
  <c r="Z125" i="87"/>
  <c r="Z125" i="124" s="1"/>
  <c r="Z119" i="87"/>
  <c r="Z119" i="124" s="1"/>
  <c r="Z90" i="87"/>
  <c r="Z90" i="124" s="1"/>
  <c r="Z56" i="124"/>
  <c r="Z40" i="68"/>
  <c r="Z7" i="68" s="1"/>
  <c r="Z40" i="86"/>
  <c r="Z7" i="86" s="1"/>
  <c r="Z148" i="85"/>
  <c r="Y23" i="174"/>
  <c r="Y23" i="124"/>
  <c r="Y24" i="174"/>
  <c r="Y24" i="124"/>
  <c r="Y25" i="174"/>
  <c r="Y25" i="124"/>
  <c r="Y26" i="174"/>
  <c r="Y26" i="124"/>
  <c r="Y27" i="174"/>
  <c r="Y27" i="124"/>
  <c r="Y28" i="174"/>
  <c r="Y28" i="124"/>
  <c r="Y29" i="174"/>
  <c r="Y29" i="124"/>
  <c r="Y30" i="174"/>
  <c r="Y30" i="124"/>
  <c r="Z149" i="124"/>
  <c r="Z101" i="174"/>
  <c r="Z102" i="174"/>
  <c r="Z103" i="174"/>
  <c r="Z104" i="174"/>
  <c r="Z105" i="174"/>
  <c r="Z106" i="174"/>
  <c r="Z108" i="174"/>
  <c r="Z109" i="174"/>
  <c r="Z110" i="174"/>
  <c r="Z111" i="174"/>
  <c r="Y158" i="87"/>
  <c r="AA1" i="85"/>
  <c r="AA1" i="86"/>
  <c r="AA1" i="68"/>
  <c r="AA1" i="87"/>
  <c r="Z27" i="87"/>
  <c r="AB1" i="68"/>
  <c r="Z107" i="124" l="1"/>
  <c r="Z91" i="124"/>
  <c r="AA56" i="85"/>
  <c r="AA142" i="85"/>
  <c r="AA56" i="86"/>
  <c r="AA142" i="86"/>
  <c r="AG45" i="86"/>
  <c r="AB56" i="68"/>
  <c r="AB142" i="68"/>
  <c r="AB57" i="68"/>
  <c r="AA56" i="68"/>
  <c r="AA142" i="68"/>
  <c r="AG45" i="68"/>
  <c r="AA57" i="68"/>
  <c r="AA57" i="87"/>
  <c r="AA142" i="87"/>
  <c r="AA56" i="87"/>
  <c r="AA57" i="124"/>
  <c r="AA57" i="174"/>
  <c r="AA92" i="85"/>
  <c r="AA93" i="85"/>
  <c r="AA94" i="85"/>
  <c r="AA95" i="85"/>
  <c r="AA96" i="85"/>
  <c r="AA97" i="85"/>
  <c r="AA98" i="85"/>
  <c r="AA99" i="85"/>
  <c r="AA100" i="85"/>
  <c r="AA101" i="85"/>
  <c r="AA102" i="85"/>
  <c r="AA103" i="85"/>
  <c r="AA104" i="85"/>
  <c r="AA105" i="85"/>
  <c r="AA106" i="85"/>
  <c r="AA108" i="85"/>
  <c r="AA109" i="85"/>
  <c r="AA110" i="85"/>
  <c r="AA111" i="85"/>
  <c r="AA92" i="86"/>
  <c r="AA93" i="86"/>
  <c r="AA94" i="86"/>
  <c r="AA95" i="86"/>
  <c r="AA96" i="86"/>
  <c r="AA97" i="86"/>
  <c r="AA98" i="86"/>
  <c r="AA99" i="86"/>
  <c r="AA100" i="86"/>
  <c r="AA101" i="86"/>
  <c r="AA102" i="86"/>
  <c r="AA103" i="86"/>
  <c r="AA104" i="86"/>
  <c r="AA105" i="86"/>
  <c r="AA106" i="86"/>
  <c r="AA108" i="86"/>
  <c r="AA109" i="86"/>
  <c r="AA110" i="86"/>
  <c r="AA111" i="86"/>
  <c r="AB92" i="68"/>
  <c r="AB93" i="68"/>
  <c r="AB94" i="68"/>
  <c r="AB95" i="68"/>
  <c r="AB96" i="68"/>
  <c r="AB97" i="68"/>
  <c r="AB98" i="68"/>
  <c r="AB99" i="68"/>
  <c r="AB100" i="68"/>
  <c r="AB101" i="68"/>
  <c r="AB102" i="68"/>
  <c r="AB103" i="68"/>
  <c r="AB104" i="68"/>
  <c r="AB105" i="68"/>
  <c r="AB106" i="68"/>
  <c r="AB108" i="68"/>
  <c r="AB109" i="68"/>
  <c r="AB110" i="68"/>
  <c r="AB111" i="68"/>
  <c r="AA92" i="68"/>
  <c r="AA93" i="68"/>
  <c r="AA94" i="68"/>
  <c r="AA95" i="68"/>
  <c r="AA96" i="68"/>
  <c r="AA97" i="68"/>
  <c r="AA98" i="68"/>
  <c r="AA99" i="68"/>
  <c r="AA100" i="68"/>
  <c r="AA101" i="68"/>
  <c r="AA102" i="68"/>
  <c r="AA103" i="68"/>
  <c r="AA104" i="68"/>
  <c r="AA105" i="68"/>
  <c r="AA106" i="68"/>
  <c r="AA108" i="68"/>
  <c r="AA109" i="68"/>
  <c r="AA110" i="68"/>
  <c r="AA111" i="68"/>
  <c r="AA42" i="87"/>
  <c r="AA41" i="87"/>
  <c r="AA40" i="87"/>
  <c r="AA113" i="87"/>
  <c r="AA92" i="87"/>
  <c r="AA92" i="124" s="1"/>
  <c r="AA93" i="87"/>
  <c r="AA93" i="124" s="1"/>
  <c r="AA94" i="87"/>
  <c r="AA94" i="124" s="1"/>
  <c r="AA95" i="87"/>
  <c r="AA95" i="124" s="1"/>
  <c r="AA96" i="87"/>
  <c r="AA96" i="124" s="1"/>
  <c r="AA97" i="87"/>
  <c r="AA97" i="124" s="1"/>
  <c r="AA98" i="87"/>
  <c r="AA98" i="124" s="1"/>
  <c r="AA99" i="87"/>
  <c r="AA99" i="124" s="1"/>
  <c r="AA100" i="87"/>
  <c r="AA100" i="124" s="1"/>
  <c r="AA101" i="87"/>
  <c r="AA101" i="124" s="1"/>
  <c r="AA102" i="87"/>
  <c r="AA102" i="124" s="1"/>
  <c r="AA103" i="87"/>
  <c r="AA103" i="124" s="1"/>
  <c r="AA104" i="87"/>
  <c r="AA104" i="124" s="1"/>
  <c r="AA105" i="87"/>
  <c r="AA105" i="124" s="1"/>
  <c r="AA106" i="87"/>
  <c r="AA106" i="124" s="1"/>
  <c r="AA108" i="87"/>
  <c r="AA109" i="87"/>
  <c r="AA110" i="87"/>
  <c r="AA111" i="87"/>
  <c r="AA113" i="85"/>
  <c r="AA63" i="85"/>
  <c r="AA90" i="85"/>
  <c r="AA87" i="85"/>
  <c r="AA88" i="85"/>
  <c r="AA85" i="85"/>
  <c r="AA78" i="85"/>
  <c r="AA79" i="85"/>
  <c r="AA75" i="85"/>
  <c r="AA76" i="85"/>
  <c r="AA71" i="85"/>
  <c r="AA69" i="85"/>
  <c r="AA65" i="85"/>
  <c r="AA66" i="85"/>
  <c r="AA54" i="85"/>
  <c r="AA55" i="85"/>
  <c r="AA58" i="85"/>
  <c r="AA51" i="85"/>
  <c r="AA52" i="85"/>
  <c r="AA152" i="85"/>
  <c r="AA154" i="85"/>
  <c r="AA155" i="85"/>
  <c r="AA149" i="85"/>
  <c r="AA146" i="85"/>
  <c r="AA143" i="85"/>
  <c r="AA138" i="85"/>
  <c r="AA139" i="85"/>
  <c r="AA140" i="85"/>
  <c r="AA135" i="85"/>
  <c r="AA133" i="85"/>
  <c r="AA129" i="85"/>
  <c r="AA123" i="85"/>
  <c r="AA124" i="85"/>
  <c r="AA125" i="85"/>
  <c r="AA126" i="85"/>
  <c r="AA127" i="85"/>
  <c r="AA121" i="85"/>
  <c r="AA119" i="85"/>
  <c r="AA116" i="85"/>
  <c r="AA117" i="85"/>
  <c r="AA10" i="85"/>
  <c r="AA30" i="85" s="1"/>
  <c r="AJ45" i="85"/>
  <c r="AI45" i="85"/>
  <c r="AH45" i="85"/>
  <c r="AG45" i="85"/>
  <c r="AF45" i="85"/>
  <c r="AE45" i="85"/>
  <c r="AD45" i="85"/>
  <c r="AC45" i="85"/>
  <c r="AB45" i="85"/>
  <c r="AA45" i="85"/>
  <c r="Z45" i="85"/>
  <c r="Y45" i="85"/>
  <c r="Y36" i="85" s="1"/>
  <c r="AA42" i="85"/>
  <c r="AA41" i="85"/>
  <c r="AA40" i="85"/>
  <c r="Z7" i="85"/>
  <c r="Z39" i="85"/>
  <c r="Z35" i="85"/>
  <c r="Z28" i="85"/>
  <c r="Z25" i="85"/>
  <c r="Z23" i="85"/>
  <c r="Z8" i="85"/>
  <c r="Z36" i="85"/>
  <c r="Z29" i="85"/>
  <c r="Z26" i="85"/>
  <c r="Z24" i="85"/>
  <c r="Z9" i="85"/>
  <c r="Z27" i="85"/>
  <c r="Z30" i="85"/>
  <c r="AA113" i="86"/>
  <c r="AA63" i="86"/>
  <c r="AA152" i="86"/>
  <c r="AA154" i="86"/>
  <c r="AA155" i="86"/>
  <c r="AA149" i="86"/>
  <c r="AA148" i="86" s="1"/>
  <c r="AA146" i="86"/>
  <c r="AA143" i="86"/>
  <c r="AA138" i="86"/>
  <c r="AA139" i="86"/>
  <c r="AA140" i="86"/>
  <c r="AA135" i="86"/>
  <c r="AA133" i="86"/>
  <c r="AA129" i="86"/>
  <c r="AA123" i="86"/>
  <c r="AA124" i="86"/>
  <c r="AA125" i="86"/>
  <c r="AA126" i="86"/>
  <c r="AA127" i="86"/>
  <c r="AA121" i="86"/>
  <c r="AA119" i="86"/>
  <c r="AA116" i="86"/>
  <c r="AA117" i="86"/>
  <c r="AA90" i="86"/>
  <c r="AA87" i="86"/>
  <c r="AA88" i="86"/>
  <c r="AA85" i="86"/>
  <c r="AA78" i="86"/>
  <c r="AA79" i="86"/>
  <c r="AA75" i="86"/>
  <c r="AA76" i="86"/>
  <c r="AA71" i="86"/>
  <c r="AA69" i="86"/>
  <c r="AA65" i="86"/>
  <c r="AA66" i="86"/>
  <c r="AA54" i="86"/>
  <c r="AA55" i="86"/>
  <c r="AA58" i="86"/>
  <c r="AA51" i="86"/>
  <c r="AA52" i="86"/>
  <c r="AA10" i="86"/>
  <c r="AA30" i="86" s="1"/>
  <c r="AJ45" i="86"/>
  <c r="AI45" i="86"/>
  <c r="AH45" i="86"/>
  <c r="AF45" i="86"/>
  <c r="AE45" i="86"/>
  <c r="AD45" i="86"/>
  <c r="AC45" i="86"/>
  <c r="AB45" i="86"/>
  <c r="AA45" i="86"/>
  <c r="Z45" i="86"/>
  <c r="Y45" i="86"/>
  <c r="AA42" i="86"/>
  <c r="AA9" i="86" s="1"/>
  <c r="AA41" i="86"/>
  <c r="Z8" i="86"/>
  <c r="Z29" i="86"/>
  <c r="Z26" i="86"/>
  <c r="Z24" i="86"/>
  <c r="Z30" i="86"/>
  <c r="Z50" i="86"/>
  <c r="Z148" i="86"/>
  <c r="Z112" i="86"/>
  <c r="AB113" i="68"/>
  <c r="AB63" i="68"/>
  <c r="AB152" i="68"/>
  <c r="AB154" i="68"/>
  <c r="AB155" i="68"/>
  <c r="AB149" i="68"/>
  <c r="AB148" i="68" s="1"/>
  <c r="AB146" i="68"/>
  <c r="AB143" i="68"/>
  <c r="AB138" i="68"/>
  <c r="AB139" i="68"/>
  <c r="AB140" i="68"/>
  <c r="AB135" i="68"/>
  <c r="AB133" i="68"/>
  <c r="AB129" i="68"/>
  <c r="AB123" i="68"/>
  <c r="AB124" i="68"/>
  <c r="AB125" i="68"/>
  <c r="AB126" i="68"/>
  <c r="AB127" i="68"/>
  <c r="AB121" i="68"/>
  <c r="AB119" i="68"/>
  <c r="AB116" i="68"/>
  <c r="AB117" i="68"/>
  <c r="AB90" i="68"/>
  <c r="AB87" i="68"/>
  <c r="AB88" i="68"/>
  <c r="AB85" i="68"/>
  <c r="AB78" i="68"/>
  <c r="AB79" i="68"/>
  <c r="AB75" i="68"/>
  <c r="AB76" i="68"/>
  <c r="AB71" i="68"/>
  <c r="AB69" i="68"/>
  <c r="AB65" i="68"/>
  <c r="AB66" i="68"/>
  <c r="AB54" i="68"/>
  <c r="AB55" i="68"/>
  <c r="AB58" i="68"/>
  <c r="AB51" i="68"/>
  <c r="AB52" i="68"/>
  <c r="AB10" i="68"/>
  <c r="AB30" i="68" s="1"/>
  <c r="AB42" i="68"/>
  <c r="AB9" i="68" s="1"/>
  <c r="AB41" i="68"/>
  <c r="AB8" i="68" s="1"/>
  <c r="AA113" i="68"/>
  <c r="AA63" i="68"/>
  <c r="AA152" i="68"/>
  <c r="AA154" i="68"/>
  <c r="AA155" i="68"/>
  <c r="AA149" i="68"/>
  <c r="AA148" i="68" s="1"/>
  <c r="AA146" i="68"/>
  <c r="AA143" i="68"/>
  <c r="AA138" i="68"/>
  <c r="AA139" i="68"/>
  <c r="AA140" i="68"/>
  <c r="AA135" i="68"/>
  <c r="AA133" i="68"/>
  <c r="AA129" i="68"/>
  <c r="AA123" i="68"/>
  <c r="AA124" i="68"/>
  <c r="AA125" i="68"/>
  <c r="AA126" i="68"/>
  <c r="AA127" i="68"/>
  <c r="AA121" i="68"/>
  <c r="AA119" i="68"/>
  <c r="AA116" i="68"/>
  <c r="AA117" i="68"/>
  <c r="AA90" i="68"/>
  <c r="AA87" i="68"/>
  <c r="AA88" i="68"/>
  <c r="AA85" i="68"/>
  <c r="AA78" i="68"/>
  <c r="AA79" i="68"/>
  <c r="AA75" i="68"/>
  <c r="AA76" i="68"/>
  <c r="AA71" i="68"/>
  <c r="AA69" i="68"/>
  <c r="AA65" i="68"/>
  <c r="AA66" i="68"/>
  <c r="AA54" i="68"/>
  <c r="AA55" i="68"/>
  <c r="AA58" i="68"/>
  <c r="AA51" i="68"/>
  <c r="AA52" i="68"/>
  <c r="AA10" i="68"/>
  <c r="AA30" i="68" s="1"/>
  <c r="AJ45" i="68"/>
  <c r="AI45" i="68"/>
  <c r="AH45" i="68"/>
  <c r="AF45" i="68"/>
  <c r="AE45" i="68"/>
  <c r="AD45" i="68"/>
  <c r="AC45" i="68"/>
  <c r="AB45" i="68"/>
  <c r="AA45" i="68"/>
  <c r="Z45" i="68"/>
  <c r="Y45" i="68"/>
  <c r="AA42" i="68"/>
  <c r="AA9" i="68" s="1"/>
  <c r="AA41" i="68"/>
  <c r="AA8" i="68" s="1"/>
  <c r="Z30" i="68"/>
  <c r="Z50" i="68"/>
  <c r="Z148" i="68"/>
  <c r="Z112" i="68"/>
  <c r="AA63" i="87"/>
  <c r="AA63" i="124" s="1"/>
  <c r="AA152" i="87"/>
  <c r="AA149" i="87"/>
  <c r="AA147" i="124"/>
  <c r="AA146" i="87"/>
  <c r="AA143" i="87"/>
  <c r="AA140" i="87"/>
  <c r="AA139" i="87"/>
  <c r="AA138" i="87"/>
  <c r="AA135" i="87"/>
  <c r="AA133" i="87"/>
  <c r="AA129" i="87"/>
  <c r="AA127" i="87"/>
  <c r="AA126" i="87"/>
  <c r="AA124" i="87"/>
  <c r="AA124" i="124" s="1"/>
  <c r="AA123" i="87"/>
  <c r="AA123" i="124" s="1"/>
  <c r="AA121" i="87"/>
  <c r="AA121" i="124" s="1"/>
  <c r="AA117" i="87"/>
  <c r="AA117" i="124" s="1"/>
  <c r="AA116" i="87"/>
  <c r="AA116" i="124" s="1"/>
  <c r="AA113" i="124"/>
  <c r="AA10" i="87"/>
  <c r="AA85" i="87"/>
  <c r="AA79" i="87"/>
  <c r="AA79" i="124" s="1"/>
  <c r="AA78" i="87"/>
  <c r="AA65" i="87"/>
  <c r="AA65" i="124" s="1"/>
  <c r="AJ45" i="87"/>
  <c r="AI45" i="87"/>
  <c r="AH45" i="87"/>
  <c r="AG45" i="87"/>
  <c r="AF45" i="87"/>
  <c r="AE45" i="87"/>
  <c r="AD45" i="87"/>
  <c r="AC45" i="87"/>
  <c r="AB45" i="87"/>
  <c r="AA45" i="87"/>
  <c r="Z45" i="87"/>
  <c r="Y45" i="87"/>
  <c r="AA108" i="124"/>
  <c r="AA109" i="124"/>
  <c r="AA110" i="124"/>
  <c r="AA111" i="124"/>
  <c r="AA8" i="87"/>
  <c r="AA88" i="87"/>
  <c r="AA88" i="124" s="1"/>
  <c r="AA87" i="87"/>
  <c r="AA87" i="124" s="1"/>
  <c r="AA81" i="124"/>
  <c r="AA76" i="124"/>
  <c r="AA75" i="87"/>
  <c r="AA75" i="124" s="1"/>
  <c r="Z78" i="124"/>
  <c r="Z78" i="174"/>
  <c r="Z94" i="174"/>
  <c r="Z85" i="174"/>
  <c r="Z85" i="124"/>
  <c r="Z143" i="124"/>
  <c r="Z143" i="174"/>
  <c r="Z146" i="124"/>
  <c r="Z146" i="174"/>
  <c r="Z126" i="124"/>
  <c r="Z10" i="174"/>
  <c r="Z30" i="87"/>
  <c r="AA69" i="87"/>
  <c r="AA69" i="124" s="1"/>
  <c r="AA66" i="87"/>
  <c r="AA66" i="124" s="1"/>
  <c r="AA58" i="87"/>
  <c r="AA58" i="124" s="1"/>
  <c r="AA54" i="87"/>
  <c r="AA54" i="124" s="1"/>
  <c r="AA52" i="87"/>
  <c r="AA52" i="124" s="1"/>
  <c r="AA51" i="87"/>
  <c r="AA51" i="124" s="1"/>
  <c r="AA155" i="87"/>
  <c r="AA155" i="124" s="1"/>
  <c r="AA126" i="124"/>
  <c r="AA127" i="124"/>
  <c r="AA129" i="124"/>
  <c r="AA133" i="124"/>
  <c r="AA135" i="124"/>
  <c r="AA138" i="124"/>
  <c r="AA139" i="124"/>
  <c r="AA140" i="124"/>
  <c r="AA142" i="124"/>
  <c r="Z112" i="87"/>
  <c r="Z81" i="174"/>
  <c r="Z76" i="174"/>
  <c r="Z52" i="174"/>
  <c r="Z113" i="174"/>
  <c r="Z58" i="174"/>
  <c r="Z97" i="174"/>
  <c r="Z88" i="174"/>
  <c r="Z50" i="87"/>
  <c r="Z51" i="174"/>
  <c r="Z142" i="174"/>
  <c r="Z140" i="174"/>
  <c r="Z139" i="174"/>
  <c r="Z138" i="174"/>
  <c r="Z135" i="174"/>
  <c r="Z133" i="174"/>
  <c r="Z129" i="174"/>
  <c r="Z127" i="174"/>
  <c r="Z126" i="174"/>
  <c r="Z124" i="174"/>
  <c r="Z123" i="174"/>
  <c r="Z121" i="174"/>
  <c r="Z117" i="174"/>
  <c r="Z116" i="174"/>
  <c r="Z96" i="174"/>
  <c r="Z87" i="174"/>
  <c r="Z66" i="174"/>
  <c r="Z75" i="174"/>
  <c r="Z155" i="174"/>
  <c r="Z79" i="174"/>
  <c r="Z112" i="85"/>
  <c r="Z50" i="85"/>
  <c r="AA55" i="87"/>
  <c r="AA55" i="124" s="1"/>
  <c r="AA71" i="87"/>
  <c r="AA71" i="124" s="1"/>
  <c r="AA154" i="87"/>
  <c r="AA154" i="124" s="1"/>
  <c r="AA152" i="124"/>
  <c r="AA125" i="87"/>
  <c r="AA125" i="124" s="1"/>
  <c r="AA119" i="87"/>
  <c r="AA119" i="124" s="1"/>
  <c r="AA90" i="87"/>
  <c r="AA90" i="124" s="1"/>
  <c r="AA56" i="124"/>
  <c r="Z69" i="174"/>
  <c r="Z56" i="174"/>
  <c r="Z63" i="174"/>
  <c r="Z65" i="174"/>
  <c r="Z99" i="174"/>
  <c r="Z90" i="174"/>
  <c r="Z119" i="174"/>
  <c r="Z125" i="174"/>
  <c r="Z147" i="174"/>
  <c r="Z152" i="174"/>
  <c r="Z154" i="174"/>
  <c r="Z71" i="174"/>
  <c r="Z55" i="174"/>
  <c r="AB40" i="68"/>
  <c r="AB7" i="68" s="1"/>
  <c r="AA40" i="68"/>
  <c r="AA7" i="68" s="1"/>
  <c r="Z39" i="68"/>
  <c r="Z28" i="68"/>
  <c r="Z25" i="68"/>
  <c r="Z23" i="68"/>
  <c r="Z29" i="68"/>
  <c r="Z26" i="68"/>
  <c r="Z24" i="68"/>
  <c r="Z27" i="68"/>
  <c r="Z91" i="68"/>
  <c r="Z107" i="68"/>
  <c r="AA40" i="86"/>
  <c r="AA7" i="86" s="1"/>
  <c r="Z39" i="86"/>
  <c r="Z28" i="86"/>
  <c r="Z25" i="86"/>
  <c r="Z23" i="86"/>
  <c r="Z27" i="86"/>
  <c r="Z91" i="86"/>
  <c r="Z107" i="86"/>
  <c r="AA148" i="85"/>
  <c r="Z91" i="85"/>
  <c r="Z107" i="85"/>
  <c r="Z27" i="174"/>
  <c r="Z27" i="124"/>
  <c r="Z42" i="174"/>
  <c r="Z42" i="124"/>
  <c r="Z41" i="174"/>
  <c r="Z41" i="124"/>
  <c r="Z40" i="174"/>
  <c r="Z40" i="124"/>
  <c r="Z54" i="174"/>
  <c r="Z50" i="174" s="1"/>
  <c r="Z150" i="174"/>
  <c r="Z149" i="174"/>
  <c r="Z153" i="174"/>
  <c r="Z107" i="174"/>
  <c r="AA7" i="87"/>
  <c r="AA149" i="124"/>
  <c r="AA101" i="174"/>
  <c r="AA102" i="174"/>
  <c r="AA103" i="174"/>
  <c r="AA104" i="174"/>
  <c r="AA105" i="174"/>
  <c r="AA106" i="174"/>
  <c r="AA108" i="174"/>
  <c r="AA109" i="174"/>
  <c r="AA110" i="174"/>
  <c r="AA111" i="174"/>
  <c r="Z91" i="87"/>
  <c r="Z100" i="174" s="1"/>
  <c r="Z91" i="174" s="1"/>
  <c r="Z107" i="87"/>
  <c r="Z148" i="87"/>
  <c r="Z157" i="87" s="1"/>
  <c r="Z10" i="124"/>
  <c r="AB1" i="87"/>
  <c r="AB1" i="85"/>
  <c r="AB1" i="86"/>
  <c r="Z26" i="87"/>
  <c r="Z24" i="87"/>
  <c r="Z29" i="87"/>
  <c r="Z25" i="87"/>
  <c r="Z39" i="87"/>
  <c r="Z28" i="87"/>
  <c r="Z23" i="87"/>
  <c r="AA27" i="87"/>
  <c r="AC1" i="87"/>
  <c r="AC1" i="68"/>
  <c r="AC1" i="86"/>
  <c r="AC1" i="85"/>
  <c r="Z157" i="85" l="1"/>
  <c r="Z157" i="86"/>
  <c r="Z157" i="68"/>
  <c r="AA107" i="124"/>
  <c r="AA91" i="124"/>
  <c r="AC56" i="85"/>
  <c r="AC142" i="85"/>
  <c r="AB56" i="85"/>
  <c r="AB142" i="85"/>
  <c r="AC56" i="86"/>
  <c r="AC142" i="86"/>
  <c r="AG46" i="86"/>
  <c r="AB56" i="86"/>
  <c r="AB142" i="86"/>
  <c r="AC56" i="68"/>
  <c r="AC142" i="68"/>
  <c r="AG46" i="68"/>
  <c r="AC57" i="68"/>
  <c r="AC57" i="87"/>
  <c r="AC142" i="87"/>
  <c r="AC56" i="87"/>
  <c r="AB57" i="87"/>
  <c r="AB142" i="87"/>
  <c r="AB56" i="87"/>
  <c r="Z39" i="124"/>
  <c r="AC57" i="124"/>
  <c r="AC57" i="174"/>
  <c r="AB57" i="124"/>
  <c r="AB57" i="174"/>
  <c r="AC92" i="85"/>
  <c r="AC93" i="85"/>
  <c r="AC94" i="85"/>
  <c r="AC95" i="85"/>
  <c r="AC96" i="85"/>
  <c r="AC97" i="85"/>
  <c r="AC98" i="85"/>
  <c r="AC99" i="85"/>
  <c r="AC100" i="85"/>
  <c r="AC101" i="85"/>
  <c r="AC102" i="85"/>
  <c r="AC103" i="85"/>
  <c r="AC104" i="85"/>
  <c r="AC105" i="85"/>
  <c r="AC106" i="85"/>
  <c r="AC108" i="85"/>
  <c r="AC109" i="85"/>
  <c r="AC110" i="85"/>
  <c r="AC111" i="85"/>
  <c r="AB92" i="85"/>
  <c r="AB93" i="85"/>
  <c r="AB94" i="85"/>
  <c r="AB95" i="85"/>
  <c r="AB96" i="85"/>
  <c r="AB97" i="85"/>
  <c r="AB98" i="85"/>
  <c r="AB99" i="85"/>
  <c r="AB100" i="85"/>
  <c r="AB101" i="85"/>
  <c r="AB102" i="85"/>
  <c r="AB103" i="85"/>
  <c r="AB104" i="85"/>
  <c r="AB105" i="85"/>
  <c r="AB106" i="85"/>
  <c r="AB108" i="85"/>
  <c r="AB109" i="85"/>
  <c r="AB110" i="85"/>
  <c r="AB111" i="85"/>
  <c r="AC92" i="86"/>
  <c r="AC93" i="86"/>
  <c r="AC94" i="86"/>
  <c r="AC95" i="86"/>
  <c r="AC96" i="86"/>
  <c r="AC97" i="86"/>
  <c r="AC98" i="86"/>
  <c r="AC99" i="86"/>
  <c r="AC100" i="86"/>
  <c r="AC101" i="86"/>
  <c r="AC102" i="86"/>
  <c r="AC103" i="86"/>
  <c r="AC104" i="86"/>
  <c r="AC105" i="86"/>
  <c r="AC106" i="86"/>
  <c r="AC108" i="86"/>
  <c r="AC109" i="86"/>
  <c r="AC110" i="86"/>
  <c r="AC111" i="86"/>
  <c r="AB92" i="86"/>
  <c r="AB93" i="86"/>
  <c r="AB94" i="86"/>
  <c r="AB95" i="86"/>
  <c r="AB96" i="86"/>
  <c r="AB97" i="86"/>
  <c r="AB98" i="86"/>
  <c r="AB99" i="86"/>
  <c r="AB100" i="86"/>
  <c r="AB101" i="86"/>
  <c r="AB102" i="86"/>
  <c r="AB103" i="86"/>
  <c r="AB104" i="86"/>
  <c r="AB105" i="86"/>
  <c r="AB106" i="86"/>
  <c r="AB108" i="86"/>
  <c r="AB109" i="86"/>
  <c r="AB110" i="86"/>
  <c r="AB111" i="86"/>
  <c r="AC92" i="68"/>
  <c r="AC93" i="68"/>
  <c r="AC94" i="68"/>
  <c r="AC95" i="68"/>
  <c r="AC96" i="68"/>
  <c r="AC97" i="68"/>
  <c r="AC98" i="68"/>
  <c r="AC99" i="68"/>
  <c r="AC100" i="68"/>
  <c r="AC101" i="68"/>
  <c r="AC102" i="68"/>
  <c r="AC103" i="68"/>
  <c r="AC104" i="68"/>
  <c r="AC105" i="68"/>
  <c r="AC106" i="68"/>
  <c r="AC108" i="68"/>
  <c r="AC109" i="68"/>
  <c r="AC110" i="68"/>
  <c r="AC111" i="68"/>
  <c r="AC42" i="87"/>
  <c r="AC41" i="87"/>
  <c r="AC40" i="87"/>
  <c r="AB42" i="87"/>
  <c r="AB41" i="87"/>
  <c r="AB40" i="87"/>
  <c r="AC113" i="87"/>
  <c r="AC92" i="87"/>
  <c r="AC92" i="124" s="1"/>
  <c r="AC93" i="87"/>
  <c r="AC93" i="124" s="1"/>
  <c r="AC94" i="87"/>
  <c r="AC94" i="124" s="1"/>
  <c r="AC95" i="87"/>
  <c r="AC95" i="124" s="1"/>
  <c r="AC96" i="87"/>
  <c r="AC96" i="124" s="1"/>
  <c r="AC97" i="87"/>
  <c r="AC97" i="124" s="1"/>
  <c r="AC98" i="87"/>
  <c r="AC98" i="124" s="1"/>
  <c r="AC99" i="87"/>
  <c r="AC99" i="124" s="1"/>
  <c r="AC100" i="87"/>
  <c r="AC100" i="124" s="1"/>
  <c r="AC101" i="87"/>
  <c r="AC101" i="124" s="1"/>
  <c r="AC102" i="87"/>
  <c r="AC102" i="124" s="1"/>
  <c r="AC103" i="87"/>
  <c r="AC103" i="124" s="1"/>
  <c r="AC104" i="87"/>
  <c r="AC104" i="124" s="1"/>
  <c r="AC105" i="87"/>
  <c r="AC105" i="124" s="1"/>
  <c r="AC106" i="87"/>
  <c r="AC106" i="124" s="1"/>
  <c r="AC108" i="87"/>
  <c r="AC109" i="87"/>
  <c r="AC110" i="87"/>
  <c r="AC111" i="87"/>
  <c r="AB113" i="87"/>
  <c r="AB92" i="87"/>
  <c r="AB92" i="124" s="1"/>
  <c r="AB93" i="87"/>
  <c r="AB93" i="124" s="1"/>
  <c r="AB94" i="87"/>
  <c r="AB94" i="124" s="1"/>
  <c r="AB95" i="87"/>
  <c r="AB95" i="124" s="1"/>
  <c r="AB96" i="87"/>
  <c r="AB96" i="124" s="1"/>
  <c r="AB97" i="87"/>
  <c r="AB97" i="124" s="1"/>
  <c r="AB98" i="87"/>
  <c r="AB98" i="124" s="1"/>
  <c r="AB99" i="87"/>
  <c r="AB99" i="124" s="1"/>
  <c r="AB100" i="87"/>
  <c r="AB100" i="124" s="1"/>
  <c r="AB101" i="87"/>
  <c r="AB101" i="124" s="1"/>
  <c r="AB102" i="87"/>
  <c r="AB102" i="124" s="1"/>
  <c r="AB103" i="87"/>
  <c r="AB103" i="124" s="1"/>
  <c r="AB104" i="87"/>
  <c r="AB104" i="124" s="1"/>
  <c r="AB105" i="87"/>
  <c r="AB105" i="124" s="1"/>
  <c r="AB106" i="87"/>
  <c r="AB106" i="124" s="1"/>
  <c r="AB108" i="87"/>
  <c r="AB109" i="87"/>
  <c r="AB110" i="87"/>
  <c r="AB111" i="87"/>
  <c r="AC113" i="85"/>
  <c r="AC63" i="85"/>
  <c r="AC90" i="85"/>
  <c r="AC87" i="85"/>
  <c r="AC88" i="85"/>
  <c r="AC85" i="85"/>
  <c r="AC78" i="85"/>
  <c r="AC79" i="85"/>
  <c r="AC75" i="85"/>
  <c r="AC76" i="85"/>
  <c r="AC71" i="85"/>
  <c r="AC69" i="85"/>
  <c r="AC65" i="85"/>
  <c r="AC66" i="85"/>
  <c r="AC54" i="85"/>
  <c r="AC55" i="85"/>
  <c r="AC58" i="85"/>
  <c r="AC51" i="85"/>
  <c r="AC52" i="85"/>
  <c r="AC152" i="85"/>
  <c r="AC154" i="85"/>
  <c r="AC155" i="85"/>
  <c r="AC149" i="85"/>
  <c r="AC146" i="85"/>
  <c r="AC143" i="85"/>
  <c r="AC138" i="85"/>
  <c r="AC139" i="85"/>
  <c r="AC140" i="85"/>
  <c r="AC135" i="85"/>
  <c r="AC133" i="85"/>
  <c r="AC129" i="85"/>
  <c r="AC123" i="85"/>
  <c r="AC124" i="85"/>
  <c r="AC125" i="85"/>
  <c r="AC126" i="85"/>
  <c r="AC127" i="85"/>
  <c r="AC121" i="85"/>
  <c r="AC119" i="85"/>
  <c r="AC116" i="85"/>
  <c r="AC117" i="85"/>
  <c r="AC10" i="85"/>
  <c r="AC30" i="85" s="1"/>
  <c r="AJ46" i="85"/>
  <c r="AI46" i="85"/>
  <c r="AH46" i="85"/>
  <c r="AG46" i="85"/>
  <c r="AF46" i="85"/>
  <c r="AE46" i="85"/>
  <c r="AD46" i="85"/>
  <c r="AC46" i="85"/>
  <c r="AB46" i="85"/>
  <c r="AA46" i="85"/>
  <c r="Z46" i="85"/>
  <c r="Z37" i="85" s="1"/>
  <c r="Y46" i="85"/>
  <c r="Y37" i="85" s="1"/>
  <c r="AC42" i="85"/>
  <c r="AC41" i="85"/>
  <c r="AC40" i="85"/>
  <c r="AB113" i="85"/>
  <c r="AB63" i="85"/>
  <c r="AB90" i="85"/>
  <c r="AB87" i="85"/>
  <c r="AB88" i="85"/>
  <c r="AB85" i="85"/>
  <c r="AB78" i="85"/>
  <c r="AB79" i="85"/>
  <c r="AB75" i="85"/>
  <c r="AB76" i="85"/>
  <c r="AB71" i="85"/>
  <c r="AB69" i="85"/>
  <c r="AB65" i="85"/>
  <c r="AB66" i="85"/>
  <c r="AB54" i="85"/>
  <c r="AB55" i="85"/>
  <c r="AB58" i="85"/>
  <c r="AB51" i="85"/>
  <c r="AB52" i="85"/>
  <c r="AB152" i="85"/>
  <c r="AB154" i="85"/>
  <c r="AB155" i="85"/>
  <c r="AB149" i="85"/>
  <c r="AB146" i="85"/>
  <c r="AB143" i="85"/>
  <c r="AB138" i="85"/>
  <c r="AB139" i="85"/>
  <c r="AB140" i="85"/>
  <c r="AB135" i="85"/>
  <c r="AB133" i="85"/>
  <c r="AB129" i="85"/>
  <c r="AB123" i="85"/>
  <c r="AB124" i="85"/>
  <c r="AB125" i="85"/>
  <c r="AB126" i="85"/>
  <c r="AB127" i="85"/>
  <c r="AB121" i="85"/>
  <c r="AB119" i="85"/>
  <c r="AB116" i="85"/>
  <c r="AB117" i="85"/>
  <c r="AB10" i="85"/>
  <c r="AB42" i="85"/>
  <c r="AB41" i="85"/>
  <c r="AB40" i="85"/>
  <c r="AA7" i="85"/>
  <c r="AA39" i="85"/>
  <c r="AA35" i="85"/>
  <c r="AA28" i="85"/>
  <c r="AA25" i="85"/>
  <c r="AA23" i="85"/>
  <c r="AA8" i="85"/>
  <c r="AA36" i="85"/>
  <c r="AA29" i="85"/>
  <c r="AA26" i="85"/>
  <c r="AA24" i="85"/>
  <c r="AA9" i="85"/>
  <c r="AA37" i="85"/>
  <c r="AA27" i="85"/>
  <c r="AC113" i="86"/>
  <c r="AC63" i="86"/>
  <c r="AC152" i="86"/>
  <c r="AC154" i="86"/>
  <c r="AC155" i="86"/>
  <c r="AC149" i="86"/>
  <c r="AC148" i="86" s="1"/>
  <c r="AC146" i="86"/>
  <c r="AC143" i="86"/>
  <c r="AC138" i="86"/>
  <c r="AC139" i="86"/>
  <c r="AC140" i="86"/>
  <c r="AC135" i="86"/>
  <c r="AC133" i="86"/>
  <c r="AC129" i="86"/>
  <c r="AC123" i="86"/>
  <c r="AC124" i="86"/>
  <c r="AC125" i="86"/>
  <c r="AC126" i="86"/>
  <c r="AC127" i="86"/>
  <c r="AC121" i="86"/>
  <c r="AC119" i="86"/>
  <c r="AC116" i="86"/>
  <c r="AC117" i="86"/>
  <c r="AC90" i="86"/>
  <c r="AC87" i="86"/>
  <c r="AC88" i="86"/>
  <c r="AC85" i="86"/>
  <c r="AC78" i="86"/>
  <c r="AC79" i="86"/>
  <c r="AC75" i="86"/>
  <c r="AC76" i="86"/>
  <c r="AC71" i="86"/>
  <c r="AC69" i="86"/>
  <c r="AC65" i="86"/>
  <c r="AC66" i="86"/>
  <c r="AC54" i="86"/>
  <c r="AC55" i="86"/>
  <c r="AC58" i="86"/>
  <c r="AC51" i="86"/>
  <c r="AC52" i="86"/>
  <c r="AC10" i="86"/>
  <c r="AC30" i="86" s="1"/>
  <c r="AJ46" i="86"/>
  <c r="AI46" i="86"/>
  <c r="AH46" i="86"/>
  <c r="AF46" i="86"/>
  <c r="AE46" i="86"/>
  <c r="AD46" i="86"/>
  <c r="AC46" i="86"/>
  <c r="AB46" i="86"/>
  <c r="AA46" i="86"/>
  <c r="Z46" i="86"/>
  <c r="Y46" i="86"/>
  <c r="AC42" i="86"/>
  <c r="AC9" i="86" s="1"/>
  <c r="AC41" i="86"/>
  <c r="AB113" i="86"/>
  <c r="AB63" i="86"/>
  <c r="AB152" i="86"/>
  <c r="AB154" i="86"/>
  <c r="AB155" i="86"/>
  <c r="AB149" i="86"/>
  <c r="AB146" i="86"/>
  <c r="AB143" i="86"/>
  <c r="AB138" i="86"/>
  <c r="AB139" i="86"/>
  <c r="AB140" i="86"/>
  <c r="AB135" i="86"/>
  <c r="AB133" i="86"/>
  <c r="AB129" i="86"/>
  <c r="AB123" i="86"/>
  <c r="AB124" i="86"/>
  <c r="AB125" i="86"/>
  <c r="AB126" i="86"/>
  <c r="AB127" i="86"/>
  <c r="AB121" i="86"/>
  <c r="AB119" i="86"/>
  <c r="AB116" i="86"/>
  <c r="AB117" i="86"/>
  <c r="AB90" i="86"/>
  <c r="AB87" i="86"/>
  <c r="AB88" i="86"/>
  <c r="AB85" i="86"/>
  <c r="AB78" i="86"/>
  <c r="AB79" i="86"/>
  <c r="AB75" i="86"/>
  <c r="AB76" i="86"/>
  <c r="AB71" i="86"/>
  <c r="AB69" i="86"/>
  <c r="AB65" i="86"/>
  <c r="AB66" i="86"/>
  <c r="AB54" i="86"/>
  <c r="AB55" i="86"/>
  <c r="AB58" i="86"/>
  <c r="AB51" i="86"/>
  <c r="AB52" i="86"/>
  <c r="AB10" i="86"/>
  <c r="AB42" i="86"/>
  <c r="AB9" i="86" s="1"/>
  <c r="AB41" i="86"/>
  <c r="AA8" i="86"/>
  <c r="AA29" i="86"/>
  <c r="AA26" i="86"/>
  <c r="AA24" i="86"/>
  <c r="AA50" i="86"/>
  <c r="AA112" i="86"/>
  <c r="AC113" i="68"/>
  <c r="AC63" i="68"/>
  <c r="AC152" i="68"/>
  <c r="AC154" i="68"/>
  <c r="AC155" i="68"/>
  <c r="AC149" i="68"/>
  <c r="AC146" i="68"/>
  <c r="AC143" i="68"/>
  <c r="AC138" i="68"/>
  <c r="AC139" i="68"/>
  <c r="AC140" i="68"/>
  <c r="AC135" i="68"/>
  <c r="AC133" i="68"/>
  <c r="AC129" i="68"/>
  <c r="AC123" i="68"/>
  <c r="AC124" i="68"/>
  <c r="AC125" i="68"/>
  <c r="AC126" i="68"/>
  <c r="AC127" i="68"/>
  <c r="AC121" i="68"/>
  <c r="AC119" i="68"/>
  <c r="AC116" i="68"/>
  <c r="AC117" i="68"/>
  <c r="AC90" i="68"/>
  <c r="AC87" i="68"/>
  <c r="AC88" i="68"/>
  <c r="AC85" i="68"/>
  <c r="AC78" i="68"/>
  <c r="AC79" i="68"/>
  <c r="AC75" i="68"/>
  <c r="AC76" i="68"/>
  <c r="AC71" i="68"/>
  <c r="AC69" i="68"/>
  <c r="AC65" i="68"/>
  <c r="AC66" i="68"/>
  <c r="AC54" i="68"/>
  <c r="AC55" i="68"/>
  <c r="AC58" i="68"/>
  <c r="AC51" i="68"/>
  <c r="AC52" i="68"/>
  <c r="AC10" i="68"/>
  <c r="AJ46" i="68"/>
  <c r="AI46" i="68"/>
  <c r="AH46" i="68"/>
  <c r="AF46" i="68"/>
  <c r="AE46" i="68"/>
  <c r="AD46" i="68"/>
  <c r="AC46" i="68"/>
  <c r="AB46" i="68"/>
  <c r="AA46" i="68"/>
  <c r="Z46" i="68"/>
  <c r="Y46" i="68"/>
  <c r="AC42" i="68"/>
  <c r="AC9" i="68" s="1"/>
  <c r="AC41" i="68"/>
  <c r="AC8" i="68" s="1"/>
  <c r="AA50" i="68"/>
  <c r="AA112" i="68"/>
  <c r="AB50" i="68"/>
  <c r="AB112" i="68"/>
  <c r="AC63" i="87"/>
  <c r="AC63" i="124" s="1"/>
  <c r="AC152" i="87"/>
  <c r="AC149" i="87"/>
  <c r="AC147" i="124"/>
  <c r="AC146" i="87"/>
  <c r="AC143" i="87"/>
  <c r="AC140" i="87"/>
  <c r="AC139" i="87"/>
  <c r="AC138" i="87"/>
  <c r="AC135" i="87"/>
  <c r="AC133" i="87"/>
  <c r="AC129" i="87"/>
  <c r="AC127" i="87"/>
  <c r="AC126" i="87"/>
  <c r="AC124" i="87"/>
  <c r="AC124" i="124" s="1"/>
  <c r="AC123" i="87"/>
  <c r="AC123" i="124" s="1"/>
  <c r="AC121" i="87"/>
  <c r="AC121" i="124" s="1"/>
  <c r="AC117" i="87"/>
  <c r="AC117" i="124" s="1"/>
  <c r="AC116" i="87"/>
  <c r="AC116" i="124" s="1"/>
  <c r="AC113" i="124"/>
  <c r="AC10" i="87"/>
  <c r="AC85" i="87"/>
  <c r="AC79" i="87"/>
  <c r="AC79" i="124" s="1"/>
  <c r="AC78" i="87"/>
  <c r="AC65" i="87"/>
  <c r="AC65" i="124" s="1"/>
  <c r="AC108" i="124"/>
  <c r="AC109" i="124"/>
  <c r="AC110" i="124"/>
  <c r="AC111" i="124"/>
  <c r="AC8" i="87"/>
  <c r="AC88" i="87"/>
  <c r="AC88" i="124" s="1"/>
  <c r="AC87" i="87"/>
  <c r="AC87" i="124" s="1"/>
  <c r="AC81" i="124"/>
  <c r="AC76" i="124"/>
  <c r="AC75" i="87"/>
  <c r="AC75" i="124" s="1"/>
  <c r="AB63" i="87"/>
  <c r="AB63" i="124" s="1"/>
  <c r="AB152" i="87"/>
  <c r="AB149" i="87"/>
  <c r="AB147" i="124"/>
  <c r="AB146" i="87"/>
  <c r="AB143" i="87"/>
  <c r="AB140" i="87"/>
  <c r="AB139" i="87"/>
  <c r="AB138" i="87"/>
  <c r="AB135" i="87"/>
  <c r="AB133" i="87"/>
  <c r="AB129" i="87"/>
  <c r="AB127" i="87"/>
  <c r="AB126" i="87"/>
  <c r="AB124" i="87"/>
  <c r="AB124" i="124" s="1"/>
  <c r="AB123" i="87"/>
  <c r="AB123" i="124" s="1"/>
  <c r="AB121" i="87"/>
  <c r="AB121" i="124" s="1"/>
  <c r="AB117" i="87"/>
  <c r="AB117" i="124" s="1"/>
  <c r="AB116" i="87"/>
  <c r="AB116" i="124" s="1"/>
  <c r="AB113" i="124"/>
  <c r="AB10" i="87"/>
  <c r="AB85" i="87"/>
  <c r="AB79" i="87"/>
  <c r="AB79" i="124" s="1"/>
  <c r="AB78" i="87"/>
  <c r="AB65" i="87"/>
  <c r="AB65" i="124" s="1"/>
  <c r="AB108" i="124"/>
  <c r="AB109" i="124"/>
  <c r="AB110" i="124"/>
  <c r="AB111" i="124"/>
  <c r="AB8" i="87"/>
  <c r="AB88" i="87"/>
  <c r="AB88" i="124" s="1"/>
  <c r="AB87" i="87"/>
  <c r="AB87" i="124" s="1"/>
  <c r="AB81" i="124"/>
  <c r="AB76" i="124"/>
  <c r="AB75" i="87"/>
  <c r="AB75" i="124" s="1"/>
  <c r="AA78" i="124"/>
  <c r="AA78" i="174"/>
  <c r="AA94" i="174"/>
  <c r="AA85" i="174"/>
  <c r="AA85" i="124"/>
  <c r="AA143" i="124"/>
  <c r="AA143" i="174"/>
  <c r="AA146" i="124"/>
  <c r="AA146" i="174"/>
  <c r="Z159" i="86"/>
  <c r="Z159" i="68"/>
  <c r="Z258" i="174"/>
  <c r="Z112" i="174"/>
  <c r="AA10" i="174"/>
  <c r="AA30" i="87"/>
  <c r="AC69" i="87"/>
  <c r="AC69" i="124" s="1"/>
  <c r="AC66" i="87"/>
  <c r="AC66" i="124" s="1"/>
  <c r="AB69" i="87"/>
  <c r="AB69" i="124" s="1"/>
  <c r="AB66" i="87"/>
  <c r="AB66" i="124" s="1"/>
  <c r="AC58" i="87"/>
  <c r="AC58" i="124" s="1"/>
  <c r="AC54" i="87"/>
  <c r="AC54" i="124" s="1"/>
  <c r="AC52" i="87"/>
  <c r="AC52" i="124" s="1"/>
  <c r="AC51" i="87"/>
  <c r="AC51" i="124" s="1"/>
  <c r="AB58" i="87"/>
  <c r="AB58" i="124" s="1"/>
  <c r="AB54" i="87"/>
  <c r="AB54" i="124" s="1"/>
  <c r="AB52" i="87"/>
  <c r="AB52" i="124" s="1"/>
  <c r="AB51" i="87"/>
  <c r="AB51" i="124" s="1"/>
  <c r="AC155" i="87"/>
  <c r="AC155" i="124" s="1"/>
  <c r="AC126" i="124"/>
  <c r="AC127" i="124"/>
  <c r="AC129" i="124"/>
  <c r="AC133" i="124"/>
  <c r="AC135" i="124"/>
  <c r="AC138" i="124"/>
  <c r="AC139" i="124"/>
  <c r="AC140" i="124"/>
  <c r="AC142" i="124"/>
  <c r="AB155" i="87"/>
  <c r="AB155" i="124" s="1"/>
  <c r="AB126" i="124"/>
  <c r="AB127" i="124"/>
  <c r="AB129" i="124"/>
  <c r="AB133" i="124"/>
  <c r="AB135" i="124"/>
  <c r="AB138" i="124"/>
  <c r="AB139" i="124"/>
  <c r="AB140" i="124"/>
  <c r="AB142" i="124"/>
  <c r="AA112" i="87"/>
  <c r="Z257" i="174"/>
  <c r="Z254" i="174"/>
  <c r="Z291" i="174"/>
  <c r="Z338" i="174" s="1"/>
  <c r="Z341" i="174" s="1"/>
  <c r="Z260" i="174"/>
  <c r="Z261" i="174" s="1"/>
  <c r="Z259" i="174"/>
  <c r="AA81" i="174"/>
  <c r="AA76" i="174"/>
  <c r="AA52" i="174"/>
  <c r="AA113" i="174"/>
  <c r="AA58" i="174"/>
  <c r="AA97" i="174"/>
  <c r="AA88" i="174"/>
  <c r="AA50" i="87"/>
  <c r="AA51" i="174"/>
  <c r="AA142" i="174"/>
  <c r="AA140" i="174"/>
  <c r="AA139" i="174"/>
  <c r="AA138" i="174"/>
  <c r="AA135" i="174"/>
  <c r="AA133" i="174"/>
  <c r="AA129" i="174"/>
  <c r="AA127" i="174"/>
  <c r="AA126" i="174"/>
  <c r="AA124" i="174"/>
  <c r="AA123" i="174"/>
  <c r="AA121" i="174"/>
  <c r="AA117" i="174"/>
  <c r="AA116" i="174"/>
  <c r="AA96" i="174"/>
  <c r="AA87" i="174"/>
  <c r="AA66" i="174"/>
  <c r="AA75" i="174"/>
  <c r="AA155" i="174"/>
  <c r="AA79" i="174"/>
  <c r="AA112" i="85"/>
  <c r="AA50" i="85"/>
  <c r="AC55" i="87"/>
  <c r="AC55" i="124" s="1"/>
  <c r="AC71" i="87"/>
  <c r="AC71" i="124" s="1"/>
  <c r="AC154" i="87"/>
  <c r="AC154" i="124" s="1"/>
  <c r="AC152" i="124"/>
  <c r="AC125" i="87"/>
  <c r="AC125" i="124" s="1"/>
  <c r="AC119" i="87"/>
  <c r="AC119" i="124" s="1"/>
  <c r="AC90" i="87"/>
  <c r="AC90" i="124" s="1"/>
  <c r="AC56" i="124"/>
  <c r="AB55" i="87"/>
  <c r="AB55" i="124" s="1"/>
  <c r="AB71" i="87"/>
  <c r="AB71" i="124" s="1"/>
  <c r="AB154" i="87"/>
  <c r="AB154" i="124" s="1"/>
  <c r="AB152" i="124"/>
  <c r="AB125" i="87"/>
  <c r="AB125" i="124" s="1"/>
  <c r="AB119" i="87"/>
  <c r="AB119" i="124" s="1"/>
  <c r="AB90" i="87"/>
  <c r="AB90" i="124" s="1"/>
  <c r="AB56" i="124"/>
  <c r="AA69" i="174"/>
  <c r="AA56" i="174"/>
  <c r="AA63" i="174"/>
  <c r="AA65" i="174"/>
  <c r="AA99" i="174"/>
  <c r="AA90" i="174"/>
  <c r="AA119" i="174"/>
  <c r="AA125" i="174"/>
  <c r="AA147" i="174"/>
  <c r="AA152" i="174"/>
  <c r="AA154" i="174"/>
  <c r="AA71" i="174"/>
  <c r="AA55" i="174"/>
  <c r="AC40" i="68"/>
  <c r="AC7" i="68" s="1"/>
  <c r="Z158" i="68"/>
  <c r="AA39" i="68"/>
  <c r="AA28" i="68"/>
  <c r="AA25" i="68"/>
  <c r="AA23" i="68"/>
  <c r="AA29" i="68"/>
  <c r="AA26" i="68"/>
  <c r="AA24" i="68"/>
  <c r="AA27" i="68"/>
  <c r="AA91" i="68"/>
  <c r="AA107" i="68"/>
  <c r="AB39" i="68"/>
  <c r="AB28" i="68"/>
  <c r="AB25" i="68"/>
  <c r="AB23" i="68"/>
  <c r="AB29" i="68"/>
  <c r="AB26" i="68"/>
  <c r="AB24" i="68"/>
  <c r="AB27" i="68"/>
  <c r="AB91" i="68"/>
  <c r="AB107" i="68"/>
  <c r="AC40" i="86"/>
  <c r="AC7" i="86" s="1"/>
  <c r="AB40" i="86"/>
  <c r="AB7" i="86" s="1"/>
  <c r="Z158" i="86"/>
  <c r="AA39" i="86"/>
  <c r="AA28" i="86"/>
  <c r="AA25" i="86"/>
  <c r="AA23" i="86"/>
  <c r="AA27" i="86"/>
  <c r="AA91" i="86"/>
  <c r="AA107" i="86"/>
  <c r="AC148" i="85"/>
  <c r="AB148" i="85"/>
  <c r="Z159" i="85"/>
  <c r="AA91" i="85"/>
  <c r="AA107" i="85"/>
  <c r="AA27" i="174"/>
  <c r="AA27" i="124"/>
  <c r="Z23" i="174"/>
  <c r="Z23" i="124"/>
  <c r="Z28" i="174"/>
  <c r="Z28" i="124"/>
  <c r="Z25" i="174"/>
  <c r="Z25" i="124"/>
  <c r="Z29" i="174"/>
  <c r="Z29" i="124"/>
  <c r="Z24" i="174"/>
  <c r="Z24" i="124"/>
  <c r="Z26" i="174"/>
  <c r="Z26" i="124"/>
  <c r="Z30" i="174"/>
  <c r="Z30" i="124"/>
  <c r="AA42" i="174"/>
  <c r="AA42" i="124"/>
  <c r="AA41" i="174"/>
  <c r="AA41" i="124"/>
  <c r="AA40" i="174"/>
  <c r="AA40" i="124"/>
  <c r="AA54" i="174"/>
  <c r="AA50" i="174" s="1"/>
  <c r="Z148" i="174"/>
  <c r="Z156" i="174" s="1"/>
  <c r="AA150" i="174"/>
  <c r="AA149" i="174"/>
  <c r="AA153" i="174"/>
  <c r="AA107" i="174"/>
  <c r="Z158" i="174"/>
  <c r="Z157" i="174"/>
  <c r="AC7" i="87"/>
  <c r="AC149" i="124"/>
  <c r="AC101" i="174"/>
  <c r="AC102" i="174"/>
  <c r="AC103" i="174"/>
  <c r="AC104" i="174"/>
  <c r="AC105" i="174"/>
  <c r="AC106" i="174"/>
  <c r="AC108" i="174"/>
  <c r="AC109" i="174"/>
  <c r="AC110" i="174"/>
  <c r="AC111" i="174"/>
  <c r="AB7" i="87"/>
  <c r="AB149" i="124"/>
  <c r="AB101" i="174"/>
  <c r="AB102" i="174"/>
  <c r="AB103" i="174"/>
  <c r="AB104" i="174"/>
  <c r="AB105" i="174"/>
  <c r="AB106" i="174"/>
  <c r="AB108" i="174"/>
  <c r="AB109" i="174"/>
  <c r="AB110" i="174"/>
  <c r="AB111" i="174"/>
  <c r="AA91" i="87"/>
  <c r="AA100" i="174" s="1"/>
  <c r="AA91" i="174" s="1"/>
  <c r="AA107" i="87"/>
  <c r="AA148" i="87"/>
  <c r="AA157" i="87" s="1"/>
  <c r="AA10" i="124"/>
  <c r="AB26" i="87"/>
  <c r="AB29" i="87"/>
  <c r="AB24" i="87"/>
  <c r="AB25" i="87"/>
  <c r="AB28" i="87"/>
  <c r="AB23" i="87"/>
  <c r="AB39" i="87"/>
  <c r="AA29" i="87"/>
  <c r="AA24" i="87"/>
  <c r="AA26" i="87"/>
  <c r="AA25" i="87"/>
  <c r="AA28" i="87"/>
  <c r="AA23" i="87"/>
  <c r="AA39" i="87"/>
  <c r="AC27" i="87"/>
  <c r="AD1" i="87"/>
  <c r="AD1" i="68"/>
  <c r="AD1" i="86"/>
  <c r="AD1" i="85"/>
  <c r="J14" i="124"/>
  <c r="J13" i="124" s="1"/>
  <c r="K7" i="124"/>
  <c r="L7" i="124"/>
  <c r="M7" i="124"/>
  <c r="N7" i="124"/>
  <c r="O7" i="124"/>
  <c r="P7" i="124"/>
  <c r="Q7" i="124"/>
  <c r="R7" i="124"/>
  <c r="S7" i="124"/>
  <c r="T7" i="124"/>
  <c r="U7" i="124"/>
  <c r="K8" i="124"/>
  <c r="L8" i="124"/>
  <c r="M8" i="124"/>
  <c r="N8" i="124"/>
  <c r="O8" i="124"/>
  <c r="P8" i="124"/>
  <c r="Q8" i="124"/>
  <c r="R8" i="124"/>
  <c r="S8" i="124"/>
  <c r="T8" i="124"/>
  <c r="U8" i="124"/>
  <c r="K9" i="124"/>
  <c r="K46" i="124" s="1"/>
  <c r="L9" i="124"/>
  <c r="L46" i="124" s="1"/>
  <c r="M9" i="124"/>
  <c r="M46" i="124" s="1"/>
  <c r="N9" i="124"/>
  <c r="N46" i="124" s="1"/>
  <c r="O9" i="124"/>
  <c r="O46" i="124" s="1"/>
  <c r="P9" i="124"/>
  <c r="P46" i="124" s="1"/>
  <c r="Q9" i="124"/>
  <c r="Q46" i="124" s="1"/>
  <c r="R9" i="124"/>
  <c r="S9" i="124"/>
  <c r="T9" i="124"/>
  <c r="U9" i="124"/>
  <c r="K10" i="124"/>
  <c r="L10" i="124"/>
  <c r="M10" i="124"/>
  <c r="N10" i="124"/>
  <c r="O10" i="124"/>
  <c r="P10" i="124"/>
  <c r="Q10" i="124"/>
  <c r="R10" i="124"/>
  <c r="S10" i="124"/>
  <c r="T10" i="124"/>
  <c r="U10" i="124"/>
  <c r="K11" i="124"/>
  <c r="L11" i="124"/>
  <c r="M11" i="124"/>
  <c r="N11" i="124"/>
  <c r="O11" i="124"/>
  <c r="P11" i="124"/>
  <c r="Q11" i="124"/>
  <c r="R11" i="124"/>
  <c r="S11" i="124"/>
  <c r="T11" i="124"/>
  <c r="U11" i="124"/>
  <c r="K12" i="124"/>
  <c r="L12" i="124"/>
  <c r="M12" i="124"/>
  <c r="N12" i="124"/>
  <c r="O12" i="124"/>
  <c r="P12" i="124"/>
  <c r="Q12" i="124"/>
  <c r="R12" i="124"/>
  <c r="S12" i="124"/>
  <c r="T12" i="124"/>
  <c r="U12" i="124"/>
  <c r="J8" i="124"/>
  <c r="J9" i="124"/>
  <c r="J10" i="124"/>
  <c r="J11" i="124"/>
  <c r="J12" i="124"/>
  <c r="AA157" i="85" l="1"/>
  <c r="AA157" i="86"/>
  <c r="AB157" i="68"/>
  <c r="AA157" i="68"/>
  <c r="AB107" i="124"/>
  <c r="AC107" i="124"/>
  <c r="AB91" i="124"/>
  <c r="AC91" i="124"/>
  <c r="AD56" i="85"/>
  <c r="AD142" i="85"/>
  <c r="AD56" i="86"/>
  <c r="AD142" i="86"/>
  <c r="AD56" i="68"/>
  <c r="AD142" i="68"/>
  <c r="AD57" i="68"/>
  <c r="AD57" i="87"/>
  <c r="AD142" i="87"/>
  <c r="AD56" i="87"/>
  <c r="AA39" i="124"/>
  <c r="AD57" i="124"/>
  <c r="AD57" i="174"/>
  <c r="AD92" i="85"/>
  <c r="AD93" i="85"/>
  <c r="AD94" i="85"/>
  <c r="AD95" i="85"/>
  <c r="AD96" i="85"/>
  <c r="AD97" i="85"/>
  <c r="AD98" i="85"/>
  <c r="AD99" i="85"/>
  <c r="AD100" i="85"/>
  <c r="AD101" i="85"/>
  <c r="AD102" i="85"/>
  <c r="AD103" i="85"/>
  <c r="AD104" i="85"/>
  <c r="AD105" i="85"/>
  <c r="AD106" i="85"/>
  <c r="AD108" i="85"/>
  <c r="AD109" i="85"/>
  <c r="AD110" i="85"/>
  <c r="AD111" i="85"/>
  <c r="AD92" i="86"/>
  <c r="AD93" i="86"/>
  <c r="AD94" i="86"/>
  <c r="AD95" i="86"/>
  <c r="AD96" i="86"/>
  <c r="AD97" i="86"/>
  <c r="AD98" i="86"/>
  <c r="AD99" i="86"/>
  <c r="AD100" i="86"/>
  <c r="AD101" i="86"/>
  <c r="AD102" i="86"/>
  <c r="AD103" i="86"/>
  <c r="AD104" i="86"/>
  <c r="AD105" i="86"/>
  <c r="AD106" i="86"/>
  <c r="AD108" i="86"/>
  <c r="AD109" i="86"/>
  <c r="AD110" i="86"/>
  <c r="AD111" i="86"/>
  <c r="AD92" i="68"/>
  <c r="AD93" i="68"/>
  <c r="AD94" i="68"/>
  <c r="AD95" i="68"/>
  <c r="AD96" i="68"/>
  <c r="AD97" i="68"/>
  <c r="AD98" i="68"/>
  <c r="AD99" i="68"/>
  <c r="AD100" i="68"/>
  <c r="AD101" i="68"/>
  <c r="AD102" i="68"/>
  <c r="AD103" i="68"/>
  <c r="AD104" i="68"/>
  <c r="AD105" i="68"/>
  <c r="AD106" i="68"/>
  <c r="AD108" i="68"/>
  <c r="AD109" i="68"/>
  <c r="AD110" i="68"/>
  <c r="AD111" i="68"/>
  <c r="AD42" i="87"/>
  <c r="AD41" i="87"/>
  <c r="AD40" i="87"/>
  <c r="AD113" i="87"/>
  <c r="AD92" i="87"/>
  <c r="AD92" i="124" s="1"/>
  <c r="AD93" i="87"/>
  <c r="AD93" i="124" s="1"/>
  <c r="AD94" i="87"/>
  <c r="AD94" i="124" s="1"/>
  <c r="AD95" i="87"/>
  <c r="AD95" i="124" s="1"/>
  <c r="AD96" i="87"/>
  <c r="AD96" i="124" s="1"/>
  <c r="AD97" i="87"/>
  <c r="AD97" i="124" s="1"/>
  <c r="AD98" i="87"/>
  <c r="AD98" i="124" s="1"/>
  <c r="AD99" i="87"/>
  <c r="AD99" i="124" s="1"/>
  <c r="AD100" i="87"/>
  <c r="AD100" i="124" s="1"/>
  <c r="AD101" i="87"/>
  <c r="AD101" i="124" s="1"/>
  <c r="AD102" i="87"/>
  <c r="AD102" i="124" s="1"/>
  <c r="AD103" i="87"/>
  <c r="AD103" i="124" s="1"/>
  <c r="AD104" i="87"/>
  <c r="AD104" i="124" s="1"/>
  <c r="AD105" i="87"/>
  <c r="AD105" i="124" s="1"/>
  <c r="AD106" i="87"/>
  <c r="AD106" i="124" s="1"/>
  <c r="AD108" i="87"/>
  <c r="AD109" i="87"/>
  <c r="AD110" i="87"/>
  <c r="AD111" i="87"/>
  <c r="Q45" i="124"/>
  <c r="P45" i="124"/>
  <c r="O45" i="124"/>
  <c r="N45" i="124"/>
  <c r="M45" i="124"/>
  <c r="L45" i="124"/>
  <c r="K45" i="124"/>
  <c r="Q44" i="124"/>
  <c r="P44" i="124"/>
  <c r="O44" i="124"/>
  <c r="N44" i="124"/>
  <c r="M44" i="124"/>
  <c r="L44" i="124"/>
  <c r="K44" i="124"/>
  <c r="AD113" i="85"/>
  <c r="AD63" i="85"/>
  <c r="AD90" i="85"/>
  <c r="AD87" i="85"/>
  <c r="AD88" i="85"/>
  <c r="AD85" i="85"/>
  <c r="AD78" i="85"/>
  <c r="AD79" i="85"/>
  <c r="AD75" i="85"/>
  <c r="AD76" i="85"/>
  <c r="AD71" i="85"/>
  <c r="AD69" i="85"/>
  <c r="AD65" i="85"/>
  <c r="AD66" i="85"/>
  <c r="AD54" i="85"/>
  <c r="AD55" i="85"/>
  <c r="AD58" i="85"/>
  <c r="AD51" i="85"/>
  <c r="AD52" i="85"/>
  <c r="AD152" i="85"/>
  <c r="AD154" i="85"/>
  <c r="AD155" i="85"/>
  <c r="AD149" i="85"/>
  <c r="AD146" i="85"/>
  <c r="AD143" i="85"/>
  <c r="AD138" i="85"/>
  <c r="AD139" i="85"/>
  <c r="AD140" i="85"/>
  <c r="AD135" i="85"/>
  <c r="AD133" i="85"/>
  <c r="AD129" i="85"/>
  <c r="AD123" i="85"/>
  <c r="AD124" i="85"/>
  <c r="AD125" i="85"/>
  <c r="AD126" i="85"/>
  <c r="AD127" i="85"/>
  <c r="AD121" i="85"/>
  <c r="AD119" i="85"/>
  <c r="AD116" i="85"/>
  <c r="AD117" i="85"/>
  <c r="AD10" i="85"/>
  <c r="AD30" i="85" s="1"/>
  <c r="AD42" i="85"/>
  <c r="AD41" i="85"/>
  <c r="AD40" i="85"/>
  <c r="AB7" i="85"/>
  <c r="AB39" i="85"/>
  <c r="AB35" i="85"/>
  <c r="AB28" i="85"/>
  <c r="AB25" i="85"/>
  <c r="AB23" i="85"/>
  <c r="AB8" i="85"/>
  <c r="AB36" i="85"/>
  <c r="AB29" i="85"/>
  <c r="AB26" i="85"/>
  <c r="AB24" i="85"/>
  <c r="AB9" i="85"/>
  <c r="AB37" i="85"/>
  <c r="AB27" i="85"/>
  <c r="AB30" i="85"/>
  <c r="AC7" i="85"/>
  <c r="AC39" i="85"/>
  <c r="AC35" i="85"/>
  <c r="AC28" i="85"/>
  <c r="AC25" i="85"/>
  <c r="AC23" i="85"/>
  <c r="AC8" i="85"/>
  <c r="AC36" i="85"/>
  <c r="AC29" i="85"/>
  <c r="AC26" i="85"/>
  <c r="AC24" i="85"/>
  <c r="AC9" i="85"/>
  <c r="AC37" i="85"/>
  <c r="AC27" i="85"/>
  <c r="AD113" i="86"/>
  <c r="AD63" i="86"/>
  <c r="AD152" i="86"/>
  <c r="AD154" i="86"/>
  <c r="AD155" i="86"/>
  <c r="AD149" i="86"/>
  <c r="AD148" i="86" s="1"/>
  <c r="AD146" i="86"/>
  <c r="AD143" i="86"/>
  <c r="AD138" i="86"/>
  <c r="AD139" i="86"/>
  <c r="AD140" i="86"/>
  <c r="AD135" i="86"/>
  <c r="AD133" i="86"/>
  <c r="AD129" i="86"/>
  <c r="AD123" i="86"/>
  <c r="AD124" i="86"/>
  <c r="AD125" i="86"/>
  <c r="AD126" i="86"/>
  <c r="AD127" i="86"/>
  <c r="AD121" i="86"/>
  <c r="AD119" i="86"/>
  <c r="AD116" i="86"/>
  <c r="AD117" i="86"/>
  <c r="AD90" i="86"/>
  <c r="AD87" i="86"/>
  <c r="AD88" i="86"/>
  <c r="AD85" i="86"/>
  <c r="AD78" i="86"/>
  <c r="AD79" i="86"/>
  <c r="AD75" i="86"/>
  <c r="AD76" i="86"/>
  <c r="AD71" i="86"/>
  <c r="AD69" i="86"/>
  <c r="AD65" i="86"/>
  <c r="AD66" i="86"/>
  <c r="AD54" i="86"/>
  <c r="AD55" i="86"/>
  <c r="AD58" i="86"/>
  <c r="AD51" i="86"/>
  <c r="AD52" i="86"/>
  <c r="AD10" i="86"/>
  <c r="AD30" i="86" s="1"/>
  <c r="AD42" i="86"/>
  <c r="AD9" i="86" s="1"/>
  <c r="AD41" i="86"/>
  <c r="AB8" i="86"/>
  <c r="AB29" i="86"/>
  <c r="AB26" i="86"/>
  <c r="AB24" i="86"/>
  <c r="AB30" i="86"/>
  <c r="AB50" i="86"/>
  <c r="AB148" i="86"/>
  <c r="AB112" i="86"/>
  <c r="AC8" i="86"/>
  <c r="AC29" i="86"/>
  <c r="AC26" i="86"/>
  <c r="AC24" i="86"/>
  <c r="AC50" i="86"/>
  <c r="AC112" i="86"/>
  <c r="AD113" i="68"/>
  <c r="AD63" i="68"/>
  <c r="AD152" i="68"/>
  <c r="AD154" i="68"/>
  <c r="AD155" i="68"/>
  <c r="AD149" i="68"/>
  <c r="AD148" i="68" s="1"/>
  <c r="AD146" i="68"/>
  <c r="AD143" i="68"/>
  <c r="AD138" i="68"/>
  <c r="AD139" i="68"/>
  <c r="AD140" i="68"/>
  <c r="AD135" i="68"/>
  <c r="AD133" i="68"/>
  <c r="AD129" i="68"/>
  <c r="AD123" i="68"/>
  <c r="AD124" i="68"/>
  <c r="AD125" i="68"/>
  <c r="AD126" i="68"/>
  <c r="AD127" i="68"/>
  <c r="AD121" i="68"/>
  <c r="AD119" i="68"/>
  <c r="AD116" i="68"/>
  <c r="AD117" i="68"/>
  <c r="AD90" i="68"/>
  <c r="AD87" i="68"/>
  <c r="AD88" i="68"/>
  <c r="AD85" i="68"/>
  <c r="AD78" i="68"/>
  <c r="AD79" i="68"/>
  <c r="AD75" i="68"/>
  <c r="AD76" i="68"/>
  <c r="AD71" i="68"/>
  <c r="AD69" i="68"/>
  <c r="AD65" i="68"/>
  <c r="AD66" i="68"/>
  <c r="AD54" i="68"/>
  <c r="AD55" i="68"/>
  <c r="AD58" i="68"/>
  <c r="AD51" i="68"/>
  <c r="AD52" i="68"/>
  <c r="AD10" i="68"/>
  <c r="AD30" i="68" s="1"/>
  <c r="AD42" i="68"/>
  <c r="AD9" i="68" s="1"/>
  <c r="AD41" i="68"/>
  <c r="AD8" i="68" s="1"/>
  <c r="AC30" i="68"/>
  <c r="AC50" i="68"/>
  <c r="AC148" i="68"/>
  <c r="AC112" i="68"/>
  <c r="Z158" i="87"/>
  <c r="Z159" i="87"/>
  <c r="AD63" i="87"/>
  <c r="AD63" i="124" s="1"/>
  <c r="AD152" i="87"/>
  <c r="AD149" i="87"/>
  <c r="AD147" i="124"/>
  <c r="AD146" i="87"/>
  <c r="AD143" i="87"/>
  <c r="AD140" i="87"/>
  <c r="AD139" i="87"/>
  <c r="AD138" i="87"/>
  <c r="AD135" i="87"/>
  <c r="AD133" i="87"/>
  <c r="AD129" i="87"/>
  <c r="AD127" i="87"/>
  <c r="AD126" i="87"/>
  <c r="AD124" i="87"/>
  <c r="AD124" i="124" s="1"/>
  <c r="AD123" i="87"/>
  <c r="AD123" i="124" s="1"/>
  <c r="AD121" i="87"/>
  <c r="AD121" i="124" s="1"/>
  <c r="AD117" i="87"/>
  <c r="AD117" i="124" s="1"/>
  <c r="AD116" i="87"/>
  <c r="AD116" i="124" s="1"/>
  <c r="AD113" i="124"/>
  <c r="AD10" i="87"/>
  <c r="AD85" i="87"/>
  <c r="AD79" i="87"/>
  <c r="AD79" i="124" s="1"/>
  <c r="AD78" i="87"/>
  <c r="AD65" i="87"/>
  <c r="AD65" i="124" s="1"/>
  <c r="AD108" i="124"/>
  <c r="AD109" i="124"/>
  <c r="AD110" i="124"/>
  <c r="AD111" i="124"/>
  <c r="AD8" i="87"/>
  <c r="AD88" i="87"/>
  <c r="AD88" i="124" s="1"/>
  <c r="AD87" i="87"/>
  <c r="AD87" i="124" s="1"/>
  <c r="AD81" i="124"/>
  <c r="AD76" i="124"/>
  <c r="AD75" i="87"/>
  <c r="AD75" i="124" s="1"/>
  <c r="AB78" i="124"/>
  <c r="AB78" i="174"/>
  <c r="AB94" i="174"/>
  <c r="AB85" i="174"/>
  <c r="AB85" i="124"/>
  <c r="AB143" i="124"/>
  <c r="AB143" i="174"/>
  <c r="AB146" i="124"/>
  <c r="AB146" i="174"/>
  <c r="AC78" i="124"/>
  <c r="AC78" i="174"/>
  <c r="AC94" i="174"/>
  <c r="AC85" i="174"/>
  <c r="AC85" i="124"/>
  <c r="AC143" i="124"/>
  <c r="AC143" i="174"/>
  <c r="AC146" i="124"/>
  <c r="AC146" i="174"/>
  <c r="AA159" i="86"/>
  <c r="AB159" i="68"/>
  <c r="AA159" i="68"/>
  <c r="AA258" i="174"/>
  <c r="AA112" i="174"/>
  <c r="AB10" i="174"/>
  <c r="AB30" i="87"/>
  <c r="AC10" i="174"/>
  <c r="AC30" i="87"/>
  <c r="AD69" i="87"/>
  <c r="AD69" i="124" s="1"/>
  <c r="AD66" i="87"/>
  <c r="AD66" i="124" s="1"/>
  <c r="AD58" i="87"/>
  <c r="AD58" i="124" s="1"/>
  <c r="AD54" i="87"/>
  <c r="AD54" i="124" s="1"/>
  <c r="AD52" i="87"/>
  <c r="AD52" i="124" s="1"/>
  <c r="AD51" i="87"/>
  <c r="AD51" i="124" s="1"/>
  <c r="AD155" i="87"/>
  <c r="AD155" i="124" s="1"/>
  <c r="AD126" i="124"/>
  <c r="AD127" i="124"/>
  <c r="AD129" i="124"/>
  <c r="AD133" i="124"/>
  <c r="AD135" i="124"/>
  <c r="AD138" i="124"/>
  <c r="AD139" i="124"/>
  <c r="AD140" i="124"/>
  <c r="AD142" i="124"/>
  <c r="AB112" i="87"/>
  <c r="AC112" i="87"/>
  <c r="AA257" i="174"/>
  <c r="AA254" i="174"/>
  <c r="AA291" i="174"/>
  <c r="AA338" i="174" s="1"/>
  <c r="AA341" i="174" s="1"/>
  <c r="AA260" i="174"/>
  <c r="AA261" i="174" s="1"/>
  <c r="AA259" i="174"/>
  <c r="AB81" i="174"/>
  <c r="AB76" i="174"/>
  <c r="AB52" i="174"/>
  <c r="AB113" i="174"/>
  <c r="AB58" i="174"/>
  <c r="AB97" i="174"/>
  <c r="AB88" i="174"/>
  <c r="AB50" i="87"/>
  <c r="AB51" i="174"/>
  <c r="AB142" i="174"/>
  <c r="AB140" i="174"/>
  <c r="AB139" i="174"/>
  <c r="AB138" i="174"/>
  <c r="AB135" i="174"/>
  <c r="AB133" i="174"/>
  <c r="AB129" i="174"/>
  <c r="AB127" i="174"/>
  <c r="AB126" i="174"/>
  <c r="AB124" i="174"/>
  <c r="AB123" i="174"/>
  <c r="AB121" i="174"/>
  <c r="AB117" i="174"/>
  <c r="AB116" i="174"/>
  <c r="AB96" i="174"/>
  <c r="AB87" i="174"/>
  <c r="AB66" i="174"/>
  <c r="AB75" i="174"/>
  <c r="AB155" i="174"/>
  <c r="AB79" i="174"/>
  <c r="AC81" i="174"/>
  <c r="AC76" i="174"/>
  <c r="AC52" i="174"/>
  <c r="AC113" i="174"/>
  <c r="AC58" i="174"/>
  <c r="AC97" i="174"/>
  <c r="AC88" i="174"/>
  <c r="AC50" i="87"/>
  <c r="AC51" i="174"/>
  <c r="AC142" i="174"/>
  <c r="AC140" i="174"/>
  <c r="AC139" i="174"/>
  <c r="AC138" i="174"/>
  <c r="AC258" i="174" s="1"/>
  <c r="AC135" i="174"/>
  <c r="AC133" i="174"/>
  <c r="AC129" i="174"/>
  <c r="AC127" i="174"/>
  <c r="AC126" i="174"/>
  <c r="AC124" i="174"/>
  <c r="AC123" i="174"/>
  <c r="AC121" i="174"/>
  <c r="AC117" i="174"/>
  <c r="AC116" i="174"/>
  <c r="AC96" i="174"/>
  <c r="AC87" i="174"/>
  <c r="AC66" i="174"/>
  <c r="AC75" i="174"/>
  <c r="AC155" i="174"/>
  <c r="AC79" i="174"/>
  <c r="AB112" i="85"/>
  <c r="AC112" i="85"/>
  <c r="AB50" i="85"/>
  <c r="AC50" i="85"/>
  <c r="AD55" i="87"/>
  <c r="AD55" i="124" s="1"/>
  <c r="AD71" i="87"/>
  <c r="AD71" i="124" s="1"/>
  <c r="AD154" i="87"/>
  <c r="AD154" i="124" s="1"/>
  <c r="AD152" i="124"/>
  <c r="AD125" i="87"/>
  <c r="AD125" i="124" s="1"/>
  <c r="AD119" i="87"/>
  <c r="AD119" i="124" s="1"/>
  <c r="AD90" i="87"/>
  <c r="AD90" i="124" s="1"/>
  <c r="AD56" i="124"/>
  <c r="AB69" i="174"/>
  <c r="AB56" i="174"/>
  <c r="AB63" i="174"/>
  <c r="AB65" i="174"/>
  <c r="AB99" i="174"/>
  <c r="AB90" i="174"/>
  <c r="AB119" i="174"/>
  <c r="AB125" i="174"/>
  <c r="AB147" i="174"/>
  <c r="AB152" i="174"/>
  <c r="AB154" i="174"/>
  <c r="AB71" i="174"/>
  <c r="AB55" i="174"/>
  <c r="AC69" i="174"/>
  <c r="AC56" i="174"/>
  <c r="AC63" i="174"/>
  <c r="AC65" i="174"/>
  <c r="AC99" i="174"/>
  <c r="AC90" i="174"/>
  <c r="AC119" i="174"/>
  <c r="AC125" i="174"/>
  <c r="AC147" i="174"/>
  <c r="AC152" i="174"/>
  <c r="AC154" i="174"/>
  <c r="AC71" i="174"/>
  <c r="AC55" i="174"/>
  <c r="AD40" i="68"/>
  <c r="AD7" i="68" s="1"/>
  <c r="AB158" i="68"/>
  <c r="AA158" i="68"/>
  <c r="AC39" i="68"/>
  <c r="AC28" i="68"/>
  <c r="AC25" i="68"/>
  <c r="AC23" i="68"/>
  <c r="AC29" i="68"/>
  <c r="AC26" i="68"/>
  <c r="AC24" i="68"/>
  <c r="AC27" i="68"/>
  <c r="AC91" i="68"/>
  <c r="AC107" i="68"/>
  <c r="AD40" i="86"/>
  <c r="AD7" i="86" s="1"/>
  <c r="AA158" i="86"/>
  <c r="AB39" i="86"/>
  <c r="AB39" i="124" s="1"/>
  <c r="AB28" i="86"/>
  <c r="AB25" i="86"/>
  <c r="AB23" i="86"/>
  <c r="AB27" i="86"/>
  <c r="AB91" i="86"/>
  <c r="AB107" i="86"/>
  <c r="AC39" i="86"/>
  <c r="AC28" i="86"/>
  <c r="AC25" i="86"/>
  <c r="AC23" i="86"/>
  <c r="AC27" i="86"/>
  <c r="AC91" i="86"/>
  <c r="AC107" i="86"/>
  <c r="AD148" i="85"/>
  <c r="AA159" i="85"/>
  <c r="Z158" i="85"/>
  <c r="AB91" i="85"/>
  <c r="AB107" i="85"/>
  <c r="AC91" i="85"/>
  <c r="AC107" i="85"/>
  <c r="AC27" i="174"/>
  <c r="AC27" i="124"/>
  <c r="AA23" i="174"/>
  <c r="AA23" i="124"/>
  <c r="AA28" i="174"/>
  <c r="AA28" i="124"/>
  <c r="AA25" i="174"/>
  <c r="AA25" i="124"/>
  <c r="AA26" i="174"/>
  <c r="AA26" i="124"/>
  <c r="AA24" i="174"/>
  <c r="AA24" i="124"/>
  <c r="AA29" i="174"/>
  <c r="AA29" i="124"/>
  <c r="AB23" i="174"/>
  <c r="AB23" i="124"/>
  <c r="AB28" i="174"/>
  <c r="AB28" i="124"/>
  <c r="AB25" i="174"/>
  <c r="AB25" i="124"/>
  <c r="AB24" i="174"/>
  <c r="AB24" i="124"/>
  <c r="AB29" i="174"/>
  <c r="AB29" i="124"/>
  <c r="AB26" i="174"/>
  <c r="AB26" i="124"/>
  <c r="AA30" i="174"/>
  <c r="AA30" i="124"/>
  <c r="AB27" i="87"/>
  <c r="AB42" i="174"/>
  <c r="AB42" i="124"/>
  <c r="AB41" i="174"/>
  <c r="AB41" i="124"/>
  <c r="AB40" i="174"/>
  <c r="AB40" i="124"/>
  <c r="AC42" i="174"/>
  <c r="AC42" i="124"/>
  <c r="AC41" i="174"/>
  <c r="AC41" i="124"/>
  <c r="AC40" i="174"/>
  <c r="AC40" i="124"/>
  <c r="AB54" i="174"/>
  <c r="AB50" i="174" s="1"/>
  <c r="AC54" i="174"/>
  <c r="AC50" i="174" s="1"/>
  <c r="AA148" i="174"/>
  <c r="AA156" i="174" s="1"/>
  <c r="AB150" i="174"/>
  <c r="AB149" i="174"/>
  <c r="AB153" i="174"/>
  <c r="AC150" i="174"/>
  <c r="AC149" i="174"/>
  <c r="AC153" i="174"/>
  <c r="AB107" i="174"/>
  <c r="AC107" i="174"/>
  <c r="AA158" i="174"/>
  <c r="AA157" i="174"/>
  <c r="AD7" i="87"/>
  <c r="AD149" i="124"/>
  <c r="AD101" i="174"/>
  <c r="AD102" i="174"/>
  <c r="AD103" i="174"/>
  <c r="AD104" i="174"/>
  <c r="AD105" i="174"/>
  <c r="AD106" i="174"/>
  <c r="AD108" i="174"/>
  <c r="AD109" i="174"/>
  <c r="AD110" i="174"/>
  <c r="AD111" i="174"/>
  <c r="AB91" i="87"/>
  <c r="AB100" i="174" s="1"/>
  <c r="AB91" i="174" s="1"/>
  <c r="AB107" i="87"/>
  <c r="AB148" i="87"/>
  <c r="AB157" i="87" s="1"/>
  <c r="AB10" i="124"/>
  <c r="AC91" i="87"/>
  <c r="AC100" i="174" s="1"/>
  <c r="AC91" i="174" s="1"/>
  <c r="AC107" i="87"/>
  <c r="AC148" i="87"/>
  <c r="AC157" i="87" s="1"/>
  <c r="AC10" i="124"/>
  <c r="J46" i="124"/>
  <c r="AD27" i="87"/>
  <c r="AC29" i="87"/>
  <c r="AC24" i="87"/>
  <c r="AC26" i="87"/>
  <c r="AC25" i="87"/>
  <c r="AC28" i="87"/>
  <c r="AC23" i="87"/>
  <c r="AC39" i="87"/>
  <c r="J45" i="124"/>
  <c r="U50" i="124"/>
  <c r="L50" i="124"/>
  <c r="S50" i="124"/>
  <c r="K50" i="124"/>
  <c r="J50" i="124"/>
  <c r="P50" i="124"/>
  <c r="T50" i="124"/>
  <c r="O50" i="124"/>
  <c r="N50" i="124"/>
  <c r="M50" i="124"/>
  <c r="R50" i="124"/>
  <c r="Q50" i="124"/>
  <c r="AE1" i="87"/>
  <c r="AE1" i="68"/>
  <c r="AE1" i="86"/>
  <c r="AE1" i="85"/>
  <c r="AC157" i="85" l="1"/>
  <c r="AB157" i="85"/>
  <c r="AC157" i="86"/>
  <c r="AB157" i="86"/>
  <c r="AC157" i="68"/>
  <c r="AD107" i="124"/>
  <c r="AD91" i="124"/>
  <c r="AE56" i="85"/>
  <c r="AE142" i="85"/>
  <c r="AE56" i="86"/>
  <c r="AE142" i="86"/>
  <c r="AE56" i="68"/>
  <c r="AE142" i="68"/>
  <c r="AE57" i="68"/>
  <c r="AE57" i="87"/>
  <c r="AE142" i="87"/>
  <c r="AE56" i="87"/>
  <c r="AC39" i="124"/>
  <c r="AE57" i="124"/>
  <c r="AE57" i="174"/>
  <c r="AE92" i="85"/>
  <c r="AE93" i="85"/>
  <c r="AE94" i="85"/>
  <c r="AE95" i="85"/>
  <c r="AE96" i="85"/>
  <c r="AE97" i="85"/>
  <c r="AE98" i="85"/>
  <c r="AE99" i="85"/>
  <c r="AE100" i="85"/>
  <c r="AE101" i="85"/>
  <c r="AE102" i="85"/>
  <c r="AE103" i="85"/>
  <c r="AE104" i="85"/>
  <c r="AE105" i="85"/>
  <c r="AE106" i="85"/>
  <c r="AE108" i="85"/>
  <c r="AE109" i="85"/>
  <c r="AE110" i="85"/>
  <c r="AE111" i="85"/>
  <c r="AE92" i="86"/>
  <c r="AE93" i="86"/>
  <c r="AE94" i="86"/>
  <c r="AE95" i="86"/>
  <c r="AE96" i="86"/>
  <c r="AE97" i="86"/>
  <c r="AE98" i="86"/>
  <c r="AE99" i="86"/>
  <c r="AE100" i="86"/>
  <c r="AE101" i="86"/>
  <c r="AE102" i="86"/>
  <c r="AE103" i="86"/>
  <c r="AE104" i="86"/>
  <c r="AE105" i="86"/>
  <c r="AE106" i="86"/>
  <c r="AE108" i="86"/>
  <c r="AE109" i="86"/>
  <c r="AE110" i="86"/>
  <c r="AE111" i="86"/>
  <c r="AE92" i="68"/>
  <c r="AE93" i="68"/>
  <c r="AE94" i="68"/>
  <c r="AE95" i="68"/>
  <c r="AE96" i="68"/>
  <c r="AE97" i="68"/>
  <c r="AE98" i="68"/>
  <c r="AE99" i="68"/>
  <c r="AE100" i="68"/>
  <c r="AE101" i="68"/>
  <c r="AE102" i="68"/>
  <c r="AE103" i="68"/>
  <c r="AE104" i="68"/>
  <c r="AE105" i="68"/>
  <c r="AE106" i="68"/>
  <c r="AE108" i="68"/>
  <c r="AE109" i="68"/>
  <c r="AE110" i="68"/>
  <c r="AE111" i="68"/>
  <c r="AE42" i="87"/>
  <c r="AE41" i="87"/>
  <c r="AE40" i="87"/>
  <c r="AE113" i="87"/>
  <c r="AE92" i="87"/>
  <c r="AE92" i="124" s="1"/>
  <c r="AE93" i="87"/>
  <c r="AE93" i="124" s="1"/>
  <c r="AE94" i="87"/>
  <c r="AE94" i="124" s="1"/>
  <c r="AE95" i="87"/>
  <c r="AE95" i="124" s="1"/>
  <c r="AE96" i="87"/>
  <c r="AE96" i="124" s="1"/>
  <c r="AE97" i="87"/>
  <c r="AE97" i="124" s="1"/>
  <c r="AE98" i="87"/>
  <c r="AE98" i="124" s="1"/>
  <c r="AE99" i="87"/>
  <c r="AE99" i="124" s="1"/>
  <c r="AE100" i="87"/>
  <c r="AE100" i="124" s="1"/>
  <c r="AE101" i="87"/>
  <c r="AE101" i="124" s="1"/>
  <c r="AE102" i="87"/>
  <c r="AE102" i="124" s="1"/>
  <c r="AE103" i="87"/>
  <c r="AE103" i="124" s="1"/>
  <c r="AE104" i="87"/>
  <c r="AE104" i="124" s="1"/>
  <c r="AE105" i="87"/>
  <c r="AE105" i="124" s="1"/>
  <c r="AE106" i="87"/>
  <c r="AE106" i="124" s="1"/>
  <c r="AE108" i="87"/>
  <c r="AE109" i="87"/>
  <c r="AE110" i="87"/>
  <c r="AE111" i="87"/>
  <c r="AE113" i="85"/>
  <c r="AE63" i="85"/>
  <c r="AE90" i="85"/>
  <c r="AE87" i="85"/>
  <c r="AE88" i="85"/>
  <c r="AE85" i="85"/>
  <c r="AE78" i="85"/>
  <c r="AE79" i="85"/>
  <c r="AE75" i="85"/>
  <c r="AE76" i="85"/>
  <c r="AE71" i="85"/>
  <c r="AE69" i="85"/>
  <c r="AE65" i="85"/>
  <c r="AE66" i="85"/>
  <c r="AE54" i="85"/>
  <c r="AE55" i="85"/>
  <c r="AE58" i="85"/>
  <c r="AE51" i="85"/>
  <c r="AE52" i="85"/>
  <c r="AE152" i="85"/>
  <c r="AE154" i="85"/>
  <c r="AE155" i="85"/>
  <c r="AE149" i="85"/>
  <c r="AE146" i="85"/>
  <c r="AE143" i="85"/>
  <c r="AE138" i="85"/>
  <c r="AE139" i="85"/>
  <c r="AE140" i="85"/>
  <c r="AE135" i="85"/>
  <c r="AE133" i="85"/>
  <c r="AE129" i="85"/>
  <c r="AE123" i="85"/>
  <c r="AE124" i="85"/>
  <c r="AE125" i="85"/>
  <c r="AE126" i="85"/>
  <c r="AE127" i="85"/>
  <c r="AE121" i="85"/>
  <c r="AE119" i="85"/>
  <c r="AE116" i="85"/>
  <c r="AE117" i="85"/>
  <c r="AE10" i="85"/>
  <c r="AE42" i="85"/>
  <c r="AE41" i="85"/>
  <c r="AE40" i="85"/>
  <c r="AD7" i="85"/>
  <c r="AD39" i="85"/>
  <c r="AD35" i="85"/>
  <c r="AD28" i="85"/>
  <c r="AD25" i="85"/>
  <c r="AD23" i="85"/>
  <c r="AD8" i="85"/>
  <c r="AD36" i="85"/>
  <c r="AD29" i="85"/>
  <c r="AD26" i="85"/>
  <c r="AD24" i="85"/>
  <c r="AD9" i="85"/>
  <c r="AD37" i="85"/>
  <c r="AD27" i="85"/>
  <c r="AE113" i="86"/>
  <c r="AE63" i="86"/>
  <c r="AE152" i="86"/>
  <c r="AE154" i="86"/>
  <c r="AE155" i="86"/>
  <c r="AE149" i="86"/>
  <c r="AE146" i="86"/>
  <c r="AE143" i="86"/>
  <c r="AE138" i="86"/>
  <c r="AE139" i="86"/>
  <c r="AE140" i="86"/>
  <c r="AE135" i="86"/>
  <c r="AE133" i="86"/>
  <c r="AE129" i="86"/>
  <c r="AE123" i="86"/>
  <c r="AE124" i="86"/>
  <c r="AE125" i="86"/>
  <c r="AE126" i="86"/>
  <c r="AE127" i="86"/>
  <c r="AE121" i="86"/>
  <c r="AE119" i="86"/>
  <c r="AE116" i="86"/>
  <c r="AE117" i="86"/>
  <c r="AE90" i="86"/>
  <c r="AE87" i="86"/>
  <c r="AE88" i="86"/>
  <c r="AE85" i="86"/>
  <c r="AE78" i="86"/>
  <c r="AE79" i="86"/>
  <c r="AE75" i="86"/>
  <c r="AE76" i="86"/>
  <c r="AE71" i="86"/>
  <c r="AE69" i="86"/>
  <c r="AE65" i="86"/>
  <c r="AE66" i="86"/>
  <c r="AE54" i="86"/>
  <c r="AE55" i="86"/>
  <c r="AE58" i="86"/>
  <c r="AE51" i="86"/>
  <c r="AE52" i="86"/>
  <c r="AE10" i="86"/>
  <c r="AE42" i="86"/>
  <c r="AE9" i="86" s="1"/>
  <c r="AE41" i="86"/>
  <c r="AD8" i="86"/>
  <c r="AD29" i="86"/>
  <c r="AD26" i="86"/>
  <c r="AD24" i="86"/>
  <c r="AD50" i="86"/>
  <c r="AD112" i="86"/>
  <c r="AE113" i="68"/>
  <c r="AE63" i="68"/>
  <c r="AE152" i="68"/>
  <c r="AE154" i="68"/>
  <c r="AE155" i="68"/>
  <c r="AE149" i="68"/>
  <c r="AE146" i="68"/>
  <c r="AE143" i="68"/>
  <c r="AE138" i="68"/>
  <c r="AE139" i="68"/>
  <c r="AE140" i="68"/>
  <c r="AE135" i="68"/>
  <c r="AE133" i="68"/>
  <c r="AE129" i="68"/>
  <c r="AE123" i="68"/>
  <c r="AE124" i="68"/>
  <c r="AE125" i="68"/>
  <c r="AE126" i="68"/>
  <c r="AE127" i="68"/>
  <c r="AE121" i="68"/>
  <c r="AE119" i="68"/>
  <c r="AE116" i="68"/>
  <c r="AE117" i="68"/>
  <c r="AE90" i="68"/>
  <c r="AE87" i="68"/>
  <c r="AE88" i="68"/>
  <c r="AE85" i="68"/>
  <c r="AE78" i="68"/>
  <c r="AE79" i="68"/>
  <c r="AE75" i="68"/>
  <c r="AE76" i="68"/>
  <c r="AE71" i="68"/>
  <c r="AE69" i="68"/>
  <c r="AE65" i="68"/>
  <c r="AE66" i="68"/>
  <c r="AE54" i="68"/>
  <c r="AE55" i="68"/>
  <c r="AE58" i="68"/>
  <c r="AE51" i="68"/>
  <c r="AE52" i="68"/>
  <c r="AE10" i="68"/>
  <c r="AE42" i="68"/>
  <c r="AE9" i="68" s="1"/>
  <c r="AE41" i="68"/>
  <c r="AE8" i="68" s="1"/>
  <c r="AD50" i="68"/>
  <c r="AD112" i="68"/>
  <c r="AA158" i="87"/>
  <c r="AA159" i="87"/>
  <c r="AE63" i="87"/>
  <c r="AE63" i="124" s="1"/>
  <c r="AE152" i="87"/>
  <c r="AE149" i="87"/>
  <c r="AE147" i="124"/>
  <c r="AE146" i="87"/>
  <c r="AE143" i="87"/>
  <c r="AE140" i="87"/>
  <c r="AE139" i="87"/>
  <c r="AE138" i="87"/>
  <c r="AE135" i="87"/>
  <c r="AE133" i="87"/>
  <c r="AE129" i="87"/>
  <c r="AE127" i="87"/>
  <c r="AE126" i="87"/>
  <c r="AE124" i="87"/>
  <c r="AE124" i="124" s="1"/>
  <c r="AE123" i="87"/>
  <c r="AE123" i="124" s="1"/>
  <c r="AE121" i="87"/>
  <c r="AE121" i="124" s="1"/>
  <c r="AE117" i="87"/>
  <c r="AE117" i="124" s="1"/>
  <c r="AE116" i="87"/>
  <c r="AE116" i="124" s="1"/>
  <c r="AE113" i="124"/>
  <c r="AE10" i="87"/>
  <c r="AE85" i="87"/>
  <c r="AE79" i="87"/>
  <c r="AE79" i="124" s="1"/>
  <c r="AE78" i="87"/>
  <c r="AE65" i="87"/>
  <c r="AE65" i="124" s="1"/>
  <c r="AE108" i="124"/>
  <c r="AE109" i="124"/>
  <c r="AE110" i="124"/>
  <c r="AE111" i="124"/>
  <c r="AE8" i="87"/>
  <c r="AE88" i="87"/>
  <c r="AE88" i="124" s="1"/>
  <c r="AE87" i="87"/>
  <c r="AE87" i="124" s="1"/>
  <c r="AE81" i="124"/>
  <c r="AE76" i="124"/>
  <c r="AE75" i="87"/>
  <c r="AE75" i="124" s="1"/>
  <c r="AD78" i="124"/>
  <c r="AD78" i="174"/>
  <c r="AD94" i="174"/>
  <c r="AD85" i="174"/>
  <c r="AD85" i="124"/>
  <c r="AD143" i="124"/>
  <c r="AD143" i="174"/>
  <c r="AD146" i="124"/>
  <c r="AD146" i="174"/>
  <c r="AC159" i="86"/>
  <c r="AB159" i="86"/>
  <c r="AC159" i="68"/>
  <c r="AC112" i="174"/>
  <c r="AB258" i="174"/>
  <c r="AB112" i="174"/>
  <c r="AD10" i="174"/>
  <c r="AD30" i="87"/>
  <c r="AE69" i="87"/>
  <c r="AE69" i="124" s="1"/>
  <c r="AE66" i="87"/>
  <c r="AE66" i="124" s="1"/>
  <c r="AE58" i="87"/>
  <c r="AE58" i="124" s="1"/>
  <c r="AE54" i="87"/>
  <c r="AE54" i="124" s="1"/>
  <c r="AE52" i="87"/>
  <c r="AE52" i="124" s="1"/>
  <c r="AE51" i="87"/>
  <c r="AE51" i="124" s="1"/>
  <c r="AE155" i="87"/>
  <c r="AE155" i="124" s="1"/>
  <c r="AE126" i="124"/>
  <c r="AE127" i="124"/>
  <c r="AE129" i="124"/>
  <c r="AE133" i="124"/>
  <c r="AE135" i="124"/>
  <c r="AE138" i="124"/>
  <c r="AE139" i="124"/>
  <c r="AE140" i="124"/>
  <c r="AE142" i="124"/>
  <c r="AD112" i="87"/>
  <c r="AC257" i="174"/>
  <c r="AC254" i="174"/>
  <c r="AC291" i="174"/>
  <c r="AC338" i="174" s="1"/>
  <c r="AC341" i="174" s="1"/>
  <c r="AC260" i="174"/>
  <c r="AC261" i="174" s="1"/>
  <c r="AC259" i="174"/>
  <c r="AB257" i="174"/>
  <c r="AB254" i="174"/>
  <c r="AB291" i="174"/>
  <c r="AB338" i="174" s="1"/>
  <c r="AB341" i="174" s="1"/>
  <c r="AB260" i="174"/>
  <c r="AB261" i="174" s="1"/>
  <c r="AB259" i="174"/>
  <c r="AD81" i="174"/>
  <c r="AD76" i="174"/>
  <c r="AD52" i="174"/>
  <c r="AD113" i="174"/>
  <c r="AD58" i="174"/>
  <c r="AD97" i="174"/>
  <c r="AD88" i="174"/>
  <c r="AD50" i="87"/>
  <c r="AD51" i="174"/>
  <c r="AD142" i="174"/>
  <c r="AD140" i="174"/>
  <c r="AD139" i="174"/>
  <c r="AD138" i="174"/>
  <c r="AD135" i="174"/>
  <c r="AD133" i="174"/>
  <c r="AD129" i="174"/>
  <c r="AD127" i="174"/>
  <c r="AD126" i="174"/>
  <c r="AD124" i="174"/>
  <c r="AD123" i="174"/>
  <c r="AD121" i="174"/>
  <c r="AD117" i="174"/>
  <c r="AD116" i="174"/>
  <c r="AD96" i="174"/>
  <c r="AD87" i="174"/>
  <c r="AD66" i="174"/>
  <c r="AD75" i="174"/>
  <c r="AD155" i="174"/>
  <c r="AD79" i="174"/>
  <c r="AD112" i="85"/>
  <c r="AD50" i="85"/>
  <c r="AE55" i="87"/>
  <c r="AE55" i="124" s="1"/>
  <c r="AE71" i="87"/>
  <c r="AE71" i="124" s="1"/>
  <c r="AE154" i="87"/>
  <c r="AE154" i="124" s="1"/>
  <c r="AE152" i="124"/>
  <c r="AE125" i="87"/>
  <c r="AE125" i="124" s="1"/>
  <c r="AE119" i="87"/>
  <c r="AE119" i="124" s="1"/>
  <c r="AE90" i="87"/>
  <c r="AE90" i="124" s="1"/>
  <c r="AE56" i="124"/>
  <c r="AD69" i="174"/>
  <c r="AD56" i="174"/>
  <c r="AD63" i="174"/>
  <c r="AD65" i="174"/>
  <c r="AD99" i="174"/>
  <c r="AD90" i="174"/>
  <c r="AD119" i="174"/>
  <c r="AD125" i="174"/>
  <c r="AD147" i="174"/>
  <c r="AD152" i="174"/>
  <c r="AD154" i="174"/>
  <c r="AD71" i="174"/>
  <c r="AD55" i="174"/>
  <c r="AE40" i="68"/>
  <c r="AE7" i="68" s="1"/>
  <c r="AC158" i="68"/>
  <c r="AD39" i="68"/>
  <c r="AD28" i="68"/>
  <c r="AD25" i="68"/>
  <c r="AD23" i="68"/>
  <c r="AD29" i="68"/>
  <c r="AD26" i="68"/>
  <c r="AD24" i="68"/>
  <c r="AD27" i="68"/>
  <c r="AD91" i="68"/>
  <c r="AD107" i="68"/>
  <c r="AE40" i="86"/>
  <c r="AE7" i="86" s="1"/>
  <c r="AC158" i="86"/>
  <c r="AB158" i="86"/>
  <c r="AD39" i="86"/>
  <c r="AD28" i="86"/>
  <c r="AD25" i="86"/>
  <c r="AD23" i="86"/>
  <c r="AD27" i="86"/>
  <c r="AD91" i="86"/>
  <c r="AD107" i="86"/>
  <c r="AE148" i="85"/>
  <c r="AC159" i="85"/>
  <c r="AB159" i="85"/>
  <c r="AA158" i="85"/>
  <c r="AD91" i="85"/>
  <c r="AD107" i="85"/>
  <c r="AC23" i="174"/>
  <c r="AC23" i="124"/>
  <c r="AC28" i="174"/>
  <c r="AC28" i="124"/>
  <c r="AC25" i="174"/>
  <c r="AC25" i="124"/>
  <c r="AC26" i="174"/>
  <c r="AC26" i="124"/>
  <c r="AC24" i="174"/>
  <c r="AC24" i="124"/>
  <c r="AC29" i="174"/>
  <c r="AC29" i="124"/>
  <c r="AD27" i="174"/>
  <c r="AD27" i="124"/>
  <c r="AC30" i="174"/>
  <c r="AC30" i="124"/>
  <c r="AB30" i="174"/>
  <c r="AB30" i="124"/>
  <c r="AD42" i="174"/>
  <c r="AD42" i="124"/>
  <c r="AD41" i="174"/>
  <c r="AD41" i="124"/>
  <c r="AD40" i="174"/>
  <c r="AD40" i="124"/>
  <c r="AB27" i="174"/>
  <c r="AB27" i="124"/>
  <c r="AD54" i="174"/>
  <c r="AD50" i="174" s="1"/>
  <c r="AC148" i="174"/>
  <c r="AC156" i="174" s="1"/>
  <c r="AB148" i="174"/>
  <c r="AB156" i="174" s="1"/>
  <c r="AD150" i="174"/>
  <c r="AD149" i="174"/>
  <c r="AD153" i="174"/>
  <c r="AD107" i="174"/>
  <c r="AC158" i="174"/>
  <c r="AC157" i="174"/>
  <c r="AB158" i="174"/>
  <c r="AB157" i="174"/>
  <c r="AE7" i="87"/>
  <c r="AE149" i="124"/>
  <c r="AE101" i="174"/>
  <c r="AE102" i="174"/>
  <c r="AE103" i="174"/>
  <c r="AE104" i="174"/>
  <c r="AE105" i="174"/>
  <c r="AE106" i="174"/>
  <c r="AE108" i="174"/>
  <c r="AE109" i="174"/>
  <c r="AE110" i="174"/>
  <c r="AE111" i="174"/>
  <c r="AD91" i="87"/>
  <c r="AD100" i="174" s="1"/>
  <c r="AD91" i="174" s="1"/>
  <c r="AD107" i="87"/>
  <c r="AD148" i="87"/>
  <c r="AD157" i="87" s="1"/>
  <c r="AD10" i="124"/>
  <c r="AD29" i="87"/>
  <c r="AD24" i="87"/>
  <c r="AD26" i="87"/>
  <c r="AD25" i="87"/>
  <c r="AD28" i="87"/>
  <c r="AD23" i="87"/>
  <c r="AD39" i="87"/>
  <c r="AE27" i="87"/>
  <c r="AF1" i="87"/>
  <c r="AF1" i="68"/>
  <c r="AF1" i="86"/>
  <c r="AF1" i="85"/>
  <c r="AD157" i="85" l="1"/>
  <c r="AD157" i="86"/>
  <c r="AD157" i="68"/>
  <c r="AE107" i="124"/>
  <c r="AE91" i="124"/>
  <c r="AF56" i="85"/>
  <c r="AF142" i="85"/>
  <c r="AF56" i="86"/>
  <c r="AF142" i="86"/>
  <c r="AF58" i="86"/>
  <c r="AF56" i="68"/>
  <c r="AF142" i="68"/>
  <c r="AF57" i="68"/>
  <c r="AF57" i="87"/>
  <c r="AF142" i="87"/>
  <c r="AF56" i="87"/>
  <c r="AD39" i="124"/>
  <c r="AF57" i="124"/>
  <c r="AF57" i="174"/>
  <c r="AF92" i="85"/>
  <c r="AF93" i="85"/>
  <c r="AF94" i="85"/>
  <c r="AF95" i="85"/>
  <c r="AF96" i="85"/>
  <c r="AF97" i="85"/>
  <c r="AF98" i="85"/>
  <c r="AF99" i="85"/>
  <c r="AF100" i="85"/>
  <c r="AF101" i="85"/>
  <c r="AF102" i="85"/>
  <c r="AF103" i="85"/>
  <c r="AF104" i="85"/>
  <c r="AF105" i="85"/>
  <c r="AF106" i="85"/>
  <c r="AF108" i="85"/>
  <c r="AF109" i="85"/>
  <c r="AF110" i="85"/>
  <c r="AF111" i="85"/>
  <c r="AF92" i="86"/>
  <c r="AF93" i="86"/>
  <c r="AF94" i="86"/>
  <c r="AF95" i="86"/>
  <c r="AF96" i="86"/>
  <c r="AF97" i="86"/>
  <c r="AF98" i="86"/>
  <c r="AF99" i="86"/>
  <c r="AF100" i="86"/>
  <c r="AF101" i="86"/>
  <c r="AF102" i="86"/>
  <c r="AF103" i="86"/>
  <c r="AF104" i="86"/>
  <c r="AF105" i="86"/>
  <c r="AF106" i="86"/>
  <c r="AF108" i="86"/>
  <c r="AF109" i="86"/>
  <c r="AF110" i="86"/>
  <c r="AF111" i="86"/>
  <c r="AF92" i="68"/>
  <c r="AF93" i="68"/>
  <c r="AF94" i="68"/>
  <c r="AF95" i="68"/>
  <c r="AF96" i="68"/>
  <c r="AF97" i="68"/>
  <c r="AF98" i="68"/>
  <c r="AF99" i="68"/>
  <c r="AF100" i="68"/>
  <c r="AF101" i="68"/>
  <c r="AF102" i="68"/>
  <c r="AF103" i="68"/>
  <c r="AF104" i="68"/>
  <c r="AF105" i="68"/>
  <c r="AF106" i="68"/>
  <c r="AF108" i="68"/>
  <c r="AF109" i="68"/>
  <c r="AF110" i="68"/>
  <c r="AF111" i="68"/>
  <c r="AF42" i="87"/>
  <c r="AF41" i="87"/>
  <c r="AF40" i="87"/>
  <c r="AF113" i="87"/>
  <c r="AF92" i="87"/>
  <c r="AF92" i="124" s="1"/>
  <c r="AF93" i="87"/>
  <c r="AF93" i="124" s="1"/>
  <c r="AF94" i="87"/>
  <c r="AF94" i="124" s="1"/>
  <c r="AF95" i="87"/>
  <c r="AF95" i="124" s="1"/>
  <c r="AF96" i="87"/>
  <c r="AF96" i="124" s="1"/>
  <c r="AF97" i="87"/>
  <c r="AF97" i="124" s="1"/>
  <c r="AF98" i="87"/>
  <c r="AF98" i="124" s="1"/>
  <c r="AF99" i="87"/>
  <c r="AF99" i="124" s="1"/>
  <c r="AF100" i="87"/>
  <c r="AF100" i="124" s="1"/>
  <c r="AF101" i="87"/>
  <c r="AF101" i="124" s="1"/>
  <c r="AF102" i="87"/>
  <c r="AF102" i="124" s="1"/>
  <c r="AF103" i="87"/>
  <c r="AF103" i="124" s="1"/>
  <c r="AF104" i="87"/>
  <c r="AF104" i="124" s="1"/>
  <c r="AF105" i="87"/>
  <c r="AF105" i="124" s="1"/>
  <c r="AF106" i="87"/>
  <c r="AF106" i="124" s="1"/>
  <c r="AF108" i="87"/>
  <c r="AF109" i="87"/>
  <c r="AF110" i="87"/>
  <c r="AF111" i="87"/>
  <c r="AF113" i="85"/>
  <c r="AF63" i="85"/>
  <c r="AF90" i="85"/>
  <c r="AF87" i="85"/>
  <c r="AF88" i="85"/>
  <c r="AF85" i="85"/>
  <c r="AF78" i="85"/>
  <c r="AF79" i="85"/>
  <c r="AF75" i="85"/>
  <c r="AF76" i="85"/>
  <c r="AF71" i="85"/>
  <c r="AF69" i="85"/>
  <c r="AF65" i="85"/>
  <c r="AF66" i="85"/>
  <c r="AF54" i="85"/>
  <c r="AF55" i="85"/>
  <c r="AF58" i="85"/>
  <c r="AF51" i="85"/>
  <c r="AF52" i="85"/>
  <c r="AF152" i="85"/>
  <c r="AF154" i="85"/>
  <c r="AF155" i="85"/>
  <c r="AF149" i="85"/>
  <c r="AF146" i="85"/>
  <c r="AF143" i="85"/>
  <c r="AF138" i="85"/>
  <c r="AF139" i="85"/>
  <c r="AF140" i="85"/>
  <c r="AF135" i="85"/>
  <c r="AF133" i="85"/>
  <c r="AF129" i="85"/>
  <c r="AF123" i="85"/>
  <c r="AF124" i="85"/>
  <c r="AF125" i="85"/>
  <c r="AF126" i="85"/>
  <c r="AF127" i="85"/>
  <c r="AF121" i="85"/>
  <c r="AF119" i="85"/>
  <c r="AF116" i="85"/>
  <c r="AF117" i="85"/>
  <c r="AF10" i="85"/>
  <c r="AF30" i="85" s="1"/>
  <c r="AF42" i="85"/>
  <c r="AF41" i="85"/>
  <c r="AF40" i="85"/>
  <c r="AE7" i="85"/>
  <c r="AE39" i="85"/>
  <c r="AE35" i="85"/>
  <c r="AE28" i="85"/>
  <c r="AE25" i="85"/>
  <c r="AE23" i="85"/>
  <c r="AE8" i="85"/>
  <c r="AE36" i="85"/>
  <c r="AE29" i="85"/>
  <c r="AE26" i="85"/>
  <c r="AE24" i="85"/>
  <c r="AE9" i="85"/>
  <c r="AE37" i="85"/>
  <c r="AE27" i="85"/>
  <c r="AE30" i="85"/>
  <c r="AF113" i="86"/>
  <c r="AF63" i="86"/>
  <c r="AF152" i="86"/>
  <c r="AF154" i="86"/>
  <c r="AF155" i="86"/>
  <c r="AF149" i="86"/>
  <c r="AF148" i="86" s="1"/>
  <c r="AF146" i="86"/>
  <c r="AF143" i="86"/>
  <c r="AF138" i="86"/>
  <c r="AF139" i="86"/>
  <c r="AF140" i="86"/>
  <c r="AF135" i="86"/>
  <c r="AF133" i="86"/>
  <c r="AF129" i="86"/>
  <c r="AF123" i="86"/>
  <c r="AF124" i="86"/>
  <c r="AF125" i="86"/>
  <c r="AF126" i="86"/>
  <c r="AF127" i="86"/>
  <c r="AF121" i="86"/>
  <c r="AF119" i="86"/>
  <c r="AF116" i="86"/>
  <c r="AF117" i="86"/>
  <c r="AF90" i="86"/>
  <c r="AF87" i="86"/>
  <c r="AF88" i="86"/>
  <c r="AF85" i="86"/>
  <c r="AF78" i="86"/>
  <c r="AF79" i="86"/>
  <c r="AF75" i="86"/>
  <c r="AF76" i="86"/>
  <c r="AF71" i="86"/>
  <c r="AF69" i="86"/>
  <c r="AF65" i="86"/>
  <c r="AF66" i="86"/>
  <c r="AF54" i="86"/>
  <c r="AF55" i="86"/>
  <c r="AF51" i="86"/>
  <c r="AF52" i="86"/>
  <c r="AF10" i="86"/>
  <c r="AF30" i="86" s="1"/>
  <c r="AF42" i="86"/>
  <c r="AF9" i="86" s="1"/>
  <c r="AF41" i="86"/>
  <c r="AE8" i="86"/>
  <c r="AE29" i="86"/>
  <c r="AE26" i="86"/>
  <c r="AE24" i="86"/>
  <c r="AE30" i="86"/>
  <c r="AE50" i="86"/>
  <c r="AE148" i="86"/>
  <c r="AE112" i="86"/>
  <c r="AF113" i="68"/>
  <c r="AF63" i="68"/>
  <c r="AF152" i="68"/>
  <c r="AF154" i="68"/>
  <c r="AF155" i="68"/>
  <c r="AF149" i="68"/>
  <c r="AF148" i="68" s="1"/>
  <c r="AF146" i="68"/>
  <c r="AF143" i="68"/>
  <c r="AF138" i="68"/>
  <c r="AF139" i="68"/>
  <c r="AF140" i="68"/>
  <c r="AF135" i="68"/>
  <c r="AF133" i="68"/>
  <c r="AF129" i="68"/>
  <c r="AF123" i="68"/>
  <c r="AF124" i="68"/>
  <c r="AF125" i="68"/>
  <c r="AF126" i="68"/>
  <c r="AF127" i="68"/>
  <c r="AF121" i="68"/>
  <c r="AF119" i="68"/>
  <c r="AF116" i="68"/>
  <c r="AF117" i="68"/>
  <c r="AF90" i="68"/>
  <c r="AF87" i="68"/>
  <c r="AF88" i="68"/>
  <c r="AF85" i="68"/>
  <c r="AF78" i="68"/>
  <c r="AF79" i="68"/>
  <c r="AF75" i="68"/>
  <c r="AF76" i="68"/>
  <c r="AF71" i="68"/>
  <c r="AF69" i="68"/>
  <c r="AF65" i="68"/>
  <c r="AF66" i="68"/>
  <c r="AF54" i="68"/>
  <c r="AF55" i="68"/>
  <c r="AF58" i="68"/>
  <c r="AF51" i="68"/>
  <c r="AF52" i="68"/>
  <c r="AF10" i="68"/>
  <c r="AF30" i="68" s="1"/>
  <c r="AF42" i="68"/>
  <c r="AF9" i="68" s="1"/>
  <c r="AF41" i="68"/>
  <c r="AF8" i="68" s="1"/>
  <c r="AE30" i="68"/>
  <c r="AE50" i="68"/>
  <c r="AE148" i="68"/>
  <c r="AE112" i="68"/>
  <c r="AB158" i="87"/>
  <c r="AB159" i="87"/>
  <c r="AC158" i="87"/>
  <c r="AC159" i="87"/>
  <c r="AF63" i="87"/>
  <c r="AF63" i="124" s="1"/>
  <c r="AF152" i="87"/>
  <c r="AF149" i="87"/>
  <c r="AF147" i="124"/>
  <c r="AF146" i="87"/>
  <c r="AF143" i="87"/>
  <c r="AF140" i="87"/>
  <c r="AF139" i="87"/>
  <c r="AF138" i="87"/>
  <c r="AF135" i="87"/>
  <c r="AF133" i="87"/>
  <c r="AF129" i="87"/>
  <c r="AF127" i="87"/>
  <c r="AF126" i="87"/>
  <c r="AF124" i="87"/>
  <c r="AF124" i="124" s="1"/>
  <c r="AF123" i="87"/>
  <c r="AF123" i="124" s="1"/>
  <c r="AF121" i="87"/>
  <c r="AF121" i="124" s="1"/>
  <c r="AF117" i="87"/>
  <c r="AF117" i="124" s="1"/>
  <c r="AF116" i="87"/>
  <c r="AF116" i="124" s="1"/>
  <c r="AF113" i="124"/>
  <c r="AF10" i="87"/>
  <c r="AF85" i="87"/>
  <c r="AF79" i="87"/>
  <c r="AF79" i="124" s="1"/>
  <c r="AF78" i="87"/>
  <c r="AF65" i="87"/>
  <c r="AF65" i="124" s="1"/>
  <c r="AF108" i="124"/>
  <c r="AF109" i="124"/>
  <c r="AF110" i="124"/>
  <c r="AF111" i="124"/>
  <c r="AF8" i="87"/>
  <c r="AF88" i="87"/>
  <c r="AF88" i="124" s="1"/>
  <c r="AF87" i="87"/>
  <c r="AF87" i="124" s="1"/>
  <c r="AF81" i="124"/>
  <c r="AF76" i="124"/>
  <c r="AF75" i="87"/>
  <c r="AF75" i="124" s="1"/>
  <c r="AE78" i="124"/>
  <c r="AE78" i="174"/>
  <c r="AE94" i="174"/>
  <c r="AE85" i="174"/>
  <c r="AE85" i="124"/>
  <c r="AE143" i="124"/>
  <c r="AE143" i="174"/>
  <c r="AE146" i="124"/>
  <c r="AE146" i="174"/>
  <c r="AD159" i="86"/>
  <c r="AD159" i="68"/>
  <c r="AD258" i="174"/>
  <c r="AD112" i="174"/>
  <c r="AE10" i="174"/>
  <c r="AE30" i="87"/>
  <c r="AF69" i="87"/>
  <c r="AF69" i="124" s="1"/>
  <c r="AF66" i="87"/>
  <c r="AF66" i="124" s="1"/>
  <c r="AF58" i="87"/>
  <c r="AF58" i="124" s="1"/>
  <c r="AF54" i="87"/>
  <c r="AF54" i="124" s="1"/>
  <c r="AF52" i="87"/>
  <c r="AF52" i="124" s="1"/>
  <c r="AF51" i="87"/>
  <c r="AF51" i="124" s="1"/>
  <c r="AF155" i="87"/>
  <c r="AF155" i="124" s="1"/>
  <c r="AF126" i="124"/>
  <c r="AF127" i="124"/>
  <c r="AF129" i="124"/>
  <c r="AF133" i="124"/>
  <c r="AF135" i="124"/>
  <c r="AF138" i="124"/>
  <c r="AF139" i="124"/>
  <c r="AF140" i="124"/>
  <c r="AF142" i="124"/>
  <c r="AE112" i="87"/>
  <c r="AD257" i="174"/>
  <c r="AD254" i="174"/>
  <c r="AD291" i="174"/>
  <c r="AD338" i="174" s="1"/>
  <c r="AD341" i="174" s="1"/>
  <c r="AD260" i="174"/>
  <c r="AD261" i="174" s="1"/>
  <c r="AD259" i="174"/>
  <c r="AE81" i="174"/>
  <c r="AE76" i="174"/>
  <c r="AE52" i="174"/>
  <c r="AE113" i="174"/>
  <c r="AE58" i="174"/>
  <c r="AE97" i="174"/>
  <c r="AE88" i="174"/>
  <c r="AE50" i="87"/>
  <c r="AE51" i="174"/>
  <c r="AE142" i="174"/>
  <c r="AE140" i="174"/>
  <c r="AE139" i="174"/>
  <c r="AE138" i="174"/>
  <c r="AE135" i="174"/>
  <c r="AE133" i="174"/>
  <c r="AE129" i="174"/>
  <c r="AE127" i="174"/>
  <c r="AE126" i="174"/>
  <c r="AE124" i="174"/>
  <c r="AE123" i="174"/>
  <c r="AE121" i="174"/>
  <c r="AE117" i="174"/>
  <c r="AE116" i="174"/>
  <c r="AE96" i="174"/>
  <c r="AE87" i="174"/>
  <c r="AE66" i="174"/>
  <c r="AE75" i="174"/>
  <c r="AE155" i="174"/>
  <c r="AE79" i="174"/>
  <c r="AE112" i="85"/>
  <c r="AE50" i="85"/>
  <c r="AF55" i="87"/>
  <c r="AF55" i="124" s="1"/>
  <c r="AF71" i="87"/>
  <c r="AF71" i="124" s="1"/>
  <c r="AF154" i="87"/>
  <c r="AF154" i="124" s="1"/>
  <c r="AF152" i="124"/>
  <c r="AF125" i="87"/>
  <c r="AF125" i="124" s="1"/>
  <c r="AF119" i="87"/>
  <c r="AF119" i="124" s="1"/>
  <c r="AF90" i="87"/>
  <c r="AF90" i="124" s="1"/>
  <c r="AF56" i="124"/>
  <c r="AE69" i="174"/>
  <c r="AE56" i="174"/>
  <c r="AE63" i="174"/>
  <c r="AE65" i="174"/>
  <c r="AE99" i="174"/>
  <c r="AE90" i="174"/>
  <c r="AE119" i="174"/>
  <c r="AE125" i="174"/>
  <c r="AE147" i="174"/>
  <c r="AE152" i="174"/>
  <c r="AE154" i="174"/>
  <c r="AE71" i="174"/>
  <c r="AE55" i="174"/>
  <c r="AF40" i="68"/>
  <c r="AF7" i="68" s="1"/>
  <c r="AD158" i="68"/>
  <c r="AE39" i="68"/>
  <c r="AE28" i="68"/>
  <c r="AE25" i="68"/>
  <c r="AE23" i="68"/>
  <c r="AE29" i="68"/>
  <c r="AE26" i="68"/>
  <c r="AE24" i="68"/>
  <c r="AE27" i="68"/>
  <c r="AE91" i="68"/>
  <c r="AE107" i="68"/>
  <c r="AF40" i="86"/>
  <c r="AF7" i="86" s="1"/>
  <c r="AD158" i="86"/>
  <c r="AE39" i="86"/>
  <c r="AE28" i="86"/>
  <c r="AE25" i="86"/>
  <c r="AE23" i="86"/>
  <c r="AE27" i="86"/>
  <c r="AE91" i="86"/>
  <c r="AE107" i="86"/>
  <c r="AF148" i="85"/>
  <c r="AD159" i="85"/>
  <c r="AB158" i="85"/>
  <c r="AC158" i="85"/>
  <c r="AE91" i="85"/>
  <c r="AE107" i="85"/>
  <c r="AE27" i="174"/>
  <c r="AE27" i="124"/>
  <c r="AD23" i="174"/>
  <c r="AD23" i="124"/>
  <c r="AD28" i="174"/>
  <c r="AD28" i="124"/>
  <c r="AD25" i="174"/>
  <c r="AD25" i="124"/>
  <c r="AD26" i="174"/>
  <c r="AD26" i="124"/>
  <c r="AD24" i="174"/>
  <c r="AD24" i="124"/>
  <c r="AD29" i="174"/>
  <c r="AD29" i="124"/>
  <c r="AD30" i="174"/>
  <c r="AD30" i="124"/>
  <c r="AE42" i="174"/>
  <c r="AE42" i="124"/>
  <c r="AE41" i="174"/>
  <c r="AE41" i="124"/>
  <c r="AE40" i="174"/>
  <c r="AE40" i="124"/>
  <c r="AE54" i="174"/>
  <c r="AE50" i="174" s="1"/>
  <c r="AD148" i="174"/>
  <c r="AD156" i="174" s="1"/>
  <c r="AE150" i="174"/>
  <c r="AE149" i="174"/>
  <c r="AE153" i="174"/>
  <c r="AE107" i="174"/>
  <c r="AD158" i="174"/>
  <c r="AD157" i="174"/>
  <c r="AF7" i="87"/>
  <c r="AF149" i="124"/>
  <c r="AF101" i="174"/>
  <c r="AF102" i="174"/>
  <c r="AF103" i="174"/>
  <c r="AF104" i="174"/>
  <c r="AF105" i="174"/>
  <c r="AF106" i="174"/>
  <c r="AF108" i="174"/>
  <c r="AF109" i="174"/>
  <c r="AF110" i="174"/>
  <c r="AF111" i="174"/>
  <c r="AE91" i="87"/>
  <c r="AE100" i="174" s="1"/>
  <c r="AE91" i="174" s="1"/>
  <c r="AE107" i="87"/>
  <c r="AE148" i="87"/>
  <c r="AE157" i="87" s="1"/>
  <c r="AE10" i="124"/>
  <c r="AE26" i="87"/>
  <c r="AE29" i="87"/>
  <c r="AE24" i="87"/>
  <c r="AE25" i="87"/>
  <c r="AE28" i="87"/>
  <c r="AE23" i="87"/>
  <c r="AE39" i="87"/>
  <c r="AF27" i="87"/>
  <c r="V155" i="124"/>
  <c r="AG1" i="87"/>
  <c r="AG1" i="68"/>
  <c r="AG1" i="86"/>
  <c r="AG1" i="85"/>
  <c r="AE157" i="85" l="1"/>
  <c r="AE157" i="86"/>
  <c r="AE157" i="68"/>
  <c r="AF107" i="124"/>
  <c r="AF91" i="124"/>
  <c r="AG56" i="85"/>
  <c r="AG142" i="85"/>
  <c r="AG56" i="86"/>
  <c r="AG142" i="86"/>
  <c r="AG10" i="86"/>
  <c r="AG30" i="86" s="1"/>
  <c r="AG40" i="86"/>
  <c r="AG41" i="86"/>
  <c r="AG42" i="86"/>
  <c r="AG51" i="86"/>
  <c r="AG52" i="86"/>
  <c r="AG54" i="86"/>
  <c r="AG55" i="86"/>
  <c r="AG58" i="86"/>
  <c r="AG63" i="86"/>
  <c r="AG65" i="86"/>
  <c r="AG66" i="86"/>
  <c r="AG69" i="86"/>
  <c r="AG71" i="86"/>
  <c r="AG75" i="86"/>
  <c r="AG76" i="86"/>
  <c r="AG78" i="86"/>
  <c r="AG79" i="86"/>
  <c r="AG85" i="86"/>
  <c r="AG87" i="86"/>
  <c r="AG88" i="86"/>
  <c r="AG90" i="86"/>
  <c r="AG92" i="86"/>
  <c r="AG93" i="86"/>
  <c r="AG94" i="86"/>
  <c r="AG95" i="86"/>
  <c r="AG96" i="86"/>
  <c r="AG97" i="86"/>
  <c r="AG98" i="86"/>
  <c r="AG99" i="86"/>
  <c r="AG100" i="86"/>
  <c r="AG101" i="86"/>
  <c r="AG102" i="86"/>
  <c r="AG103" i="86"/>
  <c r="AG104" i="86"/>
  <c r="AG105" i="86"/>
  <c r="AG106" i="86"/>
  <c r="AG108" i="86"/>
  <c r="AG109" i="86"/>
  <c r="AG110" i="86"/>
  <c r="AG111" i="86"/>
  <c r="AG113" i="86"/>
  <c r="AG116" i="86"/>
  <c r="AG117" i="86"/>
  <c r="AG119" i="86"/>
  <c r="AG121" i="86"/>
  <c r="AG123" i="86"/>
  <c r="AG124" i="86"/>
  <c r="AG125" i="86"/>
  <c r="AG126" i="86"/>
  <c r="AG127" i="86"/>
  <c r="AG129" i="86"/>
  <c r="AG133" i="86"/>
  <c r="AG135" i="86"/>
  <c r="AG138" i="86"/>
  <c r="AG139" i="86"/>
  <c r="AG140" i="86"/>
  <c r="AG143" i="86"/>
  <c r="AG146" i="86"/>
  <c r="AG149" i="86"/>
  <c r="AG152" i="86"/>
  <c r="AG154" i="86"/>
  <c r="AG155" i="86"/>
  <c r="AG56" i="68"/>
  <c r="AG142" i="68"/>
  <c r="AG10" i="68"/>
  <c r="AG30" i="68" s="1"/>
  <c r="AG40" i="68"/>
  <c r="AG41" i="68"/>
  <c r="AG42" i="68"/>
  <c r="AG51" i="68"/>
  <c r="AG52" i="68"/>
  <c r="AG54" i="68"/>
  <c r="AG55" i="68"/>
  <c r="AG57" i="68"/>
  <c r="AG58" i="68"/>
  <c r="AG63" i="68"/>
  <c r="AG65" i="68"/>
  <c r="AG66" i="68"/>
  <c r="AG69" i="68"/>
  <c r="AG71" i="68"/>
  <c r="AG75" i="68"/>
  <c r="AG76" i="68"/>
  <c r="AG78" i="68"/>
  <c r="AG79" i="68"/>
  <c r="AG85" i="68"/>
  <c r="AG87" i="68"/>
  <c r="AG88" i="68"/>
  <c r="AG90" i="68"/>
  <c r="AG92" i="68"/>
  <c r="AG93" i="68"/>
  <c r="AG94" i="68"/>
  <c r="AG95" i="68"/>
  <c r="AG96" i="68"/>
  <c r="AG97" i="68"/>
  <c r="AG98" i="68"/>
  <c r="AG99" i="68"/>
  <c r="AG100" i="68"/>
  <c r="AG101" i="68"/>
  <c r="AG102" i="68"/>
  <c r="AG103" i="68"/>
  <c r="AG104" i="68"/>
  <c r="AG105" i="68"/>
  <c r="AG106" i="68"/>
  <c r="AG108" i="68"/>
  <c r="AG109" i="68"/>
  <c r="AG110" i="68"/>
  <c r="AG111" i="68"/>
  <c r="AG113" i="68"/>
  <c r="AG116" i="68"/>
  <c r="AG117" i="68"/>
  <c r="AG119" i="68"/>
  <c r="AG121" i="68"/>
  <c r="AG123" i="68"/>
  <c r="AG124" i="68"/>
  <c r="AG125" i="68"/>
  <c r="AG126" i="68"/>
  <c r="AG127" i="68"/>
  <c r="AG129" i="68"/>
  <c r="AG133" i="68"/>
  <c r="AG135" i="68"/>
  <c r="AG138" i="68"/>
  <c r="AG139" i="68"/>
  <c r="AG140" i="68"/>
  <c r="AG143" i="68"/>
  <c r="AG146" i="68"/>
  <c r="AG149" i="68"/>
  <c r="AG152" i="68"/>
  <c r="AG154" i="68"/>
  <c r="AG155" i="68"/>
  <c r="AG57" i="87"/>
  <c r="AG142" i="87"/>
  <c r="AG56" i="87"/>
  <c r="AE39" i="124"/>
  <c r="AG57" i="124"/>
  <c r="AG57" i="174"/>
  <c r="AG92" i="85"/>
  <c r="AG93" i="85"/>
  <c r="AG94" i="85"/>
  <c r="AG95" i="85"/>
  <c r="AG96" i="85"/>
  <c r="AG97" i="85"/>
  <c r="AG98" i="85"/>
  <c r="AG99" i="85"/>
  <c r="AG100" i="85"/>
  <c r="AG101" i="85"/>
  <c r="AG102" i="85"/>
  <c r="AG103" i="85"/>
  <c r="AG104" i="85"/>
  <c r="AG105" i="85"/>
  <c r="AG106" i="85"/>
  <c r="AG108" i="85"/>
  <c r="AG109" i="85"/>
  <c r="AG110" i="85"/>
  <c r="AG111" i="85"/>
  <c r="AG42" i="87"/>
  <c r="AG41" i="87"/>
  <c r="AG40" i="87"/>
  <c r="AG113" i="87"/>
  <c r="AG92" i="87"/>
  <c r="AG92" i="124" s="1"/>
  <c r="AG93" i="87"/>
  <c r="AG93" i="124" s="1"/>
  <c r="AG94" i="87"/>
  <c r="AG94" i="124" s="1"/>
  <c r="AG95" i="87"/>
  <c r="AG95" i="124" s="1"/>
  <c r="AG96" i="87"/>
  <c r="AG96" i="124" s="1"/>
  <c r="AG97" i="87"/>
  <c r="AG97" i="124" s="1"/>
  <c r="AG98" i="87"/>
  <c r="AG98" i="124" s="1"/>
  <c r="AG99" i="87"/>
  <c r="AG99" i="124" s="1"/>
  <c r="AG100" i="87"/>
  <c r="AG100" i="124" s="1"/>
  <c r="AG101" i="87"/>
  <c r="AG101" i="124" s="1"/>
  <c r="AG102" i="87"/>
  <c r="AG102" i="124" s="1"/>
  <c r="AG103" i="87"/>
  <c r="AG103" i="124" s="1"/>
  <c r="AG104" i="87"/>
  <c r="AG104" i="124" s="1"/>
  <c r="AG105" i="87"/>
  <c r="AG105" i="124" s="1"/>
  <c r="AG106" i="87"/>
  <c r="AG106" i="124" s="1"/>
  <c r="AG108" i="87"/>
  <c r="AG109" i="87"/>
  <c r="AG110" i="87"/>
  <c r="AG111" i="87"/>
  <c r="AG113" i="85"/>
  <c r="AG63" i="85"/>
  <c r="AG90" i="85"/>
  <c r="AG87" i="85"/>
  <c r="AG88" i="85"/>
  <c r="AG85" i="85"/>
  <c r="AG78" i="85"/>
  <c r="AG79" i="85"/>
  <c r="AG75" i="85"/>
  <c r="AG76" i="85"/>
  <c r="AG71" i="85"/>
  <c r="AG69" i="85"/>
  <c r="AG65" i="85"/>
  <c r="AG66" i="85"/>
  <c r="AG54" i="85"/>
  <c r="AG55" i="85"/>
  <c r="AG58" i="85"/>
  <c r="AG51" i="85"/>
  <c r="AG52" i="85"/>
  <c r="AG152" i="85"/>
  <c r="AG154" i="85"/>
  <c r="AG155" i="85"/>
  <c r="AG149" i="85"/>
  <c r="AG146" i="85"/>
  <c r="AG143" i="85"/>
  <c r="AG138" i="85"/>
  <c r="AG139" i="85"/>
  <c r="AG140" i="85"/>
  <c r="AG135" i="85"/>
  <c r="AG133" i="85"/>
  <c r="AG129" i="85"/>
  <c r="AG123" i="85"/>
  <c r="AG124" i="85"/>
  <c r="AG125" i="85"/>
  <c r="AG126" i="85"/>
  <c r="AG127" i="85"/>
  <c r="AG121" i="85"/>
  <c r="AG119" i="85"/>
  <c r="AG116" i="85"/>
  <c r="AG117" i="85"/>
  <c r="AG10" i="85"/>
  <c r="AG42" i="85"/>
  <c r="AG41" i="85"/>
  <c r="AG40" i="85"/>
  <c r="AF7" i="85"/>
  <c r="AF39" i="85"/>
  <c r="AF35" i="85"/>
  <c r="AF28" i="85"/>
  <c r="AF25" i="85"/>
  <c r="AF23" i="85"/>
  <c r="AF8" i="85"/>
  <c r="AF36" i="85"/>
  <c r="AF29" i="85"/>
  <c r="AF26" i="85"/>
  <c r="AF24" i="85"/>
  <c r="AF9" i="85"/>
  <c r="AF37" i="85"/>
  <c r="AF27" i="85"/>
  <c r="AF8" i="86"/>
  <c r="AF29" i="86"/>
  <c r="AF26" i="86"/>
  <c r="AF24" i="86"/>
  <c r="AF50" i="86"/>
  <c r="AF112" i="86"/>
  <c r="AF50" i="68"/>
  <c r="AF112" i="68"/>
  <c r="AD158" i="87"/>
  <c r="AD159" i="87"/>
  <c r="AG63" i="87"/>
  <c r="AG63" i="124" s="1"/>
  <c r="AG152" i="87"/>
  <c r="AG149" i="87"/>
  <c r="AG147" i="124"/>
  <c r="AG146" i="87"/>
  <c r="AG143" i="87"/>
  <c r="AG140" i="87"/>
  <c r="AG139" i="87"/>
  <c r="AG138" i="87"/>
  <c r="AG135" i="87"/>
  <c r="AG133" i="87"/>
  <c r="AG129" i="87"/>
  <c r="AG127" i="87"/>
  <c r="AG126" i="87"/>
  <c r="AG124" i="87"/>
  <c r="AG124" i="124" s="1"/>
  <c r="AG123" i="87"/>
  <c r="AG123" i="124" s="1"/>
  <c r="AG121" i="87"/>
  <c r="AG121" i="124" s="1"/>
  <c r="AG117" i="87"/>
  <c r="AG117" i="124" s="1"/>
  <c r="AG116" i="87"/>
  <c r="AG116" i="124" s="1"/>
  <c r="AG113" i="124"/>
  <c r="AG10" i="87"/>
  <c r="AG85" i="87"/>
  <c r="AG79" i="87"/>
  <c r="AG79" i="124" s="1"/>
  <c r="AG78" i="87"/>
  <c r="AG65" i="87"/>
  <c r="AG65" i="124" s="1"/>
  <c r="AG108" i="124"/>
  <c r="AG109" i="124"/>
  <c r="AG110" i="124"/>
  <c r="AG111" i="124"/>
  <c r="AG8" i="87"/>
  <c r="AG88" i="87"/>
  <c r="AG88" i="124" s="1"/>
  <c r="AG87" i="87"/>
  <c r="AG87" i="124" s="1"/>
  <c r="AG81" i="124"/>
  <c r="AG76" i="124"/>
  <c r="AG75" i="87"/>
  <c r="AG75" i="124" s="1"/>
  <c r="AF78" i="124"/>
  <c r="AF78" i="174"/>
  <c r="AF94" i="174"/>
  <c r="AF85" i="174"/>
  <c r="AF85" i="124"/>
  <c r="AF143" i="124"/>
  <c r="AF143" i="174"/>
  <c r="AF146" i="124"/>
  <c r="AF146" i="174"/>
  <c r="AE159" i="86"/>
  <c r="AE159" i="68"/>
  <c r="AE258" i="174"/>
  <c r="AE112" i="174"/>
  <c r="AF10" i="174"/>
  <c r="AF30" i="87"/>
  <c r="AG69" i="87"/>
  <c r="AG69" i="124" s="1"/>
  <c r="AG66" i="87"/>
  <c r="AG66" i="124" s="1"/>
  <c r="AG58" i="87"/>
  <c r="AG58" i="124" s="1"/>
  <c r="AG54" i="87"/>
  <c r="AG54" i="124" s="1"/>
  <c r="AG52" i="87"/>
  <c r="AG52" i="124" s="1"/>
  <c r="AG51" i="87"/>
  <c r="AG51" i="124" s="1"/>
  <c r="AG155" i="87"/>
  <c r="AG155" i="124" s="1"/>
  <c r="AG126" i="124"/>
  <c r="AG127" i="124"/>
  <c r="AG129" i="124"/>
  <c r="AG133" i="124"/>
  <c r="AG135" i="124"/>
  <c r="AG138" i="124"/>
  <c r="AG139" i="124"/>
  <c r="AG140" i="124"/>
  <c r="AG142" i="124"/>
  <c r="AF112" i="87"/>
  <c r="AE257" i="174"/>
  <c r="AE254" i="174"/>
  <c r="AE291" i="174"/>
  <c r="AE338" i="174" s="1"/>
  <c r="AE341" i="174" s="1"/>
  <c r="AE260" i="174"/>
  <c r="AE261" i="174" s="1"/>
  <c r="AE259" i="174"/>
  <c r="AF81" i="174"/>
  <c r="AF76" i="174"/>
  <c r="AF52" i="174"/>
  <c r="AF113" i="174"/>
  <c r="AF58" i="174"/>
  <c r="AF97" i="174"/>
  <c r="AF88" i="174"/>
  <c r="AF50" i="87"/>
  <c r="AF51" i="174"/>
  <c r="AF142" i="174"/>
  <c r="AF140" i="174"/>
  <c r="AF139" i="174"/>
  <c r="AF138" i="174"/>
  <c r="AF135" i="174"/>
  <c r="AF133" i="174"/>
  <c r="AF129" i="174"/>
  <c r="AF127" i="174"/>
  <c r="AF126" i="174"/>
  <c r="AF124" i="174"/>
  <c r="AF123" i="174"/>
  <c r="AF121" i="174"/>
  <c r="AF117" i="174"/>
  <c r="AF116" i="174"/>
  <c r="AF96" i="174"/>
  <c r="AF87" i="174"/>
  <c r="AF66" i="174"/>
  <c r="AF75" i="174"/>
  <c r="AF155" i="174"/>
  <c r="AF79" i="174"/>
  <c r="AF112" i="85"/>
  <c r="AF50" i="85"/>
  <c r="AG55" i="87"/>
  <c r="AG55" i="124" s="1"/>
  <c r="AG71" i="87"/>
  <c r="AG71" i="124" s="1"/>
  <c r="AG154" i="87"/>
  <c r="AG154" i="124" s="1"/>
  <c r="AG152" i="124"/>
  <c r="AG125" i="87"/>
  <c r="AG125" i="124" s="1"/>
  <c r="AG119" i="87"/>
  <c r="AG119" i="124" s="1"/>
  <c r="AG90" i="87"/>
  <c r="AG90" i="124" s="1"/>
  <c r="AG56" i="124"/>
  <c r="AF69" i="174"/>
  <c r="AF56" i="174"/>
  <c r="AF63" i="174"/>
  <c r="AF65" i="174"/>
  <c r="AF99" i="174"/>
  <c r="AF90" i="174"/>
  <c r="AF119" i="174"/>
  <c r="AF125" i="174"/>
  <c r="AF147" i="174"/>
  <c r="AF152" i="174"/>
  <c r="AF154" i="174"/>
  <c r="AF71" i="174"/>
  <c r="AF55" i="174"/>
  <c r="AE158" i="68"/>
  <c r="AF39" i="68"/>
  <c r="AF28" i="68"/>
  <c r="AF25" i="68"/>
  <c r="AF23" i="68"/>
  <c r="AF29" i="68"/>
  <c r="AF26" i="68"/>
  <c r="AF24" i="68"/>
  <c r="AF27" i="68"/>
  <c r="AF91" i="68"/>
  <c r="AF107" i="68"/>
  <c r="AE158" i="86"/>
  <c r="AF39" i="86"/>
  <c r="AF28" i="86"/>
  <c r="AF25" i="86"/>
  <c r="AF23" i="86"/>
  <c r="AF27" i="86"/>
  <c r="AF91" i="86"/>
  <c r="AF107" i="86"/>
  <c r="AG148" i="85"/>
  <c r="AE159" i="85"/>
  <c r="AD158" i="85"/>
  <c r="AF91" i="85"/>
  <c r="AF107" i="85"/>
  <c r="AF27" i="174"/>
  <c r="AF27" i="124"/>
  <c r="AE23" i="174"/>
  <c r="AE23" i="124"/>
  <c r="AE28" i="174"/>
  <c r="AE28" i="124"/>
  <c r="AE25" i="174"/>
  <c r="AE25" i="124"/>
  <c r="AE24" i="174"/>
  <c r="AE24" i="124"/>
  <c r="AE29" i="174"/>
  <c r="AE29" i="124"/>
  <c r="AE26" i="174"/>
  <c r="AE26" i="124"/>
  <c r="AE30" i="174"/>
  <c r="AE30" i="124"/>
  <c r="AF42" i="174"/>
  <c r="AF42" i="124"/>
  <c r="AF41" i="174"/>
  <c r="AF41" i="124"/>
  <c r="AF40" i="174"/>
  <c r="AF40" i="124"/>
  <c r="AF54" i="174"/>
  <c r="AF50" i="174" s="1"/>
  <c r="AE148" i="174"/>
  <c r="AE156" i="174" s="1"/>
  <c r="AF150" i="174"/>
  <c r="AF149" i="174"/>
  <c r="AF153" i="174"/>
  <c r="AF107" i="174"/>
  <c r="AE158" i="174"/>
  <c r="AE157" i="174"/>
  <c r="AG7" i="87"/>
  <c r="AG149" i="124"/>
  <c r="AG101" i="174"/>
  <c r="AG102" i="174"/>
  <c r="AG103" i="174"/>
  <c r="AG104" i="174"/>
  <c r="AG105" i="174"/>
  <c r="AG106" i="174"/>
  <c r="AG108" i="174"/>
  <c r="AG109" i="174"/>
  <c r="AG110" i="174"/>
  <c r="AG111" i="174"/>
  <c r="AF91" i="87"/>
  <c r="AF100" i="174" s="1"/>
  <c r="AF91" i="174" s="1"/>
  <c r="AF107" i="87"/>
  <c r="AF148" i="87"/>
  <c r="AF157" i="87" s="1"/>
  <c r="AF10" i="124"/>
  <c r="AG27" i="87"/>
  <c r="AF26" i="87"/>
  <c r="AF29" i="87"/>
  <c r="AF24" i="87"/>
  <c r="AF25" i="87"/>
  <c r="AF28" i="87"/>
  <c r="AF23" i="87"/>
  <c r="AF39" i="87"/>
  <c r="AH1" i="87"/>
  <c r="AH1" i="68"/>
  <c r="AH1" i="86"/>
  <c r="AH1" i="85"/>
  <c r="AF157" i="85" l="1"/>
  <c r="AF157" i="86"/>
  <c r="AF157" i="68"/>
  <c r="AG107" i="124"/>
  <c r="AG91" i="124"/>
  <c r="AH56" i="85"/>
  <c r="AH142" i="85"/>
  <c r="AH56" i="86"/>
  <c r="AH142" i="86"/>
  <c r="AG148" i="86"/>
  <c r="AG112" i="86"/>
  <c r="AG107" i="86"/>
  <c r="AG91" i="86"/>
  <c r="AG50" i="86"/>
  <c r="AG9" i="86"/>
  <c r="AG27" i="86"/>
  <c r="AG37" i="86"/>
  <c r="AG8" i="86"/>
  <c r="AG24" i="86"/>
  <c r="AG26" i="86"/>
  <c r="AG29" i="86"/>
  <c r="AG36" i="86"/>
  <c r="AG7" i="86"/>
  <c r="AG23" i="86"/>
  <c r="AG25" i="86"/>
  <c r="AG28" i="86"/>
  <c r="AG35" i="86"/>
  <c r="AG39" i="86"/>
  <c r="AH56" i="68"/>
  <c r="AH142" i="68"/>
  <c r="AH57" i="68"/>
  <c r="AG148" i="68"/>
  <c r="AG112" i="68"/>
  <c r="AG107" i="68"/>
  <c r="AG91" i="68"/>
  <c r="AG50" i="68"/>
  <c r="AG9" i="68"/>
  <c r="AG27" i="68"/>
  <c r="AG37" i="68"/>
  <c r="AG8" i="68"/>
  <c r="AG24" i="68"/>
  <c r="AG26" i="68"/>
  <c r="AG29" i="68"/>
  <c r="AG36" i="68"/>
  <c r="AG7" i="68"/>
  <c r="AG23" i="68"/>
  <c r="AG25" i="68"/>
  <c r="AG28" i="68"/>
  <c r="AG35" i="68"/>
  <c r="AG39" i="68"/>
  <c r="AH57" i="87"/>
  <c r="AH142" i="87"/>
  <c r="AH56" i="87"/>
  <c r="AF39" i="124"/>
  <c r="AH57" i="124"/>
  <c r="AH57" i="174"/>
  <c r="AH92" i="85"/>
  <c r="AH93" i="85"/>
  <c r="AH94" i="85"/>
  <c r="AH95" i="85"/>
  <c r="AH96" i="85"/>
  <c r="AH97" i="85"/>
  <c r="AH98" i="85"/>
  <c r="AH99" i="85"/>
  <c r="AH100" i="85"/>
  <c r="AH101" i="85"/>
  <c r="AH102" i="85"/>
  <c r="AH103" i="85"/>
  <c r="AH104" i="85"/>
  <c r="AH105" i="85"/>
  <c r="AH106" i="85"/>
  <c r="AH108" i="85"/>
  <c r="AH109" i="85"/>
  <c r="AH110" i="85"/>
  <c r="AH111" i="85"/>
  <c r="AH92" i="86"/>
  <c r="AH93" i="86"/>
  <c r="AH94" i="86"/>
  <c r="AH95" i="86"/>
  <c r="AH96" i="86"/>
  <c r="AH97" i="86"/>
  <c r="AH98" i="86"/>
  <c r="AH99" i="86"/>
  <c r="AH100" i="86"/>
  <c r="AH101" i="86"/>
  <c r="AH102" i="86"/>
  <c r="AH103" i="86"/>
  <c r="AH104" i="86"/>
  <c r="AH105" i="86"/>
  <c r="AH106" i="86"/>
  <c r="AH108" i="86"/>
  <c r="AH109" i="86"/>
  <c r="AH110" i="86"/>
  <c r="AH111" i="86"/>
  <c r="AH92" i="68"/>
  <c r="AH93" i="68"/>
  <c r="AH94" i="68"/>
  <c r="AH95" i="68"/>
  <c r="AH96" i="68"/>
  <c r="AH97" i="68"/>
  <c r="AH98" i="68"/>
  <c r="AH99" i="68"/>
  <c r="AH100" i="68"/>
  <c r="AH101" i="68"/>
  <c r="AH102" i="68"/>
  <c r="AH103" i="68"/>
  <c r="AH104" i="68"/>
  <c r="AH105" i="68"/>
  <c r="AH106" i="68"/>
  <c r="AH108" i="68"/>
  <c r="AH109" i="68"/>
  <c r="AH110" i="68"/>
  <c r="AH111" i="68"/>
  <c r="AH42" i="87"/>
  <c r="AH41" i="87"/>
  <c r="AH40" i="87"/>
  <c r="AH113" i="87"/>
  <c r="AH92" i="87"/>
  <c r="AH92" i="124" s="1"/>
  <c r="AH93" i="87"/>
  <c r="AH93" i="124" s="1"/>
  <c r="AH94" i="87"/>
  <c r="AH94" i="124" s="1"/>
  <c r="AH95" i="87"/>
  <c r="AH95" i="124" s="1"/>
  <c r="AH96" i="87"/>
  <c r="AH96" i="124" s="1"/>
  <c r="AH97" i="87"/>
  <c r="AH97" i="124" s="1"/>
  <c r="AH98" i="87"/>
  <c r="AH98" i="124" s="1"/>
  <c r="AH99" i="87"/>
  <c r="AH99" i="124" s="1"/>
  <c r="AH100" i="87"/>
  <c r="AH100" i="124" s="1"/>
  <c r="AH101" i="87"/>
  <c r="AH101" i="124" s="1"/>
  <c r="AH102" i="87"/>
  <c r="AH102" i="124" s="1"/>
  <c r="AH103" i="87"/>
  <c r="AH103" i="124" s="1"/>
  <c r="AH104" i="87"/>
  <c r="AH104" i="124" s="1"/>
  <c r="AH105" i="87"/>
  <c r="AH105" i="124" s="1"/>
  <c r="AH106" i="87"/>
  <c r="AH106" i="124" s="1"/>
  <c r="AH108" i="87"/>
  <c r="AH109" i="87"/>
  <c r="AH110" i="87"/>
  <c r="AH111" i="87"/>
  <c r="AH113" i="85"/>
  <c r="AH63" i="85"/>
  <c r="AH90" i="85"/>
  <c r="AH87" i="85"/>
  <c r="AH88" i="85"/>
  <c r="AH85" i="85"/>
  <c r="AH78" i="85"/>
  <c r="AH79" i="85"/>
  <c r="AH75" i="85"/>
  <c r="AH76" i="85"/>
  <c r="AH71" i="85"/>
  <c r="AH69" i="85"/>
  <c r="AH65" i="85"/>
  <c r="AH66" i="85"/>
  <c r="AH54" i="85"/>
  <c r="AH55" i="85"/>
  <c r="AH58" i="85"/>
  <c r="AH51" i="85"/>
  <c r="AH52" i="85"/>
  <c r="AH152" i="85"/>
  <c r="AH154" i="85"/>
  <c r="AH155" i="85"/>
  <c r="AH149" i="85"/>
  <c r="AH146" i="85"/>
  <c r="AH143" i="85"/>
  <c r="AH138" i="85"/>
  <c r="AH139" i="85"/>
  <c r="AH140" i="85"/>
  <c r="AH135" i="85"/>
  <c r="AH133" i="85"/>
  <c r="AH129" i="85"/>
  <c r="AH123" i="85"/>
  <c r="AH124" i="85"/>
  <c r="AH125" i="85"/>
  <c r="AH126" i="85"/>
  <c r="AH127" i="85"/>
  <c r="AH121" i="85"/>
  <c r="AH119" i="85"/>
  <c r="AH116" i="85"/>
  <c r="AH117" i="85"/>
  <c r="AH10" i="85"/>
  <c r="AH30" i="85" s="1"/>
  <c r="AH42" i="85"/>
  <c r="AH41" i="85"/>
  <c r="AH40" i="85"/>
  <c r="AG7" i="85"/>
  <c r="AG39" i="85"/>
  <c r="AG35" i="85"/>
  <c r="AG28" i="85"/>
  <c r="AG25" i="85"/>
  <c r="AG23" i="85"/>
  <c r="AG8" i="85"/>
  <c r="AG36" i="85"/>
  <c r="AG29" i="85"/>
  <c r="AG26" i="85"/>
  <c r="AG24" i="85"/>
  <c r="AG9" i="85"/>
  <c r="AG37" i="85"/>
  <c r="AG27" i="85"/>
  <c r="AG30" i="85"/>
  <c r="AH113" i="86"/>
  <c r="AH63" i="86"/>
  <c r="AH152" i="86"/>
  <c r="AH154" i="86"/>
  <c r="AH155" i="86"/>
  <c r="AH149" i="86"/>
  <c r="AH148" i="86" s="1"/>
  <c r="AH146" i="86"/>
  <c r="AH143" i="86"/>
  <c r="AH138" i="86"/>
  <c r="AH139" i="86"/>
  <c r="AH140" i="86"/>
  <c r="AH135" i="86"/>
  <c r="AH133" i="86"/>
  <c r="AH129" i="86"/>
  <c r="AH123" i="86"/>
  <c r="AH124" i="86"/>
  <c r="AH125" i="86"/>
  <c r="AH126" i="86"/>
  <c r="AH127" i="86"/>
  <c r="AH121" i="86"/>
  <c r="AH119" i="86"/>
  <c r="AH116" i="86"/>
  <c r="AH117" i="86"/>
  <c r="AH90" i="86"/>
  <c r="AH87" i="86"/>
  <c r="AH88" i="86"/>
  <c r="AH85" i="86"/>
  <c r="AH78" i="86"/>
  <c r="AH79" i="86"/>
  <c r="AH75" i="86"/>
  <c r="AH76" i="86"/>
  <c r="AH71" i="86"/>
  <c r="AH69" i="86"/>
  <c r="AH65" i="86"/>
  <c r="AH66" i="86"/>
  <c r="AH54" i="86"/>
  <c r="AH55" i="86"/>
  <c r="AH58" i="86"/>
  <c r="AH51" i="86"/>
  <c r="AH52" i="86"/>
  <c r="AH10" i="86"/>
  <c r="AH30" i="86" s="1"/>
  <c r="AH42" i="86"/>
  <c r="AH9" i="86" s="1"/>
  <c r="AH41" i="86"/>
  <c r="AH113" i="68"/>
  <c r="AH63" i="68"/>
  <c r="AH152" i="68"/>
  <c r="AH154" i="68"/>
  <c r="AH155" i="68"/>
  <c r="AH149" i="68"/>
  <c r="AH148" i="68" s="1"/>
  <c r="AH146" i="68"/>
  <c r="AH143" i="68"/>
  <c r="AH138" i="68"/>
  <c r="AH139" i="68"/>
  <c r="AH140" i="68"/>
  <c r="AH135" i="68"/>
  <c r="AH133" i="68"/>
  <c r="AH129" i="68"/>
  <c r="AH123" i="68"/>
  <c r="AH124" i="68"/>
  <c r="AH125" i="68"/>
  <c r="AH126" i="68"/>
  <c r="AH127" i="68"/>
  <c r="AH121" i="68"/>
  <c r="AH119" i="68"/>
  <c r="AH116" i="68"/>
  <c r="AH117" i="68"/>
  <c r="AH90" i="68"/>
  <c r="AH87" i="68"/>
  <c r="AH88" i="68"/>
  <c r="AH85" i="68"/>
  <c r="AH78" i="68"/>
  <c r="AH79" i="68"/>
  <c r="AH75" i="68"/>
  <c r="AH76" i="68"/>
  <c r="AH71" i="68"/>
  <c r="AH69" i="68"/>
  <c r="AH65" i="68"/>
  <c r="AH66" i="68"/>
  <c r="AH54" i="68"/>
  <c r="AH55" i="68"/>
  <c r="AH58" i="68"/>
  <c r="AH51" i="68"/>
  <c r="AH52" i="68"/>
  <c r="AH10" i="68"/>
  <c r="AH30" i="68" s="1"/>
  <c r="AH42" i="68"/>
  <c r="AH9" i="68" s="1"/>
  <c r="AH41" i="68"/>
  <c r="AH8" i="68" s="1"/>
  <c r="AE158" i="87"/>
  <c r="AE159" i="87"/>
  <c r="AH63" i="87"/>
  <c r="AH63" i="124" s="1"/>
  <c r="AH152" i="87"/>
  <c r="AH149" i="87"/>
  <c r="AH147" i="124"/>
  <c r="AH146" i="87"/>
  <c r="AH143" i="87"/>
  <c r="AH140" i="87"/>
  <c r="AH139" i="87"/>
  <c r="AH138" i="87"/>
  <c r="AH135" i="87"/>
  <c r="AH133" i="87"/>
  <c r="AH129" i="87"/>
  <c r="AH127" i="87"/>
  <c r="AH126" i="87"/>
  <c r="AH124" i="87"/>
  <c r="AH124" i="124" s="1"/>
  <c r="AH123" i="87"/>
  <c r="AH123" i="124" s="1"/>
  <c r="AH121" i="87"/>
  <c r="AH121" i="124" s="1"/>
  <c r="AH117" i="87"/>
  <c r="AH117" i="124" s="1"/>
  <c r="AH116" i="87"/>
  <c r="AH116" i="124" s="1"/>
  <c r="AH113" i="124"/>
  <c r="AH10" i="87"/>
  <c r="AH85" i="87"/>
  <c r="AH79" i="87"/>
  <c r="AH79" i="124" s="1"/>
  <c r="AH78" i="87"/>
  <c r="AH65" i="87"/>
  <c r="AH65" i="124" s="1"/>
  <c r="AH108" i="124"/>
  <c r="AH109" i="124"/>
  <c r="AH110" i="124"/>
  <c r="AH111" i="124"/>
  <c r="AH8" i="87"/>
  <c r="AH88" i="87"/>
  <c r="AH88" i="124" s="1"/>
  <c r="AH87" i="87"/>
  <c r="AH87" i="124" s="1"/>
  <c r="AH81" i="124"/>
  <c r="AH76" i="124"/>
  <c r="AH75" i="87"/>
  <c r="AH75" i="124" s="1"/>
  <c r="AG78" i="124"/>
  <c r="AG78" i="174"/>
  <c r="AG94" i="174"/>
  <c r="AG85" i="174"/>
  <c r="AG85" i="124"/>
  <c r="AG143" i="124"/>
  <c r="AG143" i="174"/>
  <c r="AG146" i="124"/>
  <c r="AG146" i="174"/>
  <c r="AF159" i="86"/>
  <c r="AF159" i="68"/>
  <c r="AF258" i="174"/>
  <c r="AF112" i="174"/>
  <c r="AG10" i="174"/>
  <c r="AG30" i="87"/>
  <c r="AH69" i="87"/>
  <c r="AH69" i="124" s="1"/>
  <c r="AH66" i="87"/>
  <c r="AH66" i="124" s="1"/>
  <c r="AH58" i="87"/>
  <c r="AH58" i="124" s="1"/>
  <c r="AH54" i="87"/>
  <c r="AH54" i="124" s="1"/>
  <c r="AH52" i="87"/>
  <c r="AH52" i="124" s="1"/>
  <c r="AH51" i="87"/>
  <c r="AH51" i="124" s="1"/>
  <c r="AH155" i="87"/>
  <c r="AH155" i="124" s="1"/>
  <c r="AH126" i="124"/>
  <c r="AH127" i="124"/>
  <c r="AH129" i="124"/>
  <c r="AH133" i="124"/>
  <c r="AH135" i="124"/>
  <c r="AH138" i="124"/>
  <c r="AH139" i="124"/>
  <c r="AH140" i="124"/>
  <c r="AH142" i="124"/>
  <c r="AG112" i="87"/>
  <c r="AF257" i="174"/>
  <c r="AF254" i="174"/>
  <c r="AF291" i="174"/>
  <c r="AF338" i="174" s="1"/>
  <c r="AF341" i="174" s="1"/>
  <c r="AF260" i="174"/>
  <c r="AF261" i="174" s="1"/>
  <c r="AF259" i="174"/>
  <c r="AG81" i="174"/>
  <c r="AG76" i="174"/>
  <c r="AG52" i="174"/>
  <c r="AG113" i="174"/>
  <c r="AG58" i="174"/>
  <c r="AG97" i="174"/>
  <c r="AG88" i="174"/>
  <c r="AG50" i="87"/>
  <c r="AG51" i="174"/>
  <c r="AG142" i="174"/>
  <c r="AG140" i="174"/>
  <c r="AG139" i="174"/>
  <c r="AG138" i="174"/>
  <c r="AG135" i="174"/>
  <c r="AG133" i="174"/>
  <c r="AG129" i="174"/>
  <c r="AG127" i="174"/>
  <c r="AG126" i="174"/>
  <c r="AG124" i="174"/>
  <c r="AG123" i="174"/>
  <c r="AG121" i="174"/>
  <c r="AG117" i="174"/>
  <c r="AG116" i="174"/>
  <c r="AG96" i="174"/>
  <c r="AG87" i="174"/>
  <c r="AG66" i="174"/>
  <c r="AG75" i="174"/>
  <c r="AG155" i="174"/>
  <c r="AG79" i="174"/>
  <c r="AG112" i="85"/>
  <c r="AG50" i="85"/>
  <c r="AH55" i="87"/>
  <c r="AH55" i="124" s="1"/>
  <c r="AH71" i="87"/>
  <c r="AH71" i="124" s="1"/>
  <c r="AH154" i="87"/>
  <c r="AH154" i="124" s="1"/>
  <c r="AH152" i="124"/>
  <c r="AH125" i="87"/>
  <c r="AH125" i="124" s="1"/>
  <c r="AH119" i="87"/>
  <c r="AH119" i="124" s="1"/>
  <c r="AH90" i="87"/>
  <c r="AH90" i="124" s="1"/>
  <c r="AH56" i="124"/>
  <c r="AG69" i="174"/>
  <c r="AG56" i="174"/>
  <c r="AG63" i="174"/>
  <c r="AG65" i="174"/>
  <c r="AG99" i="174"/>
  <c r="AG90" i="174"/>
  <c r="AG119" i="174"/>
  <c r="AG125" i="174"/>
  <c r="AG147" i="174"/>
  <c r="AG152" i="174"/>
  <c r="AG154" i="174"/>
  <c r="AG71" i="174"/>
  <c r="AG55" i="174"/>
  <c r="AH40" i="68"/>
  <c r="AH7" i="68" s="1"/>
  <c r="AF158" i="68"/>
  <c r="AH40" i="86"/>
  <c r="AH7" i="86" s="1"/>
  <c r="AF158" i="86"/>
  <c r="AH148" i="85"/>
  <c r="AF159" i="85"/>
  <c r="AE158" i="85"/>
  <c r="AG91" i="85"/>
  <c r="AG107" i="85"/>
  <c r="AF23" i="174"/>
  <c r="AF23" i="124"/>
  <c r="AF28" i="174"/>
  <c r="AF28" i="124"/>
  <c r="AF25" i="174"/>
  <c r="AF25" i="124"/>
  <c r="AF24" i="174"/>
  <c r="AF24" i="124"/>
  <c r="AF29" i="174"/>
  <c r="AF29" i="124"/>
  <c r="AF26" i="174"/>
  <c r="AF26" i="124"/>
  <c r="AG27" i="174"/>
  <c r="AG27" i="124"/>
  <c r="AF30" i="174"/>
  <c r="AF30" i="124"/>
  <c r="AG42" i="174"/>
  <c r="AG42" i="124"/>
  <c r="AG41" i="174"/>
  <c r="AG41" i="124"/>
  <c r="AG40" i="174"/>
  <c r="AG40" i="124"/>
  <c r="AG54" i="174"/>
  <c r="AG50" i="174" s="1"/>
  <c r="AF148" i="174"/>
  <c r="AF156" i="174" s="1"/>
  <c r="AG150" i="174"/>
  <c r="AG149" i="174"/>
  <c r="AG153" i="174"/>
  <c r="AG107" i="174"/>
  <c r="AF158" i="174"/>
  <c r="AF157" i="174"/>
  <c r="AH7" i="87"/>
  <c r="AH149" i="124"/>
  <c r="AH101" i="174"/>
  <c r="AH102" i="174"/>
  <c r="AH103" i="174"/>
  <c r="AH104" i="174"/>
  <c r="AH105" i="174"/>
  <c r="AH106" i="174"/>
  <c r="AH108" i="174"/>
  <c r="AH109" i="174"/>
  <c r="AH110" i="174"/>
  <c r="AH111" i="174"/>
  <c r="AG91" i="87"/>
  <c r="AG100" i="174" s="1"/>
  <c r="AG91" i="174" s="1"/>
  <c r="AG107" i="87"/>
  <c r="AG148" i="87"/>
  <c r="AG157" i="87" s="1"/>
  <c r="AG10" i="124"/>
  <c r="AH27" i="87"/>
  <c r="AG26" i="87"/>
  <c r="AG29" i="87"/>
  <c r="AG24" i="87"/>
  <c r="AG28" i="87"/>
  <c r="AG23" i="87"/>
  <c r="AG39" i="87"/>
  <c r="AG25" i="87"/>
  <c r="AI1" i="87"/>
  <c r="AI1" i="68"/>
  <c r="AI1" i="86"/>
  <c r="AI1" i="85"/>
  <c r="AG157" i="85" l="1"/>
  <c r="AG157" i="68"/>
  <c r="AG157" i="86"/>
  <c r="AH107" i="124"/>
  <c r="AH91" i="124"/>
  <c r="AI56" i="85"/>
  <c r="AI142" i="85"/>
  <c r="AI56" i="86"/>
  <c r="AI142" i="86"/>
  <c r="AG6" i="86"/>
  <c r="AG14" i="86"/>
  <c r="AG15" i="86"/>
  <c r="AG16" i="86"/>
  <c r="AG158" i="86"/>
  <c r="AG159" i="86"/>
  <c r="AI56" i="68"/>
  <c r="AI142" i="68"/>
  <c r="AI57" i="68"/>
  <c r="AG6" i="68"/>
  <c r="AG14" i="68"/>
  <c r="AG15" i="68"/>
  <c r="AG16" i="68"/>
  <c r="AG158" i="68"/>
  <c r="AG159" i="68"/>
  <c r="AI57" i="87"/>
  <c r="AI142" i="87"/>
  <c r="AI56" i="87"/>
  <c r="AG39" i="124"/>
  <c r="AI57" i="124"/>
  <c r="AI57" i="174"/>
  <c r="AI92" i="85"/>
  <c r="AI93" i="85"/>
  <c r="AI94" i="85"/>
  <c r="AI95" i="85"/>
  <c r="AI96" i="85"/>
  <c r="AI97" i="85"/>
  <c r="AI98" i="85"/>
  <c r="AI99" i="85"/>
  <c r="AI100" i="85"/>
  <c r="AI101" i="85"/>
  <c r="AI102" i="85"/>
  <c r="AI103" i="85"/>
  <c r="AI104" i="85"/>
  <c r="AI105" i="85"/>
  <c r="AI106" i="85"/>
  <c r="AI108" i="85"/>
  <c r="AI109" i="85"/>
  <c r="AI110" i="85"/>
  <c r="AI111" i="85"/>
  <c r="AI92" i="86"/>
  <c r="AI93" i="86"/>
  <c r="AI94" i="86"/>
  <c r="AI95" i="86"/>
  <c r="AI96" i="86"/>
  <c r="AI97" i="86"/>
  <c r="AI98" i="86"/>
  <c r="AI99" i="86"/>
  <c r="AI100" i="86"/>
  <c r="AI101" i="86"/>
  <c r="AI102" i="86"/>
  <c r="AI103" i="86"/>
  <c r="AI104" i="86"/>
  <c r="AI105" i="86"/>
  <c r="AI106" i="86"/>
  <c r="AI108" i="86"/>
  <c r="AI109" i="86"/>
  <c r="AI110" i="86"/>
  <c r="AI111" i="86"/>
  <c r="AI92" i="68"/>
  <c r="AI93" i="68"/>
  <c r="AI94" i="68"/>
  <c r="AI95" i="68"/>
  <c r="AI96" i="68"/>
  <c r="AI97" i="68"/>
  <c r="AI98" i="68"/>
  <c r="AI99" i="68"/>
  <c r="AI100" i="68"/>
  <c r="AI101" i="68"/>
  <c r="AI102" i="68"/>
  <c r="AI103" i="68"/>
  <c r="AI104" i="68"/>
  <c r="AI105" i="68"/>
  <c r="AI106" i="68"/>
  <c r="AI108" i="68"/>
  <c r="AI109" i="68"/>
  <c r="AI110" i="68"/>
  <c r="AI111" i="68"/>
  <c r="AI42" i="87"/>
  <c r="AI41" i="87"/>
  <c r="AI40" i="87"/>
  <c r="AI113" i="87"/>
  <c r="AI92" i="87"/>
  <c r="AI92" i="124" s="1"/>
  <c r="AI93" i="87"/>
  <c r="AI93" i="124" s="1"/>
  <c r="AI94" i="87"/>
  <c r="AI94" i="124" s="1"/>
  <c r="AI95" i="87"/>
  <c r="AI95" i="124" s="1"/>
  <c r="AI96" i="87"/>
  <c r="AI96" i="124" s="1"/>
  <c r="AI97" i="87"/>
  <c r="AI97" i="124" s="1"/>
  <c r="AI98" i="87"/>
  <c r="AI98" i="124" s="1"/>
  <c r="AI99" i="87"/>
  <c r="AI99" i="124" s="1"/>
  <c r="AI100" i="87"/>
  <c r="AI100" i="124" s="1"/>
  <c r="AI101" i="87"/>
  <c r="AI101" i="124" s="1"/>
  <c r="AI102" i="87"/>
  <c r="AI102" i="124" s="1"/>
  <c r="AI103" i="87"/>
  <c r="AI103" i="124" s="1"/>
  <c r="AI104" i="87"/>
  <c r="AI104" i="124" s="1"/>
  <c r="AI105" i="87"/>
  <c r="AI105" i="124" s="1"/>
  <c r="AI106" i="87"/>
  <c r="AI106" i="124" s="1"/>
  <c r="AI108" i="87"/>
  <c r="AI109" i="87"/>
  <c r="AI110" i="87"/>
  <c r="AI111" i="87"/>
  <c r="AI113" i="85"/>
  <c r="AI63" i="85"/>
  <c r="AI90" i="85"/>
  <c r="AI87" i="85"/>
  <c r="AI88" i="85"/>
  <c r="AI85" i="85"/>
  <c r="AI78" i="85"/>
  <c r="AI79" i="85"/>
  <c r="AI75" i="85"/>
  <c r="AI76" i="85"/>
  <c r="AI71" i="85"/>
  <c r="AI69" i="85"/>
  <c r="AI65" i="85"/>
  <c r="AI66" i="85"/>
  <c r="AI54" i="85"/>
  <c r="AI55" i="85"/>
  <c r="AI58" i="85"/>
  <c r="AI51" i="85"/>
  <c r="AI52" i="85"/>
  <c r="AI152" i="85"/>
  <c r="AI154" i="85"/>
  <c r="AI155" i="85"/>
  <c r="AI149" i="85"/>
  <c r="AI146" i="85"/>
  <c r="AI143" i="85"/>
  <c r="AI138" i="85"/>
  <c r="AI139" i="85"/>
  <c r="AI140" i="85"/>
  <c r="AI135" i="85"/>
  <c r="AI133" i="85"/>
  <c r="AI129" i="85"/>
  <c r="AI123" i="85"/>
  <c r="AI124" i="85"/>
  <c r="AI125" i="85"/>
  <c r="AI126" i="85"/>
  <c r="AI127" i="85"/>
  <c r="AI121" i="85"/>
  <c r="AI119" i="85"/>
  <c r="AI116" i="85"/>
  <c r="AI117" i="85"/>
  <c r="AI10" i="85"/>
  <c r="AI42" i="85"/>
  <c r="AI41" i="85"/>
  <c r="AI40" i="85"/>
  <c r="AH7" i="85"/>
  <c r="AH39" i="85"/>
  <c r="AH35" i="85"/>
  <c r="AH28" i="85"/>
  <c r="AH25" i="85"/>
  <c r="AH23" i="85"/>
  <c r="AH8" i="85"/>
  <c r="AH36" i="85"/>
  <c r="AH29" i="85"/>
  <c r="AH26" i="85"/>
  <c r="AH24" i="85"/>
  <c r="AH9" i="85"/>
  <c r="AH37" i="85"/>
  <c r="AH27" i="85"/>
  <c r="AI113" i="86"/>
  <c r="AI63" i="86"/>
  <c r="AI152" i="86"/>
  <c r="AI154" i="86"/>
  <c r="AI155" i="86"/>
  <c r="AI149" i="86"/>
  <c r="AI146" i="86"/>
  <c r="AI143" i="86"/>
  <c r="AI138" i="86"/>
  <c r="AI139" i="86"/>
  <c r="AI140" i="86"/>
  <c r="AI135" i="86"/>
  <c r="AI133" i="86"/>
  <c r="AI129" i="86"/>
  <c r="AI123" i="86"/>
  <c r="AI124" i="86"/>
  <c r="AI125" i="86"/>
  <c r="AI126" i="86"/>
  <c r="AI127" i="86"/>
  <c r="AI121" i="86"/>
  <c r="AI119" i="86"/>
  <c r="AI116" i="86"/>
  <c r="AI117" i="86"/>
  <c r="AI90" i="86"/>
  <c r="AI87" i="86"/>
  <c r="AI88" i="86"/>
  <c r="AI85" i="86"/>
  <c r="AI78" i="86"/>
  <c r="AI79" i="86"/>
  <c r="AI75" i="86"/>
  <c r="AI76" i="86"/>
  <c r="AI71" i="86"/>
  <c r="AI69" i="86"/>
  <c r="AI65" i="86"/>
  <c r="AI66" i="86"/>
  <c r="AI54" i="86"/>
  <c r="AI55" i="86"/>
  <c r="AI58" i="86"/>
  <c r="AI51" i="86"/>
  <c r="AI52" i="86"/>
  <c r="AI10" i="86"/>
  <c r="AI42" i="86"/>
  <c r="AI9" i="86" s="1"/>
  <c r="AI41" i="86"/>
  <c r="AH8" i="86"/>
  <c r="AH29" i="86"/>
  <c r="AH26" i="86"/>
  <c r="AH24" i="86"/>
  <c r="AH50" i="86"/>
  <c r="AH112" i="86"/>
  <c r="AI113" i="68"/>
  <c r="AI63" i="68"/>
  <c r="AI152" i="68"/>
  <c r="AI154" i="68"/>
  <c r="AI155" i="68"/>
  <c r="AI149" i="68"/>
  <c r="AI146" i="68"/>
  <c r="AI143" i="68"/>
  <c r="AI138" i="68"/>
  <c r="AI139" i="68"/>
  <c r="AI140" i="68"/>
  <c r="AI135" i="68"/>
  <c r="AI133" i="68"/>
  <c r="AI129" i="68"/>
  <c r="AI123" i="68"/>
  <c r="AI124" i="68"/>
  <c r="AI125" i="68"/>
  <c r="AI126" i="68"/>
  <c r="AI127" i="68"/>
  <c r="AI121" i="68"/>
  <c r="AI119" i="68"/>
  <c r="AI116" i="68"/>
  <c r="AI117" i="68"/>
  <c r="AI90" i="68"/>
  <c r="AI87" i="68"/>
  <c r="AI88" i="68"/>
  <c r="AI85" i="68"/>
  <c r="AI78" i="68"/>
  <c r="AI79" i="68"/>
  <c r="AI75" i="68"/>
  <c r="AI76" i="68"/>
  <c r="AI71" i="68"/>
  <c r="AI69" i="68"/>
  <c r="AI65" i="68"/>
  <c r="AI66" i="68"/>
  <c r="AI54" i="68"/>
  <c r="AI55" i="68"/>
  <c r="AI58" i="68"/>
  <c r="AI51" i="68"/>
  <c r="AI52" i="68"/>
  <c r="AI10" i="68"/>
  <c r="AI42" i="68"/>
  <c r="AI9" i="68" s="1"/>
  <c r="AI41" i="68"/>
  <c r="AI8" i="68" s="1"/>
  <c r="AH50" i="68"/>
  <c r="AH112" i="68"/>
  <c r="AF158" i="87"/>
  <c r="AF159" i="87"/>
  <c r="AI63" i="87"/>
  <c r="AI63" i="124" s="1"/>
  <c r="AI152" i="87"/>
  <c r="AI149" i="87"/>
  <c r="AI147" i="124"/>
  <c r="AI146" i="87"/>
  <c r="AI143" i="87"/>
  <c r="AI140" i="87"/>
  <c r="AI139" i="87"/>
  <c r="AI138" i="87"/>
  <c r="AI135" i="87"/>
  <c r="AI133" i="87"/>
  <c r="AI129" i="87"/>
  <c r="AI127" i="87"/>
  <c r="AI126" i="87"/>
  <c r="AI124" i="87"/>
  <c r="AI124" i="124" s="1"/>
  <c r="AI123" i="87"/>
  <c r="AI123" i="124" s="1"/>
  <c r="AI121" i="87"/>
  <c r="AI121" i="124" s="1"/>
  <c r="AI117" i="87"/>
  <c r="AI117" i="124" s="1"/>
  <c r="AI116" i="87"/>
  <c r="AI116" i="124" s="1"/>
  <c r="AI113" i="124"/>
  <c r="AI10" i="87"/>
  <c r="AI85" i="87"/>
  <c r="AI79" i="87"/>
  <c r="AI79" i="124" s="1"/>
  <c r="AI78" i="87"/>
  <c r="AI65" i="87"/>
  <c r="AI65" i="124" s="1"/>
  <c r="AI108" i="124"/>
  <c r="AI109" i="124"/>
  <c r="AI110" i="124"/>
  <c r="AI111" i="124"/>
  <c r="AI8" i="87"/>
  <c r="AI88" i="87"/>
  <c r="AI88" i="124" s="1"/>
  <c r="AI87" i="87"/>
  <c r="AI87" i="124" s="1"/>
  <c r="AI81" i="124"/>
  <c r="AI76" i="124"/>
  <c r="AI75" i="87"/>
  <c r="AI75" i="124" s="1"/>
  <c r="AH78" i="124"/>
  <c r="AH78" i="174"/>
  <c r="AH94" i="174"/>
  <c r="AH85" i="174"/>
  <c r="AH85" i="124"/>
  <c r="AH143" i="124"/>
  <c r="AH143" i="174"/>
  <c r="AH146" i="124"/>
  <c r="AH146" i="174"/>
  <c r="AG258" i="174"/>
  <c r="AG112" i="174"/>
  <c r="AH10" i="174"/>
  <c r="AH30" i="87"/>
  <c r="AI69" i="87"/>
  <c r="AI69" i="124" s="1"/>
  <c r="AI66" i="87"/>
  <c r="AI66" i="124" s="1"/>
  <c r="AI58" i="87"/>
  <c r="AI58" i="124" s="1"/>
  <c r="AI54" i="87"/>
  <c r="AI54" i="124" s="1"/>
  <c r="AI52" i="87"/>
  <c r="AI52" i="124" s="1"/>
  <c r="AI51" i="87"/>
  <c r="AI51" i="124" s="1"/>
  <c r="AI155" i="87"/>
  <c r="AI155" i="124" s="1"/>
  <c r="AI126" i="124"/>
  <c r="AI127" i="124"/>
  <c r="AI129" i="124"/>
  <c r="AI133" i="124"/>
  <c r="AI135" i="124"/>
  <c r="AI138" i="124"/>
  <c r="AI139" i="124"/>
  <c r="AI140" i="124"/>
  <c r="AI142" i="124"/>
  <c r="AH112" i="87"/>
  <c r="AG257" i="174"/>
  <c r="AG254" i="174"/>
  <c r="AG291" i="174"/>
  <c r="AG338" i="174" s="1"/>
  <c r="AG341" i="174" s="1"/>
  <c r="AG260" i="174"/>
  <c r="AG261" i="174" s="1"/>
  <c r="AG259" i="174"/>
  <c r="AH81" i="174"/>
  <c r="AH76" i="174"/>
  <c r="AH52" i="174"/>
  <c r="AH113" i="174"/>
  <c r="AH58" i="174"/>
  <c r="AH97" i="174"/>
  <c r="AH88" i="174"/>
  <c r="AH50" i="87"/>
  <c r="AH51" i="174"/>
  <c r="AH142" i="174"/>
  <c r="AH140" i="174"/>
  <c r="AH139" i="174"/>
  <c r="AH138" i="174"/>
  <c r="AH135" i="174"/>
  <c r="AH133" i="174"/>
  <c r="AH129" i="174"/>
  <c r="AH127" i="174"/>
  <c r="AH126" i="174"/>
  <c r="AH124" i="174"/>
  <c r="AH123" i="174"/>
  <c r="AH121" i="174"/>
  <c r="AH117" i="174"/>
  <c r="AH116" i="174"/>
  <c r="AH96" i="174"/>
  <c r="AH87" i="174"/>
  <c r="AH66" i="174"/>
  <c r="AH75" i="174"/>
  <c r="AH155" i="174"/>
  <c r="AH79" i="174"/>
  <c r="AH112" i="85"/>
  <c r="AH50" i="85"/>
  <c r="AI55" i="87"/>
  <c r="AI55" i="124" s="1"/>
  <c r="AI71" i="87"/>
  <c r="AI71" i="124" s="1"/>
  <c r="AI154" i="87"/>
  <c r="AI154" i="124" s="1"/>
  <c r="AI152" i="124"/>
  <c r="AI125" i="87"/>
  <c r="AI125" i="124" s="1"/>
  <c r="AI119" i="87"/>
  <c r="AI119" i="124" s="1"/>
  <c r="AI90" i="87"/>
  <c r="AI90" i="124" s="1"/>
  <c r="AI56" i="124"/>
  <c r="AH69" i="174"/>
  <c r="AH56" i="174"/>
  <c r="AH63" i="174"/>
  <c r="AH65" i="174"/>
  <c r="AH99" i="174"/>
  <c r="AH90" i="174"/>
  <c r="AH119" i="174"/>
  <c r="AH125" i="174"/>
  <c r="AH147" i="174"/>
  <c r="AH152" i="174"/>
  <c r="AH154" i="174"/>
  <c r="AH71" i="174"/>
  <c r="AH55" i="174"/>
  <c r="AI40" i="68"/>
  <c r="AI7" i="68" s="1"/>
  <c r="AH39" i="68"/>
  <c r="AH28" i="68"/>
  <c r="AH25" i="68"/>
  <c r="AH23" i="68"/>
  <c r="AH29" i="68"/>
  <c r="AH26" i="68"/>
  <c r="AH24" i="68"/>
  <c r="AH27" i="68"/>
  <c r="AH91" i="68"/>
  <c r="AH107" i="68"/>
  <c r="AI40" i="86"/>
  <c r="AI7" i="86" s="1"/>
  <c r="AH39" i="86"/>
  <c r="AH28" i="86"/>
  <c r="AH25" i="86"/>
  <c r="AH23" i="86"/>
  <c r="AH27" i="86"/>
  <c r="AH91" i="86"/>
  <c r="AH107" i="86"/>
  <c r="AI148" i="85"/>
  <c r="AG159" i="85"/>
  <c r="AF158" i="85"/>
  <c r="AH91" i="85"/>
  <c r="AH107" i="85"/>
  <c r="AG25" i="174"/>
  <c r="AG25" i="124"/>
  <c r="AG23" i="174"/>
  <c r="AG23" i="124"/>
  <c r="AG28" i="174"/>
  <c r="AG28" i="124"/>
  <c r="AG24" i="174"/>
  <c r="AG24" i="124"/>
  <c r="AG29" i="174"/>
  <c r="AG29" i="124"/>
  <c r="AG26" i="174"/>
  <c r="AG26" i="124"/>
  <c r="AH27" i="174"/>
  <c r="AH27" i="124"/>
  <c r="AG30" i="174"/>
  <c r="AG30" i="124"/>
  <c r="AH42" i="174"/>
  <c r="AH42" i="124"/>
  <c r="AH41" i="174"/>
  <c r="AH41" i="124"/>
  <c r="AH40" i="174"/>
  <c r="AH40" i="124"/>
  <c r="AH54" i="174"/>
  <c r="AH50" i="174" s="1"/>
  <c r="AG148" i="174"/>
  <c r="AG156" i="174" s="1"/>
  <c r="AH150" i="174"/>
  <c r="AH149" i="174"/>
  <c r="AH153" i="174"/>
  <c r="AH107" i="174"/>
  <c r="AG158" i="174"/>
  <c r="AG157" i="174"/>
  <c r="AI7" i="87"/>
  <c r="AI149" i="124"/>
  <c r="AI101" i="174"/>
  <c r="AI102" i="174"/>
  <c r="AI103" i="174"/>
  <c r="AI104" i="174"/>
  <c r="AI105" i="174"/>
  <c r="AI106" i="174"/>
  <c r="AI108" i="174"/>
  <c r="AI109" i="174"/>
  <c r="AI110" i="174"/>
  <c r="AI111" i="174"/>
  <c r="AH91" i="87"/>
  <c r="AH100" i="174" s="1"/>
  <c r="AH91" i="174" s="1"/>
  <c r="AH107" i="87"/>
  <c r="AH148" i="87"/>
  <c r="AH157" i="87" s="1"/>
  <c r="AH10" i="124"/>
  <c r="AH26" i="87"/>
  <c r="AH29" i="87"/>
  <c r="AH24" i="87"/>
  <c r="AI27" i="87"/>
  <c r="AH28" i="87"/>
  <c r="AH23" i="87"/>
  <c r="AH39" i="87"/>
  <c r="AH25" i="87"/>
  <c r="AJ1" i="87"/>
  <c r="AJ1" i="68"/>
  <c r="AJ1" i="86"/>
  <c r="AJ1" i="85"/>
  <c r="AH157" i="85" l="1"/>
  <c r="AH157" i="86"/>
  <c r="AH157" i="68"/>
  <c r="AI107" i="124"/>
  <c r="AI91" i="124"/>
  <c r="AJ56" i="85"/>
  <c r="AJ142" i="85"/>
  <c r="AJ56" i="86"/>
  <c r="AJ142" i="86"/>
  <c r="AG13" i="86"/>
  <c r="AG34" i="86"/>
  <c r="AG160" i="86" s="1"/>
  <c r="AJ56" i="68"/>
  <c r="AJ142" i="68"/>
  <c r="AJ57" i="68"/>
  <c r="AG13" i="68"/>
  <c r="AG34" i="68"/>
  <c r="AG160" i="68" s="1"/>
  <c r="AK57" i="68"/>
  <c r="AM57" i="68" s="1"/>
  <c r="AJ57" i="87"/>
  <c r="AJ142" i="87"/>
  <c r="AJ56" i="87"/>
  <c r="AH39" i="124"/>
  <c r="AJ57" i="124"/>
  <c r="AJ57" i="174"/>
  <c r="AK57" i="87"/>
  <c r="AM57" i="87" s="1"/>
  <c r="AK57" i="174"/>
  <c r="AM57" i="174" s="1"/>
  <c r="AJ92" i="85"/>
  <c r="AJ93" i="85"/>
  <c r="AJ94" i="85"/>
  <c r="AJ95" i="85"/>
  <c r="AJ96" i="85"/>
  <c r="AJ97" i="85"/>
  <c r="AJ98" i="85"/>
  <c r="AJ99" i="85"/>
  <c r="AJ100" i="85"/>
  <c r="AJ101" i="85"/>
  <c r="AJ102" i="85"/>
  <c r="AJ103" i="85"/>
  <c r="AJ104" i="85"/>
  <c r="AJ105" i="85"/>
  <c r="AJ106" i="85"/>
  <c r="AJ108" i="85"/>
  <c r="AJ109" i="85"/>
  <c r="AJ110" i="85"/>
  <c r="AJ111" i="85"/>
  <c r="AI107" i="85"/>
  <c r="AJ92" i="86"/>
  <c r="AJ93" i="86"/>
  <c r="AJ94" i="86"/>
  <c r="AJ95" i="86"/>
  <c r="AJ96" i="86"/>
  <c r="AJ97" i="86"/>
  <c r="AJ98" i="86"/>
  <c r="AJ99" i="86"/>
  <c r="AJ100" i="86"/>
  <c r="AJ101" i="86"/>
  <c r="AJ102" i="86"/>
  <c r="AJ103" i="86"/>
  <c r="AJ104" i="86"/>
  <c r="AJ105" i="86"/>
  <c r="AJ106" i="86"/>
  <c r="AJ108" i="86"/>
  <c r="AJ109" i="86"/>
  <c r="AJ110" i="86"/>
  <c r="AJ111" i="86"/>
  <c r="AJ92" i="68"/>
  <c r="AJ93" i="68"/>
  <c r="AJ94" i="68"/>
  <c r="AJ95" i="68"/>
  <c r="AJ96" i="68"/>
  <c r="AJ97" i="68"/>
  <c r="AJ98" i="68"/>
  <c r="AJ99" i="68"/>
  <c r="AJ100" i="68"/>
  <c r="AJ101" i="68"/>
  <c r="AJ102" i="68"/>
  <c r="AJ103" i="68"/>
  <c r="AJ104" i="68"/>
  <c r="AJ105" i="68"/>
  <c r="AJ106" i="68"/>
  <c r="AJ108" i="68"/>
  <c r="AJ109" i="68"/>
  <c r="AJ110" i="68"/>
  <c r="AJ111" i="68"/>
  <c r="AJ42" i="87"/>
  <c r="AK42" i="87" s="1"/>
  <c r="AJ41" i="87"/>
  <c r="AK41" i="87" s="1"/>
  <c r="AJ40" i="87"/>
  <c r="AK40" i="87" s="1"/>
  <c r="AJ113" i="87"/>
  <c r="AK113" i="87" s="1"/>
  <c r="AJ92" i="87"/>
  <c r="AJ92" i="124" s="1"/>
  <c r="AJ93" i="87"/>
  <c r="AJ94" i="87"/>
  <c r="AJ95" i="87"/>
  <c r="AJ96" i="87"/>
  <c r="AJ97" i="87"/>
  <c r="AJ98" i="87"/>
  <c r="AJ99" i="87"/>
  <c r="AJ100" i="87"/>
  <c r="AJ101" i="87"/>
  <c r="AJ102" i="87"/>
  <c r="AJ103" i="87"/>
  <c r="AJ104" i="87"/>
  <c r="AJ105" i="87"/>
  <c r="AJ106" i="87"/>
  <c r="AJ108" i="87"/>
  <c r="AJ109" i="87"/>
  <c r="AJ110" i="87"/>
  <c r="AJ111" i="87"/>
  <c r="AJ113" i="85"/>
  <c r="AJ63" i="85"/>
  <c r="AJ90" i="85"/>
  <c r="AJ87" i="85"/>
  <c r="AJ88" i="85"/>
  <c r="AJ85" i="85"/>
  <c r="AJ78" i="85"/>
  <c r="AJ79" i="85"/>
  <c r="AJ75" i="85"/>
  <c r="AJ76" i="85"/>
  <c r="AJ71" i="85"/>
  <c r="AJ69" i="85"/>
  <c r="AJ65" i="85"/>
  <c r="AJ66" i="85"/>
  <c r="AJ54" i="85"/>
  <c r="AJ55" i="85"/>
  <c r="AJ58" i="85"/>
  <c r="AJ51" i="85"/>
  <c r="AJ52" i="85"/>
  <c r="AJ152" i="85"/>
  <c r="AJ154" i="85"/>
  <c r="AJ155" i="85"/>
  <c r="AJ149" i="85"/>
  <c r="AJ146" i="85"/>
  <c r="AJ143" i="85"/>
  <c r="AJ138" i="85"/>
  <c r="AJ139" i="85"/>
  <c r="AJ140" i="85"/>
  <c r="AJ135" i="85"/>
  <c r="AJ133" i="85"/>
  <c r="AJ129" i="85"/>
  <c r="AJ123" i="85"/>
  <c r="AJ124" i="85"/>
  <c r="AJ125" i="85"/>
  <c r="AJ126" i="85"/>
  <c r="AJ127" i="85"/>
  <c r="AJ121" i="85"/>
  <c r="AJ119" i="85"/>
  <c r="AJ116" i="85"/>
  <c r="AJ117" i="85"/>
  <c r="AJ10" i="85"/>
  <c r="AJ30" i="85" s="1"/>
  <c r="AJ42" i="85"/>
  <c r="AJ41" i="85"/>
  <c r="AJ40" i="85"/>
  <c r="AI7" i="85"/>
  <c r="AI39" i="85"/>
  <c r="AI35" i="85"/>
  <c r="AI28" i="85"/>
  <c r="AI25" i="85"/>
  <c r="AI23" i="85"/>
  <c r="AK40" i="85"/>
  <c r="AI8" i="85"/>
  <c r="AI36" i="85"/>
  <c r="AI29" i="85"/>
  <c r="AI26" i="85"/>
  <c r="AI24" i="85"/>
  <c r="AK41" i="85"/>
  <c r="AI9" i="85"/>
  <c r="AI37" i="85"/>
  <c r="AI27" i="85"/>
  <c r="AK42" i="85"/>
  <c r="AI30" i="85"/>
  <c r="AK30" i="85" s="1"/>
  <c r="AM30" i="85" s="1"/>
  <c r="AK10" i="85"/>
  <c r="AM10" i="85" s="1"/>
  <c r="AK117" i="85"/>
  <c r="AK116" i="85"/>
  <c r="AK119" i="85"/>
  <c r="AK121" i="85"/>
  <c r="AK127" i="85"/>
  <c r="AK126" i="85"/>
  <c r="AM126" i="85" s="1"/>
  <c r="AK125" i="85"/>
  <c r="AK124" i="85"/>
  <c r="AK123" i="85"/>
  <c r="AK129" i="85"/>
  <c r="AK133" i="85"/>
  <c r="AK135" i="85"/>
  <c r="AK140" i="85"/>
  <c r="AK139" i="85"/>
  <c r="AK138" i="85"/>
  <c r="AK143" i="85"/>
  <c r="AM143" i="85" s="1"/>
  <c r="AK142" i="85"/>
  <c r="AK146" i="85"/>
  <c r="AM146" i="85" s="1"/>
  <c r="AK149" i="85"/>
  <c r="AK155" i="85"/>
  <c r="AK154" i="85"/>
  <c r="AK152" i="85"/>
  <c r="AK78" i="85"/>
  <c r="AM78" i="85" s="1"/>
  <c r="AK85" i="85"/>
  <c r="AM85" i="85" s="1"/>
  <c r="AK113" i="85"/>
  <c r="AK112" i="85" s="1"/>
  <c r="AJ113" i="86"/>
  <c r="AJ63" i="86"/>
  <c r="AJ152" i="86"/>
  <c r="AJ154" i="86"/>
  <c r="AJ155" i="86"/>
  <c r="AJ149" i="86"/>
  <c r="AJ148" i="86" s="1"/>
  <c r="AJ146" i="86"/>
  <c r="AJ143" i="86"/>
  <c r="AJ138" i="86"/>
  <c r="AJ139" i="86"/>
  <c r="AJ140" i="86"/>
  <c r="AJ135" i="86"/>
  <c r="AJ133" i="86"/>
  <c r="AJ129" i="86"/>
  <c r="AJ123" i="86"/>
  <c r="AJ124" i="86"/>
  <c r="AJ125" i="86"/>
  <c r="AJ126" i="86"/>
  <c r="AJ127" i="86"/>
  <c r="AJ121" i="86"/>
  <c r="AJ119" i="86"/>
  <c r="AJ116" i="86"/>
  <c r="AJ117" i="86"/>
  <c r="AJ90" i="86"/>
  <c r="AJ87" i="86"/>
  <c r="AJ88" i="86"/>
  <c r="AJ85" i="86"/>
  <c r="AJ78" i="86"/>
  <c r="AJ79" i="86"/>
  <c r="AJ75" i="86"/>
  <c r="AJ76" i="86"/>
  <c r="AJ71" i="86"/>
  <c r="AJ69" i="86"/>
  <c r="AJ65" i="86"/>
  <c r="AJ66" i="86"/>
  <c r="AJ54" i="86"/>
  <c r="AJ55" i="86"/>
  <c r="AJ58" i="86"/>
  <c r="AJ51" i="86"/>
  <c r="AJ52" i="86"/>
  <c r="AJ10" i="86"/>
  <c r="AJ30" i="86" s="1"/>
  <c r="AJ42" i="86"/>
  <c r="AJ9" i="86" s="1"/>
  <c r="AJ41" i="86"/>
  <c r="AI8" i="86"/>
  <c r="AI29" i="86"/>
  <c r="AI26" i="86"/>
  <c r="AI24" i="86"/>
  <c r="AK41" i="86"/>
  <c r="AM41" i="86" s="1"/>
  <c r="AI30" i="86"/>
  <c r="AK30" i="86" s="1"/>
  <c r="AM30" i="86" s="1"/>
  <c r="AK10" i="86"/>
  <c r="AM10" i="86" s="1"/>
  <c r="AK52" i="86"/>
  <c r="AM52" i="86" s="1"/>
  <c r="AI50" i="86"/>
  <c r="AK51" i="86"/>
  <c r="AK58" i="86"/>
  <c r="AM58" i="86" s="1"/>
  <c r="AK55" i="86"/>
  <c r="AM55" i="86" s="1"/>
  <c r="AK54" i="86"/>
  <c r="AM54" i="86" s="1"/>
  <c r="AK66" i="86"/>
  <c r="AM66" i="86" s="1"/>
  <c r="AK65" i="86"/>
  <c r="AM65" i="86" s="1"/>
  <c r="AK69" i="86"/>
  <c r="AM69" i="86" s="1"/>
  <c r="AK71" i="86"/>
  <c r="AM71" i="86" s="1"/>
  <c r="AK76" i="86"/>
  <c r="AM76" i="86" s="1"/>
  <c r="AK75" i="86"/>
  <c r="AM75" i="86" s="1"/>
  <c r="AK79" i="86"/>
  <c r="AM79" i="86" s="1"/>
  <c r="AK78" i="86"/>
  <c r="AM78" i="86" s="1"/>
  <c r="AK81" i="86"/>
  <c r="AM81" i="86" s="1"/>
  <c r="AK85" i="86"/>
  <c r="AM85" i="86" s="1"/>
  <c r="AK88" i="86"/>
  <c r="AM88" i="86" s="1"/>
  <c r="AK87" i="86"/>
  <c r="AM87" i="86" s="1"/>
  <c r="AK90" i="86"/>
  <c r="AM90" i="86" s="1"/>
  <c r="AK117" i="86"/>
  <c r="AM117" i="86" s="1"/>
  <c r="AK116" i="86"/>
  <c r="AM116" i="86" s="1"/>
  <c r="AK119" i="86"/>
  <c r="AM119" i="86" s="1"/>
  <c r="AK121" i="86"/>
  <c r="AM121" i="86" s="1"/>
  <c r="AK127" i="86"/>
  <c r="AM127" i="86" s="1"/>
  <c r="AK126" i="86"/>
  <c r="AM126" i="86" s="1"/>
  <c r="AK125" i="86"/>
  <c r="AM125" i="86" s="1"/>
  <c r="AK124" i="86"/>
  <c r="AM124" i="86" s="1"/>
  <c r="AK123" i="86"/>
  <c r="AM123" i="86" s="1"/>
  <c r="AK129" i="86"/>
  <c r="AM129" i="86" s="1"/>
  <c r="AK133" i="86"/>
  <c r="AM133" i="86" s="1"/>
  <c r="AK135" i="86"/>
  <c r="AM135" i="86" s="1"/>
  <c r="AK140" i="86"/>
  <c r="AM140" i="86" s="1"/>
  <c r="AK139" i="86"/>
  <c r="AM139" i="86" s="1"/>
  <c r="AK138" i="86"/>
  <c r="AM138" i="86" s="1"/>
  <c r="AK143" i="86"/>
  <c r="AM143" i="86" s="1"/>
  <c r="AK142" i="86"/>
  <c r="AM142" i="86" s="1"/>
  <c r="AK146" i="86"/>
  <c r="AM146" i="86" s="1"/>
  <c r="AI148" i="86"/>
  <c r="AK149" i="86"/>
  <c r="AK155" i="86"/>
  <c r="AM155" i="86" s="1"/>
  <c r="AK154" i="86"/>
  <c r="AM154" i="86" s="1"/>
  <c r="AK152" i="86"/>
  <c r="AM152" i="86" s="1"/>
  <c r="AK56" i="86"/>
  <c r="AM56" i="86" s="1"/>
  <c r="AK63" i="86"/>
  <c r="AM63" i="86" s="1"/>
  <c r="AI112" i="86"/>
  <c r="AK113" i="86"/>
  <c r="AJ113" i="68"/>
  <c r="AJ63" i="68"/>
  <c r="AJ152" i="68"/>
  <c r="AJ154" i="68"/>
  <c r="AJ155" i="68"/>
  <c r="AJ149" i="68"/>
  <c r="AJ148" i="68" s="1"/>
  <c r="AJ146" i="68"/>
  <c r="AJ143" i="68"/>
  <c r="AJ138" i="68"/>
  <c r="AJ139" i="68"/>
  <c r="AJ140" i="68"/>
  <c r="AJ135" i="68"/>
  <c r="AJ133" i="68"/>
  <c r="AJ129" i="68"/>
  <c r="AJ123" i="68"/>
  <c r="AJ124" i="68"/>
  <c r="AJ125" i="68"/>
  <c r="AJ126" i="68"/>
  <c r="AJ127" i="68"/>
  <c r="AJ121" i="68"/>
  <c r="AJ119" i="68"/>
  <c r="AJ116" i="68"/>
  <c r="AJ117" i="68"/>
  <c r="AJ90" i="68"/>
  <c r="AJ87" i="68"/>
  <c r="AJ88" i="68"/>
  <c r="AJ85" i="68"/>
  <c r="AJ78" i="68"/>
  <c r="AJ79" i="68"/>
  <c r="AJ75" i="68"/>
  <c r="AJ76" i="68"/>
  <c r="AJ71" i="68"/>
  <c r="AJ69" i="68"/>
  <c r="AJ65" i="68"/>
  <c r="AJ66" i="68"/>
  <c r="AJ54" i="68"/>
  <c r="AJ55" i="68"/>
  <c r="AJ58" i="68"/>
  <c r="AJ51" i="68"/>
  <c r="AJ52" i="68"/>
  <c r="AJ10" i="68"/>
  <c r="AJ30" i="68" s="1"/>
  <c r="AJ42" i="68"/>
  <c r="AJ9" i="68" s="1"/>
  <c r="AJ41" i="68"/>
  <c r="AJ8" i="68" s="1"/>
  <c r="AI30" i="68"/>
  <c r="AK30" i="68" s="1"/>
  <c r="AM30" i="68" s="1"/>
  <c r="AK10" i="68"/>
  <c r="AM10" i="68" s="1"/>
  <c r="AK52" i="68"/>
  <c r="AM52" i="68" s="1"/>
  <c r="AI50" i="68"/>
  <c r="AK51" i="68"/>
  <c r="AK58" i="68"/>
  <c r="AM58" i="68" s="1"/>
  <c r="AK55" i="68"/>
  <c r="AM55" i="68" s="1"/>
  <c r="AK54" i="68"/>
  <c r="AM54" i="68" s="1"/>
  <c r="AK66" i="68"/>
  <c r="AM66" i="68" s="1"/>
  <c r="AK65" i="68"/>
  <c r="AM65" i="68" s="1"/>
  <c r="AK69" i="68"/>
  <c r="AM69" i="68" s="1"/>
  <c r="AK71" i="68"/>
  <c r="AM71" i="68" s="1"/>
  <c r="AK76" i="68"/>
  <c r="AM76" i="68" s="1"/>
  <c r="AK75" i="68"/>
  <c r="AM75" i="68" s="1"/>
  <c r="AK79" i="68"/>
  <c r="AM79" i="68" s="1"/>
  <c r="AK78" i="68"/>
  <c r="AM78" i="68" s="1"/>
  <c r="AK81" i="68"/>
  <c r="AM81" i="68" s="1"/>
  <c r="AK85" i="68"/>
  <c r="AM85" i="68" s="1"/>
  <c r="AK88" i="68"/>
  <c r="AM88" i="68" s="1"/>
  <c r="AK87" i="68"/>
  <c r="AM87" i="68" s="1"/>
  <c r="AK90" i="68"/>
  <c r="AM90" i="68" s="1"/>
  <c r="AK117" i="68"/>
  <c r="AM117" i="68" s="1"/>
  <c r="AK116" i="68"/>
  <c r="AM116" i="68" s="1"/>
  <c r="AK119" i="68"/>
  <c r="AM119" i="68" s="1"/>
  <c r="AK121" i="68"/>
  <c r="AM121" i="68" s="1"/>
  <c r="AK127" i="68"/>
  <c r="AM127" i="68" s="1"/>
  <c r="AK126" i="68"/>
  <c r="AM126" i="68" s="1"/>
  <c r="AK125" i="68"/>
  <c r="AM125" i="68" s="1"/>
  <c r="AK124" i="68"/>
  <c r="AM124" i="68" s="1"/>
  <c r="AK123" i="68"/>
  <c r="AM123" i="68" s="1"/>
  <c r="AK129" i="68"/>
  <c r="AM129" i="68" s="1"/>
  <c r="AK133" i="68"/>
  <c r="AM133" i="68" s="1"/>
  <c r="AK135" i="68"/>
  <c r="AM135" i="68" s="1"/>
  <c r="AK140" i="68"/>
  <c r="AM140" i="68" s="1"/>
  <c r="AK139" i="68"/>
  <c r="AM139" i="68" s="1"/>
  <c r="AK138" i="68"/>
  <c r="AM138" i="68" s="1"/>
  <c r="AK143" i="68"/>
  <c r="AM143" i="68" s="1"/>
  <c r="AK142" i="68"/>
  <c r="AM142" i="68" s="1"/>
  <c r="AK146" i="68"/>
  <c r="AM146" i="68" s="1"/>
  <c r="AI148" i="68"/>
  <c r="AK149" i="68"/>
  <c r="AK155" i="68"/>
  <c r="AM155" i="68" s="1"/>
  <c r="AK154" i="68"/>
  <c r="AM154" i="68" s="1"/>
  <c r="AK152" i="68"/>
  <c r="AM152" i="68" s="1"/>
  <c r="AK56" i="68"/>
  <c r="AM56" i="68" s="1"/>
  <c r="AK63" i="68"/>
  <c r="AM63" i="68" s="1"/>
  <c r="AI112" i="68"/>
  <c r="AK113" i="68"/>
  <c r="AG158" i="87"/>
  <c r="AG159" i="87"/>
  <c r="AJ63" i="87"/>
  <c r="AJ63" i="124" s="1"/>
  <c r="AJ152" i="87"/>
  <c r="AJ149" i="87"/>
  <c r="AJ147" i="124"/>
  <c r="AK147" i="124" s="1"/>
  <c r="AN147" i="124" s="1"/>
  <c r="AJ146" i="87"/>
  <c r="AJ143" i="87"/>
  <c r="AJ140" i="87"/>
  <c r="AJ139" i="87"/>
  <c r="AJ138" i="87"/>
  <c r="AJ135" i="87"/>
  <c r="AJ133" i="87"/>
  <c r="AJ129" i="87"/>
  <c r="AJ127" i="87"/>
  <c r="AJ126" i="87"/>
  <c r="AJ124" i="87"/>
  <c r="AJ124" i="124" s="1"/>
  <c r="AJ123" i="87"/>
  <c r="AJ123" i="124" s="1"/>
  <c r="AJ121" i="87"/>
  <c r="AJ121" i="124" s="1"/>
  <c r="AJ117" i="87"/>
  <c r="AJ117" i="124" s="1"/>
  <c r="AJ116" i="87"/>
  <c r="AJ116" i="124" s="1"/>
  <c r="AK116" i="124" s="1"/>
  <c r="AJ113" i="124"/>
  <c r="AJ10" i="87"/>
  <c r="AK10" i="87" s="1"/>
  <c r="AJ85" i="87"/>
  <c r="AJ79" i="87"/>
  <c r="AJ79" i="124" s="1"/>
  <c r="AJ65" i="87"/>
  <c r="AJ65" i="124" s="1"/>
  <c r="AJ108" i="124"/>
  <c r="AJ109" i="124"/>
  <c r="AJ110" i="124"/>
  <c r="AJ111" i="124"/>
  <c r="AJ8" i="87"/>
  <c r="AK8" i="87" s="1"/>
  <c r="AJ88" i="87"/>
  <c r="AJ88" i="124" s="1"/>
  <c r="AJ87" i="87"/>
  <c r="AJ87" i="124" s="1"/>
  <c r="AJ81" i="124"/>
  <c r="AJ78" i="87"/>
  <c r="AJ76" i="124"/>
  <c r="AJ75" i="87"/>
  <c r="AJ75" i="124" s="1"/>
  <c r="AK75" i="124"/>
  <c r="AN75" i="124" s="1"/>
  <c r="AK76" i="124"/>
  <c r="AN76" i="124" s="1"/>
  <c r="AK81" i="124"/>
  <c r="AN81" i="124" s="1"/>
  <c r="AK87" i="124"/>
  <c r="AN87" i="124" s="1"/>
  <c r="AK88" i="124"/>
  <c r="AN88" i="124" s="1"/>
  <c r="AI78" i="124"/>
  <c r="AI78" i="174"/>
  <c r="AK78" i="87"/>
  <c r="AM78" i="87" s="1"/>
  <c r="AK79" i="124"/>
  <c r="AN79" i="124" s="1"/>
  <c r="AI94" i="174"/>
  <c r="AI85" i="174"/>
  <c r="AI85" i="124"/>
  <c r="AK85" i="87"/>
  <c r="AM85" i="87" s="1"/>
  <c r="AK121" i="124"/>
  <c r="AN121" i="124" s="1"/>
  <c r="AK123" i="124"/>
  <c r="AN123" i="124" s="1"/>
  <c r="AK124" i="124"/>
  <c r="AN124" i="124" s="1"/>
  <c r="AK126" i="87"/>
  <c r="AM126" i="87" s="1"/>
  <c r="AI143" i="124"/>
  <c r="AI143" i="174"/>
  <c r="AK143" i="87"/>
  <c r="AM143" i="87" s="1"/>
  <c r="AI146" i="124"/>
  <c r="AI146" i="174"/>
  <c r="AK146" i="87"/>
  <c r="AM146" i="87" s="1"/>
  <c r="AH159" i="86"/>
  <c r="AH159" i="68"/>
  <c r="AH258" i="174"/>
  <c r="AH112" i="174"/>
  <c r="AI10" i="174"/>
  <c r="AI30" i="87"/>
  <c r="AJ69" i="87"/>
  <c r="AJ69" i="124" s="1"/>
  <c r="AJ66" i="87"/>
  <c r="AJ66" i="124" s="1"/>
  <c r="AJ58" i="87"/>
  <c r="AJ58" i="124" s="1"/>
  <c r="AJ54" i="87"/>
  <c r="AJ54" i="124" s="1"/>
  <c r="AJ52" i="87"/>
  <c r="AJ52" i="124" s="1"/>
  <c r="AJ51" i="87"/>
  <c r="AJ51" i="124" s="1"/>
  <c r="AK51" i="87"/>
  <c r="AJ155" i="87"/>
  <c r="AJ155" i="124" s="1"/>
  <c r="AJ126" i="124"/>
  <c r="AK126" i="124" s="1"/>
  <c r="AN126" i="124" s="1"/>
  <c r="AJ127" i="124"/>
  <c r="AK127" i="124" s="1"/>
  <c r="AN127" i="124" s="1"/>
  <c r="AJ129" i="124"/>
  <c r="AK129" i="124" s="1"/>
  <c r="AN129" i="124" s="1"/>
  <c r="AJ133" i="124"/>
  <c r="AK133" i="124" s="1"/>
  <c r="AN133" i="124" s="1"/>
  <c r="AJ135" i="124"/>
  <c r="AJ138" i="124"/>
  <c r="AJ139" i="124"/>
  <c r="AK139" i="124" s="1"/>
  <c r="AN139" i="124" s="1"/>
  <c r="AJ140" i="124"/>
  <c r="AK140" i="124" s="1"/>
  <c r="AN140" i="124" s="1"/>
  <c r="AJ142" i="124"/>
  <c r="AK142" i="124" s="1"/>
  <c r="AN142" i="124" s="1"/>
  <c r="AI112" i="87"/>
  <c r="AH257" i="174"/>
  <c r="AH254" i="174"/>
  <c r="AH291" i="174"/>
  <c r="AH338" i="174" s="1"/>
  <c r="AH341" i="174" s="1"/>
  <c r="AH260" i="174"/>
  <c r="AH261" i="174" s="1"/>
  <c r="AH259" i="174"/>
  <c r="AI81" i="174"/>
  <c r="AK81" i="87"/>
  <c r="AM81" i="87" s="1"/>
  <c r="AI76" i="174"/>
  <c r="AK76" i="87"/>
  <c r="AM76" i="87" s="1"/>
  <c r="AI52" i="174"/>
  <c r="AK52" i="87"/>
  <c r="AM52" i="87" s="1"/>
  <c r="AI113" i="174"/>
  <c r="AM113" i="87"/>
  <c r="AI58" i="174"/>
  <c r="AK58" i="87"/>
  <c r="AM58" i="87" s="1"/>
  <c r="AI97" i="174"/>
  <c r="AI88" i="174"/>
  <c r="AK88" i="87"/>
  <c r="AM88" i="87" s="1"/>
  <c r="AI50" i="87"/>
  <c r="AI51" i="174"/>
  <c r="AM51" i="87"/>
  <c r="AI142" i="174"/>
  <c r="AK142" i="87"/>
  <c r="AM142" i="87" s="1"/>
  <c r="AI140" i="174"/>
  <c r="AK140" i="87"/>
  <c r="AM140" i="87" s="1"/>
  <c r="AI139" i="174"/>
  <c r="AK139" i="87"/>
  <c r="AM139" i="87" s="1"/>
  <c r="AI138" i="174"/>
  <c r="AK138" i="87"/>
  <c r="AM138" i="87" s="1"/>
  <c r="AI135" i="174"/>
  <c r="AK135" i="87"/>
  <c r="AM135" i="87" s="1"/>
  <c r="AI133" i="174"/>
  <c r="AK133" i="87"/>
  <c r="AM133" i="87" s="1"/>
  <c r="AI129" i="174"/>
  <c r="AK129" i="87"/>
  <c r="AM129" i="87" s="1"/>
  <c r="AI127" i="174"/>
  <c r="AK127" i="87"/>
  <c r="AM127" i="87" s="1"/>
  <c r="AI126" i="174"/>
  <c r="AI124" i="174"/>
  <c r="AK124" i="87"/>
  <c r="AM124" i="87" s="1"/>
  <c r="AI123" i="174"/>
  <c r="AK123" i="87"/>
  <c r="AM123" i="87" s="1"/>
  <c r="AI121" i="174"/>
  <c r="AK121" i="87"/>
  <c r="AM121" i="87" s="1"/>
  <c r="AI117" i="174"/>
  <c r="AK117" i="87"/>
  <c r="AM117" i="87" s="1"/>
  <c r="AI116" i="174"/>
  <c r="AK116" i="87"/>
  <c r="AM116" i="87" s="1"/>
  <c r="AI96" i="174"/>
  <c r="AI87" i="174"/>
  <c r="AK87" i="87"/>
  <c r="AM87" i="87" s="1"/>
  <c r="AI66" i="174"/>
  <c r="AK66" i="87"/>
  <c r="AM66" i="87" s="1"/>
  <c r="AI75" i="174"/>
  <c r="AK75" i="87"/>
  <c r="AM75" i="87" s="1"/>
  <c r="AI155" i="174"/>
  <c r="AK155" i="87"/>
  <c r="AI79" i="174"/>
  <c r="AK79" i="87"/>
  <c r="AM79" i="87" s="1"/>
  <c r="AI112" i="85"/>
  <c r="AI50" i="85"/>
  <c r="AK51" i="85"/>
  <c r="AK52" i="85"/>
  <c r="AK54" i="85"/>
  <c r="AK58" i="85"/>
  <c r="AK66" i="85"/>
  <c r="AK75" i="85"/>
  <c r="AK76" i="85"/>
  <c r="AK79" i="85"/>
  <c r="AK81" i="85"/>
  <c r="AK87" i="85"/>
  <c r="AK88" i="85"/>
  <c r="AJ55" i="87"/>
  <c r="AJ55" i="124" s="1"/>
  <c r="AJ71" i="87"/>
  <c r="AJ71" i="124" s="1"/>
  <c r="AJ154" i="87"/>
  <c r="AJ154" i="124" s="1"/>
  <c r="AJ152" i="124"/>
  <c r="AJ125" i="87"/>
  <c r="AJ125" i="124" s="1"/>
  <c r="AK125" i="124" s="1"/>
  <c r="AN125" i="124" s="1"/>
  <c r="AJ119" i="87"/>
  <c r="AJ119" i="124" s="1"/>
  <c r="AJ90" i="87"/>
  <c r="AJ90" i="124" s="1"/>
  <c r="AK90" i="124" s="1"/>
  <c r="AN90" i="124" s="1"/>
  <c r="AJ56" i="124"/>
  <c r="AI69" i="174"/>
  <c r="AK69" i="87"/>
  <c r="AM69" i="87" s="1"/>
  <c r="AI56" i="174"/>
  <c r="AK56" i="87"/>
  <c r="AM56" i="87" s="1"/>
  <c r="AI63" i="174"/>
  <c r="AK63" i="87"/>
  <c r="AM63" i="87" s="1"/>
  <c r="AI65" i="174"/>
  <c r="AK65" i="87"/>
  <c r="AM65" i="87" s="1"/>
  <c r="AI99" i="174"/>
  <c r="AI90" i="174"/>
  <c r="AK90" i="87"/>
  <c r="AM90" i="87" s="1"/>
  <c r="AI119" i="174"/>
  <c r="AK119" i="87"/>
  <c r="AM119" i="87" s="1"/>
  <c r="AI125" i="174"/>
  <c r="AK125" i="87"/>
  <c r="AI147" i="174"/>
  <c r="AK147" i="87"/>
  <c r="AM147" i="87" s="1"/>
  <c r="AI152" i="174"/>
  <c r="AK152" i="87"/>
  <c r="AI154" i="174"/>
  <c r="AK154" i="87"/>
  <c r="AI71" i="174"/>
  <c r="AK71" i="87"/>
  <c r="AM71" i="87" s="1"/>
  <c r="AI55" i="174"/>
  <c r="AK55" i="87"/>
  <c r="AM55" i="87" s="1"/>
  <c r="AJ40" i="68"/>
  <c r="AJ7" i="68" s="1"/>
  <c r="AH158" i="68"/>
  <c r="AI39" i="68"/>
  <c r="AI28" i="68"/>
  <c r="AI25" i="68"/>
  <c r="AI23" i="68"/>
  <c r="AK40" i="68"/>
  <c r="AI29" i="68"/>
  <c r="AI26" i="68"/>
  <c r="AI24" i="68"/>
  <c r="AK41" i="68"/>
  <c r="AI27" i="68"/>
  <c r="AK42" i="68"/>
  <c r="AK106" i="68"/>
  <c r="AK105" i="68"/>
  <c r="AK104" i="68"/>
  <c r="AK103" i="68"/>
  <c r="AK102" i="68"/>
  <c r="AK101" i="68"/>
  <c r="AK100" i="68"/>
  <c r="AK99" i="68"/>
  <c r="AK98" i="68"/>
  <c r="AK97" i="68"/>
  <c r="AK96" i="68"/>
  <c r="AK95" i="68"/>
  <c r="AK94" i="68"/>
  <c r="AK93" i="68"/>
  <c r="AI91" i="68"/>
  <c r="AK92" i="68"/>
  <c r="AK111" i="68"/>
  <c r="AK110" i="68"/>
  <c r="AK109" i="68"/>
  <c r="AI107" i="68"/>
  <c r="AK108" i="68"/>
  <c r="AJ40" i="86"/>
  <c r="AJ7" i="86" s="1"/>
  <c r="AH158" i="86"/>
  <c r="AI39" i="86"/>
  <c r="AI28" i="86"/>
  <c r="AI25" i="86"/>
  <c r="AI23" i="86"/>
  <c r="AK40" i="86"/>
  <c r="AI27" i="86"/>
  <c r="AK42" i="86"/>
  <c r="AK106" i="86"/>
  <c r="AK105" i="86"/>
  <c r="AK104" i="86"/>
  <c r="AK103" i="86"/>
  <c r="AK102" i="86"/>
  <c r="AK101" i="86"/>
  <c r="AK100" i="86"/>
  <c r="AK99" i="86"/>
  <c r="AK98" i="86"/>
  <c r="AK97" i="86"/>
  <c r="AK96" i="86"/>
  <c r="AK95" i="86"/>
  <c r="AK94" i="86"/>
  <c r="AK93" i="86"/>
  <c r="AI91" i="86"/>
  <c r="AK92" i="86"/>
  <c r="AK111" i="86"/>
  <c r="AK110" i="86"/>
  <c r="AK109" i="86"/>
  <c r="AI107" i="86"/>
  <c r="AK108" i="86"/>
  <c r="AJ148" i="85"/>
  <c r="AH159" i="85"/>
  <c r="AG158" i="85"/>
  <c r="AK106" i="85"/>
  <c r="AK105" i="85"/>
  <c r="AK104" i="85"/>
  <c r="AK103" i="85"/>
  <c r="AK102" i="85"/>
  <c r="AK101" i="85"/>
  <c r="AK100" i="85"/>
  <c r="AK99" i="85"/>
  <c r="AK98" i="85"/>
  <c r="AK97" i="85"/>
  <c r="AK96" i="85"/>
  <c r="AK95" i="85"/>
  <c r="AK94" i="85"/>
  <c r="AK93" i="85"/>
  <c r="AI91" i="85"/>
  <c r="AK92" i="85"/>
  <c r="AK111" i="85"/>
  <c r="AK110" i="85"/>
  <c r="AK109" i="85"/>
  <c r="AK108" i="85"/>
  <c r="AK55" i="85"/>
  <c r="AK56" i="85"/>
  <c r="AK63" i="85"/>
  <c r="AK65" i="85"/>
  <c r="AK69" i="85"/>
  <c r="AK71" i="85"/>
  <c r="AK90" i="85"/>
  <c r="AH25" i="174"/>
  <c r="AH25" i="124"/>
  <c r="AH23" i="174"/>
  <c r="AH23" i="124"/>
  <c r="AH28" i="174"/>
  <c r="AH28" i="124"/>
  <c r="AI27" i="174"/>
  <c r="AI27" i="124"/>
  <c r="AH24" i="174"/>
  <c r="AH24" i="124"/>
  <c r="AH29" i="174"/>
  <c r="AH29" i="124"/>
  <c r="AH26" i="174"/>
  <c r="AH26" i="124"/>
  <c r="AH30" i="174"/>
  <c r="AH30" i="124"/>
  <c r="AI42" i="174"/>
  <c r="AI42" i="124"/>
  <c r="AI41" i="174"/>
  <c r="AI41" i="124"/>
  <c r="AI40" i="174"/>
  <c r="AI40" i="124"/>
  <c r="AI54" i="174"/>
  <c r="AI50" i="174" s="1"/>
  <c r="AH148" i="174"/>
  <c r="AH156" i="174" s="1"/>
  <c r="AI150" i="174"/>
  <c r="AI149" i="174"/>
  <c r="AI153" i="174"/>
  <c r="AI107" i="174"/>
  <c r="AH158" i="174"/>
  <c r="AH157" i="174"/>
  <c r="AJ7" i="87"/>
  <c r="AK7" i="87" s="1"/>
  <c r="AJ149" i="124"/>
  <c r="AJ101" i="174"/>
  <c r="AK101" i="174" s="1"/>
  <c r="AJ102" i="174"/>
  <c r="AK102" i="174" s="1"/>
  <c r="AJ103" i="174"/>
  <c r="AK103" i="174" s="1"/>
  <c r="AJ104" i="174"/>
  <c r="AK104" i="174" s="1"/>
  <c r="AJ105" i="174"/>
  <c r="AK105" i="174" s="1"/>
  <c r="AJ106" i="174"/>
  <c r="AK106" i="174" s="1"/>
  <c r="AJ108" i="174"/>
  <c r="AJ109" i="174"/>
  <c r="AK109" i="174" s="1"/>
  <c r="AJ110" i="174"/>
  <c r="AK110" i="174" s="1"/>
  <c r="AJ111" i="174"/>
  <c r="AK111" i="174" s="1"/>
  <c r="AK106" i="87"/>
  <c r="AM106" i="87" s="1"/>
  <c r="AK105" i="87"/>
  <c r="AM105" i="87" s="1"/>
  <c r="AK104" i="87"/>
  <c r="AM104" i="87" s="1"/>
  <c r="AK103" i="87"/>
  <c r="AM103" i="87" s="1"/>
  <c r="AK102" i="87"/>
  <c r="AM102" i="87" s="1"/>
  <c r="AK101" i="87"/>
  <c r="AM101" i="87" s="1"/>
  <c r="AK100" i="87"/>
  <c r="AM100" i="87" s="1"/>
  <c r="AK99" i="87"/>
  <c r="AM99" i="87" s="1"/>
  <c r="AK98" i="87"/>
  <c r="AM98" i="87" s="1"/>
  <c r="AK97" i="87"/>
  <c r="AM97" i="87" s="1"/>
  <c r="AK96" i="87"/>
  <c r="AM96" i="87" s="1"/>
  <c r="AK95" i="87"/>
  <c r="AM95" i="87" s="1"/>
  <c r="AK94" i="87"/>
  <c r="AM94" i="87" s="1"/>
  <c r="AK93" i="87"/>
  <c r="AM93" i="87" s="1"/>
  <c r="AI91" i="87"/>
  <c r="AI100" i="174" s="1"/>
  <c r="AI91" i="174" s="1"/>
  <c r="AK92" i="87"/>
  <c r="AK91" i="87" s="1"/>
  <c r="AK111" i="87"/>
  <c r="AM111" i="87" s="1"/>
  <c r="AK110" i="87"/>
  <c r="AM110" i="87" s="1"/>
  <c r="AK109" i="87"/>
  <c r="AM109" i="87" s="1"/>
  <c r="AI107" i="87"/>
  <c r="AK108" i="87"/>
  <c r="AK150" i="87"/>
  <c r="AK150" i="124" s="1"/>
  <c r="AI148" i="87"/>
  <c r="AI157" i="87" s="1"/>
  <c r="AK149" i="87"/>
  <c r="AI10" i="124"/>
  <c r="AK54" i="87"/>
  <c r="AI26" i="87"/>
  <c r="AI29" i="87"/>
  <c r="AI24" i="87"/>
  <c r="AI28" i="87"/>
  <c r="AI23" i="87"/>
  <c r="AI39" i="87"/>
  <c r="AI25" i="87"/>
  <c r="AJ27" i="87"/>
  <c r="AK27" i="87" s="1"/>
  <c r="AI157" i="85" l="1"/>
  <c r="AI157" i="86"/>
  <c r="AI157" i="68"/>
  <c r="AJ107" i="124"/>
  <c r="AJ106" i="124"/>
  <c r="AK106" i="124" s="1"/>
  <c r="AM106" i="124" s="1"/>
  <c r="AJ105" i="124"/>
  <c r="AK105" i="124" s="1"/>
  <c r="AM105" i="124" s="1"/>
  <c r="AJ104" i="124"/>
  <c r="AK104" i="124" s="1"/>
  <c r="AM104" i="124" s="1"/>
  <c r="AJ103" i="124"/>
  <c r="AK103" i="124" s="1"/>
  <c r="AM103" i="124" s="1"/>
  <c r="AJ102" i="124"/>
  <c r="AK102" i="124" s="1"/>
  <c r="AM102" i="124" s="1"/>
  <c r="AJ101" i="124"/>
  <c r="AK101" i="124" s="1"/>
  <c r="AM101" i="124" s="1"/>
  <c r="AJ100" i="124"/>
  <c r="AK100" i="124" s="1"/>
  <c r="AM100" i="124" s="1"/>
  <c r="AJ99" i="124"/>
  <c r="AK99" i="124" s="1"/>
  <c r="AM99" i="124" s="1"/>
  <c r="AJ98" i="124"/>
  <c r="AK98" i="124" s="1"/>
  <c r="AM98" i="124" s="1"/>
  <c r="AJ97" i="124"/>
  <c r="AK97" i="124" s="1"/>
  <c r="AM97" i="124" s="1"/>
  <c r="AJ96" i="124"/>
  <c r="AK96" i="124" s="1"/>
  <c r="AM96" i="124" s="1"/>
  <c r="AJ95" i="124"/>
  <c r="AK95" i="124" s="1"/>
  <c r="AM95" i="124" s="1"/>
  <c r="AJ94" i="124"/>
  <c r="AK94" i="124" s="1"/>
  <c r="AM94" i="124" s="1"/>
  <c r="AJ93" i="124"/>
  <c r="AK93" i="124" s="1"/>
  <c r="AM93" i="124" s="1"/>
  <c r="AJ91" i="124"/>
  <c r="AK92" i="124"/>
  <c r="AK91" i="124" s="1"/>
  <c r="AK138" i="124"/>
  <c r="AN138" i="124" s="1"/>
  <c r="AK135" i="124"/>
  <c r="AN135" i="124" s="1"/>
  <c r="AI39" i="124"/>
  <c r="AK46" i="85"/>
  <c r="AO46" i="85" s="1"/>
  <c r="AM42" i="85"/>
  <c r="AM41" i="85"/>
  <c r="AM40" i="85"/>
  <c r="AJ7" i="85"/>
  <c r="AJ39" i="85"/>
  <c r="AK39" i="85" s="1"/>
  <c r="AJ35" i="85"/>
  <c r="AK35" i="85" s="1"/>
  <c r="AJ28" i="85"/>
  <c r="AK28" i="85" s="1"/>
  <c r="AM28" i="85" s="1"/>
  <c r="AJ25" i="85"/>
  <c r="AK25" i="85" s="1"/>
  <c r="AM25" i="85" s="1"/>
  <c r="AJ23" i="85"/>
  <c r="AK23" i="85" s="1"/>
  <c r="AM23" i="85" s="1"/>
  <c r="AJ8" i="85"/>
  <c r="AJ36" i="85"/>
  <c r="AK36" i="85" s="1"/>
  <c r="AJ29" i="85"/>
  <c r="AK29" i="85" s="1"/>
  <c r="AM29" i="85" s="1"/>
  <c r="AJ26" i="85"/>
  <c r="AK26" i="85" s="1"/>
  <c r="AM26" i="85" s="1"/>
  <c r="AJ24" i="85"/>
  <c r="AK24" i="85" s="1"/>
  <c r="AM24" i="85" s="1"/>
  <c r="AJ9" i="85"/>
  <c r="AJ37" i="85"/>
  <c r="AK37" i="85" s="1"/>
  <c r="AJ27" i="85"/>
  <c r="AK27" i="85" s="1"/>
  <c r="AM27" i="85" s="1"/>
  <c r="AK112" i="86"/>
  <c r="AM112" i="86" s="1"/>
  <c r="AM113" i="86"/>
  <c r="AK148" i="86"/>
  <c r="AM148" i="86" s="1"/>
  <c r="AM149" i="86"/>
  <c r="AK50" i="86"/>
  <c r="AM50" i="86" s="1"/>
  <c r="AM51" i="86"/>
  <c r="AJ8" i="86"/>
  <c r="AJ29" i="86"/>
  <c r="AK29" i="86" s="1"/>
  <c r="AM29" i="86" s="1"/>
  <c r="AJ26" i="86"/>
  <c r="AK26" i="86" s="1"/>
  <c r="AM26" i="86" s="1"/>
  <c r="AJ24" i="86"/>
  <c r="AK24" i="86" s="1"/>
  <c r="AM24" i="86" s="1"/>
  <c r="AJ50" i="86"/>
  <c r="AJ112" i="86"/>
  <c r="AK112" i="68"/>
  <c r="AM112" i="68" s="1"/>
  <c r="AM113" i="68"/>
  <c r="AK148" i="68"/>
  <c r="AM148" i="68" s="1"/>
  <c r="AM149" i="68"/>
  <c r="AK50" i="68"/>
  <c r="AM50" i="68" s="1"/>
  <c r="AM51" i="68"/>
  <c r="AJ50" i="68"/>
  <c r="AJ112" i="68"/>
  <c r="AM125" i="124"/>
  <c r="AM135" i="124"/>
  <c r="AM133" i="124"/>
  <c r="AM129" i="124"/>
  <c r="AM127" i="124"/>
  <c r="AM126" i="124"/>
  <c r="AM124" i="124"/>
  <c r="AM123" i="124"/>
  <c r="AM121" i="124"/>
  <c r="AM81" i="124"/>
  <c r="AM76" i="124"/>
  <c r="AM75" i="124"/>
  <c r="AH158" i="87"/>
  <c r="AH159" i="87"/>
  <c r="AM79" i="124"/>
  <c r="AJ78" i="124"/>
  <c r="AK78" i="124" s="1"/>
  <c r="AN78" i="124" s="1"/>
  <c r="AJ78" i="174"/>
  <c r="AK78" i="174" s="1"/>
  <c r="AM78" i="174" s="1"/>
  <c r="AJ94" i="174"/>
  <c r="AK94" i="174" s="1"/>
  <c r="AM94" i="174" s="1"/>
  <c r="AJ85" i="174"/>
  <c r="AK85" i="174" s="1"/>
  <c r="AM85" i="174" s="1"/>
  <c r="AJ85" i="124"/>
  <c r="AK85" i="124" s="1"/>
  <c r="AN85" i="124" s="1"/>
  <c r="AJ143" i="124"/>
  <c r="AK143" i="124" s="1"/>
  <c r="AN143" i="124" s="1"/>
  <c r="AJ143" i="174"/>
  <c r="AK143" i="174" s="1"/>
  <c r="AM143" i="174" s="1"/>
  <c r="AJ146" i="124"/>
  <c r="AK146" i="124" s="1"/>
  <c r="AN146" i="124" s="1"/>
  <c r="AJ146" i="174"/>
  <c r="AK146" i="174" s="1"/>
  <c r="AM146" i="174" s="1"/>
  <c r="AI159" i="86"/>
  <c r="AI159" i="68"/>
  <c r="AI258" i="174"/>
  <c r="AI112" i="174"/>
  <c r="AK148" i="85"/>
  <c r="AJ10" i="174"/>
  <c r="AK10" i="174" s="1"/>
  <c r="AJ30" i="87"/>
  <c r="AK30" i="87" s="1"/>
  <c r="AJ112" i="87"/>
  <c r="AK155" i="174"/>
  <c r="AM155" i="174" s="1"/>
  <c r="AK155" i="124"/>
  <c r="AN155" i="124" s="1"/>
  <c r="AM155" i="87"/>
  <c r="AI257" i="174"/>
  <c r="AI254" i="174"/>
  <c r="AI291" i="174"/>
  <c r="AI338" i="174" s="1"/>
  <c r="AI341" i="174" s="1"/>
  <c r="AI260" i="174"/>
  <c r="AI261" i="174" s="1"/>
  <c r="AI259" i="174"/>
  <c r="AJ81" i="174"/>
  <c r="AK81" i="174" s="1"/>
  <c r="AM81" i="174" s="1"/>
  <c r="AJ76" i="174"/>
  <c r="AK76" i="174" s="1"/>
  <c r="AM76" i="174" s="1"/>
  <c r="AJ52" i="174"/>
  <c r="AK52" i="174" s="1"/>
  <c r="AM52" i="174" s="1"/>
  <c r="AJ113" i="174"/>
  <c r="AJ58" i="174"/>
  <c r="AK58" i="174" s="1"/>
  <c r="AM58" i="174" s="1"/>
  <c r="AJ97" i="174"/>
  <c r="AK97" i="174" s="1"/>
  <c r="AM97" i="174" s="1"/>
  <c r="AJ88" i="174"/>
  <c r="AK88" i="174" s="1"/>
  <c r="AM88" i="174" s="1"/>
  <c r="AJ50" i="87"/>
  <c r="AJ51" i="174"/>
  <c r="AK51" i="174" s="1"/>
  <c r="AM51" i="174" s="1"/>
  <c r="AJ142" i="174"/>
  <c r="AK142" i="174" s="1"/>
  <c r="AM142" i="174" s="1"/>
  <c r="AJ140" i="174"/>
  <c r="AK140" i="174" s="1"/>
  <c r="AM140" i="174" s="1"/>
  <c r="AJ139" i="174"/>
  <c r="AK139" i="174" s="1"/>
  <c r="AM139" i="174" s="1"/>
  <c r="AJ138" i="174"/>
  <c r="AJ135" i="174"/>
  <c r="AK135" i="174" s="1"/>
  <c r="AM135" i="174" s="1"/>
  <c r="AJ133" i="174"/>
  <c r="AK133" i="174" s="1"/>
  <c r="AM133" i="174" s="1"/>
  <c r="AJ129" i="174"/>
  <c r="AK129" i="174" s="1"/>
  <c r="AM129" i="174" s="1"/>
  <c r="AJ127" i="174"/>
  <c r="AK127" i="174" s="1"/>
  <c r="AM127" i="174" s="1"/>
  <c r="AJ126" i="174"/>
  <c r="AK126" i="174" s="1"/>
  <c r="AM126" i="174" s="1"/>
  <c r="AJ124" i="174"/>
  <c r="AK124" i="174" s="1"/>
  <c r="AM124" i="174" s="1"/>
  <c r="AJ123" i="174"/>
  <c r="AK123" i="174" s="1"/>
  <c r="AM123" i="174" s="1"/>
  <c r="AJ121" i="174"/>
  <c r="AK121" i="174" s="1"/>
  <c r="AM121" i="174" s="1"/>
  <c r="AJ117" i="174"/>
  <c r="AK117" i="174" s="1"/>
  <c r="AM117" i="174" s="1"/>
  <c r="AJ116" i="174"/>
  <c r="AK116" i="174" s="1"/>
  <c r="AM116" i="174" s="1"/>
  <c r="AJ96" i="174"/>
  <c r="AK96" i="174" s="1"/>
  <c r="AM96" i="174" s="1"/>
  <c r="AJ87" i="174"/>
  <c r="AK87" i="174" s="1"/>
  <c r="AM87" i="174" s="1"/>
  <c r="AJ66" i="174"/>
  <c r="AK66" i="174" s="1"/>
  <c r="AM66" i="174" s="1"/>
  <c r="AJ75" i="174"/>
  <c r="AK75" i="174" s="1"/>
  <c r="AM75" i="174" s="1"/>
  <c r="AJ155" i="174"/>
  <c r="AJ79" i="174"/>
  <c r="AK79" i="174" s="1"/>
  <c r="AM79" i="174" s="1"/>
  <c r="AJ112" i="85"/>
  <c r="AM155" i="85"/>
  <c r="AM150" i="85"/>
  <c r="AM149" i="85"/>
  <c r="AM142" i="85"/>
  <c r="AM140" i="85"/>
  <c r="AM139" i="85"/>
  <c r="AM138" i="85"/>
  <c r="AM135" i="85"/>
  <c r="AM133" i="85"/>
  <c r="AM129" i="85"/>
  <c r="AM127" i="85"/>
  <c r="AM124" i="85"/>
  <c r="AM123" i="85"/>
  <c r="AM121" i="85"/>
  <c r="AM117" i="85"/>
  <c r="AM116" i="85"/>
  <c r="AM113" i="85"/>
  <c r="AM88" i="85"/>
  <c r="AM87" i="85"/>
  <c r="AM81" i="85"/>
  <c r="AM79" i="85"/>
  <c r="AM76" i="85"/>
  <c r="AM75" i="85"/>
  <c r="AM66" i="85"/>
  <c r="AM58" i="85"/>
  <c r="AM54" i="85"/>
  <c r="AM52" i="85"/>
  <c r="AK50" i="85"/>
  <c r="AM51" i="85"/>
  <c r="AJ50" i="85"/>
  <c r="AM112" i="85"/>
  <c r="AM125" i="87"/>
  <c r="AK112" i="87"/>
  <c r="AM112" i="87" s="1"/>
  <c r="AM148" i="85"/>
  <c r="AK154" i="174"/>
  <c r="AM154" i="174" s="1"/>
  <c r="AK154" i="124"/>
  <c r="AM154" i="87"/>
  <c r="AK152" i="174"/>
  <c r="AM152" i="174" s="1"/>
  <c r="AK152" i="124"/>
  <c r="AM152" i="87"/>
  <c r="AJ69" i="174"/>
  <c r="AK69" i="174" s="1"/>
  <c r="AM69" i="174" s="1"/>
  <c r="AJ56" i="174"/>
  <c r="AK56" i="174" s="1"/>
  <c r="AM56" i="174" s="1"/>
  <c r="AJ63" i="174"/>
  <c r="AK63" i="174" s="1"/>
  <c r="AM63" i="174" s="1"/>
  <c r="AJ65" i="174"/>
  <c r="AK65" i="174" s="1"/>
  <c r="AM65" i="174" s="1"/>
  <c r="AJ99" i="174"/>
  <c r="AK99" i="174" s="1"/>
  <c r="AM99" i="174" s="1"/>
  <c r="AJ90" i="174"/>
  <c r="AK90" i="174" s="1"/>
  <c r="AM90" i="174" s="1"/>
  <c r="AJ119" i="174"/>
  <c r="AK119" i="174" s="1"/>
  <c r="AM119" i="174" s="1"/>
  <c r="AJ125" i="174"/>
  <c r="AK125" i="174" s="1"/>
  <c r="AM125" i="174" s="1"/>
  <c r="AJ147" i="174"/>
  <c r="AK147" i="174" s="1"/>
  <c r="AM147" i="174" s="1"/>
  <c r="AJ152" i="174"/>
  <c r="AJ154" i="174"/>
  <c r="AJ71" i="174"/>
  <c r="AK71" i="174" s="1"/>
  <c r="AM71" i="174" s="1"/>
  <c r="AJ55" i="174"/>
  <c r="AK55" i="174" s="1"/>
  <c r="AM55" i="174" s="1"/>
  <c r="AK107" i="68"/>
  <c r="AM108" i="68"/>
  <c r="AM109" i="68"/>
  <c r="AM110" i="68"/>
  <c r="AM111" i="68"/>
  <c r="AK91" i="68"/>
  <c r="AK157" i="68" s="1"/>
  <c r="AM92" i="68"/>
  <c r="AI158" i="68"/>
  <c r="AM93" i="68"/>
  <c r="AM94" i="68"/>
  <c r="AM95" i="68"/>
  <c r="AM96" i="68"/>
  <c r="AM97" i="68"/>
  <c r="AM98" i="68"/>
  <c r="AM99" i="68"/>
  <c r="AM100" i="68"/>
  <c r="AM101" i="68"/>
  <c r="AM102" i="68"/>
  <c r="AM103" i="68"/>
  <c r="AM104" i="68"/>
  <c r="AM105" i="68"/>
  <c r="AM106" i="68"/>
  <c r="AM42" i="68"/>
  <c r="AM41" i="68"/>
  <c r="AM40" i="68"/>
  <c r="AJ39" i="68"/>
  <c r="AK39" i="68" s="1"/>
  <c r="AJ28" i="68"/>
  <c r="AK28" i="68" s="1"/>
  <c r="AJ25" i="68"/>
  <c r="AK25" i="68" s="1"/>
  <c r="AJ23" i="68"/>
  <c r="AK23" i="68" s="1"/>
  <c r="AJ29" i="68"/>
  <c r="AK29" i="68" s="1"/>
  <c r="AJ26" i="68"/>
  <c r="AK26" i="68" s="1"/>
  <c r="AJ24" i="68"/>
  <c r="AK24" i="68" s="1"/>
  <c r="AJ27" i="68"/>
  <c r="AK27" i="68" s="1"/>
  <c r="AJ91" i="68"/>
  <c r="AJ107" i="68"/>
  <c r="AK107" i="86"/>
  <c r="AM108" i="86"/>
  <c r="AM109" i="86"/>
  <c r="AM110" i="86"/>
  <c r="AM111" i="86"/>
  <c r="AK91" i="86"/>
  <c r="AK157" i="86" s="1"/>
  <c r="AM92" i="86"/>
  <c r="AI158" i="86"/>
  <c r="AM93" i="86"/>
  <c r="AM94" i="86"/>
  <c r="AM95" i="86"/>
  <c r="AM96" i="86"/>
  <c r="AM97" i="86"/>
  <c r="AM98" i="86"/>
  <c r="AM99" i="86"/>
  <c r="AM100" i="86"/>
  <c r="AM101" i="86"/>
  <c r="AM102" i="86"/>
  <c r="AM103" i="86"/>
  <c r="AM104" i="86"/>
  <c r="AM105" i="86"/>
  <c r="AM106" i="86"/>
  <c r="AK46" i="86"/>
  <c r="AO46" i="86" s="1"/>
  <c r="AM42" i="86"/>
  <c r="AM40" i="86"/>
  <c r="AJ39" i="86"/>
  <c r="AK39" i="86" s="1"/>
  <c r="AJ28" i="86"/>
  <c r="AK28" i="86" s="1"/>
  <c r="AJ25" i="86"/>
  <c r="AK25" i="86" s="1"/>
  <c r="AJ23" i="86"/>
  <c r="AK23" i="86" s="1"/>
  <c r="AJ27" i="86"/>
  <c r="AK27" i="86" s="1"/>
  <c r="AJ91" i="86"/>
  <c r="AJ107" i="86"/>
  <c r="AM154" i="85"/>
  <c r="AM152" i="85"/>
  <c r="AM147" i="85"/>
  <c r="AM125" i="85"/>
  <c r="AM119" i="85"/>
  <c r="AM90" i="85"/>
  <c r="AM71" i="85"/>
  <c r="AM69" i="85"/>
  <c r="AM65" i="85"/>
  <c r="AM63" i="85"/>
  <c r="AM56" i="85"/>
  <c r="AM55" i="85"/>
  <c r="AK107" i="85"/>
  <c r="AM108" i="85"/>
  <c r="AM109" i="85"/>
  <c r="AM110" i="85"/>
  <c r="AM111" i="85"/>
  <c r="AK91" i="85"/>
  <c r="AM92" i="85"/>
  <c r="AI159" i="85"/>
  <c r="AM93" i="85"/>
  <c r="AM94" i="85"/>
  <c r="AM95" i="85"/>
  <c r="AM96" i="85"/>
  <c r="AM97" i="85"/>
  <c r="AM98" i="85"/>
  <c r="AM99" i="85"/>
  <c r="AM100" i="85"/>
  <c r="AM101" i="85"/>
  <c r="AM102" i="85"/>
  <c r="AM103" i="85"/>
  <c r="AM104" i="85"/>
  <c r="AM105" i="85"/>
  <c r="AM106" i="85"/>
  <c r="AH158" i="85"/>
  <c r="AJ91" i="85"/>
  <c r="AJ107" i="85"/>
  <c r="AM54" i="87"/>
  <c r="AK50" i="87"/>
  <c r="AJ27" i="174"/>
  <c r="AJ27" i="124"/>
  <c r="AI25" i="174"/>
  <c r="AI25" i="124"/>
  <c r="AI23" i="174"/>
  <c r="AI23" i="124"/>
  <c r="AI28" i="174"/>
  <c r="AI28" i="124"/>
  <c r="AI24" i="174"/>
  <c r="AI24" i="124"/>
  <c r="AI29" i="174"/>
  <c r="AI29" i="124"/>
  <c r="AI26" i="174"/>
  <c r="AI26" i="124"/>
  <c r="AI30" i="174"/>
  <c r="AI30" i="124"/>
  <c r="AJ42" i="174"/>
  <c r="AJ42" i="124"/>
  <c r="AJ41" i="174"/>
  <c r="AJ41" i="124"/>
  <c r="AJ40" i="174"/>
  <c r="AJ40" i="124"/>
  <c r="AM10" i="174"/>
  <c r="AK40" i="174"/>
  <c r="AK41" i="174"/>
  <c r="AK42" i="174"/>
  <c r="AJ54" i="174"/>
  <c r="AJ50" i="174" s="1"/>
  <c r="AK54" i="174"/>
  <c r="AK50" i="174" s="1"/>
  <c r="AM50" i="174" s="1"/>
  <c r="AI148" i="174"/>
  <c r="AI156" i="174" s="1"/>
  <c r="AM153" i="87"/>
  <c r="AK153" i="174"/>
  <c r="AK153" i="124"/>
  <c r="AK149" i="174"/>
  <c r="AK149" i="124"/>
  <c r="AK148" i="124" s="1"/>
  <c r="AM150" i="87"/>
  <c r="AK150" i="174"/>
  <c r="AJ150" i="174"/>
  <c r="AJ149" i="174"/>
  <c r="AJ153" i="174"/>
  <c r="AM111" i="174"/>
  <c r="AM110" i="174"/>
  <c r="AM109" i="174"/>
  <c r="AJ107" i="174"/>
  <c r="AK108" i="174"/>
  <c r="AM106" i="174"/>
  <c r="AM105" i="174"/>
  <c r="AM104" i="174"/>
  <c r="AM103" i="174"/>
  <c r="AM102" i="174"/>
  <c r="AM101" i="174"/>
  <c r="AI158" i="174"/>
  <c r="AI157" i="174"/>
  <c r="AM27" i="87"/>
  <c r="AK148" i="87"/>
  <c r="AM148" i="87" s="1"/>
  <c r="AM149" i="87"/>
  <c r="AK107" i="87"/>
  <c r="AM107" i="87" s="1"/>
  <c r="AM108" i="87"/>
  <c r="AM92" i="87"/>
  <c r="AJ91" i="87"/>
  <c r="AJ100" i="174" s="1"/>
  <c r="AJ107" i="87"/>
  <c r="AJ148" i="87"/>
  <c r="AJ157" i="87" s="1"/>
  <c r="AJ10" i="124"/>
  <c r="AJ28" i="87"/>
  <c r="AK28" i="87" s="1"/>
  <c r="AJ23" i="87"/>
  <c r="AK23" i="87" s="1"/>
  <c r="AJ39" i="87"/>
  <c r="AJ25" i="87"/>
  <c r="AK25" i="87" s="1"/>
  <c r="AJ26" i="87"/>
  <c r="AK26" i="87" s="1"/>
  <c r="AJ29" i="87"/>
  <c r="AK29" i="87" s="1"/>
  <c r="AJ24" i="87"/>
  <c r="AK24" i="87" s="1"/>
  <c r="AJ157" i="85" l="1"/>
  <c r="AK157" i="85"/>
  <c r="AM50" i="87"/>
  <c r="AK157" i="87"/>
  <c r="AJ157" i="86"/>
  <c r="AJ157" i="68"/>
  <c r="AM92" i="124"/>
  <c r="AM91" i="124"/>
  <c r="AJ39" i="124"/>
  <c r="AK39" i="87"/>
  <c r="AM37" i="85"/>
  <c r="AL37" i="85"/>
  <c r="AK45" i="85"/>
  <c r="AO45" i="85" s="1"/>
  <c r="AM36" i="85"/>
  <c r="AL36" i="85"/>
  <c r="AK44" i="85"/>
  <c r="AO44" i="85" s="1"/>
  <c r="AM35" i="85"/>
  <c r="AL35" i="85"/>
  <c r="AL38" i="85"/>
  <c r="AM39" i="85"/>
  <c r="AL39" i="85"/>
  <c r="AL42" i="85"/>
  <c r="AL41" i="85"/>
  <c r="AL40" i="85"/>
  <c r="AM46" i="85"/>
  <c r="AL46" i="85"/>
  <c r="AM85" i="124"/>
  <c r="AI158" i="87"/>
  <c r="AI159" i="87"/>
  <c r="AM78" i="124"/>
  <c r="AJ159" i="86"/>
  <c r="AJ159" i="68"/>
  <c r="AJ258" i="174"/>
  <c r="AK138" i="174"/>
  <c r="AM138" i="174" s="1"/>
  <c r="AJ112" i="174"/>
  <c r="AK113" i="174"/>
  <c r="AL38" i="86"/>
  <c r="AM39" i="86"/>
  <c r="AL39" i="86"/>
  <c r="AL41" i="86"/>
  <c r="AL42" i="86"/>
  <c r="AL40" i="86"/>
  <c r="AJ257" i="174"/>
  <c r="AJ254" i="174"/>
  <c r="AJ291" i="174"/>
  <c r="AJ338" i="174" s="1"/>
  <c r="AJ341" i="174" s="1"/>
  <c r="AJ260" i="174"/>
  <c r="AJ261" i="174" s="1"/>
  <c r="AJ259" i="174"/>
  <c r="AM50" i="85"/>
  <c r="AJ158" i="68"/>
  <c r="AM27" i="68"/>
  <c r="AM24" i="68"/>
  <c r="AM26" i="68"/>
  <c r="AM29" i="68"/>
  <c r="AM23" i="68"/>
  <c r="AM25" i="68"/>
  <c r="AM28" i="68"/>
  <c r="AL38" i="68"/>
  <c r="AM39" i="68"/>
  <c r="AL39" i="68"/>
  <c r="AL42" i="68"/>
  <c r="AL41" i="68"/>
  <c r="AL40" i="68"/>
  <c r="AK159" i="68"/>
  <c r="AM91" i="68"/>
  <c r="AM107" i="68"/>
  <c r="AJ158" i="86"/>
  <c r="AM27" i="86"/>
  <c r="AM23" i="86"/>
  <c r="AM25" i="86"/>
  <c r="AM28" i="86"/>
  <c r="AM46" i="86"/>
  <c r="AL46" i="86"/>
  <c r="AK159" i="86"/>
  <c r="AM91" i="86"/>
  <c r="AM107" i="86"/>
  <c r="AJ159" i="85"/>
  <c r="AI158" i="85"/>
  <c r="AK159" i="85"/>
  <c r="AM91" i="85"/>
  <c r="AM107" i="85"/>
  <c r="AJ24" i="174"/>
  <c r="AJ24" i="124"/>
  <c r="AJ29" i="174"/>
  <c r="AJ29" i="124"/>
  <c r="AJ26" i="174"/>
  <c r="AJ26" i="124"/>
  <c r="AJ25" i="174"/>
  <c r="AJ25" i="124"/>
  <c r="AJ23" i="174"/>
  <c r="AJ23" i="124"/>
  <c r="AJ28" i="174"/>
  <c r="AJ28" i="124"/>
  <c r="AJ30" i="174"/>
  <c r="AJ30" i="124"/>
  <c r="AM42" i="174"/>
  <c r="AL42" i="174"/>
  <c r="AM41" i="174"/>
  <c r="AL41" i="174"/>
  <c r="AM40" i="174"/>
  <c r="AL40" i="174"/>
  <c r="AK27" i="174"/>
  <c r="AK27" i="124"/>
  <c r="AM27" i="124" s="1"/>
  <c r="AK100" i="174"/>
  <c r="AK91" i="174" s="1"/>
  <c r="AJ91" i="174"/>
  <c r="AM54" i="174"/>
  <c r="AJ148" i="174"/>
  <c r="AJ156" i="174" s="1"/>
  <c r="AM150" i="174"/>
  <c r="AK148" i="174"/>
  <c r="AM149" i="174"/>
  <c r="AM153" i="174"/>
  <c r="AM100" i="174"/>
  <c r="AK107" i="174"/>
  <c r="AM108" i="174"/>
  <c r="AJ158" i="174"/>
  <c r="AJ157" i="174"/>
  <c r="AM24" i="87"/>
  <c r="AM29" i="87"/>
  <c r="AM26" i="87"/>
  <c r="AM25" i="87"/>
  <c r="AM23" i="87"/>
  <c r="AM28" i="87"/>
  <c r="AM30" i="87"/>
  <c r="AM91" i="87"/>
  <c r="AM44" i="85" l="1"/>
  <c r="AL44" i="85"/>
  <c r="AM45" i="85"/>
  <c r="AL45" i="85"/>
  <c r="AM157" i="87"/>
  <c r="AJ158" i="87"/>
  <c r="AJ159" i="87"/>
  <c r="AK112" i="174"/>
  <c r="AM112" i="174" s="1"/>
  <c r="AM113" i="174"/>
  <c r="AK158" i="68"/>
  <c r="AM157" i="68"/>
  <c r="AK158" i="86"/>
  <c r="AM157" i="86"/>
  <c r="AK158" i="85"/>
  <c r="AM157" i="85"/>
  <c r="AJ158" i="85"/>
  <c r="AM27" i="174"/>
  <c r="AK30" i="174"/>
  <c r="AK30" i="124"/>
  <c r="AM30" i="124" s="1"/>
  <c r="AK28" i="174"/>
  <c r="AK28" i="124"/>
  <c r="AM28" i="124" s="1"/>
  <c r="AK23" i="174"/>
  <c r="AK23" i="124"/>
  <c r="AM23" i="124" s="1"/>
  <c r="AK25" i="174"/>
  <c r="AK25" i="124"/>
  <c r="AM25" i="124" s="1"/>
  <c r="AK26" i="174"/>
  <c r="AK26" i="124"/>
  <c r="AM26" i="124" s="1"/>
  <c r="AK29" i="174"/>
  <c r="AK29" i="124"/>
  <c r="AM29" i="124" s="1"/>
  <c r="AK24" i="174"/>
  <c r="AK24" i="124"/>
  <c r="AM24" i="124" s="1"/>
  <c r="AM91" i="174"/>
  <c r="AM148" i="174"/>
  <c r="AK156" i="174"/>
  <c r="AM107" i="174"/>
  <c r="N59" i="38"/>
  <c r="N60" i="38"/>
  <c r="N58" i="38"/>
  <c r="D8" i="38"/>
  <c r="D9" i="38"/>
  <c r="D7" i="38"/>
  <c r="AM158" i="68" l="1"/>
  <c r="AM159" i="68"/>
  <c r="AM158" i="86"/>
  <c r="AM159" i="86"/>
  <c r="AM158" i="85"/>
  <c r="AM159" i="85"/>
  <c r="AM24" i="174"/>
  <c r="AM29" i="174"/>
  <c r="AM26" i="174"/>
  <c r="AM25" i="174"/>
  <c r="AM23" i="174"/>
  <c r="AM28" i="174"/>
  <c r="AM30" i="174"/>
  <c r="AK158" i="174"/>
  <c r="AK157" i="174"/>
  <c r="AM156" i="174"/>
  <c r="Y12" i="124"/>
  <c r="AH12" i="124"/>
  <c r="AG12" i="124"/>
  <c r="AE12" i="124"/>
  <c r="AI12" i="124"/>
  <c r="AD12" i="124"/>
  <c r="AC12" i="124"/>
  <c r="AB12" i="124"/>
  <c r="AA12" i="124"/>
  <c r="Z12" i="124"/>
  <c r="AF12" i="124"/>
  <c r="AM157" i="174" l="1"/>
  <c r="AM158" i="174"/>
  <c r="J7" i="124"/>
  <c r="Z1" i="124"/>
  <c r="AA1" i="124" s="1"/>
  <c r="AB1" i="124" s="1"/>
  <c r="AC1" i="124" s="1"/>
  <c r="AD1" i="124" s="1"/>
  <c r="AE1" i="124" s="1"/>
  <c r="AF1" i="124" s="1"/>
  <c r="AG1" i="124" s="1"/>
  <c r="AH1" i="124" s="1"/>
  <c r="AI1" i="124" s="1"/>
  <c r="AJ1" i="124" s="1"/>
  <c r="AK1" i="124" s="1"/>
  <c r="B16" i="38"/>
  <c r="B15" i="38"/>
  <c r="B14" i="38"/>
  <c r="Y14" i="85" l="1"/>
  <c r="Y15" i="85"/>
  <c r="Y16" i="85"/>
  <c r="AK17" i="174"/>
  <c r="AM17" i="174" s="1"/>
  <c r="AK17" i="124"/>
  <c r="AK18" i="174"/>
  <c r="AM18" i="174" s="1"/>
  <c r="AK18" i="124"/>
  <c r="AK19" i="174"/>
  <c r="AM19" i="174" s="1"/>
  <c r="AK19" i="124"/>
  <c r="J44" i="124"/>
  <c r="AM12" i="87"/>
  <c r="Y9" i="174"/>
  <c r="Y8" i="174"/>
  <c r="Y7" i="174"/>
  <c r="AM17" i="87"/>
  <c r="AM10" i="87"/>
  <c r="AM11" i="87"/>
  <c r="AM19" i="87"/>
  <c r="AM18" i="87"/>
  <c r="AM38" i="87"/>
  <c r="J107" i="124"/>
  <c r="M107" i="124"/>
  <c r="R107" i="124"/>
  <c r="C16" i="38"/>
  <c r="C15" i="38"/>
  <c r="C14" i="38"/>
  <c r="N6" i="124"/>
  <c r="J6" i="124"/>
  <c r="P91" i="124"/>
  <c r="K91" i="124"/>
  <c r="P6" i="124"/>
  <c r="N107" i="124"/>
  <c r="T6" i="124"/>
  <c r="S107" i="124"/>
  <c r="U107" i="124"/>
  <c r="R6" i="124"/>
  <c r="S91" i="124"/>
  <c r="K107" i="124"/>
  <c r="V151" i="124"/>
  <c r="AN151" i="124" s="1"/>
  <c r="L112" i="124"/>
  <c r="V67" i="124"/>
  <c r="O107" i="124"/>
  <c r="Q91" i="124"/>
  <c r="N91" i="124"/>
  <c r="T91" i="124"/>
  <c r="J112" i="124"/>
  <c r="R112" i="124"/>
  <c r="N112" i="124"/>
  <c r="V152" i="124"/>
  <c r="AN152" i="124" s="1"/>
  <c r="U6" i="124"/>
  <c r="O91" i="124"/>
  <c r="P107" i="124"/>
  <c r="K6" i="124"/>
  <c r="S6" i="124"/>
  <c r="V36" i="124"/>
  <c r="V69" i="124"/>
  <c r="R91" i="124"/>
  <c r="R157" i="124" s="1"/>
  <c r="R161" i="124" s="1"/>
  <c r="Q112" i="124"/>
  <c r="V150" i="124"/>
  <c r="AN150" i="124" s="1"/>
  <c r="AK66" i="124"/>
  <c r="V72" i="124"/>
  <c r="O112" i="124"/>
  <c r="L107" i="124"/>
  <c r="T107" i="124"/>
  <c r="V66" i="124"/>
  <c r="AK71" i="124"/>
  <c r="M91" i="124"/>
  <c r="U91" i="124"/>
  <c r="U157" i="124" s="1"/>
  <c r="U161" i="124" s="1"/>
  <c r="M112" i="124"/>
  <c r="Q6" i="124"/>
  <c r="O6" i="124"/>
  <c r="V68" i="124"/>
  <c r="Q107" i="124"/>
  <c r="V149" i="124"/>
  <c r="AN149" i="124" s="1"/>
  <c r="V153" i="124"/>
  <c r="AN153" i="124" s="1"/>
  <c r="V8" i="124"/>
  <c r="V10" i="124"/>
  <c r="V15" i="124"/>
  <c r="V18" i="124"/>
  <c r="V37" i="124"/>
  <c r="V40" i="124"/>
  <c r="V41" i="124"/>
  <c r="V51" i="124"/>
  <c r="V60" i="124"/>
  <c r="V62" i="124"/>
  <c r="V64" i="124"/>
  <c r="AK74" i="124"/>
  <c r="V113" i="124"/>
  <c r="AM137" i="124"/>
  <c r="AM138" i="124"/>
  <c r="V154" i="124"/>
  <c r="AN154" i="124" s="1"/>
  <c r="V42" i="124"/>
  <c r="V55" i="124"/>
  <c r="J91" i="124"/>
  <c r="J157" i="124" s="1"/>
  <c r="V111" i="124"/>
  <c r="L6" i="124"/>
  <c r="V7" i="124"/>
  <c r="V14" i="124"/>
  <c r="V39" i="124"/>
  <c r="V57" i="124"/>
  <c r="V59" i="124"/>
  <c r="AK61" i="124"/>
  <c r="AK63" i="124"/>
  <c r="V74" i="124"/>
  <c r="AM87" i="124"/>
  <c r="AM89" i="124"/>
  <c r="M6" i="124"/>
  <c r="L91" i="124"/>
  <c r="L157" i="124" s="1"/>
  <c r="P112" i="124"/>
  <c r="V11" i="124"/>
  <c r="V12" i="124"/>
  <c r="V17" i="124"/>
  <c r="V19" i="124"/>
  <c r="V35" i="124"/>
  <c r="V61" i="124"/>
  <c r="V63" i="124"/>
  <c r="V65" i="124"/>
  <c r="AK73" i="124"/>
  <c r="V110" i="124"/>
  <c r="V54" i="124"/>
  <c r="V56" i="124"/>
  <c r="V70" i="124"/>
  <c r="V109" i="124"/>
  <c r="V9" i="124"/>
  <c r="AK10" i="124"/>
  <c r="V16" i="124"/>
  <c r="V38" i="124"/>
  <c r="V52" i="124"/>
  <c r="V53" i="124"/>
  <c r="V58" i="124"/>
  <c r="AK60" i="124"/>
  <c r="AN60" i="124" s="1"/>
  <c r="AK62" i="124"/>
  <c r="AN62" i="124" s="1"/>
  <c r="AK64" i="124"/>
  <c r="AN64" i="124" s="1"/>
  <c r="V73" i="124"/>
  <c r="AM86" i="124"/>
  <c r="AM88" i="124"/>
  <c r="AM90" i="124"/>
  <c r="V108" i="124"/>
  <c r="V107" i="124" s="1"/>
  <c r="K112" i="124"/>
  <c r="S112" i="124"/>
  <c r="AK46" i="87"/>
  <c r="AO46" i="87" s="1"/>
  <c r="M157" i="124" l="1"/>
  <c r="O157" i="124"/>
  <c r="N157" i="124"/>
  <c r="Q157" i="124"/>
  <c r="S157" i="124"/>
  <c r="S161" i="124" s="1"/>
  <c r="K157" i="124"/>
  <c r="P157" i="124"/>
  <c r="AN73" i="124"/>
  <c r="AN63" i="124"/>
  <c r="AN61" i="124"/>
  <c r="AN74" i="124"/>
  <c r="AN71" i="124"/>
  <c r="AN66" i="124"/>
  <c r="V44" i="124"/>
  <c r="V34" i="124"/>
  <c r="V46" i="124"/>
  <c r="V45" i="124"/>
  <c r="V13" i="124"/>
  <c r="Z14" i="85"/>
  <c r="Z15" i="85"/>
  <c r="Z16" i="85"/>
  <c r="Y37" i="68"/>
  <c r="Y16" i="68" s="1"/>
  <c r="Y37" i="86"/>
  <c r="Y16" i="86" s="1"/>
  <c r="Y36" i="68"/>
  <c r="Y15" i="68" s="1"/>
  <c r="Y36" i="86"/>
  <c r="Y15" i="86" s="1"/>
  <c r="Y13" i="85"/>
  <c r="Y6" i="85"/>
  <c r="Y6" i="68"/>
  <c r="Y6" i="86"/>
  <c r="V148" i="124"/>
  <c r="AN148" i="124" s="1"/>
  <c r="Y6" i="174"/>
  <c r="AJ12" i="124"/>
  <c r="AM60" i="124"/>
  <c r="Y9" i="124"/>
  <c r="Y8" i="124"/>
  <c r="J158" i="124"/>
  <c r="Z9" i="87"/>
  <c r="Z8" i="174"/>
  <c r="Y6" i="87"/>
  <c r="Y43" i="87"/>
  <c r="Z7" i="174"/>
  <c r="P34" i="124"/>
  <c r="P161" i="124" s="1"/>
  <c r="AM64" i="124"/>
  <c r="AM18" i="124"/>
  <c r="J34" i="124"/>
  <c r="J161" i="124" s="1"/>
  <c r="AK53" i="124"/>
  <c r="AN53" i="124" s="1"/>
  <c r="AK72" i="124"/>
  <c r="AN72" i="124" s="1"/>
  <c r="D16" i="38"/>
  <c r="D15" i="38"/>
  <c r="D14" i="38"/>
  <c r="L34" i="124"/>
  <c r="Q34" i="124"/>
  <c r="O34" i="124"/>
  <c r="AK70" i="124"/>
  <c r="AN70" i="124" s="1"/>
  <c r="AM62" i="124"/>
  <c r="N34" i="124"/>
  <c r="K34" i="124"/>
  <c r="W35" i="124"/>
  <c r="W41" i="124"/>
  <c r="AM66" i="124"/>
  <c r="AM10" i="124"/>
  <c r="AM63" i="124"/>
  <c r="AM19" i="124"/>
  <c r="W40" i="124"/>
  <c r="AM71" i="124"/>
  <c r="W38" i="124"/>
  <c r="W39" i="124"/>
  <c r="V6" i="124"/>
  <c r="W156" i="124" s="1"/>
  <c r="V50" i="124"/>
  <c r="W37" i="124"/>
  <c r="AM73" i="124"/>
  <c r="AM61" i="124"/>
  <c r="AM17" i="124"/>
  <c r="W42" i="124"/>
  <c r="W36" i="124"/>
  <c r="AM74" i="124"/>
  <c r="M34" i="124"/>
  <c r="AM42" i="87"/>
  <c r="AK69" i="124"/>
  <c r="AN69" i="124" s="1"/>
  <c r="AM41" i="87"/>
  <c r="Y7" i="124"/>
  <c r="AM40" i="87"/>
  <c r="AK56" i="124"/>
  <c r="AN56" i="124" s="1"/>
  <c r="M43" i="124" l="1"/>
  <c r="M161" i="124"/>
  <c r="K43" i="124"/>
  <c r="K161" i="124"/>
  <c r="N43" i="124"/>
  <c r="N161" i="124"/>
  <c r="O43" i="124"/>
  <c r="O161" i="124"/>
  <c r="Q43" i="124"/>
  <c r="Q161" i="124"/>
  <c r="L43" i="124"/>
  <c r="L161" i="124"/>
  <c r="V43" i="124"/>
  <c r="W92" i="124"/>
  <c r="W93" i="124"/>
  <c r="W94" i="124"/>
  <c r="W95" i="124"/>
  <c r="W97" i="124"/>
  <c r="W98" i="124"/>
  <c r="W99" i="124"/>
  <c r="W100" i="124"/>
  <c r="W101" i="124"/>
  <c r="W102" i="124"/>
  <c r="W103" i="124"/>
  <c r="W104" i="124"/>
  <c r="W105" i="124"/>
  <c r="W106" i="124"/>
  <c r="W96" i="124"/>
  <c r="W91" i="124"/>
  <c r="W107" i="124"/>
  <c r="J43" i="124"/>
  <c r="J160" i="124"/>
  <c r="AM70" i="124"/>
  <c r="AM72" i="124"/>
  <c r="AM53" i="124"/>
  <c r="AK159" i="87"/>
  <c r="AN51" i="87"/>
  <c r="Z9" i="174"/>
  <c r="Z37" i="86"/>
  <c r="Z16" i="86"/>
  <c r="Z37" i="68"/>
  <c r="Z16" i="68"/>
  <c r="Z36" i="68"/>
  <c r="Z15" i="68"/>
  <c r="Z36" i="86"/>
  <c r="Z15" i="86"/>
  <c r="AA14" i="85"/>
  <c r="AA15" i="85"/>
  <c r="AA16" i="85"/>
  <c r="Y43" i="86"/>
  <c r="Y35" i="86"/>
  <c r="Y14" i="86" s="1"/>
  <c r="Y13" i="86" s="1"/>
  <c r="Y34" i="86" s="1"/>
  <c r="Y160" i="86" s="1"/>
  <c r="Y161" i="86" s="1"/>
  <c r="Y43" i="68"/>
  <c r="Y35" i="68"/>
  <c r="Y14" i="68" s="1"/>
  <c r="Y13" i="68" s="1"/>
  <c r="Y34" i="68" s="1"/>
  <c r="Y160" i="68" s="1"/>
  <c r="Y161" i="68" s="1"/>
  <c r="Y34" i="85"/>
  <c r="Y160" i="85" s="1"/>
  <c r="Y161" i="85" s="1"/>
  <c r="Z6" i="86"/>
  <c r="Z6" i="68"/>
  <c r="Z13" i="85"/>
  <c r="Z6" i="85"/>
  <c r="Z34" i="85" s="1"/>
  <c r="Z160" i="85" s="1"/>
  <c r="Z161" i="85" s="1"/>
  <c r="W75" i="124"/>
  <c r="W76" i="124"/>
  <c r="W77" i="124"/>
  <c r="W78" i="124"/>
  <c r="W79" i="124"/>
  <c r="W80" i="124"/>
  <c r="W81" i="124"/>
  <c r="W82" i="124"/>
  <c r="W83" i="124"/>
  <c r="W84" i="124"/>
  <c r="W85" i="124"/>
  <c r="W86" i="124"/>
  <c r="W87" i="124"/>
  <c r="W88" i="124"/>
  <c r="W89" i="124"/>
  <c r="W90" i="124"/>
  <c r="W136" i="124"/>
  <c r="W135" i="124"/>
  <c r="W134" i="124"/>
  <c r="W133" i="124"/>
  <c r="W132" i="124"/>
  <c r="W131" i="124"/>
  <c r="W130" i="124"/>
  <c r="W129" i="124"/>
  <c r="W128" i="124"/>
  <c r="W127" i="124"/>
  <c r="W126" i="124"/>
  <c r="W125" i="124"/>
  <c r="W124" i="124"/>
  <c r="W123" i="124"/>
  <c r="W122" i="124"/>
  <c r="W121" i="124"/>
  <c r="W120" i="124"/>
  <c r="Z6" i="174"/>
  <c r="W33" i="124"/>
  <c r="W32" i="124"/>
  <c r="W31" i="124"/>
  <c r="W30" i="124"/>
  <c r="W29" i="124"/>
  <c r="W28" i="124"/>
  <c r="W27" i="124"/>
  <c r="W26" i="124"/>
  <c r="W25" i="124"/>
  <c r="W24" i="124"/>
  <c r="W23" i="124"/>
  <c r="W22" i="124"/>
  <c r="W21" i="124"/>
  <c r="W20" i="124"/>
  <c r="Y36" i="87"/>
  <c r="Y37" i="87"/>
  <c r="AK158" i="87"/>
  <c r="Z112" i="124"/>
  <c r="P43" i="124"/>
  <c r="W155" i="124"/>
  <c r="Z7" i="124"/>
  <c r="Z8" i="124"/>
  <c r="Z9" i="124"/>
  <c r="AA9" i="87"/>
  <c r="AA8" i="174"/>
  <c r="Y35" i="87"/>
  <c r="Z43" i="87"/>
  <c r="Z6" i="87"/>
  <c r="AA7" i="174"/>
  <c r="K158" i="124"/>
  <c r="K159" i="124"/>
  <c r="L158" i="124"/>
  <c r="L159" i="124"/>
  <c r="N158" i="124"/>
  <c r="N159" i="124"/>
  <c r="O158" i="124"/>
  <c r="O159" i="124"/>
  <c r="M159" i="124"/>
  <c r="M158" i="124"/>
  <c r="J159" i="124"/>
  <c r="P158" i="124"/>
  <c r="P159" i="124"/>
  <c r="S158" i="124"/>
  <c r="S159" i="124"/>
  <c r="R159" i="124"/>
  <c r="R158" i="124"/>
  <c r="Q158" i="124"/>
  <c r="Q159" i="124"/>
  <c r="AK11" i="124"/>
  <c r="Y6" i="124"/>
  <c r="AM39" i="87"/>
  <c r="AL40" i="87"/>
  <c r="AL42" i="87"/>
  <c r="AL38" i="87"/>
  <c r="AL39" i="87"/>
  <c r="AL41" i="87"/>
  <c r="W145" i="124"/>
  <c r="W63" i="124"/>
  <c r="W68" i="124"/>
  <c r="W66" i="124"/>
  <c r="W61" i="124"/>
  <c r="W18" i="124"/>
  <c r="W14" i="124"/>
  <c r="W13" i="124"/>
  <c r="W138" i="124"/>
  <c r="W72" i="124"/>
  <c r="W147" i="124"/>
  <c r="W108" i="124"/>
  <c r="W9" i="124"/>
  <c r="W62" i="124"/>
  <c r="Q160" i="124"/>
  <c r="W146" i="124"/>
  <c r="W111" i="124"/>
  <c r="W140" i="124"/>
  <c r="W54" i="124"/>
  <c r="W143" i="124"/>
  <c r="W137" i="124"/>
  <c r="W57" i="124"/>
  <c r="W59" i="124"/>
  <c r="W149" i="124"/>
  <c r="W109" i="124"/>
  <c r="W51" i="124"/>
  <c r="W15" i="124"/>
  <c r="W113" i="124"/>
  <c r="W10" i="124"/>
  <c r="W141" i="124"/>
  <c r="W117" i="124"/>
  <c r="W114" i="124"/>
  <c r="W154" i="124"/>
  <c r="W7" i="124"/>
  <c r="W65" i="124"/>
  <c r="W11" i="124"/>
  <c r="E16" i="38"/>
  <c r="E15" i="38"/>
  <c r="E14" i="38"/>
  <c r="O160" i="124"/>
  <c r="L160" i="124"/>
  <c r="W52" i="124"/>
  <c r="S160" i="124"/>
  <c r="W16" i="124"/>
  <c r="W69" i="124"/>
  <c r="W60" i="124"/>
  <c r="M160" i="124"/>
  <c r="W150" i="124"/>
  <c r="W139" i="124"/>
  <c r="R160" i="124"/>
  <c r="W50" i="124"/>
  <c r="W151" i="124"/>
  <c r="W144" i="124"/>
  <c r="P160" i="124"/>
  <c r="W56" i="124"/>
  <c r="W58" i="124"/>
  <c r="N160" i="124"/>
  <c r="W46" i="124"/>
  <c r="W148" i="124"/>
  <c r="W110" i="124"/>
  <c r="W64" i="124"/>
  <c r="W19" i="124"/>
  <c r="W67" i="124"/>
  <c r="W8" i="124"/>
  <c r="W12" i="124"/>
  <c r="W142" i="124"/>
  <c r="W119" i="124"/>
  <c r="W55" i="124"/>
  <c r="W71" i="124"/>
  <c r="W44" i="124"/>
  <c r="W116" i="124"/>
  <c r="W73" i="124"/>
  <c r="K160" i="124"/>
  <c r="W115" i="124"/>
  <c r="W53" i="124"/>
  <c r="W45" i="124"/>
  <c r="W6" i="124"/>
  <c r="W70" i="124"/>
  <c r="W152" i="124"/>
  <c r="W17" i="124"/>
  <c r="W153" i="124"/>
  <c r="W74" i="124"/>
  <c r="AM69" i="124"/>
  <c r="AM56" i="124"/>
  <c r="Y14" i="87" l="1"/>
  <c r="Y16" i="87"/>
  <c r="Y15" i="87"/>
  <c r="Y13" i="87"/>
  <c r="Y34" i="87" s="1"/>
  <c r="Y14" i="174"/>
  <c r="Y14" i="124"/>
  <c r="AA9" i="174"/>
  <c r="Y16" i="174"/>
  <c r="Y46" i="174" s="1"/>
  <c r="Y16" i="124"/>
  <c r="Y15" i="174"/>
  <c r="Y45" i="174" s="1"/>
  <c r="Y15" i="124"/>
  <c r="AB14" i="85"/>
  <c r="AB15" i="85"/>
  <c r="AB16" i="85"/>
  <c r="Z43" i="68"/>
  <c r="Z35" i="68"/>
  <c r="Z14" i="68" s="1"/>
  <c r="Z13" i="68" s="1"/>
  <c r="Z34" i="68" s="1"/>
  <c r="Z160" i="68" s="1"/>
  <c r="Z161" i="68" s="1"/>
  <c r="Z43" i="86"/>
  <c r="Z35" i="86"/>
  <c r="Z14" i="86" s="1"/>
  <c r="Z13" i="86" s="1"/>
  <c r="Z34" i="86" s="1"/>
  <c r="Z160" i="86" s="1"/>
  <c r="Z161" i="86" s="1"/>
  <c r="AA37" i="86"/>
  <c r="AA16" i="86" s="1"/>
  <c r="AA37" i="68"/>
  <c r="AA16" i="68" s="1"/>
  <c r="AA36" i="68"/>
  <c r="AA15" i="68" s="1"/>
  <c r="AA36" i="86"/>
  <c r="AA15" i="86" s="1"/>
  <c r="AA6" i="86"/>
  <c r="AA6" i="68"/>
  <c r="AA13" i="85"/>
  <c r="AA6" i="85"/>
  <c r="AA34" i="85" s="1"/>
  <c r="AA160" i="85" s="1"/>
  <c r="AA161" i="85" s="1"/>
  <c r="AA6" i="174"/>
  <c r="Y45" i="124"/>
  <c r="Y35" i="174"/>
  <c r="Y35" i="124"/>
  <c r="Y37" i="174"/>
  <c r="Y37" i="124"/>
  <c r="Y36" i="174"/>
  <c r="Y36" i="124"/>
  <c r="Z36" i="87"/>
  <c r="Z37" i="87"/>
  <c r="Y44" i="124"/>
  <c r="Y46" i="124"/>
  <c r="AM158" i="87"/>
  <c r="AM159" i="87"/>
  <c r="AA112" i="124"/>
  <c r="AA7" i="124"/>
  <c r="AA9" i="124"/>
  <c r="AA8" i="124"/>
  <c r="AB9" i="87"/>
  <c r="AA36" i="87"/>
  <c r="AA15" i="87" s="1"/>
  <c r="AB8" i="174"/>
  <c r="AB7" i="174"/>
  <c r="Z35" i="87"/>
  <c r="AA43" i="87"/>
  <c r="AA6" i="87"/>
  <c r="AM11" i="124"/>
  <c r="Z6" i="124"/>
  <c r="F16" i="38"/>
  <c r="F15" i="38"/>
  <c r="F14" i="38"/>
  <c r="W34" i="124"/>
  <c r="Z14" i="87" l="1"/>
  <c r="Z16" i="87"/>
  <c r="Z15" i="87"/>
  <c r="Y160" i="87"/>
  <c r="Y161" i="87" s="1"/>
  <c r="Z13" i="87"/>
  <c r="Z34" i="87" s="1"/>
  <c r="Z14" i="174"/>
  <c r="Z14" i="124"/>
  <c r="AA15" i="174"/>
  <c r="AA45" i="174" s="1"/>
  <c r="AA15" i="124"/>
  <c r="AB9" i="174"/>
  <c r="Z16" i="174"/>
  <c r="Z46" i="174" s="1"/>
  <c r="Z16" i="124"/>
  <c r="Z15" i="174"/>
  <c r="Z45" i="174" s="1"/>
  <c r="Z15" i="124"/>
  <c r="AB37" i="86"/>
  <c r="AB16" i="86"/>
  <c r="AB37" i="68"/>
  <c r="AB16" i="68"/>
  <c r="AB36" i="68"/>
  <c r="AB15" i="68"/>
  <c r="AB36" i="86"/>
  <c r="AB15" i="86"/>
  <c r="Y13" i="174"/>
  <c r="Y34" i="174" s="1"/>
  <c r="Y44" i="174"/>
  <c r="AC14" i="85"/>
  <c r="AC15" i="85"/>
  <c r="AC16" i="85"/>
  <c r="AA43" i="68"/>
  <c r="AA35" i="68"/>
  <c r="AA14" i="68" s="1"/>
  <c r="AA13" i="68" s="1"/>
  <c r="AA34" i="68" s="1"/>
  <c r="AA160" i="68" s="1"/>
  <c r="AA161" i="68" s="1"/>
  <c r="AA43" i="86"/>
  <c r="AA35" i="86"/>
  <c r="AA14" i="86" s="1"/>
  <c r="AA13" i="86" s="1"/>
  <c r="AA34" i="86" s="1"/>
  <c r="AA160" i="86" s="1"/>
  <c r="AA161" i="86" s="1"/>
  <c r="AB6" i="86"/>
  <c r="AB6" i="68"/>
  <c r="AB13" i="85"/>
  <c r="AB6" i="85"/>
  <c r="AB34" i="85" s="1"/>
  <c r="AB160" i="85" s="1"/>
  <c r="AB161" i="85" s="1"/>
  <c r="Z45" i="124"/>
  <c r="Z35" i="174"/>
  <c r="Z35" i="124"/>
  <c r="AB6" i="174"/>
  <c r="AA36" i="174"/>
  <c r="AA36" i="124"/>
  <c r="Z37" i="174"/>
  <c r="Z37" i="124"/>
  <c r="Z36" i="174"/>
  <c r="Z36" i="124"/>
  <c r="AA37" i="87"/>
  <c r="Z46" i="124"/>
  <c r="Z160" i="87"/>
  <c r="Z161" i="87" s="1"/>
  <c r="AB112" i="124"/>
  <c r="AB7" i="124"/>
  <c r="AB8" i="124"/>
  <c r="AB9" i="124"/>
  <c r="AB36" i="87"/>
  <c r="AC9" i="87"/>
  <c r="AC8" i="174"/>
  <c r="AA35" i="87"/>
  <c r="AC7" i="174"/>
  <c r="AB43" i="87"/>
  <c r="AB6" i="87"/>
  <c r="Y13" i="124"/>
  <c r="Y34" i="124" s="1"/>
  <c r="AA6" i="124"/>
  <c r="G16" i="38"/>
  <c r="G15" i="38"/>
  <c r="G14" i="38"/>
  <c r="W43" i="124"/>
  <c r="AA14" i="87" l="1"/>
  <c r="AB15" i="87"/>
  <c r="AA16" i="87"/>
  <c r="AA13" i="87"/>
  <c r="AA34" i="87" s="1"/>
  <c r="AA160" i="87" s="1"/>
  <c r="AA161" i="87" s="1"/>
  <c r="AA14" i="174"/>
  <c r="AA14" i="124"/>
  <c r="AC9" i="174"/>
  <c r="AB15" i="174"/>
  <c r="AB45" i="174" s="1"/>
  <c r="AB15" i="124"/>
  <c r="AA16" i="174"/>
  <c r="AA46" i="174" s="1"/>
  <c r="AA16" i="124"/>
  <c r="AA46" i="124" s="1"/>
  <c r="Y43" i="174"/>
  <c r="Y159" i="174"/>
  <c r="Z13" i="174"/>
  <c r="Z34" i="174" s="1"/>
  <c r="Z44" i="174"/>
  <c r="AD14" i="85"/>
  <c r="AD15" i="85"/>
  <c r="AD16" i="85"/>
  <c r="AB43" i="68"/>
  <c r="AB35" i="68"/>
  <c r="AB14" i="68" s="1"/>
  <c r="AB13" i="68" s="1"/>
  <c r="AB34" i="68" s="1"/>
  <c r="AB160" i="68" s="1"/>
  <c r="AB161" i="68" s="1"/>
  <c r="AB43" i="86"/>
  <c r="AB35" i="86"/>
  <c r="AB14" i="86" s="1"/>
  <c r="AB13" i="86" s="1"/>
  <c r="AB34" i="86" s="1"/>
  <c r="AB160" i="86" s="1"/>
  <c r="AB161" i="86" s="1"/>
  <c r="AC37" i="86"/>
  <c r="AC16" i="86" s="1"/>
  <c r="AC37" i="68"/>
  <c r="AC16" i="68" s="1"/>
  <c r="AC36" i="68"/>
  <c r="AC15" i="68" s="1"/>
  <c r="AC36" i="86"/>
  <c r="AC15" i="86" s="1"/>
  <c r="AC6" i="86"/>
  <c r="AC6" i="68"/>
  <c r="AC13" i="85"/>
  <c r="AC6" i="85"/>
  <c r="AC34" i="85" s="1"/>
  <c r="AC160" i="85" s="1"/>
  <c r="AC161" i="85" s="1"/>
  <c r="AC6" i="174"/>
  <c r="AA45" i="124"/>
  <c r="AA35" i="174"/>
  <c r="AA35" i="124"/>
  <c r="AB36" i="174"/>
  <c r="AB36" i="124"/>
  <c r="AA37" i="174"/>
  <c r="AA37" i="124"/>
  <c r="AB37" i="87"/>
  <c r="AC112" i="124"/>
  <c r="AC7" i="124"/>
  <c r="AC9" i="124"/>
  <c r="AC8" i="124"/>
  <c r="Y43" i="124"/>
  <c r="AC36" i="87"/>
  <c r="AD9" i="87"/>
  <c r="AD8" i="174"/>
  <c r="AD7" i="174"/>
  <c r="AB35" i="87"/>
  <c r="AC6" i="87"/>
  <c r="AC43" i="87"/>
  <c r="Z13" i="124"/>
  <c r="Z34" i="124" s="1"/>
  <c r="Z43" i="124" s="1"/>
  <c r="Z44" i="124"/>
  <c r="H16" i="38"/>
  <c r="H15" i="38"/>
  <c r="H14" i="38"/>
  <c r="AB14" i="87" l="1"/>
  <c r="AC15" i="87"/>
  <c r="AB16" i="87"/>
  <c r="AB13" i="87"/>
  <c r="AB34" i="87" s="1"/>
  <c r="AB14" i="174"/>
  <c r="AB14" i="124"/>
  <c r="AD9" i="174"/>
  <c r="AC15" i="174"/>
  <c r="AC45" i="174" s="1"/>
  <c r="AC15" i="124"/>
  <c r="AB16" i="174"/>
  <c r="AB46" i="174" s="1"/>
  <c r="AB16" i="124"/>
  <c r="AB46" i="124" s="1"/>
  <c r="AD37" i="86"/>
  <c r="AD16" i="86"/>
  <c r="AD37" i="68"/>
  <c r="AD16" i="68"/>
  <c r="AD36" i="68"/>
  <c r="AD15" i="68"/>
  <c r="AD36" i="86"/>
  <c r="AD15" i="86"/>
  <c r="Z43" i="174"/>
  <c r="Z159" i="174"/>
  <c r="AA13" i="174"/>
  <c r="AA34" i="174" s="1"/>
  <c r="AA44" i="174"/>
  <c r="AE14" i="85"/>
  <c r="AE15" i="85"/>
  <c r="AE16" i="85"/>
  <c r="AC43" i="68"/>
  <c r="AC35" i="68"/>
  <c r="AC14" i="68" s="1"/>
  <c r="AC13" i="68" s="1"/>
  <c r="AC34" i="68" s="1"/>
  <c r="AC160" i="68" s="1"/>
  <c r="AC161" i="68" s="1"/>
  <c r="AC43" i="86"/>
  <c r="AC35" i="86"/>
  <c r="AC14" i="86" s="1"/>
  <c r="AC13" i="86" s="1"/>
  <c r="AC34" i="86" s="1"/>
  <c r="AC160" i="86" s="1"/>
  <c r="AC161" i="86" s="1"/>
  <c r="AD6" i="86"/>
  <c r="AD6" i="68"/>
  <c r="AD13" i="85"/>
  <c r="AD6" i="85"/>
  <c r="AD34" i="85" s="1"/>
  <c r="AD160" i="85" s="1"/>
  <c r="AD161" i="85" s="1"/>
  <c r="AB45" i="124"/>
  <c r="AB35" i="174"/>
  <c r="AB35" i="124"/>
  <c r="AD6" i="174"/>
  <c r="AC36" i="174"/>
  <c r="AC36" i="124"/>
  <c r="AB37" i="174"/>
  <c r="AB37" i="124"/>
  <c r="AC37" i="87"/>
  <c r="AB160" i="87"/>
  <c r="AB161" i="87" s="1"/>
  <c r="AD112" i="124"/>
  <c r="AD9" i="124"/>
  <c r="AD7" i="124"/>
  <c r="AD8" i="124"/>
  <c r="AD36" i="87"/>
  <c r="AE9" i="87"/>
  <c r="AE8" i="174"/>
  <c r="AE7" i="174"/>
  <c r="AD6" i="87"/>
  <c r="AD43" i="87"/>
  <c r="AC35" i="87"/>
  <c r="AA13" i="124"/>
  <c r="AA34" i="124" s="1"/>
  <c r="AA43" i="124" s="1"/>
  <c r="AA44" i="124"/>
  <c r="AB6" i="124"/>
  <c r="I16" i="38"/>
  <c r="I15" i="38"/>
  <c r="I14" i="38"/>
  <c r="AC14" i="87" l="1"/>
  <c r="AD15" i="87"/>
  <c r="AC16" i="87"/>
  <c r="AC13" i="87"/>
  <c r="AC34" i="87" s="1"/>
  <c r="AC160" i="87" s="1"/>
  <c r="AC161" i="87" s="1"/>
  <c r="AC14" i="174"/>
  <c r="AC14" i="124"/>
  <c r="AE9" i="174"/>
  <c r="AD15" i="174"/>
  <c r="AD45" i="174" s="1"/>
  <c r="AD15" i="124"/>
  <c r="AC16" i="174"/>
  <c r="AC46" i="174" s="1"/>
  <c r="AC16" i="124"/>
  <c r="AC46" i="124" s="1"/>
  <c r="AA43" i="174"/>
  <c r="AA159" i="174"/>
  <c r="AB13" i="174"/>
  <c r="AB34" i="174" s="1"/>
  <c r="AB44" i="174"/>
  <c r="AF14" i="85"/>
  <c r="AF15" i="85"/>
  <c r="AF16" i="85"/>
  <c r="AD43" i="68"/>
  <c r="AD35" i="68"/>
  <c r="AD14" i="68" s="1"/>
  <c r="AD13" i="68" s="1"/>
  <c r="AD34" i="68" s="1"/>
  <c r="AD160" i="68" s="1"/>
  <c r="AD161" i="68" s="1"/>
  <c r="AD43" i="86"/>
  <c r="AD35" i="86"/>
  <c r="AD14" i="86" s="1"/>
  <c r="AD13" i="86" s="1"/>
  <c r="AD34" i="86" s="1"/>
  <c r="AD160" i="86" s="1"/>
  <c r="AD161" i="86" s="1"/>
  <c r="AE37" i="86"/>
  <c r="AE16" i="86" s="1"/>
  <c r="AE37" i="68"/>
  <c r="AE16" i="68" s="1"/>
  <c r="AE36" i="68"/>
  <c r="AE15" i="68" s="1"/>
  <c r="AE36" i="86"/>
  <c r="AE15" i="86" s="1"/>
  <c r="AE6" i="86"/>
  <c r="AE6" i="68"/>
  <c r="AE13" i="85"/>
  <c r="AE6" i="85"/>
  <c r="AE34" i="85" s="1"/>
  <c r="AE160" i="85" s="1"/>
  <c r="AE161" i="85" s="1"/>
  <c r="AC45" i="124"/>
  <c r="AC35" i="174"/>
  <c r="AC35" i="124"/>
  <c r="AE6" i="174"/>
  <c r="AD36" i="174"/>
  <c r="AD36" i="124"/>
  <c r="AC37" i="174"/>
  <c r="AC37" i="124"/>
  <c r="AD37" i="87"/>
  <c r="AE112" i="124"/>
  <c r="AE36" i="87"/>
  <c r="AE8" i="124"/>
  <c r="AE7" i="124"/>
  <c r="AE9" i="124"/>
  <c r="AF9" i="87"/>
  <c r="AF8" i="174"/>
  <c r="AF7" i="174"/>
  <c r="AE6" i="87"/>
  <c r="AE43" i="87"/>
  <c r="AD35" i="87"/>
  <c r="AB13" i="124"/>
  <c r="AB34" i="124" s="1"/>
  <c r="AB43" i="124" s="1"/>
  <c r="AB44" i="124"/>
  <c r="AD6" i="124"/>
  <c r="AC6" i="124"/>
  <c r="J16" i="38"/>
  <c r="J15" i="38"/>
  <c r="J14" i="38"/>
  <c r="AD14" i="87" l="1"/>
  <c r="AE15" i="87"/>
  <c r="AD16" i="87"/>
  <c r="AD13" i="87"/>
  <c r="AD34" i="87" s="1"/>
  <c r="AD160" i="87" s="1"/>
  <c r="AD161" i="87" s="1"/>
  <c r="AD14" i="174"/>
  <c r="AD14" i="124"/>
  <c r="AF9" i="174"/>
  <c r="AE15" i="174"/>
  <c r="AE45" i="174" s="1"/>
  <c r="AE15" i="124"/>
  <c r="AD16" i="174"/>
  <c r="AD46" i="174" s="1"/>
  <c r="AD16" i="124"/>
  <c r="AD46" i="124" s="1"/>
  <c r="AF37" i="86"/>
  <c r="AF16" i="86"/>
  <c r="AF37" i="68"/>
  <c r="AF16" i="68"/>
  <c r="AF36" i="68"/>
  <c r="AF15" i="68"/>
  <c r="AF36" i="86"/>
  <c r="AF15" i="86"/>
  <c r="AB43" i="174"/>
  <c r="AB159" i="174"/>
  <c r="AC13" i="174"/>
  <c r="AC34" i="174" s="1"/>
  <c r="AC44" i="174"/>
  <c r="AG14" i="85"/>
  <c r="AG15" i="85"/>
  <c r="AG16" i="85"/>
  <c r="AE43" i="68"/>
  <c r="AE35" i="68"/>
  <c r="AE14" i="68" s="1"/>
  <c r="AE13" i="68" s="1"/>
  <c r="AE34" i="68" s="1"/>
  <c r="AE160" i="68" s="1"/>
  <c r="AE161" i="68" s="1"/>
  <c r="AE43" i="86"/>
  <c r="AE35" i="86"/>
  <c r="AE14" i="86" s="1"/>
  <c r="AE13" i="86" s="1"/>
  <c r="AE34" i="86" s="1"/>
  <c r="AE160" i="86" s="1"/>
  <c r="AE161" i="86" s="1"/>
  <c r="AF6" i="86"/>
  <c r="AF6" i="68"/>
  <c r="AF13" i="85"/>
  <c r="AF6" i="85"/>
  <c r="AF34" i="85" s="1"/>
  <c r="AF160" i="85" s="1"/>
  <c r="AF161" i="85" s="1"/>
  <c r="AD45" i="124"/>
  <c r="AD35" i="174"/>
  <c r="AD35" i="124"/>
  <c r="AF6" i="174"/>
  <c r="AE36" i="174"/>
  <c r="AE36" i="124"/>
  <c r="AD37" i="174"/>
  <c r="AD37" i="124"/>
  <c r="AE37" i="87"/>
  <c r="AF112" i="124"/>
  <c r="AF7" i="124"/>
  <c r="AF8" i="124"/>
  <c r="AF9" i="124"/>
  <c r="AF36" i="87"/>
  <c r="AG9" i="87"/>
  <c r="AG8" i="174"/>
  <c r="AE35" i="87"/>
  <c r="AF43" i="87"/>
  <c r="AF6" i="87"/>
  <c r="AG7" i="174"/>
  <c r="AC13" i="124"/>
  <c r="AC34" i="124" s="1"/>
  <c r="AC43" i="124" s="1"/>
  <c r="AC44" i="124"/>
  <c r="AE6" i="124"/>
  <c r="K16" i="38"/>
  <c r="K15" i="38"/>
  <c r="K14" i="38"/>
  <c r="AE14" i="87" l="1"/>
  <c r="AF15" i="87"/>
  <c r="AE16" i="87"/>
  <c r="AE13" i="87"/>
  <c r="AE34" i="87" s="1"/>
  <c r="AE160" i="87" s="1"/>
  <c r="AE161" i="87" s="1"/>
  <c r="AE14" i="174"/>
  <c r="AE14" i="124"/>
  <c r="AG9" i="174"/>
  <c r="AF15" i="174"/>
  <c r="AF45" i="174" s="1"/>
  <c r="AF15" i="124"/>
  <c r="AE16" i="174"/>
  <c r="AE46" i="174" s="1"/>
  <c r="AE16" i="124"/>
  <c r="AE46" i="124" s="1"/>
  <c r="AC43" i="174"/>
  <c r="AC159" i="174"/>
  <c r="AD13" i="174"/>
  <c r="AD34" i="174" s="1"/>
  <c r="AD44" i="174"/>
  <c r="AH14" i="85"/>
  <c r="AH15" i="85"/>
  <c r="AH16" i="85"/>
  <c r="AF43" i="68"/>
  <c r="AF35" i="68"/>
  <c r="AF14" i="68" s="1"/>
  <c r="AF13" i="68" s="1"/>
  <c r="AF34" i="68" s="1"/>
  <c r="AF160" i="68" s="1"/>
  <c r="AF161" i="68" s="1"/>
  <c r="AF43" i="86"/>
  <c r="AF35" i="86"/>
  <c r="AF14" i="86" s="1"/>
  <c r="AF13" i="86" s="1"/>
  <c r="AF34" i="86" s="1"/>
  <c r="AF160" i="86" s="1"/>
  <c r="AF161" i="86" s="1"/>
  <c r="AG13" i="85"/>
  <c r="AG6" i="85"/>
  <c r="AG34" i="85" s="1"/>
  <c r="AG160" i="85" s="1"/>
  <c r="AG161" i="85" s="1"/>
  <c r="AG6" i="174"/>
  <c r="AE45" i="124"/>
  <c r="AE35" i="174"/>
  <c r="AE35" i="124"/>
  <c r="AF36" i="174"/>
  <c r="AF36" i="124"/>
  <c r="AE37" i="174"/>
  <c r="AE37" i="124"/>
  <c r="AF37" i="87"/>
  <c r="AG112" i="124"/>
  <c r="AG7" i="124"/>
  <c r="AG9" i="124"/>
  <c r="AG8" i="124"/>
  <c r="AH9" i="87"/>
  <c r="AG36" i="87"/>
  <c r="AH8" i="174"/>
  <c r="AG43" i="87"/>
  <c r="AG6" i="87"/>
  <c r="AF35" i="87"/>
  <c r="AH7" i="174"/>
  <c r="AD13" i="124"/>
  <c r="AD34" i="124" s="1"/>
  <c r="AD43" i="124" s="1"/>
  <c r="AD44" i="124"/>
  <c r="AF6" i="124"/>
  <c r="AK1" i="85"/>
  <c r="L16" i="38"/>
  <c r="L15" i="38"/>
  <c r="L14" i="38"/>
  <c r="AF14" i="87" l="1"/>
  <c r="AG15" i="87"/>
  <c r="AF16" i="87"/>
  <c r="AF13" i="87"/>
  <c r="AF34" i="87" s="1"/>
  <c r="AF160" i="87" s="1"/>
  <c r="AF161" i="87" s="1"/>
  <c r="AF14" i="174"/>
  <c r="AF14" i="124"/>
  <c r="AG15" i="174"/>
  <c r="AG45" i="174" s="1"/>
  <c r="AG15" i="124"/>
  <c r="AH9" i="174"/>
  <c r="AF16" i="174"/>
  <c r="AF46" i="174" s="1"/>
  <c r="AF16" i="124"/>
  <c r="AF46" i="124" s="1"/>
  <c r="AH37" i="86"/>
  <c r="AH16" i="86"/>
  <c r="AH37" i="68"/>
  <c r="AH16" i="68"/>
  <c r="AH36" i="68"/>
  <c r="AH15" i="68"/>
  <c r="AH36" i="86"/>
  <c r="AH15" i="86"/>
  <c r="AD43" i="174"/>
  <c r="AD159" i="174"/>
  <c r="AE13" i="174"/>
  <c r="AE34" i="174" s="1"/>
  <c r="AE44" i="174"/>
  <c r="AI14" i="85"/>
  <c r="AI15" i="85"/>
  <c r="AI16" i="85"/>
  <c r="AG161" i="68"/>
  <c r="AG161" i="86"/>
  <c r="AH6" i="86"/>
  <c r="AH6" i="68"/>
  <c r="AH13" i="85"/>
  <c r="AH6" i="85"/>
  <c r="AH34" i="85" s="1"/>
  <c r="AH160" i="85" s="1"/>
  <c r="AH161" i="85" s="1"/>
  <c r="AH6" i="174"/>
  <c r="AF45" i="124"/>
  <c r="AF35" i="174"/>
  <c r="AF35" i="124"/>
  <c r="AG36" i="174"/>
  <c r="AG36" i="124"/>
  <c r="AF37" i="174"/>
  <c r="AF37" i="124"/>
  <c r="AG37" i="87"/>
  <c r="AH112" i="124"/>
  <c r="AH8" i="124"/>
  <c r="AH7" i="124"/>
  <c r="AH9" i="124"/>
  <c r="AH36" i="87"/>
  <c r="AI9" i="87"/>
  <c r="AI8" i="174"/>
  <c r="AI7" i="174"/>
  <c r="AH6" i="87"/>
  <c r="AH43" i="87"/>
  <c r="AG35" i="87"/>
  <c r="AE13" i="124"/>
  <c r="AE34" i="124" s="1"/>
  <c r="AE43" i="124" s="1"/>
  <c r="AE44" i="124"/>
  <c r="AK1" i="68"/>
  <c r="AK1" i="87"/>
  <c r="AK1" i="86"/>
  <c r="M16" i="38"/>
  <c r="M15" i="38"/>
  <c r="M14" i="38"/>
  <c r="AG14" i="87" l="1"/>
  <c r="AH15" i="87"/>
  <c r="AG16" i="87"/>
  <c r="AG13" i="87"/>
  <c r="AG34" i="87" s="1"/>
  <c r="AG160" i="87" s="1"/>
  <c r="AG161" i="87" s="1"/>
  <c r="AG14" i="174"/>
  <c r="AG14" i="124"/>
  <c r="AI9" i="174"/>
  <c r="AH15" i="174"/>
  <c r="AH45" i="174" s="1"/>
  <c r="AH15" i="124"/>
  <c r="AG16" i="174"/>
  <c r="AG46" i="174" s="1"/>
  <c r="AG16" i="124"/>
  <c r="AG46" i="124" s="1"/>
  <c r="AE43" i="174"/>
  <c r="AE159" i="174"/>
  <c r="AF13" i="174"/>
  <c r="AF34" i="174" s="1"/>
  <c r="AF44" i="174"/>
  <c r="AJ14" i="85"/>
  <c r="AJ15" i="85"/>
  <c r="AJ16" i="85"/>
  <c r="AH43" i="68"/>
  <c r="AH35" i="68"/>
  <c r="AH14" i="68" s="1"/>
  <c r="AH13" i="68" s="1"/>
  <c r="AH34" i="68" s="1"/>
  <c r="AH160" i="68" s="1"/>
  <c r="AH161" i="68" s="1"/>
  <c r="AH43" i="86"/>
  <c r="AH35" i="86"/>
  <c r="AH14" i="86" s="1"/>
  <c r="AH13" i="86" s="1"/>
  <c r="AH34" i="86" s="1"/>
  <c r="AH160" i="86" s="1"/>
  <c r="AH161" i="86" s="1"/>
  <c r="AI37" i="86"/>
  <c r="AK9" i="86"/>
  <c r="AI37" i="68"/>
  <c r="AK9" i="68"/>
  <c r="AK16" i="85"/>
  <c r="AK9" i="85"/>
  <c r="AI36" i="68"/>
  <c r="AK8" i="68"/>
  <c r="AK15" i="85"/>
  <c r="AK8" i="85"/>
  <c r="AI36" i="86"/>
  <c r="AK8" i="86"/>
  <c r="AI6" i="86"/>
  <c r="AK7" i="86"/>
  <c r="AI6" i="68"/>
  <c r="AK7" i="68"/>
  <c r="AI13" i="85"/>
  <c r="AK14" i="85"/>
  <c r="AI6" i="85"/>
  <c r="AI34" i="85" s="1"/>
  <c r="AI160" i="85" s="1"/>
  <c r="AI161" i="85" s="1"/>
  <c r="AK7" i="85"/>
  <c r="AG45" i="124"/>
  <c r="AG35" i="174"/>
  <c r="AG35" i="124"/>
  <c r="AI6" i="174"/>
  <c r="AH36" i="174"/>
  <c r="AH36" i="124"/>
  <c r="AG37" i="174"/>
  <c r="AG37" i="124"/>
  <c r="AH37" i="87"/>
  <c r="AI112" i="124"/>
  <c r="AK114" i="124"/>
  <c r="AN114" i="124" s="1"/>
  <c r="AI8" i="124"/>
  <c r="AI9" i="124"/>
  <c r="AI7" i="124"/>
  <c r="AJ9" i="87"/>
  <c r="AK9" i="87" s="1"/>
  <c r="AK6" i="87" s="1"/>
  <c r="AL156" i="87" s="1"/>
  <c r="AI36" i="87"/>
  <c r="AJ8" i="174"/>
  <c r="AI43" i="87"/>
  <c r="AI6" i="87"/>
  <c r="AH35" i="87"/>
  <c r="AJ7" i="174"/>
  <c r="AF13" i="124"/>
  <c r="AF34" i="124" s="1"/>
  <c r="AF43" i="124" s="1"/>
  <c r="AF44" i="124"/>
  <c r="AH6" i="124"/>
  <c r="AG6" i="124"/>
  <c r="AH14" i="87" l="1"/>
  <c r="AI15" i="87"/>
  <c r="AH16" i="87"/>
  <c r="AM147" i="124"/>
  <c r="AM114" i="124"/>
  <c r="AH13" i="87"/>
  <c r="AH34" i="87" s="1"/>
  <c r="AH160" i="87" s="1"/>
  <c r="AH161" i="87" s="1"/>
  <c r="AH14" i="174"/>
  <c r="AH14" i="124"/>
  <c r="AJ9" i="174"/>
  <c r="AH16" i="174"/>
  <c r="AH46" i="174" s="1"/>
  <c r="AH16" i="124"/>
  <c r="AH46" i="124" s="1"/>
  <c r="AI15" i="86"/>
  <c r="AI15" i="68"/>
  <c r="AI16" i="68"/>
  <c r="AI16" i="86"/>
  <c r="AJ37" i="86"/>
  <c r="AK37" i="86" s="1"/>
  <c r="AJ16" i="86"/>
  <c r="AJ37" i="68"/>
  <c r="AK37" i="68" s="1"/>
  <c r="AK46" i="68" s="1"/>
  <c r="AO46" i="68" s="1"/>
  <c r="AJ16" i="68"/>
  <c r="AJ36" i="68"/>
  <c r="AK36" i="68" s="1"/>
  <c r="AJ15" i="68"/>
  <c r="AJ36" i="86"/>
  <c r="AK36" i="86" s="1"/>
  <c r="AJ15" i="86"/>
  <c r="AF43" i="174"/>
  <c r="AF159" i="174"/>
  <c r="AG13" i="174"/>
  <c r="AG34" i="174" s="1"/>
  <c r="AG44" i="174"/>
  <c r="AM46" i="68"/>
  <c r="AL46" i="68"/>
  <c r="AM7" i="85"/>
  <c r="AK6" i="85"/>
  <c r="AL156" i="85" s="1"/>
  <c r="AL7" i="85"/>
  <c r="AM14" i="85"/>
  <c r="AL14" i="85"/>
  <c r="AK13" i="85"/>
  <c r="AM7" i="68"/>
  <c r="AK6" i="68"/>
  <c r="AL156" i="68" s="1"/>
  <c r="AL7" i="68"/>
  <c r="AI43" i="68"/>
  <c r="AI35" i="68"/>
  <c r="AI14" i="68" s="1"/>
  <c r="AM7" i="86"/>
  <c r="AK6" i="86"/>
  <c r="AL156" i="86" s="1"/>
  <c r="AL7" i="86"/>
  <c r="AI43" i="86"/>
  <c r="AI35" i="86"/>
  <c r="AI14" i="86" s="1"/>
  <c r="AM8" i="86"/>
  <c r="AL8" i="86"/>
  <c r="AK45" i="86"/>
  <c r="AO45" i="86" s="1"/>
  <c r="AM36" i="86"/>
  <c r="AL36" i="86"/>
  <c r="AM8" i="85"/>
  <c r="AL8" i="85"/>
  <c r="AM15" i="85"/>
  <c r="AL15" i="85"/>
  <c r="AM8" i="68"/>
  <c r="AL8" i="68"/>
  <c r="AK45" i="68"/>
  <c r="AO45" i="68" s="1"/>
  <c r="AM36" i="68"/>
  <c r="AL36" i="68"/>
  <c r="AM9" i="85"/>
  <c r="AL9" i="85"/>
  <c r="AM16" i="85"/>
  <c r="AL16" i="85"/>
  <c r="AM9" i="68"/>
  <c r="AL9" i="68"/>
  <c r="AM37" i="68"/>
  <c r="AL37" i="68"/>
  <c r="AM9" i="86"/>
  <c r="AL9" i="86"/>
  <c r="AM37" i="86"/>
  <c r="AL37" i="86"/>
  <c r="AJ6" i="86"/>
  <c r="AJ6" i="68"/>
  <c r="AJ13" i="85"/>
  <c r="AJ6" i="85"/>
  <c r="AJ34" i="85" s="1"/>
  <c r="AJ160" i="85" s="1"/>
  <c r="AJ161" i="85" s="1"/>
  <c r="AJ6" i="174"/>
  <c r="AK7" i="174"/>
  <c r="AH45" i="124"/>
  <c r="AH35" i="174"/>
  <c r="AH35" i="124"/>
  <c r="AK8" i="174"/>
  <c r="AI36" i="174"/>
  <c r="AI36" i="124"/>
  <c r="AK9" i="174"/>
  <c r="AH37" i="174"/>
  <c r="AH37" i="124"/>
  <c r="AI37" i="87"/>
  <c r="AJ112" i="124"/>
  <c r="AK115" i="124"/>
  <c r="AN115" i="124" s="1"/>
  <c r="AK108" i="124"/>
  <c r="AK65" i="124"/>
  <c r="AN65" i="124" s="1"/>
  <c r="AK57" i="124"/>
  <c r="AN57" i="124" s="1"/>
  <c r="AK111" i="124"/>
  <c r="AN111" i="124" s="1"/>
  <c r="AK67" i="124"/>
  <c r="AN67" i="124" s="1"/>
  <c r="AK117" i="124"/>
  <c r="AN117" i="124" s="1"/>
  <c r="AK54" i="124"/>
  <c r="AN54" i="124" s="1"/>
  <c r="AK118" i="124"/>
  <c r="AN118" i="124" s="1"/>
  <c r="AK109" i="124"/>
  <c r="AN109" i="124" s="1"/>
  <c r="AK59" i="124"/>
  <c r="AN59" i="124" s="1"/>
  <c r="AK119" i="124"/>
  <c r="AN119" i="124" s="1"/>
  <c r="AN116" i="124"/>
  <c r="AK110" i="124"/>
  <c r="AN110" i="124" s="1"/>
  <c r="AK113" i="124"/>
  <c r="AN113" i="124" s="1"/>
  <c r="AJ8" i="124"/>
  <c r="AJ7" i="124"/>
  <c r="AJ9" i="124"/>
  <c r="AJ36" i="87"/>
  <c r="AI35" i="87"/>
  <c r="AJ6" i="87"/>
  <c r="AJ43" i="87"/>
  <c r="AG13" i="124"/>
  <c r="AG34" i="124" s="1"/>
  <c r="AG43" i="124" s="1"/>
  <c r="AG44" i="124"/>
  <c r="AM9" i="87"/>
  <c r="AM8" i="87"/>
  <c r="AK107" i="124" l="1"/>
  <c r="AN108" i="124"/>
  <c r="AI14" i="87"/>
  <c r="AJ15" i="87"/>
  <c r="AK15" i="87" s="1"/>
  <c r="AK36" i="87"/>
  <c r="AK45" i="87" s="1"/>
  <c r="AI16" i="87"/>
  <c r="AM110" i="124"/>
  <c r="AM109" i="124"/>
  <c r="AM141" i="124"/>
  <c r="AM111" i="124"/>
  <c r="AM108" i="124"/>
  <c r="AM115" i="124"/>
  <c r="AM116" i="124"/>
  <c r="AM139" i="124"/>
  <c r="AM117" i="124"/>
  <c r="AM142" i="124"/>
  <c r="AM140" i="124"/>
  <c r="AM143" i="124"/>
  <c r="AM59" i="124"/>
  <c r="AM67" i="124"/>
  <c r="AM65" i="124"/>
  <c r="AM57" i="124"/>
  <c r="AM54" i="124"/>
  <c r="AM119" i="124"/>
  <c r="AI13" i="87"/>
  <c r="AI34" i="87" s="1"/>
  <c r="AI160" i="87" s="1"/>
  <c r="AI161" i="87" s="1"/>
  <c r="AI14" i="174"/>
  <c r="AI14" i="124"/>
  <c r="AJ15" i="174"/>
  <c r="AJ45" i="174" s="1"/>
  <c r="AJ15" i="124"/>
  <c r="AI16" i="174"/>
  <c r="AI46" i="174" s="1"/>
  <c r="AI16" i="124"/>
  <c r="AI46" i="124" s="1"/>
  <c r="AI13" i="86"/>
  <c r="AI34" i="86" s="1"/>
  <c r="AI160" i="86" s="1"/>
  <c r="AI161" i="86" s="1"/>
  <c r="AI13" i="68"/>
  <c r="AI34" i="68" s="1"/>
  <c r="AI160" i="68" s="1"/>
  <c r="AI161" i="68" s="1"/>
  <c r="AG43" i="174"/>
  <c r="AG159" i="174"/>
  <c r="AK16" i="86"/>
  <c r="AK16" i="68"/>
  <c r="AK15" i="68"/>
  <c r="AI15" i="174"/>
  <c r="AI45" i="174" s="1"/>
  <c r="AI15" i="124"/>
  <c r="AK15" i="86"/>
  <c r="AH13" i="174"/>
  <c r="AH34" i="174" s="1"/>
  <c r="AH44" i="174"/>
  <c r="AJ43" i="68"/>
  <c r="AJ35" i="68"/>
  <c r="AJ43" i="86"/>
  <c r="AJ35" i="86"/>
  <c r="AM45" i="68"/>
  <c r="AL45" i="68"/>
  <c r="AM45" i="86"/>
  <c r="AL45" i="86"/>
  <c r="AM6" i="86"/>
  <c r="AL6" i="86"/>
  <c r="AL11" i="86"/>
  <c r="AL12" i="86"/>
  <c r="AL17" i="86"/>
  <c r="AL18" i="86"/>
  <c r="AL19" i="86"/>
  <c r="AL20" i="86"/>
  <c r="AL21" i="86"/>
  <c r="AL22" i="86"/>
  <c r="AL24" i="86"/>
  <c r="AL26" i="86"/>
  <c r="AL29" i="86"/>
  <c r="AL31" i="86"/>
  <c r="AL32" i="86"/>
  <c r="AL33" i="86"/>
  <c r="AL50" i="86"/>
  <c r="AL51" i="86"/>
  <c r="AL52" i="86"/>
  <c r="AL53" i="86"/>
  <c r="AL54" i="86"/>
  <c r="AL55" i="86"/>
  <c r="AL56" i="86"/>
  <c r="AL57" i="86"/>
  <c r="AL58" i="86"/>
  <c r="AL59" i="86"/>
  <c r="AL60" i="86"/>
  <c r="AL61" i="86"/>
  <c r="AL62" i="86"/>
  <c r="AL63" i="86"/>
  <c r="AL64" i="86"/>
  <c r="AL65" i="86"/>
  <c r="AL66" i="86"/>
  <c r="AL67" i="86"/>
  <c r="AL68" i="86"/>
  <c r="AL69" i="86"/>
  <c r="AL70" i="86"/>
  <c r="AL71" i="86"/>
  <c r="AL72" i="86"/>
  <c r="AL73" i="86"/>
  <c r="AL74" i="86"/>
  <c r="AL75" i="86"/>
  <c r="AL76" i="86"/>
  <c r="AL77" i="86"/>
  <c r="AL78" i="86"/>
  <c r="AL79" i="86"/>
  <c r="AL80" i="86"/>
  <c r="AL81" i="86"/>
  <c r="AL82" i="86"/>
  <c r="AL83" i="86"/>
  <c r="AL84" i="86"/>
  <c r="AL85" i="86"/>
  <c r="AL86" i="86"/>
  <c r="AL87" i="86"/>
  <c r="AL88" i="86"/>
  <c r="AL89" i="86"/>
  <c r="AL90" i="86"/>
  <c r="AL112" i="86"/>
  <c r="AL113" i="86"/>
  <c r="AL114" i="86"/>
  <c r="AL115" i="86"/>
  <c r="AL116" i="86"/>
  <c r="AL117" i="86"/>
  <c r="AL118" i="86"/>
  <c r="AL119" i="86"/>
  <c r="AL120" i="86"/>
  <c r="AL121" i="86"/>
  <c r="AL122" i="86"/>
  <c r="AL123" i="86"/>
  <c r="AL124" i="86"/>
  <c r="AL125" i="86"/>
  <c r="AL126" i="86"/>
  <c r="AL127" i="86"/>
  <c r="AL128" i="86"/>
  <c r="AL129" i="86"/>
  <c r="AL130" i="86"/>
  <c r="AL131" i="86"/>
  <c r="AL132" i="86"/>
  <c r="AL133" i="86"/>
  <c r="AL134" i="86"/>
  <c r="AL135" i="86"/>
  <c r="AL136" i="86"/>
  <c r="AL137" i="86"/>
  <c r="AL138" i="86"/>
  <c r="AL139" i="86"/>
  <c r="AL140" i="86"/>
  <c r="AL141" i="86"/>
  <c r="AL142" i="86"/>
  <c r="AL143" i="86"/>
  <c r="AL144" i="86"/>
  <c r="AL145" i="86"/>
  <c r="AL146" i="86"/>
  <c r="AL147" i="86"/>
  <c r="AL148" i="86"/>
  <c r="AL149" i="86"/>
  <c r="AL150" i="86"/>
  <c r="AL151" i="86"/>
  <c r="AL152" i="86"/>
  <c r="AL153" i="86"/>
  <c r="AL154" i="86"/>
  <c r="AL155" i="86"/>
  <c r="AL10" i="86"/>
  <c r="AL30" i="86"/>
  <c r="AL108" i="86"/>
  <c r="AL109" i="86"/>
  <c r="AL110" i="86"/>
  <c r="AL111" i="86"/>
  <c r="AL92" i="86"/>
  <c r="AL93" i="86"/>
  <c r="AL94" i="86"/>
  <c r="AL95" i="86"/>
  <c r="AL96" i="86"/>
  <c r="AL97" i="86"/>
  <c r="AL98" i="86"/>
  <c r="AL99" i="86"/>
  <c r="AL100" i="86"/>
  <c r="AL101" i="86"/>
  <c r="AL102" i="86"/>
  <c r="AL103" i="86"/>
  <c r="AL104" i="86"/>
  <c r="AL105" i="86"/>
  <c r="AL106" i="86"/>
  <c r="AL27" i="86"/>
  <c r="AL23" i="86"/>
  <c r="AL25" i="86"/>
  <c r="AL28" i="86"/>
  <c r="AL91" i="86"/>
  <c r="AL107" i="86"/>
  <c r="AL157" i="86"/>
  <c r="AL158" i="86"/>
  <c r="AL159" i="86"/>
  <c r="AM6" i="68"/>
  <c r="AL6" i="68"/>
  <c r="AL11" i="68"/>
  <c r="AL12" i="68"/>
  <c r="AL17" i="68"/>
  <c r="AL18" i="68"/>
  <c r="AL19" i="68"/>
  <c r="AL20" i="68"/>
  <c r="AL21" i="68"/>
  <c r="AL22" i="68"/>
  <c r="AL31" i="68"/>
  <c r="AL32" i="68"/>
  <c r="AL33" i="68"/>
  <c r="AL50" i="68"/>
  <c r="AL51" i="68"/>
  <c r="AL52" i="68"/>
  <c r="AL53" i="68"/>
  <c r="AL54" i="68"/>
  <c r="AL55" i="68"/>
  <c r="AL56" i="68"/>
  <c r="AL57" i="68"/>
  <c r="AL58" i="68"/>
  <c r="AL59" i="68"/>
  <c r="AL60" i="68"/>
  <c r="AL61" i="68"/>
  <c r="AL62" i="68"/>
  <c r="AL63" i="68"/>
  <c r="AL64" i="68"/>
  <c r="AL65" i="68"/>
  <c r="AL66" i="68"/>
  <c r="AL67" i="68"/>
  <c r="AL68" i="68"/>
  <c r="AL69" i="68"/>
  <c r="AL70" i="68"/>
  <c r="AL71" i="68"/>
  <c r="AL72" i="68"/>
  <c r="AL73" i="68"/>
  <c r="AL74" i="68"/>
  <c r="AL75" i="68"/>
  <c r="AL76" i="68"/>
  <c r="AL77" i="68"/>
  <c r="AL78" i="68"/>
  <c r="AL79" i="68"/>
  <c r="AL80" i="68"/>
  <c r="AL81" i="68"/>
  <c r="AL82" i="68"/>
  <c r="AL83" i="68"/>
  <c r="AL84" i="68"/>
  <c r="AL85" i="68"/>
  <c r="AL86" i="68"/>
  <c r="AL87" i="68"/>
  <c r="AL88" i="68"/>
  <c r="AL89" i="68"/>
  <c r="AL90" i="68"/>
  <c r="AL112" i="68"/>
  <c r="AL113" i="68"/>
  <c r="AL114" i="68"/>
  <c r="AL115" i="68"/>
  <c r="AL116" i="68"/>
  <c r="AL117" i="68"/>
  <c r="AL118" i="68"/>
  <c r="AL119" i="68"/>
  <c r="AL120" i="68"/>
  <c r="AL121" i="68"/>
  <c r="AL122" i="68"/>
  <c r="AL123" i="68"/>
  <c r="AL124" i="68"/>
  <c r="AL125" i="68"/>
  <c r="AL126" i="68"/>
  <c r="AL127" i="68"/>
  <c r="AL128" i="68"/>
  <c r="AL129" i="68"/>
  <c r="AL130" i="68"/>
  <c r="AL131" i="68"/>
  <c r="AL132" i="68"/>
  <c r="AL133" i="68"/>
  <c r="AL134" i="68"/>
  <c r="AL135" i="68"/>
  <c r="AL136" i="68"/>
  <c r="AL137" i="68"/>
  <c r="AL138" i="68"/>
  <c r="AL139" i="68"/>
  <c r="AL140" i="68"/>
  <c r="AL141" i="68"/>
  <c r="AL142" i="68"/>
  <c r="AL143" i="68"/>
  <c r="AL144" i="68"/>
  <c r="AL145" i="68"/>
  <c r="AL146" i="68"/>
  <c r="AL147" i="68"/>
  <c r="AL148" i="68"/>
  <c r="AL149" i="68"/>
  <c r="AL150" i="68"/>
  <c r="AL151" i="68"/>
  <c r="AL152" i="68"/>
  <c r="AL153" i="68"/>
  <c r="AL154" i="68"/>
  <c r="AL155" i="68"/>
  <c r="AL10" i="68"/>
  <c r="AL30" i="68"/>
  <c r="AL108" i="68"/>
  <c r="AL109" i="68"/>
  <c r="AL110" i="68"/>
  <c r="AL111" i="68"/>
  <c r="AL92" i="68"/>
  <c r="AL93" i="68"/>
  <c r="AL94" i="68"/>
  <c r="AL95" i="68"/>
  <c r="AL96" i="68"/>
  <c r="AL97" i="68"/>
  <c r="AL98" i="68"/>
  <c r="AL99" i="68"/>
  <c r="AL100" i="68"/>
  <c r="AL101" i="68"/>
  <c r="AL102" i="68"/>
  <c r="AL103" i="68"/>
  <c r="AL104" i="68"/>
  <c r="AL105" i="68"/>
  <c r="AL106" i="68"/>
  <c r="AL27" i="68"/>
  <c r="AL24" i="68"/>
  <c r="AL26" i="68"/>
  <c r="AL29" i="68"/>
  <c r="AL23" i="68"/>
  <c r="AL25" i="68"/>
  <c r="AL28" i="68"/>
  <c r="AL91" i="68"/>
  <c r="AL107" i="68"/>
  <c r="AL157" i="68"/>
  <c r="AL158" i="68"/>
  <c r="AL159" i="68"/>
  <c r="AM13" i="85"/>
  <c r="AL13" i="85"/>
  <c r="AM6" i="85"/>
  <c r="AL6" i="85"/>
  <c r="AL11" i="85"/>
  <c r="AL12" i="85"/>
  <c r="AL17" i="85"/>
  <c r="AL18" i="85"/>
  <c r="AL19" i="85"/>
  <c r="AL20" i="85"/>
  <c r="AL21" i="85"/>
  <c r="AL22" i="85"/>
  <c r="AL23" i="85"/>
  <c r="AL24" i="85"/>
  <c r="AL25" i="85"/>
  <c r="AL26" i="85"/>
  <c r="AL27" i="85"/>
  <c r="AL28" i="85"/>
  <c r="AL29" i="85"/>
  <c r="AL31" i="85"/>
  <c r="AL32" i="85"/>
  <c r="AL33" i="85"/>
  <c r="AL53" i="85"/>
  <c r="AL57" i="85"/>
  <c r="AL59" i="85"/>
  <c r="AL60" i="85"/>
  <c r="AL61" i="85"/>
  <c r="AL62" i="85"/>
  <c r="AL64" i="85"/>
  <c r="AL67" i="85"/>
  <c r="AL68" i="85"/>
  <c r="AL70" i="85"/>
  <c r="AL72" i="85"/>
  <c r="AL73" i="85"/>
  <c r="AL74" i="85"/>
  <c r="AL77" i="85"/>
  <c r="AL78" i="85"/>
  <c r="AL80" i="85"/>
  <c r="AL82" i="85"/>
  <c r="AL83" i="85"/>
  <c r="AL84" i="85"/>
  <c r="AL85" i="85"/>
  <c r="AL86" i="85"/>
  <c r="AL89" i="85"/>
  <c r="AL114" i="85"/>
  <c r="AL115" i="85"/>
  <c r="AL118" i="85"/>
  <c r="AL120" i="85"/>
  <c r="AL122" i="85"/>
  <c r="AL126" i="85"/>
  <c r="AL128" i="85"/>
  <c r="AL130" i="85"/>
  <c r="AL131" i="85"/>
  <c r="AL132" i="85"/>
  <c r="AL134" i="85"/>
  <c r="AL136" i="85"/>
  <c r="AL137" i="85"/>
  <c r="AL141" i="85"/>
  <c r="AL143" i="85"/>
  <c r="AL144" i="85"/>
  <c r="AL145" i="85"/>
  <c r="AL146" i="85"/>
  <c r="AL151" i="85"/>
  <c r="AL153" i="85"/>
  <c r="AL10" i="85"/>
  <c r="AL30" i="85"/>
  <c r="AK34" i="85"/>
  <c r="AL155" i="85"/>
  <c r="AL150" i="85"/>
  <c r="AL149" i="85"/>
  <c r="AL142" i="85"/>
  <c r="AL140" i="85"/>
  <c r="AL139" i="85"/>
  <c r="AL138" i="85"/>
  <c r="AL135" i="85"/>
  <c r="AL133" i="85"/>
  <c r="AL129" i="85"/>
  <c r="AL127" i="85"/>
  <c r="AL124" i="85"/>
  <c r="AL123" i="85"/>
  <c r="AL121" i="85"/>
  <c r="AL117" i="85"/>
  <c r="AL116" i="85"/>
  <c r="AL113" i="85"/>
  <c r="AL88" i="85"/>
  <c r="AL87" i="85"/>
  <c r="AL81" i="85"/>
  <c r="AL79" i="85"/>
  <c r="AL76" i="85"/>
  <c r="AL75" i="85"/>
  <c r="AL66" i="85"/>
  <c r="AL58" i="85"/>
  <c r="AL54" i="85"/>
  <c r="AL52" i="85"/>
  <c r="AL51" i="85"/>
  <c r="AL112" i="85"/>
  <c r="AL148" i="85"/>
  <c r="AL154" i="85"/>
  <c r="AL152" i="85"/>
  <c r="AL147" i="85"/>
  <c r="AL125" i="85"/>
  <c r="AL119" i="85"/>
  <c r="AL90" i="85"/>
  <c r="AL71" i="85"/>
  <c r="AL69" i="85"/>
  <c r="AL65" i="85"/>
  <c r="AL63" i="85"/>
  <c r="AL56" i="85"/>
  <c r="AL55" i="85"/>
  <c r="AL108" i="85"/>
  <c r="AL109" i="85"/>
  <c r="AL110" i="85"/>
  <c r="AL111" i="85"/>
  <c r="AL92" i="85"/>
  <c r="AL93" i="85"/>
  <c r="AL94" i="85"/>
  <c r="AL95" i="85"/>
  <c r="AL96" i="85"/>
  <c r="AL97" i="85"/>
  <c r="AL98" i="85"/>
  <c r="AL99" i="85"/>
  <c r="AL100" i="85"/>
  <c r="AL101" i="85"/>
  <c r="AL102" i="85"/>
  <c r="AL103" i="85"/>
  <c r="AL104" i="85"/>
  <c r="AL105" i="85"/>
  <c r="AL106" i="85"/>
  <c r="AL50" i="85"/>
  <c r="AL91" i="85"/>
  <c r="AL107" i="85"/>
  <c r="AL157" i="85"/>
  <c r="AL158" i="85"/>
  <c r="AL159" i="85"/>
  <c r="AM15" i="87"/>
  <c r="AK15" i="174"/>
  <c r="AK15" i="124"/>
  <c r="AI45" i="124"/>
  <c r="AI35" i="174"/>
  <c r="AI35" i="124"/>
  <c r="AJ36" i="174"/>
  <c r="AK36" i="174" s="1"/>
  <c r="AJ36" i="124"/>
  <c r="AI37" i="174"/>
  <c r="AI37" i="124"/>
  <c r="AM9" i="174"/>
  <c r="AK45" i="174"/>
  <c r="AM8" i="174"/>
  <c r="AM7" i="174"/>
  <c r="AK6" i="174"/>
  <c r="AL7" i="174"/>
  <c r="AJ37" i="87"/>
  <c r="AK52" i="124"/>
  <c r="AN52" i="124" s="1"/>
  <c r="AM113" i="124"/>
  <c r="AK51" i="124"/>
  <c r="AN51" i="124" s="1"/>
  <c r="AN107" i="124"/>
  <c r="AN91" i="124"/>
  <c r="AJ35" i="87"/>
  <c r="AH13" i="124"/>
  <c r="AH34" i="124" s="1"/>
  <c r="AH43" i="124" s="1"/>
  <c r="AI6" i="124"/>
  <c r="AH44" i="124"/>
  <c r="AK12" i="124"/>
  <c r="AK9" i="124"/>
  <c r="AO45" i="87"/>
  <c r="AM15" i="124"/>
  <c r="AK8" i="124"/>
  <c r="AM7" i="87"/>
  <c r="AK7" i="124"/>
  <c r="AM107" i="124" l="1"/>
  <c r="AJ14" i="87"/>
  <c r="AK35" i="87"/>
  <c r="AK44" i="87" s="1"/>
  <c r="AJ16" i="87"/>
  <c r="AK37" i="87"/>
  <c r="AK16" i="87"/>
  <c r="AK14" i="87"/>
  <c r="AK13" i="87" s="1"/>
  <c r="AK34" i="87" s="1"/>
  <c r="AK43" i="87" s="1"/>
  <c r="AM51" i="124"/>
  <c r="AM52" i="124"/>
  <c r="AJ13" i="87"/>
  <c r="AJ34" i="87" s="1"/>
  <c r="AJ160" i="87" s="1"/>
  <c r="AJ161" i="87" s="1"/>
  <c r="AJ16" i="174"/>
  <c r="AJ46" i="174" s="1"/>
  <c r="AJ16" i="124"/>
  <c r="AJ46" i="124" s="1"/>
  <c r="AK35" i="86"/>
  <c r="AJ14" i="86"/>
  <c r="AK35" i="68"/>
  <c r="AJ14" i="68"/>
  <c r="AH43" i="174"/>
  <c r="AH159" i="174"/>
  <c r="AM15" i="86"/>
  <c r="AL15" i="86"/>
  <c r="AM15" i="68"/>
  <c r="AL15" i="68"/>
  <c r="AM16" i="68"/>
  <c r="AL16" i="68"/>
  <c r="AM16" i="86"/>
  <c r="AL16" i="86"/>
  <c r="AI13" i="174"/>
  <c r="AI34" i="174" s="1"/>
  <c r="AI44" i="174"/>
  <c r="AK43" i="85"/>
  <c r="AO43" i="85" s="1"/>
  <c r="AM34" i="85"/>
  <c r="AL34" i="85"/>
  <c r="AK160" i="85"/>
  <c r="AN160" i="85" s="1"/>
  <c r="AK44" i="86"/>
  <c r="AO44" i="86" s="1"/>
  <c r="AM35" i="86"/>
  <c r="AL35" i="86"/>
  <c r="AK44" i="68"/>
  <c r="AO44" i="68" s="1"/>
  <c r="AM35" i="68"/>
  <c r="AL35" i="68"/>
  <c r="AJ45" i="124"/>
  <c r="AJ35" i="174"/>
  <c r="AJ35" i="124"/>
  <c r="AJ37" i="174"/>
  <c r="AJ37" i="124"/>
  <c r="AM6" i="174"/>
  <c r="AL6" i="174"/>
  <c r="AL11" i="174"/>
  <c r="AL12" i="174"/>
  <c r="AL17" i="174"/>
  <c r="AL18" i="174"/>
  <c r="AL19" i="174"/>
  <c r="AL20" i="174"/>
  <c r="AL21" i="174"/>
  <c r="AL22" i="174"/>
  <c r="AL31" i="174"/>
  <c r="AL32" i="174"/>
  <c r="AL33" i="174"/>
  <c r="AL50" i="174"/>
  <c r="AL51" i="174"/>
  <c r="AL52" i="174"/>
  <c r="AL53" i="174"/>
  <c r="AL55" i="174"/>
  <c r="AL56" i="174"/>
  <c r="AL57" i="174"/>
  <c r="AL58" i="174"/>
  <c r="AL59" i="174"/>
  <c r="AL60" i="174"/>
  <c r="AL61" i="174"/>
  <c r="AL62" i="174"/>
  <c r="AL63" i="174"/>
  <c r="AL64" i="174"/>
  <c r="AL65" i="174"/>
  <c r="AL66" i="174"/>
  <c r="AL67" i="174"/>
  <c r="AL68" i="174"/>
  <c r="AL69" i="174"/>
  <c r="AL70" i="174"/>
  <c r="AL71" i="174"/>
  <c r="AL72" i="174"/>
  <c r="AL73" i="174"/>
  <c r="AL74" i="174"/>
  <c r="AL75" i="174"/>
  <c r="AL76" i="174"/>
  <c r="AL77" i="174"/>
  <c r="AL78" i="174"/>
  <c r="AL79" i="174"/>
  <c r="AL80" i="174"/>
  <c r="AL81" i="174"/>
  <c r="AL82" i="174"/>
  <c r="AL83" i="174"/>
  <c r="AL84" i="174"/>
  <c r="AL85" i="174"/>
  <c r="AL86" i="174"/>
  <c r="AL87" i="174"/>
  <c r="AL88" i="174"/>
  <c r="AL89" i="174"/>
  <c r="AL90" i="174"/>
  <c r="AL92" i="174"/>
  <c r="AL93" i="174"/>
  <c r="AL94" i="174"/>
  <c r="AL95" i="174"/>
  <c r="AL96" i="174"/>
  <c r="AL97" i="174"/>
  <c r="AL98" i="174"/>
  <c r="AL99" i="174"/>
  <c r="AL112" i="174"/>
  <c r="AL113" i="174"/>
  <c r="AL114" i="174"/>
  <c r="AL115" i="174"/>
  <c r="AL116" i="174"/>
  <c r="AL117" i="174"/>
  <c r="AL118" i="174"/>
  <c r="AL119" i="174"/>
  <c r="AL120" i="174"/>
  <c r="AL121" i="174"/>
  <c r="AL122" i="174"/>
  <c r="AL123" i="174"/>
  <c r="AL124" i="174"/>
  <c r="AL125" i="174"/>
  <c r="AL126" i="174"/>
  <c r="AL127" i="174"/>
  <c r="AL128" i="174"/>
  <c r="AL129" i="174"/>
  <c r="AL130" i="174"/>
  <c r="AL131" i="174"/>
  <c r="AL132" i="174"/>
  <c r="AL133" i="174"/>
  <c r="AL134" i="174"/>
  <c r="AL135" i="174"/>
  <c r="AL136" i="174"/>
  <c r="AL137" i="174"/>
  <c r="AL138" i="174"/>
  <c r="AL139" i="174"/>
  <c r="AL140" i="174"/>
  <c r="AL141" i="174"/>
  <c r="AL142" i="174"/>
  <c r="AL143" i="174"/>
  <c r="AL144" i="174"/>
  <c r="AL145" i="174"/>
  <c r="AL146" i="174"/>
  <c r="AL147" i="174"/>
  <c r="AL151" i="174"/>
  <c r="AL152" i="174"/>
  <c r="AL154" i="174"/>
  <c r="AL155" i="174"/>
  <c r="AL10" i="174"/>
  <c r="AL111" i="174"/>
  <c r="AL110" i="174"/>
  <c r="AL109" i="174"/>
  <c r="AL106" i="174"/>
  <c r="AL105" i="174"/>
  <c r="AL104" i="174"/>
  <c r="AL103" i="174"/>
  <c r="AL102" i="174"/>
  <c r="AL101" i="174"/>
  <c r="AL54" i="174"/>
  <c r="AL150" i="174"/>
  <c r="AL149" i="174"/>
  <c r="AL153" i="174"/>
  <c r="AL100" i="174"/>
  <c r="AL108" i="174"/>
  <c r="AL27" i="174"/>
  <c r="AL91" i="174"/>
  <c r="AL148" i="174"/>
  <c r="AL107" i="174"/>
  <c r="AL24" i="174"/>
  <c r="AL29" i="174"/>
  <c r="AL26" i="174"/>
  <c r="AL25" i="174"/>
  <c r="AL23" i="174"/>
  <c r="AL28" i="174"/>
  <c r="AL30" i="174"/>
  <c r="AL156" i="174"/>
  <c r="AL157" i="174"/>
  <c r="AL158" i="174"/>
  <c r="AL9" i="174"/>
  <c r="AL8" i="174"/>
  <c r="AM45" i="174"/>
  <c r="AL45" i="174"/>
  <c r="AK37" i="174"/>
  <c r="AM36" i="174"/>
  <c r="AL36" i="174"/>
  <c r="AK35" i="174"/>
  <c r="AM15" i="174"/>
  <c r="AL15" i="174"/>
  <c r="AL123" i="87"/>
  <c r="AL124" i="87"/>
  <c r="AL125" i="87"/>
  <c r="AL126" i="87"/>
  <c r="AL127" i="87"/>
  <c r="AL128" i="87"/>
  <c r="AL129" i="87"/>
  <c r="AL130" i="87"/>
  <c r="AL131" i="87"/>
  <c r="AL132" i="87"/>
  <c r="AL133" i="87"/>
  <c r="AL87" i="87"/>
  <c r="AL88" i="87"/>
  <c r="AL89" i="87"/>
  <c r="AL90" i="87"/>
  <c r="AL20" i="87"/>
  <c r="AL21" i="87"/>
  <c r="AL22" i="87"/>
  <c r="AL31" i="87"/>
  <c r="AL32" i="87"/>
  <c r="AL33" i="87"/>
  <c r="AL27" i="87"/>
  <c r="AL24" i="87"/>
  <c r="AL29" i="87"/>
  <c r="AL26" i="87"/>
  <c r="AL25" i="87"/>
  <c r="AL23" i="87"/>
  <c r="AL28" i="87"/>
  <c r="AL30" i="87"/>
  <c r="AL63" i="87"/>
  <c r="AL64" i="87"/>
  <c r="AL65" i="87"/>
  <c r="AL66" i="87"/>
  <c r="AL67" i="87"/>
  <c r="AL68" i="87"/>
  <c r="AL69" i="87"/>
  <c r="AL70" i="87"/>
  <c r="AL71" i="87"/>
  <c r="AL72" i="87"/>
  <c r="AL73" i="87"/>
  <c r="AL74" i="87"/>
  <c r="AL75" i="87"/>
  <c r="AL76" i="87"/>
  <c r="AL77" i="87"/>
  <c r="AL78" i="87"/>
  <c r="AL79" i="87"/>
  <c r="AL80" i="87"/>
  <c r="AL81" i="87"/>
  <c r="AL82" i="87"/>
  <c r="AL83" i="87"/>
  <c r="AL84" i="87"/>
  <c r="AL85" i="87"/>
  <c r="AL86" i="87"/>
  <c r="AL50" i="87"/>
  <c r="AL51" i="87"/>
  <c r="AL52" i="87"/>
  <c r="AL53" i="87"/>
  <c r="AL54" i="87"/>
  <c r="AL55" i="87"/>
  <c r="AL56" i="87"/>
  <c r="AL57" i="87"/>
  <c r="AL58" i="87"/>
  <c r="AL59" i="87"/>
  <c r="AL60" i="87"/>
  <c r="AL61" i="87"/>
  <c r="AL62" i="87"/>
  <c r="AL91" i="87"/>
  <c r="AL92" i="87"/>
  <c r="AL93" i="87"/>
  <c r="AL94" i="87"/>
  <c r="AL95" i="87"/>
  <c r="AL96" i="87"/>
  <c r="AL97" i="87"/>
  <c r="AL98" i="87"/>
  <c r="AL99" i="87"/>
  <c r="AL100" i="87"/>
  <c r="AL101" i="87"/>
  <c r="AL102" i="87"/>
  <c r="AL103" i="87"/>
  <c r="AL104" i="87"/>
  <c r="AL105" i="87"/>
  <c r="AL106" i="87"/>
  <c r="AL107" i="87"/>
  <c r="AL108" i="87"/>
  <c r="AL109" i="87"/>
  <c r="AL110" i="87"/>
  <c r="AL111" i="87"/>
  <c r="AL112" i="87"/>
  <c r="AL113" i="87"/>
  <c r="AL114" i="87"/>
  <c r="AL115" i="87"/>
  <c r="AL116" i="87"/>
  <c r="AL117" i="87"/>
  <c r="AL118" i="87"/>
  <c r="AL119" i="87"/>
  <c r="AL120" i="87"/>
  <c r="AL121" i="87"/>
  <c r="AL122" i="87"/>
  <c r="AL134" i="87"/>
  <c r="AL135" i="87"/>
  <c r="AL136" i="87"/>
  <c r="AL137" i="87"/>
  <c r="AL138" i="87"/>
  <c r="AL139" i="87"/>
  <c r="AL140" i="87"/>
  <c r="AL141" i="87"/>
  <c r="AL142" i="87"/>
  <c r="AL143" i="87"/>
  <c r="AL144" i="87"/>
  <c r="AL145" i="87"/>
  <c r="AL146" i="87"/>
  <c r="AL147" i="87"/>
  <c r="AL148" i="87"/>
  <c r="AL149" i="87"/>
  <c r="AL150" i="87"/>
  <c r="AL151" i="87"/>
  <c r="AL152" i="87"/>
  <c r="AL153" i="87"/>
  <c r="AL154" i="87"/>
  <c r="AL155" i="87"/>
  <c r="AL157" i="87"/>
  <c r="AL158" i="87"/>
  <c r="AL159" i="87"/>
  <c r="AL14" i="87"/>
  <c r="AI13" i="124"/>
  <c r="AI34" i="124" s="1"/>
  <c r="AI43" i="124" s="1"/>
  <c r="AJ6" i="124"/>
  <c r="AK40" i="124"/>
  <c r="AI44" i="124"/>
  <c r="AM12" i="124"/>
  <c r="AM46" i="87"/>
  <c r="AL46" i="87"/>
  <c r="AL7" i="87"/>
  <c r="AM9" i="124"/>
  <c r="AM45" i="87"/>
  <c r="AL45" i="87"/>
  <c r="AM36" i="87"/>
  <c r="AL36" i="87"/>
  <c r="AM8" i="124"/>
  <c r="AK6" i="124"/>
  <c r="AM7" i="124"/>
  <c r="AL15" i="87"/>
  <c r="AL11" i="87"/>
  <c r="AL10" i="87"/>
  <c r="AL19" i="87"/>
  <c r="AL6" i="87"/>
  <c r="AL18" i="87"/>
  <c r="AL16" i="87"/>
  <c r="AL17" i="87"/>
  <c r="AL12" i="87"/>
  <c r="AM6" i="87"/>
  <c r="AL8" i="87"/>
  <c r="AL9" i="87"/>
  <c r="AL156" i="124" l="1"/>
  <c r="AL92" i="124"/>
  <c r="AL93" i="124"/>
  <c r="AL94" i="124"/>
  <c r="AL95" i="124"/>
  <c r="AL96" i="124"/>
  <c r="AL97" i="124"/>
  <c r="AL98" i="124"/>
  <c r="AL99" i="124"/>
  <c r="AL100" i="124"/>
  <c r="AL101" i="124"/>
  <c r="AL102" i="124"/>
  <c r="AL103" i="124"/>
  <c r="AL104" i="124"/>
  <c r="AL105" i="124"/>
  <c r="AL106" i="124"/>
  <c r="AL91" i="124"/>
  <c r="AL107" i="124"/>
  <c r="AM44" i="87"/>
  <c r="AO44" i="87"/>
  <c r="AI43" i="174"/>
  <c r="AI159" i="174"/>
  <c r="AJ13" i="68"/>
  <c r="AJ34" i="68" s="1"/>
  <c r="AJ160" i="68" s="1"/>
  <c r="AJ161" i="68" s="1"/>
  <c r="AK14" i="68"/>
  <c r="AJ14" i="174"/>
  <c r="AJ14" i="124"/>
  <c r="AJ13" i="86"/>
  <c r="AJ34" i="86" s="1"/>
  <c r="AJ160" i="86" s="1"/>
  <c r="AJ161" i="86" s="1"/>
  <c r="AK14" i="86"/>
  <c r="AM16" i="87"/>
  <c r="AK16" i="174"/>
  <c r="AK16" i="124"/>
  <c r="AM16" i="124" s="1"/>
  <c r="AK14" i="174"/>
  <c r="AK14" i="124"/>
  <c r="AM14" i="124" s="1"/>
  <c r="AM14" i="87"/>
  <c r="AM44" i="68"/>
  <c r="AL44" i="68"/>
  <c r="AM44" i="86"/>
  <c r="AL44" i="86"/>
  <c r="AK161" i="85"/>
  <c r="AM160" i="85"/>
  <c r="AL160" i="85"/>
  <c r="AM43" i="85"/>
  <c r="AL43" i="85"/>
  <c r="AL123" i="124"/>
  <c r="AL124" i="124"/>
  <c r="AL125" i="124"/>
  <c r="AL126" i="124"/>
  <c r="AL127" i="124"/>
  <c r="AL128" i="124"/>
  <c r="AL129" i="124"/>
  <c r="AL130" i="124"/>
  <c r="AL131" i="124"/>
  <c r="AL132" i="124"/>
  <c r="AL133" i="124"/>
  <c r="AL137" i="124"/>
  <c r="AL121" i="124"/>
  <c r="AL122" i="124"/>
  <c r="AL134" i="124"/>
  <c r="AL136" i="124"/>
  <c r="AL138" i="124"/>
  <c r="AL135" i="124"/>
  <c r="AL120" i="124"/>
  <c r="AM35" i="174"/>
  <c r="AL35" i="174"/>
  <c r="AM37" i="174"/>
  <c r="AL37" i="174"/>
  <c r="AL90" i="124"/>
  <c r="AL89" i="124"/>
  <c r="AL88" i="124"/>
  <c r="AL87" i="124"/>
  <c r="AL86" i="124"/>
  <c r="AL85" i="124"/>
  <c r="AL84" i="124"/>
  <c r="AL83" i="124"/>
  <c r="AL82" i="124"/>
  <c r="AL81" i="124"/>
  <c r="AL80" i="124"/>
  <c r="AL79" i="124"/>
  <c r="AL78" i="124"/>
  <c r="AL77" i="124"/>
  <c r="AL76" i="124"/>
  <c r="AL75" i="124"/>
  <c r="AL33" i="124"/>
  <c r="AL32" i="124"/>
  <c r="AL31" i="124"/>
  <c r="AL30" i="124"/>
  <c r="AL29" i="124"/>
  <c r="AL28" i="124"/>
  <c r="AL27" i="124"/>
  <c r="AL26" i="124"/>
  <c r="AL25" i="124"/>
  <c r="AL24" i="124"/>
  <c r="AL23" i="124"/>
  <c r="AL22" i="124"/>
  <c r="AL21" i="124"/>
  <c r="AL20" i="124"/>
  <c r="AL44" i="87"/>
  <c r="AJ13" i="124"/>
  <c r="AK13" i="124" s="1"/>
  <c r="AK38" i="124"/>
  <c r="AJ44" i="124"/>
  <c r="AK39" i="124"/>
  <c r="AN43" i="124" s="1"/>
  <c r="AM40" i="124"/>
  <c r="AK41" i="124"/>
  <c r="AL14" i="124"/>
  <c r="AK42" i="124"/>
  <c r="AM37" i="87"/>
  <c r="AL37" i="87"/>
  <c r="AK36" i="124"/>
  <c r="AM35" i="87"/>
  <c r="AL35" i="87"/>
  <c r="AK35" i="124"/>
  <c r="AL7" i="124"/>
  <c r="AL8" i="124"/>
  <c r="AL16" i="124"/>
  <c r="AL15" i="124"/>
  <c r="AL9" i="124"/>
  <c r="AL19" i="124"/>
  <c r="AM6" i="124"/>
  <c r="AL70" i="124"/>
  <c r="AL73" i="124"/>
  <c r="AL113" i="124"/>
  <c r="AL115" i="124"/>
  <c r="AL51" i="124"/>
  <c r="AL116" i="124"/>
  <c r="AL54" i="124"/>
  <c r="AL143" i="124"/>
  <c r="AL57" i="124"/>
  <c r="AL64" i="124"/>
  <c r="AL56" i="124"/>
  <c r="AL12" i="124"/>
  <c r="AL71" i="124"/>
  <c r="AL6" i="124"/>
  <c r="AL63" i="124"/>
  <c r="AL59" i="124"/>
  <c r="AL62" i="124"/>
  <c r="AL52" i="124"/>
  <c r="AL139" i="124"/>
  <c r="AL114" i="124"/>
  <c r="AL61" i="124"/>
  <c r="AL72" i="124"/>
  <c r="AL65" i="124"/>
  <c r="AL10" i="124"/>
  <c r="AL11" i="124"/>
  <c r="AL119" i="124"/>
  <c r="AL108" i="124"/>
  <c r="AL111" i="124"/>
  <c r="AL141" i="124"/>
  <c r="AL53" i="124"/>
  <c r="AL60" i="124"/>
  <c r="AL118" i="124"/>
  <c r="AL147" i="124"/>
  <c r="AL142" i="124"/>
  <c r="AL18" i="124"/>
  <c r="AL117" i="124"/>
  <c r="AL74" i="124"/>
  <c r="AL66" i="124"/>
  <c r="AL17" i="124"/>
  <c r="AL110" i="124"/>
  <c r="AL69" i="124"/>
  <c r="AL67" i="124"/>
  <c r="AL140" i="124"/>
  <c r="AL109" i="124"/>
  <c r="AO39" i="124" l="1"/>
  <c r="AN39" i="124"/>
  <c r="AK34" i="124"/>
  <c r="AN34" i="124" s="1"/>
  <c r="AK43" i="124"/>
  <c r="AM13" i="124"/>
  <c r="AK44" i="174"/>
  <c r="AM14" i="174"/>
  <c r="AL14" i="174"/>
  <c r="AL13" i="87"/>
  <c r="AM13" i="87"/>
  <c r="AK46" i="174"/>
  <c r="AM16" i="174"/>
  <c r="AL16" i="174"/>
  <c r="AM14" i="86"/>
  <c r="AK13" i="86"/>
  <c r="AL14" i="86"/>
  <c r="AJ13" i="174"/>
  <c r="AJ44" i="174"/>
  <c r="AM14" i="68"/>
  <c r="AK13" i="68"/>
  <c r="AL14" i="68"/>
  <c r="AM161" i="85"/>
  <c r="AL161" i="85"/>
  <c r="AK46" i="124"/>
  <c r="AK45" i="124"/>
  <c r="AM34" i="124"/>
  <c r="AL13" i="124"/>
  <c r="AJ34" i="124"/>
  <c r="AJ43" i="124" s="1"/>
  <c r="AK44" i="124"/>
  <c r="AL40" i="124"/>
  <c r="AM38" i="124"/>
  <c r="AL39" i="124"/>
  <c r="AL38" i="124"/>
  <c r="AM39" i="124"/>
  <c r="AM41" i="124"/>
  <c r="AL41" i="124"/>
  <c r="AM42" i="124"/>
  <c r="AL42" i="124"/>
  <c r="AL36" i="124"/>
  <c r="AM36" i="124"/>
  <c r="AM35" i="124"/>
  <c r="AL35" i="124"/>
  <c r="AK34" i="68" l="1"/>
  <c r="AN34" i="68" s="1"/>
  <c r="AM13" i="68"/>
  <c r="AL13" i="68"/>
  <c r="AK13" i="174"/>
  <c r="AJ34" i="174"/>
  <c r="AK34" i="86"/>
  <c r="AM13" i="86"/>
  <c r="AL13" i="86"/>
  <c r="AM46" i="174"/>
  <c r="AL46" i="174"/>
  <c r="AO43" i="87"/>
  <c r="AK160" i="87"/>
  <c r="AM34" i="87"/>
  <c r="AL34" i="87"/>
  <c r="AM44" i="174"/>
  <c r="AL44" i="174"/>
  <c r="AL34" i="124"/>
  <c r="AM44" i="124"/>
  <c r="AL44" i="124"/>
  <c r="AL45" i="124"/>
  <c r="AM45" i="124"/>
  <c r="AM46" i="124"/>
  <c r="AL46" i="124"/>
  <c r="AN160" i="87" l="1"/>
  <c r="AK161" i="87"/>
  <c r="AM160" i="87"/>
  <c r="AL160" i="87"/>
  <c r="AM43" i="87"/>
  <c r="AL43" i="87"/>
  <c r="AK160" i="86"/>
  <c r="AN160" i="86" s="1"/>
  <c r="AK43" i="86"/>
  <c r="AO43" i="86" s="1"/>
  <c r="AM34" i="86"/>
  <c r="AL34" i="86"/>
  <c r="AJ43" i="174"/>
  <c r="AJ159" i="174"/>
  <c r="AK34" i="174"/>
  <c r="AM13" i="174"/>
  <c r="AL13" i="174"/>
  <c r="AK160" i="68"/>
  <c r="AK43" i="68"/>
  <c r="AO43" i="68" s="1"/>
  <c r="AM34" i="68"/>
  <c r="AL34" i="68"/>
  <c r="AL43" i="124"/>
  <c r="AM43" i="124"/>
  <c r="AN160" i="68" l="1"/>
  <c r="AK164" i="124"/>
  <c r="AM43" i="68"/>
  <c r="AL43" i="68"/>
  <c r="AK161" i="68"/>
  <c r="AM160" i="68"/>
  <c r="AL160" i="68"/>
  <c r="AK43" i="174"/>
  <c r="AM34" i="174"/>
  <c r="AL34" i="174"/>
  <c r="AK159" i="174"/>
  <c r="AM43" i="86"/>
  <c r="AL43" i="86"/>
  <c r="AK161" i="86"/>
  <c r="AM160" i="86"/>
  <c r="AL160" i="86"/>
  <c r="AM161" i="87"/>
  <c r="AL161" i="87"/>
  <c r="AK37" i="124"/>
  <c r="AM161" i="86" l="1"/>
  <c r="AL161" i="86"/>
  <c r="AM159" i="174"/>
  <c r="AL159" i="174"/>
  <c r="AM43" i="174"/>
  <c r="AL43" i="174"/>
  <c r="AM161" i="68"/>
  <c r="AL161" i="68"/>
  <c r="AL37" i="124"/>
  <c r="AM37" i="124"/>
  <c r="AK58" i="124" l="1"/>
  <c r="AN58" i="124" s="1"/>
  <c r="AM58" i="124" l="1"/>
  <c r="AL58" i="124"/>
  <c r="AK68" i="124" l="1"/>
  <c r="AN68" i="124" s="1"/>
  <c r="AM68" i="124" l="1"/>
  <c r="AL68" i="124"/>
  <c r="AG148" i="124" l="1"/>
  <c r="AI148" i="124"/>
  <c r="AA148" i="124"/>
  <c r="Z148" i="124"/>
  <c r="AF148" i="124"/>
  <c r="AD148" i="124"/>
  <c r="AC148" i="124"/>
  <c r="Y148" i="124"/>
  <c r="AJ148" i="124"/>
  <c r="AE148" i="124"/>
  <c r="AB148" i="124"/>
  <c r="AH148" i="124"/>
  <c r="AM144" i="124" l="1"/>
  <c r="AL144" i="124"/>
  <c r="AM145" i="124"/>
  <c r="AL145" i="124"/>
  <c r="AM146" i="124"/>
  <c r="AL146" i="124"/>
  <c r="AD50" i="124" l="1"/>
  <c r="AD157" i="124" s="1"/>
  <c r="AD159" i="124" l="1"/>
  <c r="AD160" i="124" l="1"/>
  <c r="AD161" i="124" s="1"/>
  <c r="AD158" i="124"/>
  <c r="AE50" i="124"/>
  <c r="AE157" i="124" s="1"/>
  <c r="AE159" i="124" l="1"/>
  <c r="AE158" i="124" l="1"/>
  <c r="AE160" i="124"/>
  <c r="AE161" i="124" s="1"/>
  <c r="AI50" i="124"/>
  <c r="AI157" i="124" s="1"/>
  <c r="AC50" i="124"/>
  <c r="AC157" i="124" s="1"/>
  <c r="AB50" i="124"/>
  <c r="AB157" i="124" s="1"/>
  <c r="AJ50" i="124"/>
  <c r="AJ157" i="124" s="1"/>
  <c r="AA50" i="124"/>
  <c r="AA157" i="124" s="1"/>
  <c r="AG50" i="124"/>
  <c r="AG157" i="124" s="1"/>
  <c r="AF50" i="124"/>
  <c r="AF157" i="124" s="1"/>
  <c r="AH50" i="124"/>
  <c r="AH157" i="124" s="1"/>
  <c r="Z50" i="124"/>
  <c r="Z157" i="124" s="1"/>
  <c r="AC159" i="124" l="1"/>
  <c r="Z159" i="124"/>
  <c r="AG159" i="124"/>
  <c r="AB159" i="124"/>
  <c r="AJ159" i="124"/>
  <c r="AI159" i="124"/>
  <c r="AH159" i="124"/>
  <c r="AF159" i="124"/>
  <c r="AA159" i="124"/>
  <c r="Z158" i="124" l="1"/>
  <c r="AC158" i="124"/>
  <c r="AC160" i="124"/>
  <c r="AC161" i="124" s="1"/>
  <c r="Z160" i="124"/>
  <c r="Z161" i="124" s="1"/>
  <c r="AB158" i="124"/>
  <c r="AB160" i="124"/>
  <c r="AB161" i="124" s="1"/>
  <c r="AG158" i="124"/>
  <c r="AG160" i="124"/>
  <c r="AG161" i="124" s="1"/>
  <c r="AH160" i="124"/>
  <c r="AH161" i="124" s="1"/>
  <c r="AH158" i="124"/>
  <c r="AJ158" i="124"/>
  <c r="AJ160" i="124"/>
  <c r="AJ161" i="124" s="1"/>
  <c r="AI160" i="124"/>
  <c r="AI161" i="124" s="1"/>
  <c r="AI158" i="124"/>
  <c r="AF160" i="124"/>
  <c r="AF161" i="124" s="1"/>
  <c r="AF158" i="124"/>
  <c r="AA160" i="124"/>
  <c r="AA161" i="124" s="1"/>
  <c r="AA158" i="124"/>
  <c r="Y50" i="124" l="1"/>
  <c r="Y157" i="124" s="1"/>
  <c r="AK55" i="124"/>
  <c r="AN55" i="124" s="1"/>
  <c r="AK50" i="124" l="1"/>
  <c r="AK112" i="124"/>
  <c r="AL55" i="124"/>
  <c r="AM55" i="124"/>
  <c r="AK157" i="124" l="1"/>
  <c r="AM50" i="124"/>
  <c r="AN50" i="124"/>
  <c r="AL112" i="124"/>
  <c r="AL153" i="124"/>
  <c r="AL50" i="124"/>
  <c r="AM153" i="124" l="1"/>
  <c r="AL149" i="124"/>
  <c r="AM149" i="124"/>
  <c r="AM152" i="124"/>
  <c r="AL152" i="124"/>
  <c r="AM154" i="124"/>
  <c r="Y159" i="124"/>
  <c r="AL150" i="124"/>
  <c r="AM150" i="124"/>
  <c r="AL154" i="124" l="1"/>
  <c r="Y160" i="124"/>
  <c r="Y161" i="124" s="1"/>
  <c r="Y158" i="124"/>
  <c r="AM155" i="124"/>
  <c r="AL155" i="124"/>
  <c r="AM151" i="124"/>
  <c r="AL151" i="124"/>
  <c r="AM148" i="124" l="1"/>
  <c r="AL148" i="124"/>
  <c r="AK159" i="124" l="1"/>
  <c r="AL157" i="124"/>
  <c r="AL159" i="124"/>
  <c r="AK160" i="124"/>
  <c r="AK162" i="124" s="1"/>
  <c r="AK158" i="124"/>
  <c r="AL160" i="124" l="1"/>
  <c r="AK161" i="124"/>
  <c r="AL158" i="124"/>
  <c r="T112" i="124"/>
  <c r="T157" i="124" s="1"/>
  <c r="T161" i="124" s="1"/>
  <c r="AM118" i="124"/>
  <c r="AL161" i="124" l="1"/>
  <c r="U158" i="124"/>
  <c r="U160" i="124"/>
  <c r="U159" i="124"/>
  <c r="T160" i="124"/>
  <c r="T158" i="124"/>
  <c r="T159" i="124"/>
  <c r="V112" i="124"/>
  <c r="W118" i="124"/>
  <c r="AN112" i="124" l="1"/>
  <c r="V157" i="124"/>
  <c r="V161" i="124" s="1"/>
  <c r="W112" i="124"/>
  <c r="AM112" i="124"/>
  <c r="V160" i="124"/>
  <c r="V162" i="124" s="1"/>
  <c r="AN160" i="124" l="1"/>
  <c r="AM160" i="124"/>
  <c r="W157" i="124"/>
  <c r="V158" i="124"/>
  <c r="AN161" i="124" s="1"/>
  <c r="V159" i="124"/>
  <c r="AM157" i="124"/>
  <c r="W161" i="124" l="1"/>
  <c r="AM161" i="124"/>
  <c r="W160" i="124"/>
  <c r="W159" i="124"/>
  <c r="AM159" i="124"/>
  <c r="W158" i="124"/>
  <c r="AM158" i="124"/>
</calcChain>
</file>

<file path=xl/sharedStrings.xml><?xml version="1.0" encoding="utf-8"?>
<sst xmlns="http://schemas.openxmlformats.org/spreadsheetml/2006/main" count="3723" uniqueCount="478">
  <si>
    <t>ESTIMULO FISCAL</t>
  </si>
  <si>
    <t>IEPS</t>
  </si>
  <si>
    <t>REGULAR</t>
  </si>
  <si>
    <t>*Aumento en los ingresos en proporcion minima a la inflacion</t>
  </si>
  <si>
    <t>PREMIUM</t>
  </si>
  <si>
    <t>DIESEL</t>
  </si>
  <si>
    <t>Precio final al 27 de Octubre de 2025</t>
  </si>
  <si>
    <t>Precio de venta sin IVA</t>
  </si>
  <si>
    <t>MONTEBLANCO</t>
  </si>
  <si>
    <t>SAN RAFEL</t>
  </si>
  <si>
    <t>PUERTECITO</t>
  </si>
  <si>
    <t>JESUS MARIA</t>
  </si>
  <si>
    <t>PRECIO DE VENTA sin IVA por LITRO</t>
  </si>
  <si>
    <t>Ags</t>
  </si>
  <si>
    <t>P.V.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</si>
  <si>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</si>
  <si>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</si>
  <si>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</si>
  <si>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</si>
  <si>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</si>
  <si>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</si>
  <si>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</si>
  <si>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</si>
  <si>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</si>
  <si>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</si>
  <si>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</si>
  <si>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</si>
  <si>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MAXIMA</t>
  </si>
  <si>
    <t>SUPER</t>
  </si>
  <si>
    <t>Inflación 2024</t>
  </si>
  <si>
    <t>MARGEN estimado por litro</t>
  </si>
  <si>
    <t>Margen comercial  ( precio - costo según factura )</t>
  </si>
  <si>
    <t>Margen por contrato de volumen con TESORO</t>
  </si>
  <si>
    <t>Porcentaje</t>
  </si>
  <si>
    <t>Margen por contrato de volumen con PREMIER</t>
  </si>
  <si>
    <t>Margen por contrato de volumen MGC</t>
  </si>
  <si>
    <t>Margen por contrato de volumen OTROS</t>
  </si>
  <si>
    <t>CENTAVOS POR LITRO (FLETE)</t>
  </si>
  <si>
    <t>DESCUENTOS</t>
  </si>
  <si>
    <t>PRECIO REGULAR</t>
  </si>
  <si>
    <t>HERMANOS ESCOBAR</t>
  </si>
  <si>
    <t>LERDO</t>
  </si>
  <si>
    <t>TECNOLOGICO</t>
  </si>
  <si>
    <t>DELICIAS</t>
  </si>
  <si>
    <t>PARRAL</t>
  </si>
  <si>
    <t>LOPEZ</t>
  </si>
  <si>
    <t>GEMELA CH</t>
  </si>
  <si>
    <t>GEMELA G</t>
  </si>
  <si>
    <t>MUNICIPIO</t>
  </si>
  <si>
    <t>MISIONES</t>
  </si>
  <si>
    <t>P PALOS</t>
  </si>
  <si>
    <t>M MADRID</t>
  </si>
  <si>
    <t>AZTECAS</t>
  </si>
  <si>
    <t>PERMUTA</t>
  </si>
  <si>
    <t>ELECTROLUX</t>
  </si>
  <si>
    <t>AERONAUTICA</t>
  </si>
  <si>
    <t>CUSTODIA</t>
  </si>
  <si>
    <t>ANAPRA</t>
  </si>
  <si>
    <t>PLUTARCO</t>
  </si>
  <si>
    <t>AGUASCALIENTES</t>
  </si>
  <si>
    <t>TRAVEL</t>
  </si>
  <si>
    <t>AHUMADA</t>
  </si>
  <si>
    <t>CASTAÑO</t>
  </si>
  <si>
    <t>PICACHOS</t>
  </si>
  <si>
    <t>VENTANAS</t>
  </si>
  <si>
    <t>PRAXEDIS</t>
  </si>
  <si>
    <t>PRECIO PREMIUM</t>
  </si>
  <si>
    <t>PRECIO DIESEL</t>
  </si>
  <si>
    <t>WINDSTAR- REGULAR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</si>
  <si>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</si>
  <si>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</si>
  <si>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</si>
  <si>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</si>
  <si>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</si>
  <si>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</si>
  <si>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</si>
  <si>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</si>
  <si>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</si>
  <si>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</si>
  <si>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</si>
  <si>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</si>
  <si>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MALECON</t>
  </si>
  <si>
    <t>LA 79</t>
  </si>
  <si>
    <t>LA 88</t>
  </si>
  <si>
    <t>HERBANO</t>
  </si>
  <si>
    <t>PALOS</t>
  </si>
  <si>
    <t>MADRID</t>
  </si>
  <si>
    <t>INDEPENDENCIA</t>
  </si>
  <si>
    <t xml:space="preserve">AGUAS C.  </t>
  </si>
  <si>
    <t>WINDSTAR- PREMIUM</t>
  </si>
  <si>
    <t>WINDSTAR- DIESEL</t>
  </si>
  <si>
    <t>Mantenimiento de Imagen</t>
  </si>
  <si>
    <t xml:space="preserve">TOTAL ANUAL </t>
  </si>
  <si>
    <t>PPTO ANUAL MISMAS EST</t>
  </si>
  <si>
    <t>PPTO ANUAL TODAS ES</t>
  </si>
  <si>
    <t>% Part</t>
  </si>
  <si>
    <t>Var vs AA%</t>
  </si>
  <si>
    <t>INGRESOS</t>
  </si>
  <si>
    <t>A - INGRESOS</t>
  </si>
  <si>
    <t>( mas )</t>
  </si>
  <si>
    <t xml:space="preserve">A - INGRESOS </t>
  </si>
  <si>
    <t>estaciones</t>
  </si>
  <si>
    <t>INGRESOS MAGNA</t>
  </si>
  <si>
    <t>INGRESOS FORANEOS MAGNA</t>
  </si>
  <si>
    <t>INGRESOS PREMIUM</t>
  </si>
  <si>
    <t>INGRESOS FORANEOS PREMIUM</t>
  </si>
  <si>
    <t>INGRESOS DIESEL</t>
  </si>
  <si>
    <t>INGRESOS FORANEOS DIESEL</t>
  </si>
  <si>
    <t>INGRESOS ACEITES Y LUBRICANTES</t>
  </si>
  <si>
    <t>SOBRANTE COMBUSTIBLE</t>
  </si>
  <si>
    <t>B - COSTO DE VENTA</t>
  </si>
  <si>
    <t>( menos )</t>
  </si>
  <si>
    <t xml:space="preserve">B - COSTO DE VENTA </t>
  </si>
  <si>
    <t>COSTO MAGNA</t>
  </si>
  <si>
    <t>COSTO FORANEO MAGNA</t>
  </si>
  <si>
    <t>GASOLINA REGULAR</t>
  </si>
  <si>
    <t>COSTO PREMIUM</t>
  </si>
  <si>
    <t>COSTO FORANEO PREMIUM</t>
  </si>
  <si>
    <t>GASOLINA PREMIUM</t>
  </si>
  <si>
    <t>COSTO DIESEL</t>
  </si>
  <si>
    <t>COSTO FORANEO DIESEL</t>
  </si>
  <si>
    <t>Merma Magna</t>
  </si>
  <si>
    <t>MERMA GASOLINA REGULAR</t>
  </si>
  <si>
    <t>Merma Premium</t>
  </si>
  <si>
    <t>MERMA GASOLINA PREMIUM</t>
  </si>
  <si>
    <t>Merma Diesel</t>
  </si>
  <si>
    <t>MERMA DIESEL</t>
  </si>
  <si>
    <t>ADITIVO PARA GASOLINA TMAXIMA (REGULAR)</t>
  </si>
  <si>
    <t>ADITIVO PARA GASOLINA TMAXIMA( REGULAR)</t>
  </si>
  <si>
    <t>SOBRANTE MAGNA</t>
  </si>
  <si>
    <t>ADITIVO PARA GASOLINA TSUPER (PREMIUM)</t>
  </si>
  <si>
    <t>SOBRANTE PREMIUM</t>
  </si>
  <si>
    <t>FLETE MAGNA</t>
  </si>
  <si>
    <t>SOBRANTE DIESEL</t>
  </si>
  <si>
    <t>FLETE PREMIUM</t>
  </si>
  <si>
    <t>ADITIVO TOTAL POWER GASOLINA REG</t>
  </si>
  <si>
    <t>FLETE DIESEL</t>
  </si>
  <si>
    <t>ADITIVO TOTAL POWER GASOLINA PREM</t>
  </si>
  <si>
    <t>Estimulo IEPS Magna</t>
  </si>
  <si>
    <t>FLETE GASOLINA REGULAR</t>
  </si>
  <si>
    <t>FLETE GASOLINA PREMIUM</t>
  </si>
  <si>
    <t>ESTIMULO REGULAR</t>
  </si>
  <si>
    <t>ESTIMULO PREMIUM</t>
  </si>
  <si>
    <t>COSTO ACEITES Y LUBRICANTES</t>
  </si>
  <si>
    <t>BONIFICACION COMPRA DE COMBUSTIBLE MAGNA</t>
  </si>
  <si>
    <t>BONIFICACION COMPRA DE COMBUSTIBLE PREMIUM</t>
  </si>
  <si>
    <t>BONIFICACION COMPRA DE COMBUSTIBLE DIESEL</t>
  </si>
  <si>
    <t>MARGEN DE UTILIDAD</t>
  </si>
  <si>
    <t>*Regular</t>
  </si>
  <si>
    <t>*Premium</t>
  </si>
  <si>
    <t>*Diesel</t>
  </si>
  <si>
    <t>* Aceites y Lubricantes</t>
  </si>
  <si>
    <t>Litros vendidos</t>
  </si>
  <si>
    <t>Maxima</t>
  </si>
  <si>
    <t>Super</t>
  </si>
  <si>
    <t>Diesel</t>
  </si>
  <si>
    <t>Margen de utilidad por combustible</t>
  </si>
  <si>
    <t>E - GASTOS DE OPERACIÓN</t>
  </si>
  <si>
    <t>Servicios Administrativos</t>
  </si>
  <si>
    <t>GASTO ESTACIONES</t>
  </si>
  <si>
    <t>Costo Marketing</t>
  </si>
  <si>
    <t xml:space="preserve">E - GASTOS DE OPERACIÓN </t>
  </si>
  <si>
    <t>Traslado de Valores</t>
  </si>
  <si>
    <t>Asesoría en sistemas</t>
  </si>
  <si>
    <t>Otros Gastos</t>
  </si>
  <si>
    <t>Otros impuestos y derechos</t>
  </si>
  <si>
    <t>Limpieza</t>
  </si>
  <si>
    <t>Propaganda y publicidad</t>
  </si>
  <si>
    <t>Capacitacion al personal</t>
  </si>
  <si>
    <t>Honorarios Administrativos P.F.</t>
  </si>
  <si>
    <t>Honorarios Administrativos P.M.</t>
  </si>
  <si>
    <t>Asistencia técnica</t>
  </si>
  <si>
    <t>Gastos no deducibles (sin requisitos fiscales)</t>
  </si>
  <si>
    <t>Papelería y artículos de oficina</t>
  </si>
  <si>
    <t>Faltantes</t>
  </si>
  <si>
    <t>Licencias y Permisos</t>
  </si>
  <si>
    <t>Licencias, Software, Antivirus</t>
  </si>
  <si>
    <t>Fletes Combustible</t>
  </si>
  <si>
    <t>Viáticos y gastos de viaje</t>
  </si>
  <si>
    <t>Recoleccion de Basura</t>
  </si>
  <si>
    <t>Honorarios de Consultoria</t>
  </si>
  <si>
    <t>Agua para consumo</t>
  </si>
  <si>
    <t>Fletes Mensajeria</t>
  </si>
  <si>
    <t>Honorarios Admvos P.F.</t>
  </si>
  <si>
    <t>Consumos Propios Combustibles</t>
  </si>
  <si>
    <t>Renta Equipo de Sistemas</t>
  </si>
  <si>
    <t>Timbrado Facturas</t>
  </si>
  <si>
    <t>Rentas No Deducibles</t>
  </si>
  <si>
    <t>Uniformes</t>
  </si>
  <si>
    <t>Contratacion Empleados</t>
  </si>
  <si>
    <t>Multas y Recargos</t>
  </si>
  <si>
    <t>C - NOMINA</t>
  </si>
  <si>
    <t>Seguros y fianzas</t>
  </si>
  <si>
    <t>Vigilancia y seguridad</t>
  </si>
  <si>
    <t>Honorarios Fiscales P.F.</t>
  </si>
  <si>
    <t>Honorarios Legales P.M.</t>
  </si>
  <si>
    <t>Calcamonias y senalamientos</t>
  </si>
  <si>
    <t>Cuotas y suscripciones</t>
  </si>
  <si>
    <t>Cumplimiento Sat Anexo 30 y 31</t>
  </si>
  <si>
    <t>Eventos</t>
  </si>
  <si>
    <t>Asesoria Acehico</t>
  </si>
  <si>
    <t>Prediales</t>
  </si>
  <si>
    <t xml:space="preserve">C - NOMINA </t>
  </si>
  <si>
    <t>Aguinaldo</t>
  </si>
  <si>
    <t>Compensaciones</t>
  </si>
  <si>
    <t>Días festivos</t>
  </si>
  <si>
    <t>Fondo de ahorro</t>
  </si>
  <si>
    <t>Indemnizaciones</t>
  </si>
  <si>
    <t>D - COSTO SOCIAL</t>
  </si>
  <si>
    <t>Premios de asistencia</t>
  </si>
  <si>
    <t>Premios de puntualidad</t>
  </si>
  <si>
    <t>Previsión social</t>
  </si>
  <si>
    <t>Prima dominical</t>
  </si>
  <si>
    <t>Prima vacacional</t>
  </si>
  <si>
    <t>F - MANTENIMIENTO</t>
  </si>
  <si>
    <t>Primas de antigüedad</t>
  </si>
  <si>
    <t>PTU</t>
  </si>
  <si>
    <t>Sueldos y salarios</t>
  </si>
  <si>
    <t>Tiempos extras</t>
  </si>
  <si>
    <t>Vacaciones</t>
  </si>
  <si>
    <t xml:space="preserve">D - COSTO SOCIAL </t>
  </si>
  <si>
    <t>Aportaciones al infonavit</t>
  </si>
  <si>
    <t>Aportaciones al SAR</t>
  </si>
  <si>
    <t>Cuotas al IMSS</t>
  </si>
  <si>
    <t>Impuesto estatal sobre nóminas</t>
  </si>
  <si>
    <t xml:space="preserve">F - MANTENIMIENTO </t>
  </si>
  <si>
    <t>Mantenimiento de Equipo de Computo</t>
  </si>
  <si>
    <t>Mantenimiento de Vehiculos</t>
  </si>
  <si>
    <t>Seguridad e Higiene Ambiental</t>
  </si>
  <si>
    <t>Certificacion SASISOPA</t>
  </si>
  <si>
    <t>Protección Cívil, Bomberos y Municipales</t>
  </si>
  <si>
    <t>Verificaciones de estaciones</t>
  </si>
  <si>
    <t>Gastos CRE</t>
  </si>
  <si>
    <t>Certificacion Asea</t>
  </si>
  <si>
    <t>Dictamen de Operación y Mantenimiento NOM-005-ASEA-2026</t>
  </si>
  <si>
    <t>Gastos ASEA</t>
  </si>
  <si>
    <t>Mantenimiento General</t>
  </si>
  <si>
    <t>Extintores</t>
  </si>
  <si>
    <t>Cedula de Operaciones (COA)</t>
  </si>
  <si>
    <t>Analisis de la Calidad de Combustible NOM-016-CRE-2016</t>
  </si>
  <si>
    <t>H - GASTOS FIJOS</t>
  </si>
  <si>
    <t>Limpieza faldon, totem, baños</t>
  </si>
  <si>
    <t>Refacciones dispensarios</t>
  </si>
  <si>
    <t>Plomeria y ferreteria</t>
  </si>
  <si>
    <t>Mantenimiento eléctrico</t>
  </si>
  <si>
    <t>Mantenimiento equipo de estación</t>
  </si>
  <si>
    <t>Agua (Servicio)</t>
  </si>
  <si>
    <t>Mantenimiento de edificios</t>
  </si>
  <si>
    <t>Calibraciones</t>
  </si>
  <si>
    <t>Accesorios</t>
  </si>
  <si>
    <t>Pinturas y Acabados</t>
  </si>
  <si>
    <t>Herramientas de trabajo</t>
  </si>
  <si>
    <t>Mantenimiento a los tanques</t>
  </si>
  <si>
    <t>Pruebas hermeticidad</t>
  </si>
  <si>
    <t>Verificación eléctrica</t>
  </si>
  <si>
    <t>Jardineria</t>
  </si>
  <si>
    <t>Fumigación</t>
  </si>
  <si>
    <t>Limpieza ecológica</t>
  </si>
  <si>
    <t>Recolección de residuos</t>
  </si>
  <si>
    <t>Basura y Recolección</t>
  </si>
  <si>
    <t>Limpieza de baños</t>
  </si>
  <si>
    <t>Dictamen de Calidad de los Petroliferos NOM-016-CRE-2016</t>
  </si>
  <si>
    <t>Mantenimiento de Estaciones</t>
  </si>
  <si>
    <t xml:space="preserve">H - GASTOS FIJOS </t>
  </si>
  <si>
    <t>Arrendamiento Extranjeros</t>
  </si>
  <si>
    <t>Arrendamiento PM resid nal</t>
  </si>
  <si>
    <t>Arrendamiento Vehiculos</t>
  </si>
  <si>
    <t>Energía eléctrica</t>
  </si>
  <si>
    <t>Arrendamiento a personas físicas resid nal</t>
  </si>
  <si>
    <t>Agua Servicio</t>
  </si>
  <si>
    <t>Teléfono, internet</t>
  </si>
  <si>
    <t>TOTAL GASTO DE ESTACION</t>
  </si>
  <si>
    <t>Gasto en estación por litro</t>
  </si>
  <si>
    <t>Gasto en estación por litro sin rentas Ext</t>
  </si>
  <si>
    <t>UTILIDAD DE ESTACIONES</t>
  </si>
  <si>
    <t>GASTO STAFF</t>
  </si>
  <si>
    <t>staff</t>
  </si>
  <si>
    <t>Responsabilidad social</t>
  </si>
  <si>
    <t>Reconocimiento al cliente</t>
  </si>
  <si>
    <t>Mantenimiento de cartera</t>
  </si>
  <si>
    <t>Honorarios Legales P.F.</t>
  </si>
  <si>
    <t>Honorarios Fiscales P.M.</t>
  </si>
  <si>
    <t>Recargos Fiscales</t>
  </si>
  <si>
    <t>Combustibles Reembolsos</t>
  </si>
  <si>
    <t>Capacitación al personal</t>
  </si>
  <si>
    <t>Donativos y ayudas</t>
  </si>
  <si>
    <t>Servicio médico</t>
  </si>
  <si>
    <t>Contingencia Covid</t>
  </si>
  <si>
    <t>Gastos de Representacion</t>
  </si>
  <si>
    <t>Gas Natural</t>
  </si>
  <si>
    <t>Comisiones por tarjetas de crédito</t>
  </si>
  <si>
    <t>Gratificaciones</t>
  </si>
  <si>
    <t>Analisis de combustible</t>
  </si>
  <si>
    <t>Arrendamiento</t>
  </si>
  <si>
    <t>Arrendamiento a personas morales resid nal</t>
  </si>
  <si>
    <t>Arrendamiento a residentes en el extranjero</t>
  </si>
  <si>
    <t>TOTAL GASTO STAFF</t>
  </si>
  <si>
    <t>TOTAL GASTO</t>
  </si>
  <si>
    <t>Gasto en staff por litro</t>
  </si>
  <si>
    <t>TOTAL GASTO (estaciones + staff)</t>
  </si>
  <si>
    <t>UTILIDAD DE OPERACIÓN</t>
  </si>
  <si>
    <t>Gasto total por litro ( estaciones +  staff )</t>
  </si>
  <si>
    <t>TOTAL GASTO (sin rentas ext)</t>
  </si>
  <si>
    <t>Utilidad de operación por litro</t>
  </si>
  <si>
    <t>Gasto total por litro ( estaciones +  staff sin rentas ext)</t>
  </si>
  <si>
    <t>Gasto total por litro ( estaciones +  staff ) sin rentas Ext</t>
  </si>
  <si>
    <t>Utilidad de operación por litro sin rentas Ext</t>
  </si>
  <si>
    <t>informativo</t>
  </si>
  <si>
    <t>UTILIDAD DE OPERACIÓN sin rtas Ext</t>
  </si>
  <si>
    <t>Utilidad de operación por litro sin rtas ext</t>
  </si>
  <si>
    <t>I - INGRESOS NO OPERATIVOS</t>
  </si>
  <si>
    <t xml:space="preserve">I - INGRESOS NO OPERATIVOS </t>
  </si>
  <si>
    <t>Utilidad cambiaria</t>
  </si>
  <si>
    <t>Otros Ingresos</t>
  </si>
  <si>
    <t>Sobrantes</t>
  </si>
  <si>
    <t>Intereses a favor bancarios nacional</t>
  </si>
  <si>
    <t>Intereses a favor por inversiones</t>
  </si>
  <si>
    <t>Ingresos por Rentas</t>
  </si>
  <si>
    <t>Ingresos por servicios admin Alianza Comercial</t>
  </si>
  <si>
    <t>Ganancia en vta y/o baja de autom autob camion</t>
  </si>
  <si>
    <t>Actualización en Devolución de IVA SAT</t>
  </si>
  <si>
    <t xml:space="preserve">Ingresos por servicios Intercompañias </t>
  </si>
  <si>
    <t>Otros ingresos propios</t>
  </si>
  <si>
    <t>Indemnizaciones de Seguro No acumuables</t>
  </si>
  <si>
    <t>Ingresos por Uniformes</t>
  </si>
  <si>
    <t>K - CIF</t>
  </si>
  <si>
    <t xml:space="preserve">K - CIF </t>
  </si>
  <si>
    <t>Pérdida cambiaria</t>
  </si>
  <si>
    <t>Intereses a cargo bancario nacional</t>
  </si>
  <si>
    <t>Comisiones bancarias</t>
  </si>
  <si>
    <t>Intereses a cargo de personas morales nacional</t>
  </si>
  <si>
    <t>J - DEPRECIACIONES Y AMORTIZACIONES</t>
  </si>
  <si>
    <t>Depr de autom, autob, camiones, tractoc</t>
  </si>
  <si>
    <t>Depreciación de adaptaciones y mejoras</t>
  </si>
  <si>
    <t>Depreciación de edificios</t>
  </si>
  <si>
    <t>Depreciación de equipo de cómputo</t>
  </si>
  <si>
    <t>Depreciación de maquinaria y equipo</t>
  </si>
  <si>
    <t>Depreciación de mobiliario y eq de ofic</t>
  </si>
  <si>
    <t>UTILIDAD NETA DE OPERACIÓN</t>
  </si>
  <si>
    <t>L - PARTIDAS EXTRAORDINARIAS TOTAL 2.0</t>
  </si>
  <si>
    <t>Aeronautica</t>
  </si>
  <si>
    <t>Anapra</t>
  </si>
  <si>
    <t>Aztecas</t>
  </si>
  <si>
    <t>Custodia</t>
  </si>
  <si>
    <t>Electrolux</t>
  </si>
  <si>
    <t>Estacion Custodia</t>
  </si>
  <si>
    <t>Estacion Delicias</t>
  </si>
  <si>
    <t>Gemela Chica</t>
  </si>
  <si>
    <t>Gemela Grande</t>
  </si>
  <si>
    <t>Lerdo</t>
  </si>
  <si>
    <t>Lopez Mateos</t>
  </si>
  <si>
    <t>Malecon</t>
  </si>
  <si>
    <t>Miguel de la Madrid</t>
  </si>
  <si>
    <t>Misiones</t>
  </si>
  <si>
    <t>Municipio Libre</t>
  </si>
  <si>
    <t>Parral</t>
  </si>
  <si>
    <t>Permuta</t>
  </si>
  <si>
    <t>Plutarco</t>
  </si>
  <si>
    <t>Puerto de Palos</t>
  </si>
  <si>
    <t>Tecnologico</t>
  </si>
  <si>
    <t>M - OTROS PROYECTOS</t>
  </si>
  <si>
    <t>Hermanos Escobar</t>
  </si>
  <si>
    <t>Estación Hermanos Escobar</t>
  </si>
  <si>
    <t>TOP TIER</t>
  </si>
  <si>
    <t>Bodega de Aditivo</t>
  </si>
  <si>
    <t>Petrotal</t>
  </si>
  <si>
    <t>Expansión 22-26</t>
  </si>
  <si>
    <t>Gasomex</t>
  </si>
  <si>
    <t>Estación Km 30</t>
  </si>
  <si>
    <t>Total Gas de Juárez</t>
  </si>
  <si>
    <t>Estación Praxedis</t>
  </si>
  <si>
    <t>Estación Aduana</t>
  </si>
  <si>
    <t>Proyecto 2 Estaciones en San Miguel Allende</t>
  </si>
  <si>
    <t xml:space="preserve">casa de cambio </t>
  </si>
  <si>
    <t>NFC</t>
  </si>
  <si>
    <t>Estandarización de Procesos</t>
  </si>
  <si>
    <t>OMA Aeropuerto</t>
  </si>
  <si>
    <t>Fletes México</t>
  </si>
  <si>
    <t>Santiago Troncoso</t>
  </si>
  <si>
    <t>Proyecto Vallas Publicitarias</t>
  </si>
  <si>
    <t>One Goal</t>
  </si>
  <si>
    <t>Autolavado Tecnológico</t>
  </si>
  <si>
    <t>Estacion Tijuana</t>
  </si>
  <si>
    <t>Villa Ahumada</t>
  </si>
  <si>
    <t>UTILIDAD DESPUES DE TOTAL 2.0</t>
  </si>
  <si>
    <t>Corporativo</t>
  </si>
  <si>
    <t>GASTO CORPORATIVO</t>
  </si>
  <si>
    <t>UTILIDAD DESPUES GASTO CORPORATIVO</t>
  </si>
  <si>
    <t>T-MAXIMA REGULAR</t>
  </si>
  <si>
    <t>T-SUPER PREMIUM</t>
  </si>
  <si>
    <t>DIESEL AUTOMOTRIZ</t>
  </si>
  <si>
    <t>INGRESOS ADITIVOS</t>
  </si>
  <si>
    <t>INGRESOS ESPECIALES</t>
  </si>
  <si>
    <t>INGRESOS FORANEOS ESPECIALES</t>
  </si>
  <si>
    <t>INGRESOS FORANEOS LUBRICANTES</t>
  </si>
  <si>
    <t>INGRESOS LUBRICANTES</t>
  </si>
  <si>
    <t>PREPAGO facturación (neto)</t>
  </si>
  <si>
    <t>INGRESOS FORANEOS ADITIVOS</t>
  </si>
  <si>
    <t>SOBRANTE REGULAR</t>
  </si>
  <si>
    <t>Estimulo IEPS Premium</t>
  </si>
  <si>
    <t>DESCUENTO SOBRE VENTA</t>
  </si>
  <si>
    <t>COSTO UNIFORMES</t>
  </si>
  <si>
    <t>Regular</t>
  </si>
  <si>
    <t>Premium</t>
  </si>
  <si>
    <t>*Otros Conceptos</t>
  </si>
  <si>
    <t>Margen de utilidad por litro</t>
  </si>
  <si>
    <t>Impuesto Estatal</t>
  </si>
  <si>
    <t>Protección Civil, Bomberos y Municipales</t>
  </si>
  <si>
    <t>gastos CRE</t>
  </si>
  <si>
    <t>gastos ASEA</t>
  </si>
  <si>
    <t>Gastos de administración de construcción</t>
  </si>
  <si>
    <t>Cedula COA</t>
  </si>
  <si>
    <t>Analisis calidad de combustible</t>
  </si>
  <si>
    <t>Mantenimiento de oficina estacion</t>
  </si>
  <si>
    <t xml:space="preserve">Verificaciones profeco </t>
  </si>
  <si>
    <t>Gastos Extranjeros</t>
  </si>
  <si>
    <t>Impuesto estatal</t>
  </si>
  <si>
    <t>UTILIDAD DE OPERACIÓN sin rentas Ext</t>
  </si>
  <si>
    <t>Pérdida en vta y/o baja de autom autob camion</t>
  </si>
  <si>
    <t>UAFIRDA (sin rentas extranjeras)</t>
  </si>
  <si>
    <t>Operativo</t>
  </si>
  <si>
    <t>Ventas</t>
  </si>
  <si>
    <t>Expansión</t>
  </si>
  <si>
    <t>Administración</t>
  </si>
  <si>
    <t>Kilometro 30</t>
  </si>
  <si>
    <t>Praxedis</t>
  </si>
  <si>
    <t>Aduana</t>
  </si>
  <si>
    <t xml:space="preserve">San Miguel de Allende </t>
  </si>
  <si>
    <t>Zona Bajio</t>
  </si>
  <si>
    <t>Fletes Mexico</t>
  </si>
  <si>
    <t>Proyecto 6947</t>
  </si>
  <si>
    <t>Sistema de documentación y procesos web</t>
  </si>
  <si>
    <t>Paneles solares</t>
  </si>
  <si>
    <t>Facturacion 4.0</t>
  </si>
  <si>
    <t>Proyecto Oficinas</t>
  </si>
  <si>
    <t>El castaño</t>
  </si>
  <si>
    <t>Assesment</t>
  </si>
  <si>
    <t>Modificar</t>
  </si>
  <si>
    <t>1 MES SIN GASTO</t>
  </si>
  <si>
    <t>x</t>
  </si>
  <si>
    <t>Revisar con Oliver</t>
  </si>
  <si>
    <t>Se tiene que ir al Costo</t>
  </si>
  <si>
    <t>Esta en Otros Gastos, modificar</t>
  </si>
  <si>
    <t>Rebajar Diana</t>
  </si>
  <si>
    <t>Revisar contabilidad, no se PPTO</t>
  </si>
  <si>
    <t>SASISOPA</t>
  </si>
  <si>
    <t>TI</t>
  </si>
  <si>
    <t>No metieron PPTO Sistemas y Auditoria</t>
  </si>
  <si>
    <t>Listo, Se meten las 4 Est al nuevo sistema</t>
  </si>
  <si>
    <t>En 2025 no se ha terminado por completo los tramites, y es la primera vez que se realizan, 2026 en adelante el tramite se hara completo</t>
  </si>
  <si>
    <t>Listo, de acuerdo Oliver</t>
  </si>
  <si>
    <t>Listo, visto con Operaciones</t>
  </si>
  <si>
    <t>Listo</t>
  </si>
  <si>
    <t>ALMA</t>
  </si>
  <si>
    <t>Listo, Incremento del Tramite Anual SALMA</t>
  </si>
  <si>
    <t>Listo, Mantenimiento hara esta Labor</t>
  </si>
  <si>
    <t>No metieron PPTO Auditoria</t>
  </si>
  <si>
    <t>Jonathan va a Ajustar</t>
  </si>
  <si>
    <t>Listo, no revasa inflacion SALMA</t>
  </si>
  <si>
    <t>pendiente ver precio real con el proveedor SALMA</t>
  </si>
  <si>
    <t>Listo, de acuerdo SALMA</t>
  </si>
  <si>
    <t>Considerar Colosio al 75%</t>
  </si>
  <si>
    <t xml:space="preserve">I - COMISIONES BANCARIAS </t>
  </si>
  <si>
    <t>Gasto en estación por litro sin rentas</t>
  </si>
  <si>
    <t>Utilidad a $2.5MDP</t>
  </si>
  <si>
    <t>UTILIDAD DE ESTACIONES SIN RENTAS</t>
  </si>
  <si>
    <t xml:space="preserve">Colosio </t>
  </si>
  <si>
    <t>SOBRANTE COMBUSTIBLES</t>
  </si>
  <si>
    <t xml:space="preserve"> -   </t>
  </si>
  <si>
    <t>N/A</t>
  </si>
  <si>
    <t xml:space="preserve"> (Verificaciones de estaciones)</t>
  </si>
  <si>
    <t>Verificaciones Profeco</t>
  </si>
  <si>
    <t>Centavos por litro utilidad</t>
  </si>
  <si>
    <t xml:space="preserve">San Rafael </t>
  </si>
  <si>
    <t xml:space="preserve">Puertecito </t>
  </si>
  <si>
    <t>Listo, Diferencia por Litros ER vs Dato Operaciones Ene - Ago</t>
  </si>
  <si>
    <t xml:space="preserve">-   </t>
  </si>
  <si>
    <t>Jesus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</si>
</sst>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%"/>
    <numFmt numFmtId="168" formatCode="[$$-80A]#,##0.00;\-[$$-80A]#,##0.00;[$$-80A]#,##0.00;@"/>
    <numFmt numFmtId="169" formatCode="#,##0_ ;[Red]\-#,##0\ "/>
    <numFmt numFmtId="170" formatCode="_-* #,##0_-;\-* #,##0_-;_-* &quot;-&quot;??_-;_-@_-"/>
    <numFmt numFmtId="171" formatCode="_-[$€-2]* #,##0.00_-;\-[$€-2]* #,##0.00_-;_-[$€-2]* &quot;-&quot;??_-"/>
    <numFmt numFmtId="172" formatCode="0.00_)"/>
    <numFmt numFmtId="173" formatCode="_-* #,##0.000_-;\-* #,##0.000_-;_-* &quot;-&quot;??_-;_-@_-"/>
    <numFmt numFmtId="174" formatCode="_-* #,##0.0000_-;\-* #,##0.0000_-;_-* &quot;-&quot;??_-;_-@_-"/>
    <numFmt numFmtId="175" formatCode="#,##0.00_ ;[Red]\-#,##0.00\ "/>
    <numFmt numFmtId="176" formatCode="_-&quot;$&quot;* #,##0_-;\-&quot;$&quot;* #,##0_-;_-&quot;$&quot;* &quot;-&quot;??_-;_-@_-"/>
    <numFmt numFmtId="177" formatCode="0.000"/>
    <numFmt numFmtId="178" formatCode="_(* #,##0_);_(* \(#,##0\);_(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Narrow"/>
      <family val="2"/>
    </font>
    <font>
      <sz val="8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Arial Narrow"/>
      <family val="2"/>
    </font>
    <font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 Narrow"/>
      <family val="2"/>
    </font>
    <font>
      <sz val="8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Arial Narrow"/>
      <family val="2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6"/>
      <name val="Helv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 Narrow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7E7A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EB9C"/>
      </patternFill>
    </fill>
  </fills>
  <borders count="22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thick">
        <color theme="1"/>
      </bottom>
      <diagonal/>
    </border>
    <border>
      <left/>
      <right style="hair">
        <color theme="0" tint="-4.9989318521683403E-2"/>
      </right>
      <top style="thin">
        <color indexed="64"/>
      </top>
      <bottom style="thick">
        <color theme="1"/>
      </bottom>
      <diagonal/>
    </border>
    <border>
      <left/>
      <right style="hair">
        <color theme="0" tint="-4.9989318521683403E-2"/>
      </right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double">
        <color indexed="64"/>
      </bottom>
      <diagonal/>
    </border>
    <border>
      <left/>
      <right style="hair">
        <color theme="0" tint="-4.9989318521683403E-2"/>
      </right>
      <top style="thin">
        <color indexed="64"/>
      </top>
      <bottom style="double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/>
      <diagonal/>
    </border>
    <border>
      <left/>
      <right style="hair">
        <color theme="0" tint="-0.14996795556505021"/>
      </right>
      <top/>
      <bottom/>
      <diagonal/>
    </border>
    <border>
      <left/>
      <right style="hair">
        <color theme="0" tint="-0.14996795556505021"/>
      </right>
      <top style="hair">
        <color theme="0" tint="-0.14996795556505021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thin">
        <color indexed="64"/>
      </top>
      <bottom style="double">
        <color indexed="64"/>
      </bottom>
      <diagonal/>
    </border>
    <border>
      <left style="hair">
        <color theme="0" tint="-4.9989318521683403E-2"/>
      </left>
      <right/>
      <top/>
      <bottom style="hair">
        <color theme="0" tint="-4.9989318521683403E-2"/>
      </bottom>
      <diagonal/>
    </border>
    <border>
      <left style="hair">
        <color theme="0" tint="-4.9989318521683403E-2"/>
      </left>
      <right/>
      <top/>
      <bottom/>
      <diagonal/>
    </border>
    <border>
      <left style="hair">
        <color theme="0" tint="-4.9989318521683403E-2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34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" fillId="0" borderId="0"/>
    <xf numFmtId="0" fontId="40" fillId="18" borderId="0" applyNumberFormat="0" applyBorder="0" applyAlignment="0" applyProtection="0"/>
  </cellStyleXfs>
  <cellXfs count="295">
    <xf numFmtId="0" fontId="0" fillId="0" borderId="0" xfId="0"/>
    <xf numFmtId="0" fontId="0" fillId="0" borderId="1" xfId="0" applyBorder="1"/>
    <xf numFmtId="167" fontId="6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0" xfId="0" applyFont="1"/>
    <xf numFmtId="0" fontId="3" fillId="0" borderId="0" xfId="0" applyFont="1"/>
    <xf numFmtId="0" fontId="2" fillId="0" borderId="0" xfId="0" applyFont="1"/>
    <xf numFmtId="169" fontId="0" fillId="0" borderId="1" xfId="0" applyNumberFormat="1" applyBorder="1"/>
    <xf numFmtId="167" fontId="6" fillId="3" borderId="1" xfId="3" applyNumberFormat="1" applyFont="1" applyFill="1" applyBorder="1" applyAlignment="1">
      <alignment horizontal="center" vertical="center"/>
    </xf>
    <xf numFmtId="169" fontId="10" fillId="4" borderId="1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7" fontId="6" fillId="0" borderId="1" xfId="3" applyNumberFormat="1" applyFont="1" applyBorder="1" applyAlignment="1">
      <alignment horizontal="center" vertical="center"/>
    </xf>
    <xf numFmtId="167" fontId="6" fillId="4" borderId="1" xfId="3" applyNumberFormat="1" applyFont="1" applyFill="1" applyBorder="1" applyAlignment="1">
      <alignment horizontal="center" vertical="center"/>
    </xf>
    <xf numFmtId="169" fontId="0" fillId="3" borderId="1" xfId="2" applyNumberFormat="1" applyFont="1" applyFill="1" applyBorder="1" applyAlignment="1">
      <alignment vertical="center"/>
    </xf>
    <xf numFmtId="167" fontId="15" fillId="6" borderId="1" xfId="3" applyNumberFormat="1" applyFont="1" applyFill="1" applyBorder="1" applyAlignment="1">
      <alignment horizontal="center" vertical="center"/>
    </xf>
    <xf numFmtId="166" fontId="17" fillId="6" borderId="1" xfId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 indent="5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8" fontId="2" fillId="0" borderId="0" xfId="0" applyNumberFormat="1" applyFont="1" applyAlignment="1">
      <alignment vertical="center"/>
    </xf>
    <xf numFmtId="168" fontId="19" fillId="0" borderId="0" xfId="0" applyNumberFormat="1" applyFont="1" applyAlignment="1">
      <alignment vertical="center"/>
    </xf>
    <xf numFmtId="167" fontId="8" fillId="9" borderId="1" xfId="3" applyNumberFormat="1" applyFont="1" applyFill="1" applyBorder="1" applyAlignment="1">
      <alignment horizontal="center" vertical="center"/>
    </xf>
    <xf numFmtId="169" fontId="9" fillId="9" borderId="1" xfId="2" applyNumberFormat="1" applyFont="1" applyFill="1" applyBorder="1" applyAlignment="1">
      <alignment vertical="center"/>
    </xf>
    <xf numFmtId="0" fontId="20" fillId="9" borderId="2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 indent="5"/>
    </xf>
    <xf numFmtId="169" fontId="0" fillId="3" borderId="2" xfId="2" applyNumberFormat="1" applyFont="1" applyFill="1" applyBorder="1" applyAlignment="1">
      <alignment vertical="center"/>
    </xf>
    <xf numFmtId="0" fontId="14" fillId="3" borderId="0" xfId="0" applyFont="1" applyFill="1" applyAlignment="1">
      <alignment horizontal="left" vertical="center"/>
    </xf>
    <xf numFmtId="167" fontId="15" fillId="10" borderId="1" xfId="3" applyNumberFormat="1" applyFont="1" applyFill="1" applyBorder="1" applyAlignment="1">
      <alignment horizontal="center" vertical="center"/>
    </xf>
    <xf numFmtId="166" fontId="17" fillId="10" borderId="1" xfId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center" indent="8"/>
    </xf>
    <xf numFmtId="170" fontId="17" fillId="10" borderId="1" xfId="1" applyNumberFormat="1" applyFont="1" applyFill="1" applyBorder="1" applyAlignment="1">
      <alignment horizontal="center" vertical="center"/>
    </xf>
    <xf numFmtId="170" fontId="17" fillId="6" borderId="1" xfId="1" applyNumberFormat="1" applyFont="1" applyFill="1" applyBorder="1" applyAlignment="1">
      <alignment horizontal="center" vertical="center"/>
    </xf>
    <xf numFmtId="167" fontId="8" fillId="11" borderId="1" xfId="3" applyNumberFormat="1" applyFont="1" applyFill="1" applyBorder="1" applyAlignment="1">
      <alignment horizontal="center" vertical="center"/>
    </xf>
    <xf numFmtId="169" fontId="9" fillId="11" borderId="1" xfId="2" applyNumberFormat="1" applyFont="1" applyFill="1" applyBorder="1" applyAlignment="1">
      <alignment vertical="center"/>
    </xf>
    <xf numFmtId="0" fontId="20" fillId="11" borderId="2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7" fontId="6" fillId="0" borderId="1" xfId="0" applyNumberFormat="1" applyFont="1" applyBorder="1"/>
    <xf numFmtId="0" fontId="0" fillId="0" borderId="2" xfId="0" applyBorder="1"/>
    <xf numFmtId="0" fontId="19" fillId="0" borderId="0" xfId="0" applyFont="1"/>
    <xf numFmtId="0" fontId="4" fillId="0" borderId="2" xfId="0" applyFont="1" applyBorder="1"/>
    <xf numFmtId="0" fontId="0" fillId="0" borderId="1" xfId="0" applyBorder="1" applyAlignment="1">
      <alignment horizontal="center"/>
    </xf>
    <xf numFmtId="167" fontId="24" fillId="12" borderId="1" xfId="0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/>
    </xf>
    <xf numFmtId="0" fontId="25" fillId="8" borderId="2" xfId="0" applyFont="1" applyFill="1" applyBorder="1" applyAlignment="1">
      <alignment horizontal="center"/>
    </xf>
    <xf numFmtId="0" fontId="27" fillId="8" borderId="2" xfId="0" applyFont="1" applyFill="1" applyBorder="1" applyAlignment="1">
      <alignment horizontal="center"/>
    </xf>
    <xf numFmtId="0" fontId="25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9" fillId="0" borderId="1" xfId="0" applyFont="1" applyBorder="1"/>
    <xf numFmtId="167" fontId="24" fillId="13" borderId="1" xfId="0" applyNumberFormat="1" applyFont="1" applyFill="1" applyBorder="1" applyAlignment="1">
      <alignment vertical="center"/>
    </xf>
    <xf numFmtId="0" fontId="30" fillId="7" borderId="2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5" fillId="0" borderId="1" xfId="0" applyFont="1" applyBorder="1"/>
    <xf numFmtId="167" fontId="2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68" fontId="30" fillId="7" borderId="15" xfId="0" applyNumberFormat="1" applyFont="1" applyFill="1" applyBorder="1" applyAlignment="1">
      <alignment horizontal="center" vertical="center"/>
    </xf>
    <xf numFmtId="168" fontId="30" fillId="7" borderId="2" xfId="0" applyNumberFormat="1" applyFont="1" applyFill="1" applyBorder="1" applyAlignment="1">
      <alignment horizontal="center" vertical="center"/>
    </xf>
    <xf numFmtId="168" fontId="30" fillId="7" borderId="16" xfId="0" applyNumberFormat="1" applyFont="1" applyFill="1" applyBorder="1" applyAlignment="1">
      <alignment horizontal="center" vertical="center"/>
    </xf>
    <xf numFmtId="0" fontId="30" fillId="7" borderId="15" xfId="0" applyFont="1" applyFill="1" applyBorder="1" applyAlignment="1">
      <alignment horizontal="center" vertical="center"/>
    </xf>
    <xf numFmtId="166" fontId="10" fillId="4" borderId="1" xfId="1" applyFont="1" applyFill="1" applyBorder="1" applyAlignment="1">
      <alignment vertical="center"/>
    </xf>
    <xf numFmtId="166" fontId="18" fillId="4" borderId="1" xfId="1" applyFont="1" applyFill="1" applyBorder="1" applyAlignment="1">
      <alignment vertical="center"/>
    </xf>
    <xf numFmtId="166" fontId="10" fillId="4" borderId="2" xfId="1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12" borderId="15" xfId="0" applyFont="1" applyFill="1" applyBorder="1" applyAlignment="1">
      <alignment horizontal="center"/>
    </xf>
    <xf numFmtId="169" fontId="7" fillId="0" borderId="16" xfId="0" applyNumberFormat="1" applyFont="1" applyBorder="1"/>
    <xf numFmtId="169" fontId="7" fillId="3" borderId="16" xfId="2" applyNumberFormat="1" applyFont="1" applyFill="1" applyBorder="1" applyAlignment="1">
      <alignment vertical="center"/>
    </xf>
    <xf numFmtId="167" fontId="7" fillId="3" borderId="16" xfId="3" applyNumberFormat="1" applyFont="1" applyFill="1" applyBorder="1" applyAlignment="1">
      <alignment horizontal="center" vertical="center"/>
    </xf>
    <xf numFmtId="167" fontId="7" fillId="6" borderId="16" xfId="3" applyNumberFormat="1" applyFont="1" applyFill="1" applyBorder="1" applyAlignment="1">
      <alignment horizontal="center" vertical="center"/>
    </xf>
    <xf numFmtId="167" fontId="16" fillId="6" borderId="16" xfId="3" applyNumberFormat="1" applyFont="1" applyFill="1" applyBorder="1" applyAlignment="1">
      <alignment horizontal="center" vertical="center"/>
    </xf>
    <xf numFmtId="167" fontId="7" fillId="0" borderId="16" xfId="3" applyNumberFormat="1" applyFont="1" applyBorder="1" applyAlignment="1">
      <alignment horizontal="center" vertical="center"/>
    </xf>
    <xf numFmtId="167" fontId="7" fillId="3" borderId="15" xfId="3" applyNumberFormat="1" applyFont="1" applyFill="1" applyBorder="1" applyAlignment="1">
      <alignment horizontal="center" vertical="center"/>
    </xf>
    <xf numFmtId="167" fontId="7" fillId="9" borderId="16" xfId="3" applyNumberFormat="1" applyFont="1" applyFill="1" applyBorder="1" applyAlignment="1">
      <alignment horizontal="center" vertical="center"/>
    </xf>
    <xf numFmtId="167" fontId="7" fillId="0" borderId="18" xfId="3" applyNumberFormat="1" applyFont="1" applyBorder="1" applyAlignment="1">
      <alignment horizontal="center" vertical="center"/>
    </xf>
    <xf numFmtId="167" fontId="7" fillId="3" borderId="19" xfId="3" applyNumberFormat="1" applyFont="1" applyFill="1" applyBorder="1" applyAlignment="1">
      <alignment horizontal="center" vertical="center"/>
    </xf>
    <xf numFmtId="167" fontId="7" fillId="5" borderId="17" xfId="3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169" fontId="7" fillId="0" borderId="16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2" fillId="14" borderId="0" xfId="0" applyFont="1" applyFill="1" applyAlignment="1">
      <alignment vertical="center"/>
    </xf>
    <xf numFmtId="168" fontId="30" fillId="14" borderId="0" xfId="0" applyNumberFormat="1" applyFont="1" applyFill="1" applyAlignment="1">
      <alignment vertical="center"/>
    </xf>
    <xf numFmtId="0" fontId="12" fillId="14" borderId="0" xfId="0" applyFont="1" applyFill="1" applyAlignment="1">
      <alignment horizontal="center"/>
    </xf>
    <xf numFmtId="169" fontId="7" fillId="14" borderId="0" xfId="0" applyNumberFormat="1" applyFont="1" applyFill="1"/>
    <xf numFmtId="169" fontId="7" fillId="14" borderId="0" xfId="2" applyNumberFormat="1" applyFont="1" applyFill="1" applyBorder="1" applyAlignment="1">
      <alignment vertical="center"/>
    </xf>
    <xf numFmtId="167" fontId="7" fillId="14" borderId="0" xfId="3" applyNumberFormat="1" applyFont="1" applyFill="1" applyBorder="1" applyAlignment="1">
      <alignment horizontal="center" vertical="center"/>
    </xf>
    <xf numFmtId="167" fontId="16" fillId="14" borderId="0" xfId="3" applyNumberFormat="1" applyFont="1" applyFill="1" applyBorder="1" applyAlignment="1">
      <alignment horizontal="center" vertical="center"/>
    </xf>
    <xf numFmtId="167" fontId="12" fillId="14" borderId="0" xfId="3" applyNumberFormat="1" applyFont="1" applyFill="1" applyBorder="1" applyAlignment="1">
      <alignment horizontal="center" vertical="center"/>
    </xf>
    <xf numFmtId="167" fontId="7" fillId="14" borderId="0" xfId="3" applyNumberFormat="1" applyFont="1" applyFill="1" applyBorder="1" applyAlignment="1">
      <alignment horizontal="center"/>
    </xf>
    <xf numFmtId="0" fontId="7" fillId="14" borderId="0" xfId="0" applyFont="1" applyFill="1" applyAlignment="1">
      <alignment vertical="center"/>
    </xf>
    <xf numFmtId="169" fontId="7" fillId="14" borderId="0" xfId="0" applyNumberFormat="1" applyFont="1" applyFill="1" applyAlignment="1">
      <alignment vertical="center"/>
    </xf>
    <xf numFmtId="166" fontId="0" fillId="0" borderId="0" xfId="1" applyFont="1"/>
    <xf numFmtId="174" fontId="0" fillId="0" borderId="0" xfId="1" applyNumberFormat="1" applyFont="1"/>
    <xf numFmtId="174" fontId="0" fillId="0" borderId="0" xfId="0" applyNumberFormat="1"/>
    <xf numFmtId="166" fontId="0" fillId="0" borderId="0" xfId="1" applyFont="1" applyFill="1" applyBorder="1"/>
    <xf numFmtId="0" fontId="5" fillId="14" borderId="0" xfId="0" applyFont="1" applyFill="1"/>
    <xf numFmtId="0" fontId="2" fillId="14" borderId="0" xfId="0" applyFont="1" applyFill="1"/>
    <xf numFmtId="2" fontId="5" fillId="14" borderId="0" xfId="0" applyNumberFormat="1" applyFont="1" applyFill="1"/>
    <xf numFmtId="9" fontId="0" fillId="0" borderId="0" xfId="3" applyFont="1"/>
    <xf numFmtId="0" fontId="35" fillId="15" borderId="21" xfId="0" applyFont="1" applyFill="1" applyBorder="1"/>
    <xf numFmtId="0" fontId="0" fillId="0" borderId="21" xfId="0" applyBorder="1"/>
    <xf numFmtId="2" fontId="0" fillId="0" borderId="21" xfId="0" applyNumberFormat="1" applyBorder="1"/>
    <xf numFmtId="10" fontId="0" fillId="0" borderId="21" xfId="3" applyNumberFormat="1" applyFont="1" applyBorder="1"/>
    <xf numFmtId="10" fontId="36" fillId="0" borderId="0" xfId="3" applyNumberFormat="1" applyFont="1" applyBorder="1"/>
    <xf numFmtId="10" fontId="0" fillId="0" borderId="0" xfId="3" applyNumberFormat="1" applyFont="1" applyBorder="1"/>
    <xf numFmtId="173" fontId="0" fillId="0" borderId="0" xfId="1" applyNumberFormat="1" applyFont="1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166" fontId="0" fillId="0" borderId="0" xfId="1" applyFont="1" applyBorder="1"/>
    <xf numFmtId="10" fontId="37" fillId="0" borderId="0" xfId="3" applyNumberFormat="1" applyFont="1" applyFill="1" applyBorder="1"/>
    <xf numFmtId="9" fontId="0" fillId="0" borderId="0" xfId="3" applyFont="1" applyFill="1" applyBorder="1"/>
    <xf numFmtId="0" fontId="23" fillId="0" borderId="2" xfId="0" applyFont="1" applyBorder="1" applyAlignment="1">
      <alignment horizontal="left" vertical="center" indent="5"/>
    </xf>
    <xf numFmtId="166" fontId="0" fillId="17" borderId="0" xfId="1" applyFont="1" applyFill="1" applyBorder="1"/>
    <xf numFmtId="2" fontId="0" fillId="0" borderId="0" xfId="0" applyNumberFormat="1"/>
    <xf numFmtId="166" fontId="0" fillId="0" borderId="0" xfId="0" applyNumberFormat="1"/>
    <xf numFmtId="0" fontId="14" fillId="0" borderId="13" xfId="0" applyFont="1" applyBorder="1" applyAlignment="1">
      <alignment horizontal="left" vertical="center" indent="3"/>
    </xf>
    <xf numFmtId="0" fontId="14" fillId="0" borderId="7" xfId="0" applyFont="1" applyBorder="1" applyAlignment="1">
      <alignment horizontal="left" vertical="center" indent="3"/>
    </xf>
    <xf numFmtId="0" fontId="14" fillId="0" borderId="4" xfId="0" applyFont="1" applyBorder="1" applyAlignment="1">
      <alignment horizontal="left" vertical="center" indent="3"/>
    </xf>
    <xf numFmtId="167" fontId="6" fillId="0" borderId="1" xfId="3" applyNumberFormat="1" applyFont="1" applyFill="1" applyBorder="1" applyAlignment="1">
      <alignment horizontal="center" vertical="center"/>
    </xf>
    <xf numFmtId="170" fontId="10" fillId="4" borderId="1" xfId="1" applyNumberFormat="1" applyFont="1" applyFill="1" applyBorder="1" applyAlignment="1">
      <alignment vertical="center"/>
    </xf>
    <xf numFmtId="173" fontId="0" fillId="0" borderId="0" xfId="1" applyNumberFormat="1" applyFont="1" applyFill="1" applyBorder="1"/>
    <xf numFmtId="165" fontId="0" fillId="0" borderId="1" xfId="2" applyFont="1" applyBorder="1"/>
    <xf numFmtId="0" fontId="14" fillId="0" borderId="12" xfId="0" applyFont="1" applyBorder="1" applyAlignment="1">
      <alignment horizontal="left" vertical="center" indent="3"/>
    </xf>
    <xf numFmtId="0" fontId="14" fillId="0" borderId="11" xfId="0" applyFont="1" applyBorder="1" applyAlignment="1">
      <alignment horizontal="left" vertical="center" indent="3"/>
    </xf>
    <xf numFmtId="0" fontId="3" fillId="16" borderId="0" xfId="0" applyFont="1" applyFill="1"/>
    <xf numFmtId="0" fontId="14" fillId="0" borderId="4" xfId="0" applyFont="1" applyBorder="1" applyAlignment="1">
      <alignment horizontal="left" vertical="center"/>
    </xf>
    <xf numFmtId="166" fontId="0" fillId="0" borderId="1" xfId="0" applyNumberFormat="1" applyBorder="1"/>
    <xf numFmtId="173" fontId="0" fillId="0" borderId="1" xfId="0" applyNumberFormat="1" applyBorder="1"/>
    <xf numFmtId="177" fontId="0" fillId="0" borderId="0" xfId="0" applyNumberFormat="1"/>
    <xf numFmtId="0" fontId="30" fillId="7" borderId="15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8" fontId="0" fillId="0" borderId="3" xfId="0" applyNumberFormat="1" applyBorder="1" applyAlignment="1">
      <alignment vertical="center"/>
    </xf>
    <xf numFmtId="169" fontId="13" fillId="7" borderId="8" xfId="0" applyNumberFormat="1" applyFont="1" applyFill="1" applyBorder="1" applyAlignment="1">
      <alignment vertical="center"/>
    </xf>
    <xf numFmtId="169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 vertical="center" indent="3"/>
    </xf>
    <xf numFmtId="168" fontId="4" fillId="0" borderId="2" xfId="0" applyNumberFormat="1" applyFont="1" applyBorder="1" applyAlignment="1">
      <alignment vertical="center"/>
    </xf>
    <xf numFmtId="0" fontId="13" fillId="7" borderId="9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2" xfId="0" applyFont="1" applyBorder="1" applyAlignment="1">
      <alignment horizontal="left" vertical="center" indent="3"/>
    </xf>
    <xf numFmtId="0" fontId="0" fillId="0" borderId="7" xfId="0" applyBorder="1" applyAlignment="1">
      <alignment vertical="center"/>
    </xf>
    <xf numFmtId="0" fontId="14" fillId="3" borderId="2" xfId="0" applyFont="1" applyFill="1" applyBorder="1" applyAlignment="1">
      <alignment horizontal="left" vertical="center" indent="3"/>
    </xf>
    <xf numFmtId="0" fontId="23" fillId="3" borderId="2" xfId="0" applyFont="1" applyFill="1" applyBorder="1" applyAlignment="1">
      <alignment horizontal="left" vertical="center" indent="5"/>
    </xf>
    <xf numFmtId="0" fontId="4" fillId="0" borderId="4" xfId="0" applyFont="1" applyBorder="1" applyAlignment="1">
      <alignment horizontal="left" vertical="center" indent="3"/>
    </xf>
    <xf numFmtId="0" fontId="14" fillId="3" borderId="14" xfId="0" applyFont="1" applyFill="1" applyBorder="1" applyAlignment="1">
      <alignment horizontal="left" vertical="center" indent="3"/>
    </xf>
    <xf numFmtId="0" fontId="14" fillId="3" borderId="13" xfId="0" applyFont="1" applyFill="1" applyBorder="1" applyAlignment="1">
      <alignment horizontal="left" vertical="center" indent="3"/>
    </xf>
    <xf numFmtId="0" fontId="14" fillId="3" borderId="12" xfId="0" applyFont="1" applyFill="1" applyBorder="1" applyAlignment="1">
      <alignment horizontal="left" vertical="center" indent="3"/>
    </xf>
    <xf numFmtId="0" fontId="14" fillId="3" borderId="11" xfId="0" applyFont="1" applyFill="1" applyBorder="1" applyAlignment="1">
      <alignment horizontal="left" vertical="center" indent="3"/>
    </xf>
    <xf numFmtId="0" fontId="9" fillId="5" borderId="9" xfId="0" applyFont="1" applyFill="1" applyBorder="1" applyAlignment="1">
      <alignment vertical="center"/>
    </xf>
    <xf numFmtId="169" fontId="9" fillId="5" borderId="8" xfId="0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169" fontId="9" fillId="2" borderId="5" xfId="0" applyNumberFormat="1" applyFont="1" applyFill="1" applyBorder="1" applyAlignment="1">
      <alignment vertical="center"/>
    </xf>
    <xf numFmtId="167" fontId="11" fillId="7" borderId="8" xfId="3" applyNumberFormat="1" applyFont="1" applyFill="1" applyBorder="1" applyAlignment="1">
      <alignment horizontal="center" vertical="center"/>
    </xf>
    <xf numFmtId="167" fontId="6" fillId="0" borderId="3" xfId="3" applyNumberFormat="1" applyFont="1" applyBorder="1" applyAlignment="1">
      <alignment horizontal="center" vertical="center"/>
    </xf>
    <xf numFmtId="167" fontId="6" fillId="0" borderId="0" xfId="3" applyNumberFormat="1" applyFont="1" applyBorder="1" applyAlignment="1">
      <alignment horizontal="center"/>
    </xf>
    <xf numFmtId="167" fontId="6" fillId="0" borderId="0" xfId="3" applyNumberFormat="1" applyFont="1" applyBorder="1" applyAlignment="1">
      <alignment horizontal="center" vertical="center"/>
    </xf>
    <xf numFmtId="167" fontId="6" fillId="4" borderId="10" xfId="3" applyNumberFormat="1" applyFont="1" applyFill="1" applyBorder="1" applyAlignment="1">
      <alignment horizontal="center" vertical="center"/>
    </xf>
    <xf numFmtId="167" fontId="6" fillId="3" borderId="10" xfId="3" applyNumberFormat="1" applyFont="1" applyFill="1" applyBorder="1" applyAlignment="1">
      <alignment horizontal="center" vertical="center"/>
    </xf>
    <xf numFmtId="167" fontId="8" fillId="5" borderId="8" xfId="3" applyNumberFormat="1" applyFont="1" applyFill="1" applyBorder="1" applyAlignment="1">
      <alignment horizontal="center" vertical="center"/>
    </xf>
    <xf numFmtId="167" fontId="8" fillId="2" borderId="5" xfId="3" applyNumberFormat="1" applyFont="1" applyFill="1" applyBorder="1" applyAlignment="1">
      <alignment horizontal="center" vertical="center"/>
    </xf>
    <xf numFmtId="167" fontId="6" fillId="0" borderId="3" xfId="0" applyNumberFormat="1" applyFont="1" applyBorder="1" applyAlignment="1">
      <alignment vertical="center"/>
    </xf>
    <xf numFmtId="167" fontId="7" fillId="0" borderId="0" xfId="3" applyNumberFormat="1" applyFont="1" applyBorder="1" applyAlignment="1">
      <alignment horizontal="center"/>
    </xf>
    <xf numFmtId="167" fontId="7" fillId="0" borderId="0" xfId="3" applyNumberFormat="1" applyFont="1" applyBorder="1" applyAlignment="1">
      <alignment horizontal="center" vertical="center"/>
    </xf>
    <xf numFmtId="169" fontId="0" fillId="0" borderId="0" xfId="0" applyNumberFormat="1" applyAlignment="1">
      <alignment vertical="center"/>
    </xf>
    <xf numFmtId="0" fontId="14" fillId="0" borderId="14" xfId="0" applyFont="1" applyBorder="1" applyAlignment="1">
      <alignment horizontal="left" vertical="center" indent="3"/>
    </xf>
    <xf numFmtId="0" fontId="14" fillId="0" borderId="2" xfId="0" applyFont="1" applyBorder="1" applyAlignment="1">
      <alignment horizontal="left" vertical="center" indent="3"/>
    </xf>
    <xf numFmtId="167" fontId="12" fillId="7" borderId="17" xfId="3" applyNumberFormat="1" applyFont="1" applyFill="1" applyBorder="1" applyAlignment="1">
      <alignment horizontal="center" vertical="center"/>
    </xf>
    <xf numFmtId="167" fontId="7" fillId="4" borderId="15" xfId="3" applyNumberFormat="1" applyFont="1" applyFill="1" applyBorder="1" applyAlignment="1">
      <alignment horizontal="center" vertical="center"/>
    </xf>
    <xf numFmtId="167" fontId="7" fillId="2" borderId="20" xfId="3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 indent="3"/>
    </xf>
    <xf numFmtId="0" fontId="21" fillId="0" borderId="2" xfId="0" applyFont="1" applyBorder="1" applyAlignment="1">
      <alignment horizontal="left" vertical="center" indent="3"/>
    </xf>
    <xf numFmtId="175" fontId="0" fillId="0" borderId="1" xfId="0" applyNumberFormat="1" applyBorder="1"/>
    <xf numFmtId="167" fontId="6" fillId="0" borderId="16" xfId="3" applyNumberFormat="1" applyFont="1" applyBorder="1" applyAlignment="1">
      <alignment horizontal="center" vertical="center"/>
    </xf>
    <xf numFmtId="167" fontId="6" fillId="3" borderId="16" xfId="3" applyNumberFormat="1" applyFont="1" applyFill="1" applyBorder="1" applyAlignment="1">
      <alignment horizontal="center" vertical="center"/>
    </xf>
    <xf numFmtId="167" fontId="6" fillId="4" borderId="16" xfId="3" applyNumberFormat="1" applyFont="1" applyFill="1" applyBorder="1" applyAlignment="1">
      <alignment horizontal="center" vertical="center"/>
    </xf>
    <xf numFmtId="167" fontId="15" fillId="6" borderId="16" xfId="3" applyNumberFormat="1" applyFont="1" applyFill="1" applyBorder="1" applyAlignment="1">
      <alignment horizontal="center" vertical="center"/>
    </xf>
    <xf numFmtId="167" fontId="8" fillId="9" borderId="16" xfId="3" applyNumberFormat="1" applyFont="1" applyFill="1" applyBorder="1" applyAlignment="1">
      <alignment horizontal="center" vertical="center"/>
    </xf>
    <xf numFmtId="167" fontId="8" fillId="11" borderId="16" xfId="3" applyNumberFormat="1" applyFont="1" applyFill="1" applyBorder="1" applyAlignment="1">
      <alignment horizontal="center" vertical="center"/>
    </xf>
    <xf numFmtId="167" fontId="15" fillId="10" borderId="16" xfId="3" applyNumberFormat="1" applyFont="1" applyFill="1" applyBorder="1" applyAlignment="1">
      <alignment horizontal="center" vertical="center"/>
    </xf>
    <xf numFmtId="167" fontId="6" fillId="0" borderId="16" xfId="3" applyNumberFormat="1" applyFont="1" applyFill="1" applyBorder="1" applyAlignment="1">
      <alignment horizontal="center" vertical="center"/>
    </xf>
    <xf numFmtId="10" fontId="36" fillId="0" borderId="0" xfId="3" applyNumberFormat="1" applyFont="1" applyFill="1" applyBorder="1"/>
    <xf numFmtId="165" fontId="36" fillId="0" borderId="0" xfId="2" applyFont="1" applyFill="1" applyBorder="1"/>
    <xf numFmtId="165" fontId="0" fillId="0" borderId="0" xfId="0" applyNumberFormat="1"/>
    <xf numFmtId="165" fontId="0" fillId="0" borderId="0" xfId="2" applyFont="1" applyFill="1"/>
    <xf numFmtId="0" fontId="7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8" fillId="0" borderId="0" xfId="0" applyFont="1"/>
    <xf numFmtId="0" fontId="38" fillId="7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/>
    </xf>
    <xf numFmtId="0" fontId="38" fillId="0" borderId="0" xfId="0" applyFont="1"/>
    <xf numFmtId="0" fontId="18" fillId="0" borderId="0" xfId="0" applyFont="1" applyAlignment="1">
      <alignment vertical="center"/>
    </xf>
    <xf numFmtId="168" fontId="38" fillId="0" borderId="0" xfId="0" applyNumberFormat="1" applyFont="1" applyAlignment="1">
      <alignment vertical="center"/>
    </xf>
    <xf numFmtId="0" fontId="18" fillId="16" borderId="0" xfId="0" applyFont="1" applyFill="1"/>
    <xf numFmtId="0" fontId="39" fillId="6" borderId="2" xfId="0" applyFont="1" applyFill="1" applyBorder="1" applyAlignment="1">
      <alignment horizontal="left" vertical="center" indent="2"/>
    </xf>
    <xf numFmtId="0" fontId="39" fillId="6" borderId="0" xfId="0" applyFont="1" applyFill="1" applyAlignment="1">
      <alignment horizontal="left" vertical="center" indent="2"/>
    </xf>
    <xf numFmtId="167" fontId="7" fillId="0" borderId="16" xfId="3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0" fillId="18" borderId="0" xfId="68"/>
    <xf numFmtId="0" fontId="0" fillId="0" borderId="0" xfId="0" applyAlignment="1">
      <alignment horizontal="center" vertical="center"/>
    </xf>
    <xf numFmtId="166" fontId="1" fillId="0" borderId="0" xfId="1" applyFont="1" applyBorder="1"/>
    <xf numFmtId="9" fontId="1" fillId="0" borderId="0" xfId="3" applyFont="1" applyFill="1" applyBorder="1"/>
    <xf numFmtId="10" fontId="4" fillId="0" borderId="0" xfId="3" applyNumberFormat="1" applyFont="1" applyFill="1" applyBorder="1"/>
    <xf numFmtId="10" fontId="4" fillId="0" borderId="0" xfId="3" applyNumberFormat="1" applyFont="1" applyFill="1"/>
    <xf numFmtId="10" fontId="4" fillId="0" borderId="0" xfId="3" applyNumberFormat="1" applyFont="1"/>
    <xf numFmtId="10" fontId="4" fillId="0" borderId="0" xfId="3" applyNumberFormat="1" applyFont="1" applyBorder="1"/>
    <xf numFmtId="10" fontId="0" fillId="0" borderId="0" xfId="0" applyNumberFormat="1"/>
    <xf numFmtId="0" fontId="41" fillId="3" borderId="2" xfId="0" applyFont="1" applyFill="1" applyBorder="1" applyAlignment="1">
      <alignment horizontal="left" vertical="center" indent="5"/>
    </xf>
    <xf numFmtId="0" fontId="41" fillId="3" borderId="2" xfId="0" applyFont="1" applyFill="1" applyBorder="1" applyAlignment="1">
      <alignment horizontal="left" vertical="center" indent="3"/>
    </xf>
    <xf numFmtId="167" fontId="7" fillId="6" borderId="0" xfId="3" applyNumberFormat="1" applyFont="1" applyFill="1" applyBorder="1" applyAlignment="1">
      <alignment horizontal="center" vertical="center"/>
    </xf>
    <xf numFmtId="167" fontId="6" fillId="4" borderId="0" xfId="3" applyNumberFormat="1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3" fillId="5" borderId="9" xfId="0" applyFont="1" applyFill="1" applyBorder="1" applyAlignment="1">
      <alignment vertical="center"/>
    </xf>
    <xf numFmtId="0" fontId="44" fillId="0" borderId="0" xfId="0" applyFont="1"/>
    <xf numFmtId="169" fontId="45" fillId="5" borderId="8" xfId="0" applyNumberFormat="1" applyFont="1" applyFill="1" applyBorder="1" applyAlignment="1">
      <alignment vertical="center"/>
    </xf>
    <xf numFmtId="167" fontId="46" fillId="5" borderId="8" xfId="3" applyNumberFormat="1" applyFont="1" applyFill="1" applyBorder="1" applyAlignment="1">
      <alignment horizontal="center" vertical="center"/>
    </xf>
    <xf numFmtId="167" fontId="8" fillId="0" borderId="8" xfId="3" applyNumberFormat="1" applyFont="1" applyFill="1" applyBorder="1" applyAlignment="1">
      <alignment horizontal="center" vertical="center"/>
    </xf>
    <xf numFmtId="0" fontId="46" fillId="0" borderId="1" xfId="0" applyFont="1" applyBorder="1"/>
    <xf numFmtId="0" fontId="43" fillId="0" borderId="4" xfId="0" applyFont="1" applyBorder="1" applyAlignment="1">
      <alignment horizontal="left" vertical="center" indent="3"/>
    </xf>
    <xf numFmtId="0" fontId="41" fillId="0" borderId="0" xfId="0" applyFont="1"/>
    <xf numFmtId="0" fontId="47" fillId="10" borderId="2" xfId="0" applyFont="1" applyFill="1" applyBorder="1" applyAlignment="1">
      <alignment horizontal="left" vertical="center" indent="8"/>
    </xf>
    <xf numFmtId="0" fontId="23" fillId="3" borderId="0" xfId="0" applyFont="1" applyFill="1"/>
    <xf numFmtId="0" fontId="23" fillId="3" borderId="0" xfId="0" applyFont="1" applyFill="1" applyAlignment="1">
      <alignment vertical="center"/>
    </xf>
    <xf numFmtId="0" fontId="23" fillId="3" borderId="0" xfId="0" applyFont="1" applyFill="1" applyAlignment="1">
      <alignment horizontal="left" vertical="center" indent="5"/>
    </xf>
    <xf numFmtId="0" fontId="23" fillId="0" borderId="0" xfId="0" applyFont="1"/>
    <xf numFmtId="0" fontId="17" fillId="6" borderId="1" xfId="1" applyNumberFormat="1" applyFont="1" applyFill="1" applyBorder="1" applyAlignment="1">
      <alignment horizontal="center" vertical="center"/>
    </xf>
    <xf numFmtId="2" fontId="0" fillId="0" borderId="0" xfId="3" applyNumberFormat="1" applyFont="1"/>
    <xf numFmtId="2" fontId="0" fillId="0" borderId="0" xfId="3" applyNumberFormat="1" applyFont="1" applyFill="1" applyBorder="1"/>
    <xf numFmtId="2" fontId="17" fillId="6" borderId="1" xfId="1" applyNumberFormat="1" applyFont="1" applyFill="1" applyBorder="1" applyAlignment="1">
      <alignment horizontal="center" vertical="center"/>
    </xf>
    <xf numFmtId="170" fontId="0" fillId="0" borderId="1" xfId="0" applyNumberFormat="1" applyBorder="1"/>
    <xf numFmtId="9" fontId="0" fillId="0" borderId="1" xfId="3" applyFont="1" applyBorder="1"/>
    <xf numFmtId="10" fontId="15" fillId="6" borderId="16" xfId="3" applyNumberFormat="1" applyFont="1" applyFill="1" applyBorder="1" applyAlignment="1">
      <alignment horizontal="center" vertical="center"/>
    </xf>
    <xf numFmtId="10" fontId="15" fillId="10" borderId="16" xfId="3" applyNumberFormat="1" applyFont="1" applyFill="1" applyBorder="1" applyAlignment="1">
      <alignment horizontal="center" vertical="center"/>
    </xf>
    <xf numFmtId="10" fontId="15" fillId="10" borderId="1" xfId="3" applyNumberFormat="1" applyFont="1" applyFill="1" applyBorder="1" applyAlignment="1">
      <alignment horizontal="center" vertical="center"/>
    </xf>
    <xf numFmtId="169" fontId="0" fillId="3" borderId="1" xfId="45" applyNumberFormat="1" applyFont="1" applyFill="1" applyBorder="1" applyAlignment="1">
      <alignment vertical="center"/>
    </xf>
    <xf numFmtId="169" fontId="7" fillId="3" borderId="16" xfId="45" applyNumberFormat="1" applyFont="1" applyFill="1" applyBorder="1" applyAlignment="1">
      <alignment vertical="center"/>
    </xf>
    <xf numFmtId="169" fontId="7" fillId="14" borderId="0" xfId="45" applyNumberFormat="1" applyFont="1" applyFill="1" applyBorder="1" applyAlignment="1">
      <alignment vertical="center"/>
    </xf>
    <xf numFmtId="43" fontId="10" fillId="4" borderId="1" xfId="65" applyFont="1" applyFill="1" applyBorder="1" applyAlignment="1">
      <alignment vertical="center"/>
    </xf>
    <xf numFmtId="169" fontId="10" fillId="4" borderId="1" xfId="45" applyNumberFormat="1" applyFont="1" applyFill="1" applyBorder="1" applyAlignment="1">
      <alignment vertical="center"/>
    </xf>
    <xf numFmtId="43" fontId="18" fillId="4" borderId="1" xfId="65" applyFont="1" applyFill="1" applyBorder="1" applyAlignment="1">
      <alignment vertical="center"/>
    </xf>
    <xf numFmtId="169" fontId="9" fillId="11" borderId="1" xfId="45" applyNumberFormat="1" applyFont="1" applyFill="1" applyBorder="1" applyAlignment="1">
      <alignment vertical="center"/>
    </xf>
    <xf numFmtId="43" fontId="17" fillId="10" borderId="1" xfId="65" applyFont="1" applyFill="1" applyBorder="1" applyAlignment="1">
      <alignment horizontal="center" vertical="center"/>
    </xf>
    <xf numFmtId="170" fontId="17" fillId="10" borderId="1" xfId="65" applyNumberFormat="1" applyFont="1" applyFill="1" applyBorder="1" applyAlignment="1">
      <alignment horizontal="center" vertical="center"/>
    </xf>
    <xf numFmtId="170" fontId="17" fillId="6" borderId="1" xfId="65" applyNumberFormat="1" applyFont="1" applyFill="1" applyBorder="1" applyAlignment="1">
      <alignment horizontal="center" vertical="center"/>
    </xf>
    <xf numFmtId="43" fontId="17" fillId="6" borderId="1" xfId="65" applyFont="1" applyFill="1" applyBorder="1" applyAlignment="1">
      <alignment horizontal="center" vertical="center"/>
    </xf>
    <xf numFmtId="43" fontId="10" fillId="4" borderId="2" xfId="65" applyFont="1" applyFill="1" applyBorder="1" applyAlignment="1">
      <alignment vertical="center"/>
    </xf>
    <xf numFmtId="169" fontId="0" fillId="3" borderId="2" xfId="45" applyNumberFormat="1" applyFont="1" applyFill="1" applyBorder="1" applyAlignment="1">
      <alignment vertical="center"/>
    </xf>
    <xf numFmtId="169" fontId="9" fillId="9" borderId="1" xfId="45" applyNumberFormat="1" applyFont="1" applyFill="1" applyBorder="1" applyAlignment="1">
      <alignment vertical="center"/>
    </xf>
    <xf numFmtId="164" fontId="10" fillId="4" borderId="1" xfId="65" applyNumberFormat="1" applyFont="1" applyFill="1" applyBorder="1" applyAlignment="1">
      <alignment vertical="center"/>
    </xf>
    <xf numFmtId="169" fontId="10" fillId="4" borderId="2" xfId="45" applyNumberFormat="1" applyFont="1" applyFill="1" applyBorder="1" applyAlignment="1">
      <alignment vertical="center"/>
    </xf>
    <xf numFmtId="43" fontId="10" fillId="4" borderId="0" xfId="65" applyFont="1" applyFill="1" applyBorder="1" applyAlignment="1">
      <alignment vertical="center"/>
    </xf>
    <xf numFmtId="169" fontId="10" fillId="4" borderId="0" xfId="45" applyNumberFormat="1" applyFont="1" applyFill="1" applyBorder="1" applyAlignment="1">
      <alignment vertical="center"/>
    </xf>
    <xf numFmtId="43" fontId="44" fillId="0" borderId="0" xfId="65" applyFont="1" applyFill="1" applyBorder="1" applyAlignment="1"/>
    <xf numFmtId="43" fontId="46" fillId="0" borderId="0" xfId="65" applyFont="1"/>
    <xf numFmtId="169" fontId="1" fillId="3" borderId="1" xfId="45" applyNumberFormat="1" applyFont="1" applyFill="1" applyBorder="1" applyAlignment="1">
      <alignment vertical="center"/>
    </xf>
    <xf numFmtId="169" fontId="1" fillId="3" borderId="10" xfId="45" applyNumberFormat="1" applyFont="1" applyFill="1" applyBorder="1" applyAlignment="1">
      <alignment vertical="center"/>
    </xf>
    <xf numFmtId="169" fontId="0" fillId="0" borderId="1" xfId="45" applyNumberFormat="1" applyFont="1" applyFill="1" applyBorder="1" applyAlignment="1">
      <alignment vertical="center"/>
    </xf>
    <xf numFmtId="43" fontId="10" fillId="0" borderId="1" xfId="65" applyFont="1" applyFill="1" applyBorder="1" applyAlignment="1">
      <alignment vertical="center"/>
    </xf>
    <xf numFmtId="169" fontId="10" fillId="0" borderId="1" xfId="45" applyNumberFormat="1" applyFont="1" applyFill="1" applyBorder="1" applyAlignment="1">
      <alignment vertical="center"/>
    </xf>
    <xf numFmtId="43" fontId="17" fillId="6" borderId="10" xfId="65" applyFont="1" applyFill="1" applyBorder="1" applyAlignment="1">
      <alignment horizontal="center" vertical="center"/>
    </xf>
    <xf numFmtId="44" fontId="0" fillId="0" borderId="1" xfId="45" applyFont="1" applyBorder="1" applyAlignment="1">
      <alignment vertical="center"/>
    </xf>
    <xf numFmtId="175" fontId="0" fillId="0" borderId="1" xfId="45" applyNumberFormat="1" applyFont="1" applyBorder="1" applyAlignment="1">
      <alignment vertical="center"/>
    </xf>
    <xf numFmtId="43" fontId="0" fillId="0" borderId="1" xfId="0" applyNumberFormat="1" applyBorder="1"/>
    <xf numFmtId="2" fontId="0" fillId="0" borderId="1" xfId="0" applyNumberFormat="1" applyBorder="1"/>
    <xf numFmtId="0" fontId="23" fillId="16" borderId="0" xfId="0" applyFont="1" applyFill="1"/>
    <xf numFmtId="169" fontId="48" fillId="0" borderId="1" xfId="0" applyNumberFormat="1" applyFont="1" applyBorder="1"/>
    <xf numFmtId="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43" fontId="7" fillId="0" borderId="16" xfId="0" applyNumberFormat="1" applyFont="1" applyBorder="1" applyAlignment="1">
      <alignment vertical="center"/>
    </xf>
    <xf numFmtId="43" fontId="15" fillId="16" borderId="1" xfId="3" applyNumberFormat="1" applyFont="1" applyFill="1" applyBorder="1" applyAlignment="1">
      <alignment horizontal="center" vertical="center"/>
    </xf>
    <xf numFmtId="43" fontId="0" fillId="0" borderId="1" xfId="3" applyNumberFormat="1" applyFont="1" applyBorder="1"/>
    <xf numFmtId="170" fontId="0" fillId="3" borderId="1" xfId="2" applyNumberFormat="1" applyFont="1" applyFill="1" applyBorder="1" applyAlignment="1">
      <alignment vertical="center"/>
    </xf>
    <xf numFmtId="169" fontId="0" fillId="16" borderId="1" xfId="0" applyNumberFormat="1" applyFill="1" applyBorder="1"/>
    <xf numFmtId="167" fontId="7" fillId="14" borderId="0" xfId="3" applyNumberFormat="1" applyFont="1" applyFill="1" applyAlignment="1">
      <alignment horizontal="center" vertical="center"/>
    </xf>
    <xf numFmtId="167" fontId="49" fillId="3" borderId="1" xfId="3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30" fillId="7" borderId="16" xfId="0" applyFont="1" applyFill="1" applyBorder="1" applyAlignment="1">
      <alignment horizontal="center" vertical="center" wrapText="1"/>
    </xf>
    <xf numFmtId="0" fontId="30" fillId="7" borderId="15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168" fontId="30" fillId="13" borderId="16" xfId="0" applyNumberFormat="1" applyFont="1" applyFill="1" applyBorder="1" applyAlignment="1">
      <alignment horizontal="center" vertical="center"/>
    </xf>
    <xf numFmtId="168" fontId="30" fillId="13" borderId="15" xfId="0" applyNumberFormat="1" applyFont="1" applyFill="1" applyBorder="1" applyAlignment="1">
      <alignment horizontal="center" vertical="center"/>
    </xf>
    <xf numFmtId="168" fontId="30" fillId="13" borderId="2" xfId="0" applyNumberFormat="1" applyFont="1" applyFill="1" applyBorder="1" applyAlignment="1">
      <alignment horizontal="center" vertical="center"/>
    </xf>
    <xf numFmtId="10" fontId="37" fillId="0" borderId="0" xfId="3" applyNumberFormat="1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10" fontId="37" fillId="0" borderId="0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8" fillId="14" borderId="0" xfId="0" applyFont="1" applyFill="1" applyAlignment="1">
      <alignment horizontal="center"/>
    </xf>
  </cellXfs>
  <cellStyles count="69">
    <cellStyle name="Euro" xfId="4" xr:uid="{00000000-0005-0000-0000-000001000000}"/>
    <cellStyle name="Millares" xfId="1" builtinId="3"/>
    <cellStyle name="Millares 11 2 4" xfId="5" xr:uid="{00000000-0005-0000-0000-000004000000}"/>
    <cellStyle name="Millares 11 2 4 2" xfId="6" xr:uid="{00000000-0005-0000-0000-000005000000}"/>
    <cellStyle name="Millares 12 3" xfId="7" xr:uid="{00000000-0005-0000-0000-000006000000}"/>
    <cellStyle name="Millares 12 3 2" xfId="8" xr:uid="{00000000-0005-0000-0000-000007000000}"/>
    <cellStyle name="Millares 12 3 3" xfId="9" xr:uid="{00000000-0005-0000-0000-000008000000}"/>
    <cellStyle name="Millares 2" xfId="10" xr:uid="{00000000-0005-0000-0000-000009000000}"/>
    <cellStyle name="Millares 2 2" xfId="11" xr:uid="{00000000-0005-0000-0000-00000A000000}"/>
    <cellStyle name="Millares 2 3" xfId="12" xr:uid="{00000000-0005-0000-0000-00000B000000}"/>
    <cellStyle name="Millares 2 4" xfId="66" xr:uid="{00000000-0005-0000-0000-00000C000000}"/>
    <cellStyle name="Millares 20" xfId="47" xr:uid="{00000000-0005-0000-0000-00000D000000}"/>
    <cellStyle name="Millares 3" xfId="13" xr:uid="{00000000-0005-0000-0000-00000E000000}"/>
    <cellStyle name="Millares 3 2" xfId="43" xr:uid="{00000000-0005-0000-0000-00000F000000}"/>
    <cellStyle name="Millares 4" xfId="14" xr:uid="{00000000-0005-0000-0000-000010000000}"/>
    <cellStyle name="Millares 5" xfId="65" xr:uid="{00000000-0005-0000-0000-000011000000}"/>
    <cellStyle name="Moneda" xfId="2" builtinId="4"/>
    <cellStyle name="Moneda 2" xfId="15" xr:uid="{00000000-0005-0000-0000-000013000000}"/>
    <cellStyle name="Moneda 2 2" xfId="16" xr:uid="{00000000-0005-0000-0000-000014000000}"/>
    <cellStyle name="Moneda 2 3" xfId="17" xr:uid="{00000000-0005-0000-0000-000015000000}"/>
    <cellStyle name="Moneda 3" xfId="18" xr:uid="{00000000-0005-0000-0000-000016000000}"/>
    <cellStyle name="Moneda 3 2" xfId="44" xr:uid="{00000000-0005-0000-0000-000017000000}"/>
    <cellStyle name="Moneda 4" xfId="19" xr:uid="{00000000-0005-0000-0000-000018000000}"/>
    <cellStyle name="Moneda 5" xfId="20" xr:uid="{00000000-0005-0000-0000-000019000000}"/>
    <cellStyle name="Moneda 6" xfId="45" xr:uid="{00000000-0005-0000-0000-00001A000000}"/>
    <cellStyle name="Neutral" xfId="68" builtinId="28"/>
    <cellStyle name="Normal" xfId="0" builtinId="0"/>
    <cellStyle name="Normal - Style1" xfId="21" xr:uid="{00000000-0005-0000-0000-00001D000000}"/>
    <cellStyle name="Normal 10" xfId="22" xr:uid="{00000000-0005-0000-0000-00001E000000}"/>
    <cellStyle name="Normal 11" xfId="23" xr:uid="{00000000-0005-0000-0000-00001F000000}"/>
    <cellStyle name="Normal 12" xfId="48" xr:uid="{00000000-0005-0000-0000-000020000000}"/>
    <cellStyle name="Normal 15" xfId="50" xr:uid="{00000000-0005-0000-0000-000021000000}"/>
    <cellStyle name="Normal 16 2" xfId="24" xr:uid="{00000000-0005-0000-0000-000022000000}"/>
    <cellStyle name="Normal 17" xfId="55" xr:uid="{00000000-0005-0000-0000-000023000000}"/>
    <cellStyle name="Normal 19" xfId="59" xr:uid="{00000000-0005-0000-0000-000024000000}"/>
    <cellStyle name="Normal 2" xfId="25" xr:uid="{00000000-0005-0000-0000-000025000000}"/>
    <cellStyle name="Normal 2 2" xfId="26" xr:uid="{00000000-0005-0000-0000-000026000000}"/>
    <cellStyle name="Normal 21" xfId="61" xr:uid="{00000000-0005-0000-0000-000027000000}"/>
    <cellStyle name="Normal 23" xfId="62" xr:uid="{00000000-0005-0000-0000-000028000000}"/>
    <cellStyle name="Normal 25" xfId="54" xr:uid="{00000000-0005-0000-0000-000029000000}"/>
    <cellStyle name="Normal 27" xfId="60" xr:uid="{00000000-0005-0000-0000-00002A000000}"/>
    <cellStyle name="Normal 28 2" xfId="46" xr:uid="{00000000-0005-0000-0000-00002B000000}"/>
    <cellStyle name="Normal 29" xfId="64" xr:uid="{00000000-0005-0000-0000-00002C000000}"/>
    <cellStyle name="Normal 3" xfId="27" xr:uid="{00000000-0005-0000-0000-00002D000000}"/>
    <cellStyle name="Normal 3 2" xfId="40" xr:uid="{00000000-0005-0000-0000-00002E000000}"/>
    <cellStyle name="Normal 31" xfId="57" xr:uid="{00000000-0005-0000-0000-00002F000000}"/>
    <cellStyle name="Normal 33" xfId="58" xr:uid="{00000000-0005-0000-0000-000030000000}"/>
    <cellStyle name="Normal 36" xfId="56" xr:uid="{00000000-0005-0000-0000-000031000000}"/>
    <cellStyle name="Normal 38" xfId="53" xr:uid="{00000000-0005-0000-0000-000032000000}"/>
    <cellStyle name="Normal 4" xfId="28" xr:uid="{00000000-0005-0000-0000-000033000000}"/>
    <cellStyle name="Normal 4 2" xfId="41" xr:uid="{00000000-0005-0000-0000-000034000000}"/>
    <cellStyle name="Normal 4 2 2" xfId="67" xr:uid="{00000000-0005-0000-0000-000035000000}"/>
    <cellStyle name="Normal 40" xfId="52" xr:uid="{00000000-0005-0000-0000-000036000000}"/>
    <cellStyle name="Normal 42" xfId="49" xr:uid="{00000000-0005-0000-0000-000037000000}"/>
    <cellStyle name="Normal 44" xfId="51" xr:uid="{00000000-0005-0000-0000-000038000000}"/>
    <cellStyle name="Normal 46" xfId="63" xr:uid="{00000000-0005-0000-0000-000039000000}"/>
    <cellStyle name="Normal 48" xfId="29" xr:uid="{00000000-0005-0000-0000-00003A000000}"/>
    <cellStyle name="Normal 5" xfId="30" xr:uid="{00000000-0005-0000-0000-00003B000000}"/>
    <cellStyle name="Normal 5 2" xfId="42" xr:uid="{00000000-0005-0000-0000-00003C000000}"/>
    <cellStyle name="Normal 6" xfId="31" xr:uid="{00000000-0005-0000-0000-00003D000000}"/>
    <cellStyle name="Normal 7" xfId="32" xr:uid="{00000000-0005-0000-0000-00003E000000}"/>
    <cellStyle name="Normal 8" xfId="33" xr:uid="{00000000-0005-0000-0000-00003F000000}"/>
    <cellStyle name="Normal 9" xfId="34" xr:uid="{00000000-0005-0000-0000-000040000000}"/>
    <cellStyle name="Porcentaje" xfId="3" builtinId="5"/>
    <cellStyle name="Porcentaje 2" xfId="35" xr:uid="{00000000-0005-0000-0000-000042000000}"/>
    <cellStyle name="Porcentaje 2 2" xfId="36" xr:uid="{00000000-0005-0000-0000-000043000000}"/>
    <cellStyle name="Porcentaje 2 3" xfId="37" xr:uid="{00000000-0005-0000-0000-000044000000}"/>
    <cellStyle name="Porcentaje 5" xfId="38" xr:uid="{00000000-0005-0000-0000-000045000000}"/>
    <cellStyle name="Standard_NEGS" xfId="39" xr:uid="{00000000-0005-0000-0000-000046000000}"/>
  </cellStyles>
  <dxfs count="21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personal/veronicaolvera_totalgasgroup_onmicrosoft_com/Documents/Presupuesto%202026/SMA/Mantenimiento%20y%20Operaciones/Ventas.xlsx" TargetMode="External"/><Relationship Id="rId2" Type="http://schemas.openxmlformats.org/officeDocument/2006/relationships/externalLinkPath" Target="https://totalgasgroup-my.sharepoint.com/personal/veronicaolvera_totalgasgroup_onmicrosoft_com/Documents/Presupuesto%202026/SMA/Mantenimiento%20y%20Operaciones/Ventas.xlsx" TargetMode="External"/><Relationship Id="rId1" Type="http://schemas.openxmlformats.org/officeDocument/2006/relationships/externalLinkPath" Target="/personal/veronicaolvera_totalgasgroup_onmicrosoft_com/Documents/Presupuesto%202026/SMA/Mantenimiento%20y%20Operaciones/Vent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Mantenimiento%20y%20Operaciones/Ventas.xlsx" TargetMode="External"/><Relationship Id="rId1" Type="http://schemas.openxmlformats.org/officeDocument/2006/relationships/externalLinkPath" Target="Mantenimiento%20y%20Operaciones/Venta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Ingresos/Traslado%20de%20Valores.xlsx" TargetMode="External"/><Relationship Id="rId1" Type="http://schemas.openxmlformats.org/officeDocument/2006/relationships/externalLinkPath" Target="Ingresos/Traslado%20de%20Valor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Auditoria/Gastos%20Auditoria%20Operaciones.xlsx" TargetMode="External"/><Relationship Id="rId1" Type="http://schemas.openxmlformats.org/officeDocument/2006/relationships/externalLinkPath" Target="Auditoria/Gastos%20Auditoria%20Operacione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Mantenimiento%20y%20Operaciones/Otros%20Gastos%20Operaciones.xlsx" TargetMode="External"/><Relationship Id="rId1" Type="http://schemas.microsoft.com/office/2019/04/relationships/externalLinkLongPath" Target="Mantenimiento%20y%20Operaciones/Otros%20Gastos%20Operacion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Administracion/Gastos%20Admin%20Operaciones.xlsx" TargetMode="External"/><Relationship Id="rId1" Type="http://schemas.openxmlformats.org/officeDocument/2006/relationships/externalLinkPath" Target="Administracion/Gastos%20Admin%20Operacione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Mantenimiento%20y%20Operaciones/Operaciones-Mantenimiento%20Varios.xlsx" TargetMode="External"/><Relationship Id="rId1" Type="http://schemas.microsoft.com/office/2019/04/relationships/externalLinkLongPath" Target="Mantenimiento%20y%20Operaciones/Operaciones-Mantenimiento%20Vario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Mkt/Propaganda%20y%20Publicidad.xlsx" TargetMode="External"/><Relationship Id="rId1" Type="http://schemas.openxmlformats.org/officeDocument/2006/relationships/externalLinkPath" Target="Mkt/Propaganda%20y%20Publicida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Capital%20Humano/Capacitacion%20Operaciones.xlsx" TargetMode="External"/><Relationship Id="rId1" Type="http://schemas.openxmlformats.org/officeDocument/2006/relationships/externalLinkPath" Target="Capital%20Humano/Capacitacion%20Operacion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Sistemas/Licencias,%20Software,%20Antivirus.xlsx" TargetMode="External"/><Relationship Id="rId1" Type="http://schemas.openxmlformats.org/officeDocument/2006/relationships/externalLinkPath" Target="Sistemas/Licencias,%20Software,%20Antiviru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Sistemas/Renta%20Equipos%20(Impresoras).xlsx" TargetMode="External"/><Relationship Id="rId1" Type="http://schemas.openxmlformats.org/officeDocument/2006/relationships/externalLinkPath" Target="Sistemas/Renta%20Equipos%20(Impresoras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Capital%20Humano/Uniformes.xlsx" TargetMode="External"/><Relationship Id="rId1" Type="http://schemas.openxmlformats.org/officeDocument/2006/relationships/externalLinkPath" Target="Capital%20Humano/Uniform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Capital%20Humano/Contratacion%20Empleados.xlsx" TargetMode="External"/><Relationship Id="rId1" Type="http://schemas.openxmlformats.org/officeDocument/2006/relationships/externalLinkPath" Target="Capital%20Humano/Contratacion%20Empleado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Capital%20Humano/Eventos%20Operaciones.xlsx" TargetMode="External"/><Relationship Id="rId1" Type="http://schemas.openxmlformats.org/officeDocument/2006/relationships/externalLinkPath" Target="Capital%20Humano/Eventos%20Operacion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Nominas/PPTO%20NOMINA%20Y%20COSTO%20SOCIAL%20TSA%20TERMINADO.xlsx" TargetMode="External"/><Relationship Id="rId1" Type="http://schemas.microsoft.com/office/2019/04/relationships/externalLinkLongPath" Target="Nominas/PPTO%20NOMINA%20Y%20COSTO%20SOCIAL%20TSA%20TERMINADO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Sistemas/Mantenimiento%20Equipo%20de%20Computo.xlsx" TargetMode="External"/><Relationship Id="rId1" Type="http://schemas.openxmlformats.org/officeDocument/2006/relationships/externalLinkPath" Target="Sistemas/Mantenimiento%20Equipo%20de%20Computo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Administracion/Arrendamientos.xlsx" TargetMode="External"/><Relationship Id="rId1" Type="http://schemas.openxmlformats.org/officeDocument/2006/relationships/externalLinkPath" Target="Administracion/Arrendamiento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Sistemas/Telefono%20e%20Internet.xlsx" TargetMode="External"/><Relationship Id="rId1" Type="http://schemas.openxmlformats.org/officeDocument/2006/relationships/externalLinkPath" Target="Sistemas/Telefono%20e%20Internet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Estructura%20Presupuesto.xlsx" TargetMode="External"/><Relationship Id="rId1" Type="http://schemas.openxmlformats.org/officeDocument/2006/relationships/externalLinkPath" Target="Estructura%20Presupuesto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/personal/veronicaolvera_totalgasgroup_onmicrosoft_com/Documents/Presupuesto%202025/DGA/Presupuesto%20Anual%202025%20DGA.xlsx" TargetMode="External"/><Relationship Id="rId2" Type="http://schemas.openxmlformats.org/officeDocument/2006/relationships/externalLinkPath" Target="https://totalgasgroup-my.sharepoint.com/personal/veronicaolvera_totalgasgroup_onmicrosoft_com/Documents/Presupuesto%202025/DGA/Presupuesto%20Anual%202025%20DGA.xlsx" TargetMode="External"/><Relationship Id="rId1" Type="http://schemas.openxmlformats.org/officeDocument/2006/relationships/externalLinkPath" Target="/personal/veronicaolvera_totalgasgroup_onmicrosoft_com/Documents/Presupuesto%202025/DGA/Presupuesto%20Anual%202025%20DGA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AGS%20TSA/Administracion/Timbrado%20de%20Facturas.xlsx" TargetMode="External"/><Relationship Id="rId1" Type="http://schemas.openxmlformats.org/officeDocument/2006/relationships/externalLinkPath" Target="Administracion/Timbrado%20de%20Factu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K6TCZ3UGT6ZF3JLN426F6N5O2">
      <xxl21:absoluteUrl r:id="rId2"/>
      <xxl21:relativeUrl r:id="rId3"/>
    </xxl21:alternateUrls>
    <sheetNames>
      <sheetName val="Resumen Ventas"/>
      <sheetName val="Resumen Margen ($)"/>
      <sheetName val="Combustibles (Ltr)"/>
      <sheetName val="Margen Ctvs-Ltr"/>
      <sheetName val="Margen ($)"/>
      <sheetName val="Aceites"/>
      <sheetName val="Resumen x Tipo Combustible"/>
    </sheetNames>
    <sheetDataSet>
      <sheetData sheetId="0"/>
      <sheetData sheetId="1"/>
      <sheetData sheetId="2"/>
      <sheetData sheetId="3">
        <row r="15">
          <cell r="W15">
            <v>22.146551724137932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XLRYX5ERGB5JCKC4RPEXBG3OTR">
      <xxl21:absoluteUrl r:id="rId2"/>
    </xxl21:alternateUrls>
    <sheetNames>
      <sheetName val="Resumen Ventas"/>
      <sheetName val="Resumen Margen ($)"/>
      <sheetName val="Combustibles"/>
      <sheetName val="Margen"/>
      <sheetName val="Aceites"/>
      <sheetName val="Resumen x Tipo Combustible"/>
    </sheetNames>
    <sheetDataSet>
      <sheetData sheetId="0"/>
      <sheetData sheetId="1"/>
      <sheetData sheetId="2"/>
      <sheetData sheetId="3">
        <row r="7">
          <cell r="I7" t="str">
            <v>Ene</v>
          </cell>
          <cell r="J7">
            <v>1.88</v>
          </cell>
          <cell r="K7">
            <v>0.6068376068376069</v>
          </cell>
          <cell r="L7">
            <v>2.27</v>
          </cell>
          <cell r="M7">
            <v>0.87603305785123964</v>
          </cell>
          <cell r="N7"/>
          <cell r="O7">
            <v>0</v>
          </cell>
        </row>
        <row r="8">
          <cell r="I8" t="str">
            <v>Feb</v>
          </cell>
          <cell r="J8">
            <v>1.87</v>
          </cell>
          <cell r="K8">
            <v>0.23841059602649017</v>
          </cell>
          <cell r="L8">
            <v>2.3199999999999998</v>
          </cell>
          <cell r="M8">
            <v>0.87096774193548376</v>
          </cell>
          <cell r="N8"/>
          <cell r="O8">
            <v>0</v>
          </cell>
        </row>
        <row r="9">
          <cell r="I9" t="str">
            <v>Mar</v>
          </cell>
          <cell r="J9">
            <v>1.88</v>
          </cell>
          <cell r="K9">
            <v>0.39259259259259238</v>
          </cell>
          <cell r="L9">
            <v>2.27</v>
          </cell>
          <cell r="M9">
            <v>0.92372881355932224</v>
          </cell>
          <cell r="N9"/>
          <cell r="O9">
            <v>0</v>
          </cell>
        </row>
        <row r="10">
          <cell r="I10" t="str">
            <v>Abr</v>
          </cell>
          <cell r="J10">
            <v>1.86</v>
          </cell>
          <cell r="K10">
            <v>-5.1020408163265252E-2</v>
          </cell>
          <cell r="L10">
            <v>2.12</v>
          </cell>
          <cell r="M10">
            <v>0.49295774647887347</v>
          </cell>
          <cell r="N10"/>
          <cell r="O10">
            <v>0</v>
          </cell>
        </row>
        <row r="11">
          <cell r="I11" t="str">
            <v>May</v>
          </cell>
          <cell r="J11">
            <v>1.96</v>
          </cell>
          <cell r="K11">
            <v>0.54330708661417315</v>
          </cell>
          <cell r="L11">
            <v>2.38</v>
          </cell>
          <cell r="M11">
            <v>0.74999999999999978</v>
          </cell>
          <cell r="N11"/>
          <cell r="O11">
            <v>0</v>
          </cell>
        </row>
        <row r="12">
          <cell r="I12" t="str">
            <v>Jun</v>
          </cell>
          <cell r="J12">
            <v>1.89</v>
          </cell>
          <cell r="K12">
            <v>8.6206896551723977E-2</v>
          </cell>
          <cell r="L12">
            <v>2.2000000000000002</v>
          </cell>
          <cell r="M12">
            <v>-0.41333333333333333</v>
          </cell>
          <cell r="N12"/>
          <cell r="O12">
            <v>0</v>
          </cell>
        </row>
        <row r="13">
          <cell r="I13" t="str">
            <v>Jul</v>
          </cell>
          <cell r="J13">
            <v>1.83</v>
          </cell>
          <cell r="K13">
            <v>2</v>
          </cell>
          <cell r="L13">
            <v>2.27</v>
          </cell>
          <cell r="M13">
            <v>-2.4740259740259738</v>
          </cell>
          <cell r="N13"/>
          <cell r="O13">
            <v>0</v>
          </cell>
        </row>
        <row r="14">
          <cell r="I14" t="str">
            <v>Ago</v>
          </cell>
          <cell r="J14">
            <v>1.87</v>
          </cell>
          <cell r="K14">
            <v>0.28965517241379324</v>
          </cell>
          <cell r="L14">
            <v>2.2799999999999998</v>
          </cell>
          <cell r="M14">
            <v>0.59440559440559437</v>
          </cell>
          <cell r="N14"/>
          <cell r="O14">
            <v>0</v>
          </cell>
        </row>
        <row r="15">
          <cell r="I15" t="str">
            <v>Sep</v>
          </cell>
          <cell r="J15">
            <v>1.88</v>
          </cell>
          <cell r="K15">
            <v>0.44615384615384612</v>
          </cell>
          <cell r="L15">
            <v>2.27</v>
          </cell>
          <cell r="M15">
            <v>0.53378378378378377</v>
          </cell>
          <cell r="N15"/>
          <cell r="O15">
            <v>0</v>
          </cell>
        </row>
        <row r="16">
          <cell r="I16" t="str">
            <v>Oct</v>
          </cell>
          <cell r="J16">
            <v>1.9</v>
          </cell>
          <cell r="K16">
            <v>0.35725443847794236</v>
          </cell>
          <cell r="L16">
            <v>2.35</v>
          </cell>
          <cell r="M16">
            <v>0.25571581036308078</v>
          </cell>
          <cell r="N16"/>
          <cell r="O16">
            <v>0</v>
          </cell>
        </row>
        <row r="17">
          <cell r="I17" t="str">
            <v>Nov</v>
          </cell>
          <cell r="J17">
            <v>1.85</v>
          </cell>
          <cell r="K17">
            <v>0.36296235011446853</v>
          </cell>
          <cell r="L17">
            <v>2.2400000000000002</v>
          </cell>
          <cell r="M17">
            <v>0.50559219604341776</v>
          </cell>
          <cell r="N17"/>
          <cell r="O17">
            <v>0</v>
          </cell>
        </row>
        <row r="18">
          <cell r="I18" t="str">
            <v>Dic</v>
          </cell>
          <cell r="J18">
            <v>1.87</v>
          </cell>
          <cell r="K18">
            <v>0.35224479186174573</v>
          </cell>
          <cell r="L18">
            <v>2.2599999999999998</v>
          </cell>
          <cell r="M18">
            <v>0.39906762789782335</v>
          </cell>
          <cell r="N18"/>
          <cell r="O18">
            <v>0</v>
          </cell>
        </row>
        <row r="19">
          <cell r="I19" t="str">
            <v>Total Anual</v>
          </cell>
          <cell r="J19">
            <v>1.8783333333333332</v>
          </cell>
          <cell r="K19">
            <v>0.36605164956181757</v>
          </cell>
          <cell r="L19">
            <v>2.2691666666666666</v>
          </cell>
          <cell r="M19">
            <v>0.64984400026024325</v>
          </cell>
          <cell r="N19"/>
          <cell r="O19">
            <v>0</v>
          </cell>
        </row>
        <row r="25">
          <cell r="I25" t="str">
            <v>Ene</v>
          </cell>
          <cell r="J25">
            <v>1.73</v>
          </cell>
          <cell r="K25">
            <v>0.71287128712871284</v>
          </cell>
          <cell r="L25">
            <v>2.23</v>
          </cell>
          <cell r="M25">
            <v>0.33532934131736525</v>
          </cell>
          <cell r="N25">
            <v>1.82</v>
          </cell>
          <cell r="O25">
            <v>-7.1428571428571397E-2</v>
          </cell>
        </row>
        <row r="26">
          <cell r="I26" t="str">
            <v>Feb</v>
          </cell>
          <cell r="J26">
            <v>1.66</v>
          </cell>
          <cell r="K26">
            <v>0.28682170542635643</v>
          </cell>
          <cell r="L26">
            <v>2.2799999999999998</v>
          </cell>
          <cell r="M26">
            <v>0.4339622641509433</v>
          </cell>
          <cell r="N26">
            <v>1.72</v>
          </cell>
          <cell r="O26">
            <v>-7.027027027027033E-2</v>
          </cell>
        </row>
        <row r="27">
          <cell r="I27" t="str">
            <v>Mar</v>
          </cell>
          <cell r="J27">
            <v>1.87</v>
          </cell>
          <cell r="K27">
            <v>-0.26377952755905509</v>
          </cell>
          <cell r="L27">
            <v>2.36</v>
          </cell>
          <cell r="M27">
            <v>-0.1480144404332131</v>
          </cell>
          <cell r="N27">
            <v>2</v>
          </cell>
          <cell r="O27">
            <v>0.1049723756906078</v>
          </cell>
        </row>
        <row r="28">
          <cell r="I28" t="str">
            <v>Abr</v>
          </cell>
          <cell r="J28">
            <v>1.69</v>
          </cell>
          <cell r="K28">
            <v>-0.23181818181818192</v>
          </cell>
          <cell r="L28">
            <v>2.2599999999999998</v>
          </cell>
          <cell r="M28">
            <v>0.12999999999999989</v>
          </cell>
          <cell r="N28">
            <v>1.98</v>
          </cell>
          <cell r="O28">
            <v>0.25316455696202533</v>
          </cell>
        </row>
        <row r="29">
          <cell r="I29" t="str">
            <v>May</v>
          </cell>
          <cell r="J29">
            <v>1.87</v>
          </cell>
          <cell r="K29">
            <v>-4.1025641025640991E-2</v>
          </cell>
          <cell r="L29">
            <v>2.33</v>
          </cell>
          <cell r="M29">
            <v>-8.2677165354330673E-2</v>
          </cell>
          <cell r="N29">
            <v>1.99</v>
          </cell>
          <cell r="O29">
            <v>-0.23754789272030652</v>
          </cell>
        </row>
        <row r="30">
          <cell r="I30" t="str">
            <v>Jun</v>
          </cell>
          <cell r="J30">
            <v>1.66</v>
          </cell>
          <cell r="K30">
            <v>0</v>
          </cell>
          <cell r="L30">
            <v>2.06</v>
          </cell>
          <cell r="M30">
            <v>-0.14166666666666661</v>
          </cell>
          <cell r="N30">
            <v>1.57</v>
          </cell>
          <cell r="O30">
            <v>-0.11299435028248583</v>
          </cell>
        </row>
        <row r="31">
          <cell r="I31" t="str">
            <v>Jul</v>
          </cell>
          <cell r="J31">
            <v>1.74</v>
          </cell>
          <cell r="K31">
            <v>5.4545454545454675E-2</v>
          </cell>
          <cell r="L31">
            <v>2.2599999999999998</v>
          </cell>
          <cell r="M31">
            <v>0.18324607329842935</v>
          </cell>
          <cell r="N31">
            <v>1.88</v>
          </cell>
          <cell r="O31">
            <v>9.3023255813953432E-2</v>
          </cell>
        </row>
        <row r="32">
          <cell r="I32" t="str">
            <v>Ago</v>
          </cell>
          <cell r="J32">
            <v>1.78</v>
          </cell>
          <cell r="K32">
            <v>0.16710901690636515</v>
          </cell>
          <cell r="L32">
            <v>2.36</v>
          </cell>
          <cell r="M32">
            <v>0.53339852487506345</v>
          </cell>
          <cell r="N32">
            <v>1.62</v>
          </cell>
          <cell r="O32">
            <v>1.2548597914252606</v>
          </cell>
        </row>
        <row r="33">
          <cell r="I33" t="str">
            <v>Sep</v>
          </cell>
          <cell r="J33">
            <v>1.73</v>
          </cell>
          <cell r="K33">
            <v>4.2168674698795261E-2</v>
          </cell>
          <cell r="L33">
            <v>2.14</v>
          </cell>
          <cell r="M33">
            <v>0.35443037974683556</v>
          </cell>
          <cell r="N33">
            <v>1.79</v>
          </cell>
          <cell r="O33">
            <v>2.1403508771929829</v>
          </cell>
        </row>
        <row r="34">
          <cell r="I34" t="str">
            <v>Oct</v>
          </cell>
          <cell r="J34">
            <v>1.8</v>
          </cell>
          <cell r="K34">
            <v>0.19163113292045297</v>
          </cell>
          <cell r="L34">
            <v>2.35</v>
          </cell>
          <cell r="M34">
            <v>0.41342203193647564</v>
          </cell>
          <cell r="N34">
            <v>1.75</v>
          </cell>
          <cell r="O34">
            <v>3.6767102451743749E-2</v>
          </cell>
        </row>
        <row r="35">
          <cell r="I35" t="str">
            <v>Nov</v>
          </cell>
          <cell r="J35">
            <v>1.71</v>
          </cell>
          <cell r="K35">
            <v>9.775402278413492E-2</v>
          </cell>
          <cell r="L35">
            <v>2.21</v>
          </cell>
          <cell r="M35">
            <v>0.38408243500317063</v>
          </cell>
          <cell r="N35">
            <v>1.79</v>
          </cell>
          <cell r="O35">
            <v>0.1474740540105659</v>
          </cell>
        </row>
        <row r="36">
          <cell r="I36" t="str">
            <v>Dic</v>
          </cell>
          <cell r="J36">
            <v>1.72</v>
          </cell>
          <cell r="K36">
            <v>8.6185556602503599E-2</v>
          </cell>
          <cell r="L36">
            <v>2.2200000000000002</v>
          </cell>
          <cell r="M36">
            <v>0.39203101521461647</v>
          </cell>
          <cell r="N36">
            <v>1.81</v>
          </cell>
          <cell r="O36">
            <v>0.37410621484633966</v>
          </cell>
        </row>
        <row r="37">
          <cell r="I37" t="str">
            <v>Total Anual</v>
          </cell>
          <cell r="J37">
            <v>1.7466666666666668</v>
          </cell>
          <cell r="K37">
            <v>4.0874187747000468E-2</v>
          </cell>
          <cell r="L37">
            <v>2.2550000000000003</v>
          </cell>
          <cell r="M37">
            <v>0.18407851479021597</v>
          </cell>
          <cell r="N37">
            <v>1.8099999999999998</v>
          </cell>
          <cell r="O37">
            <v>0.13399310760231464</v>
          </cell>
        </row>
        <row r="43">
          <cell r="I43" t="str">
            <v>Ene</v>
          </cell>
          <cell r="J43">
            <v>1.99</v>
          </cell>
          <cell r="K43">
            <v>0.49624060150375926</v>
          </cell>
          <cell r="L43">
            <v>2.64</v>
          </cell>
          <cell r="M43">
            <v>0.55294117647058827</v>
          </cell>
          <cell r="N43"/>
          <cell r="O43">
            <v>0</v>
          </cell>
        </row>
        <row r="44">
          <cell r="I44" t="str">
            <v>Feb</v>
          </cell>
          <cell r="J44">
            <v>1.84</v>
          </cell>
          <cell r="K44">
            <v>2.2222222222222143E-2</v>
          </cell>
          <cell r="L44">
            <v>2.35</v>
          </cell>
          <cell r="M44">
            <v>0.19289340101522856</v>
          </cell>
          <cell r="N44"/>
          <cell r="O44">
            <v>0</v>
          </cell>
        </row>
        <row r="45">
          <cell r="I45" t="str">
            <v>Mar</v>
          </cell>
          <cell r="J45">
            <v>2.17</v>
          </cell>
          <cell r="K45">
            <v>9.302325581395321E-3</v>
          </cell>
          <cell r="L45">
            <v>2.73</v>
          </cell>
          <cell r="M45">
            <v>0.21874999999999978</v>
          </cell>
          <cell r="N45"/>
          <cell r="O45">
            <v>0</v>
          </cell>
        </row>
        <row r="46">
          <cell r="I46" t="str">
            <v>Abr</v>
          </cell>
          <cell r="J46">
            <v>1.93</v>
          </cell>
          <cell r="K46">
            <v>-4.9261083743842304E-2</v>
          </cell>
          <cell r="L46">
            <v>2.59</v>
          </cell>
          <cell r="M46">
            <v>1.171875E-2</v>
          </cell>
          <cell r="N46"/>
          <cell r="O46">
            <v>0</v>
          </cell>
        </row>
        <row r="47">
          <cell r="I47" t="str">
            <v>May</v>
          </cell>
          <cell r="J47">
            <v>2.1</v>
          </cell>
          <cell r="K47">
            <v>8.8082901554404236E-2</v>
          </cell>
          <cell r="L47">
            <v>2.71</v>
          </cell>
          <cell r="M47">
            <v>0.12448132780082988</v>
          </cell>
          <cell r="N47"/>
          <cell r="O47">
            <v>0</v>
          </cell>
        </row>
        <row r="48">
          <cell r="I48" t="str">
            <v>Jun</v>
          </cell>
          <cell r="J48">
            <v>1.97</v>
          </cell>
          <cell r="K48">
            <v>3.6842105263158009E-2</v>
          </cell>
          <cell r="L48">
            <v>2.67</v>
          </cell>
          <cell r="M48">
            <v>-1.8382352941176516E-2</v>
          </cell>
          <cell r="N48"/>
          <cell r="O48">
            <v>0</v>
          </cell>
        </row>
        <row r="49">
          <cell r="I49" t="str">
            <v>Jul</v>
          </cell>
          <cell r="J49">
            <v>1.97</v>
          </cell>
          <cell r="K49">
            <v>4.7872340425531901E-2</v>
          </cell>
          <cell r="L49">
            <v>2.58</v>
          </cell>
          <cell r="M49">
            <v>1.1322314049586777</v>
          </cell>
          <cell r="N49"/>
          <cell r="O49">
            <v>0</v>
          </cell>
        </row>
        <row r="50">
          <cell r="I50" t="str">
            <v>Ago</v>
          </cell>
          <cell r="J50">
            <v>1.94</v>
          </cell>
          <cell r="K50">
            <v>2.6530355621367185E-2</v>
          </cell>
          <cell r="L50">
            <v>2.69</v>
          </cell>
          <cell r="M50">
            <v>7.4638290128868912E-2</v>
          </cell>
          <cell r="N50"/>
          <cell r="O50">
            <v>0</v>
          </cell>
        </row>
        <row r="51">
          <cell r="I51" t="str">
            <v>Sep</v>
          </cell>
          <cell r="J51">
            <v>2</v>
          </cell>
          <cell r="K51">
            <v>2.5641025641025772E-2</v>
          </cell>
          <cell r="L51">
            <v>2.95</v>
          </cell>
          <cell r="M51">
            <v>0.33484162895927616</v>
          </cell>
          <cell r="N51"/>
          <cell r="O51">
            <v>0</v>
          </cell>
        </row>
        <row r="52">
          <cell r="I52" t="str">
            <v>Oct</v>
          </cell>
          <cell r="J52">
            <v>2.08</v>
          </cell>
          <cell r="K52">
            <v>0.17710509190788093</v>
          </cell>
          <cell r="L52">
            <v>2.38</v>
          </cell>
          <cell r="M52">
            <v>6.3197608822245011E-2</v>
          </cell>
          <cell r="N52"/>
          <cell r="O52">
            <v>0</v>
          </cell>
        </row>
        <row r="53">
          <cell r="I53" t="str">
            <v>Nov</v>
          </cell>
          <cell r="J53">
            <v>1.97</v>
          </cell>
          <cell r="K53">
            <v>9.2193790466855274E-2</v>
          </cell>
          <cell r="L53">
            <v>2.61</v>
          </cell>
          <cell r="M53">
            <v>0.11211239875574441</v>
          </cell>
          <cell r="N53"/>
          <cell r="O53">
            <v>0</v>
          </cell>
        </row>
        <row r="54">
          <cell r="I54" t="str">
            <v>Dic</v>
          </cell>
          <cell r="J54">
            <v>1.98</v>
          </cell>
          <cell r="K54">
            <v>7.9567907300159391E-2</v>
          </cell>
          <cell r="L54">
            <v>2.63</v>
          </cell>
          <cell r="M54">
            <v>4.2621520889662756E-2</v>
          </cell>
          <cell r="N54"/>
          <cell r="O54">
            <v>0</v>
          </cell>
        </row>
        <row r="55">
          <cell r="I55" t="str">
            <v>Total Anual</v>
          </cell>
          <cell r="J55">
            <v>1.9950000000000001</v>
          </cell>
          <cell r="K55">
            <v>7.5245412674748824E-2</v>
          </cell>
          <cell r="L55">
            <v>2.6274999999999999</v>
          </cell>
          <cell r="M55">
            <v>0.18395539274408379</v>
          </cell>
          <cell r="N55"/>
          <cell r="O55">
            <v>0</v>
          </cell>
        </row>
        <row r="61">
          <cell r="I61" t="str">
            <v>Ene</v>
          </cell>
          <cell r="J61">
            <v>1.82</v>
          </cell>
          <cell r="K61">
            <v>0.15189873417721511</v>
          </cell>
          <cell r="L61">
            <v>2.38</v>
          </cell>
          <cell r="M61">
            <v>0.23316062176165797</v>
          </cell>
          <cell r="N61"/>
          <cell r="O61">
            <v>0</v>
          </cell>
        </row>
        <row r="62">
          <cell r="I62" t="str">
            <v>Feb</v>
          </cell>
          <cell r="J62">
            <v>1.61</v>
          </cell>
          <cell r="K62">
            <v>-0.11049723756906071</v>
          </cell>
          <cell r="L62">
            <v>2.27</v>
          </cell>
          <cell r="M62">
            <v>0.20744680851063846</v>
          </cell>
          <cell r="N62"/>
          <cell r="O62">
            <v>0</v>
          </cell>
        </row>
        <row r="63">
          <cell r="I63" t="str">
            <v>Mar</v>
          </cell>
          <cell r="J63">
            <v>2.08</v>
          </cell>
          <cell r="K63">
            <v>0.18181818181818188</v>
          </cell>
          <cell r="L63">
            <v>2.4900000000000002</v>
          </cell>
          <cell r="M63">
            <v>0.32446808510638325</v>
          </cell>
          <cell r="N63"/>
          <cell r="O63">
            <v>0</v>
          </cell>
        </row>
        <row r="64">
          <cell r="I64" t="str">
            <v>Abr</v>
          </cell>
          <cell r="J64">
            <v>1.79</v>
          </cell>
          <cell r="K64">
            <v>-8.673469387755095E-2</v>
          </cell>
          <cell r="L64">
            <v>2.2999999999999998</v>
          </cell>
          <cell r="M64">
            <v>0.1004784688995215</v>
          </cell>
          <cell r="N64"/>
          <cell r="O64">
            <v>0</v>
          </cell>
        </row>
        <row r="65">
          <cell r="I65" t="str">
            <v>May</v>
          </cell>
          <cell r="J65">
            <v>1.93</v>
          </cell>
          <cell r="K65">
            <v>7.2222222222222188E-2</v>
          </cell>
          <cell r="L65">
            <v>2.54</v>
          </cell>
          <cell r="M65">
            <v>7.6271186440677985E-2</v>
          </cell>
          <cell r="N65"/>
          <cell r="O65">
            <v>0</v>
          </cell>
        </row>
        <row r="66">
          <cell r="I66" t="str">
            <v>Jun</v>
          </cell>
          <cell r="J66">
            <v>1.87</v>
          </cell>
          <cell r="K66">
            <v>8.720930232558155E-2</v>
          </cell>
          <cell r="L66">
            <v>2.36</v>
          </cell>
          <cell r="M66">
            <v>8.7557603686635899E-2</v>
          </cell>
          <cell r="N66"/>
          <cell r="O66">
            <v>0</v>
          </cell>
        </row>
        <row r="67">
          <cell r="I67" t="str">
            <v>Jul</v>
          </cell>
          <cell r="J67">
            <v>1.67</v>
          </cell>
          <cell r="K67">
            <v>-3.4682080924855474E-2</v>
          </cell>
          <cell r="L67">
            <v>2.2799999999999998</v>
          </cell>
          <cell r="M67">
            <v>0.15736040609137047</v>
          </cell>
          <cell r="N67"/>
          <cell r="O67">
            <v>0</v>
          </cell>
        </row>
        <row r="68">
          <cell r="I68" t="str">
            <v>Ago</v>
          </cell>
          <cell r="J68">
            <v>1.83</v>
          </cell>
          <cell r="K68">
            <v>4.4919487719615736E-2</v>
          </cell>
          <cell r="L68">
            <v>2.5</v>
          </cell>
          <cell r="M68">
            <v>0.59837552402450833</v>
          </cell>
          <cell r="N68"/>
          <cell r="O68">
            <v>0</v>
          </cell>
        </row>
        <row r="69">
          <cell r="I69" t="str">
            <v>Sep</v>
          </cell>
          <cell r="J69">
            <v>1.99</v>
          </cell>
          <cell r="K69">
            <v>-6.1320754716981174E-2</v>
          </cell>
          <cell r="L69">
            <v>2.5</v>
          </cell>
          <cell r="M69">
            <v>0.5625</v>
          </cell>
          <cell r="N69"/>
          <cell r="O69">
            <v>0</v>
          </cell>
        </row>
        <row r="70">
          <cell r="I70" t="str">
            <v>Oct</v>
          </cell>
          <cell r="J70">
            <v>1.93</v>
          </cell>
          <cell r="K70">
            <v>0.27851703290539942</v>
          </cell>
          <cell r="L70">
            <v>2.4700000000000002</v>
          </cell>
          <cell r="M70">
            <v>0.78787859144725547</v>
          </cell>
          <cell r="N70"/>
          <cell r="O70">
            <v>0</v>
          </cell>
        </row>
        <row r="71">
          <cell r="I71" t="str">
            <v>Nov</v>
          </cell>
          <cell r="J71">
            <v>1.79</v>
          </cell>
          <cell r="K71">
            <v>9.8846023886850265E-2</v>
          </cell>
          <cell r="L71">
            <v>2.35</v>
          </cell>
          <cell r="M71">
            <v>0.65975799162327653</v>
          </cell>
          <cell r="N71"/>
          <cell r="O71">
            <v>0</v>
          </cell>
        </row>
        <row r="72">
          <cell r="I72" t="str">
            <v>Dic</v>
          </cell>
          <cell r="J72">
            <v>1.81</v>
          </cell>
          <cell r="K72">
            <v>4.901118067900101E-2</v>
          </cell>
          <cell r="L72">
            <v>2.37</v>
          </cell>
          <cell r="M72">
            <v>0.62861639836516803</v>
          </cell>
          <cell r="N72"/>
          <cell r="O72">
            <v>0</v>
          </cell>
        </row>
        <row r="73">
          <cell r="I73" t="str">
            <v>Total Anual</v>
          </cell>
          <cell r="J73">
            <v>1.843333333333333</v>
          </cell>
          <cell r="K73">
            <v>4.8574373687645167E-2</v>
          </cell>
          <cell r="L73">
            <v>2.4008333333333334</v>
          </cell>
          <cell r="M73">
            <v>0.32785135623780004</v>
          </cell>
          <cell r="N73"/>
          <cell r="O73">
            <v>0</v>
          </cell>
        </row>
      </sheetData>
      <sheetData sheetId="4"/>
      <sheetData sheetId="5">
        <row r="4">
          <cell r="C4" t="str">
            <v xml:space="preserve">Colosio </v>
          </cell>
          <cell r="D4">
            <v>48490</v>
          </cell>
          <cell r="E4">
            <v>47798</v>
          </cell>
          <cell r="F4">
            <v>50084</v>
          </cell>
          <cell r="G4">
            <v>48978</v>
          </cell>
          <cell r="H4">
            <v>53132</v>
          </cell>
          <cell r="I4">
            <v>53759</v>
          </cell>
          <cell r="J4">
            <v>51209</v>
          </cell>
          <cell r="K4">
            <v>50913</v>
          </cell>
          <cell r="L4">
            <v>56359</v>
          </cell>
          <cell r="M4">
            <v>57235</v>
          </cell>
          <cell r="N4">
            <v>55709</v>
          </cell>
          <cell r="O4">
            <v>55050</v>
          </cell>
          <cell r="P4">
            <v>628716</v>
          </cell>
        </row>
        <row r="5">
          <cell r="C5" t="str">
            <v xml:space="preserve">San Rafael </v>
          </cell>
          <cell r="D5">
            <v>230992.53122640593</v>
          </cell>
          <cell r="E5">
            <v>215950.53122640593</v>
          </cell>
          <cell r="F5">
            <v>248196.53122640593</v>
          </cell>
          <cell r="G5">
            <v>238349.53122640593</v>
          </cell>
          <cell r="H5">
            <v>272484.53122640593</v>
          </cell>
          <cell r="I5">
            <v>255630.53122640593</v>
          </cell>
          <cell r="J5">
            <v>256233.53122640593</v>
          </cell>
          <cell r="K5">
            <v>267599.53122640593</v>
          </cell>
          <cell r="L5">
            <v>265889.53122640593</v>
          </cell>
          <cell r="M5">
            <v>282459.53122640593</v>
          </cell>
          <cell r="N5">
            <v>275341.53122640593</v>
          </cell>
          <cell r="O5">
            <v>272266.53122640593</v>
          </cell>
          <cell r="P5">
            <v>3081394.374716871</v>
          </cell>
        </row>
        <row r="6">
          <cell r="C6" t="str">
            <v xml:space="preserve">Puertecito </v>
          </cell>
          <cell r="D6">
            <v>262099.53524676338</v>
          </cell>
          <cell r="E6">
            <v>229617.53524676338</v>
          </cell>
          <cell r="F6">
            <v>276511.53524676338</v>
          </cell>
          <cell r="G6">
            <v>262117.53524676338</v>
          </cell>
          <cell r="H6">
            <v>292021.53524676338</v>
          </cell>
          <cell r="I6">
            <v>285441.53524676338</v>
          </cell>
          <cell r="J6">
            <v>280662.53524676338</v>
          </cell>
          <cell r="K6">
            <v>267840.53524676338</v>
          </cell>
          <cell r="L6">
            <v>269589.53524676338</v>
          </cell>
          <cell r="M6">
            <v>292515.53524676338</v>
          </cell>
          <cell r="N6">
            <v>285165.53524676338</v>
          </cell>
          <cell r="O6">
            <v>281991.53524676338</v>
          </cell>
          <cell r="P6">
            <v>3285574.4229611605</v>
          </cell>
        </row>
        <row r="7">
          <cell r="C7" t="str">
            <v>Jesus Maria</v>
          </cell>
          <cell r="D7">
            <v>168836.23291856682</v>
          </cell>
          <cell r="E7">
            <v>142132.23291856682</v>
          </cell>
          <cell r="F7">
            <v>188656.23291856682</v>
          </cell>
          <cell r="G7">
            <v>183032.23291856682</v>
          </cell>
          <cell r="H7">
            <v>203894.23291856682</v>
          </cell>
          <cell r="I7">
            <v>212871.23291856682</v>
          </cell>
          <cell r="J7">
            <v>185919.23291856682</v>
          </cell>
          <cell r="K7">
            <v>187143.23291856682</v>
          </cell>
          <cell r="L7">
            <v>222975.23291856682</v>
          </cell>
          <cell r="M7">
            <v>247657.23291856682</v>
          </cell>
          <cell r="N7">
            <v>241391.23291856682</v>
          </cell>
          <cell r="O7">
            <v>238685.23291856682</v>
          </cell>
          <cell r="P7">
            <v>2423193.795022802</v>
          </cell>
        </row>
        <row r="8">
          <cell r="D8">
            <v>710418.29939173604</v>
          </cell>
          <cell r="E8">
            <v>635498.29939173616</v>
          </cell>
          <cell r="F8">
            <v>763448.29939173604</v>
          </cell>
          <cell r="G8">
            <v>732477.29939173604</v>
          </cell>
          <cell r="H8">
            <v>821532.29939173604</v>
          </cell>
          <cell r="I8">
            <v>807702.29939173604</v>
          </cell>
          <cell r="J8">
            <v>774024.29939173604</v>
          </cell>
          <cell r="K8">
            <v>773496.29939173604</v>
          </cell>
          <cell r="L8">
            <v>814813.29939173604</v>
          </cell>
          <cell r="M8">
            <v>879867.29939173604</v>
          </cell>
          <cell r="N8">
            <v>857607.29939173604</v>
          </cell>
          <cell r="O8">
            <v>847993.29939173604</v>
          </cell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</row>
        <row r="12">
          <cell r="C12" t="str">
            <v xml:space="preserve">Colosio </v>
          </cell>
          <cell r="D12">
            <v>31195</v>
          </cell>
          <cell r="E12">
            <v>32956</v>
          </cell>
          <cell r="F12">
            <v>39273</v>
          </cell>
          <cell r="G12">
            <v>34198</v>
          </cell>
          <cell r="H12">
            <v>38360</v>
          </cell>
          <cell r="I12">
            <v>35765</v>
          </cell>
          <cell r="J12">
            <v>33257</v>
          </cell>
          <cell r="K12">
            <v>33658</v>
          </cell>
          <cell r="L12">
            <v>39248</v>
          </cell>
          <cell r="M12">
            <v>42774</v>
          </cell>
          <cell r="N12">
            <v>41633</v>
          </cell>
          <cell r="O12">
            <v>41141</v>
          </cell>
          <cell r="P12">
            <v>443458</v>
          </cell>
        </row>
        <row r="13">
          <cell r="C13" t="str">
            <v xml:space="preserve">San Rafael </v>
          </cell>
          <cell r="D13">
            <v>59342</v>
          </cell>
          <cell r="E13">
            <v>62016</v>
          </cell>
          <cell r="F13">
            <v>70556</v>
          </cell>
          <cell r="G13">
            <v>72543</v>
          </cell>
          <cell r="H13">
            <v>80447</v>
          </cell>
          <cell r="I13">
            <v>68372</v>
          </cell>
          <cell r="J13">
            <v>69987</v>
          </cell>
          <cell r="K13">
            <v>80365</v>
          </cell>
          <cell r="L13">
            <v>73560</v>
          </cell>
          <cell r="M13">
            <v>82902</v>
          </cell>
          <cell r="N13">
            <v>80692</v>
          </cell>
          <cell r="O13">
            <v>79737</v>
          </cell>
          <cell r="P13">
            <v>880519</v>
          </cell>
        </row>
        <row r="14">
          <cell r="C14" t="str">
            <v xml:space="preserve">Puertecito </v>
          </cell>
          <cell r="D14">
            <v>32317</v>
          </cell>
          <cell r="E14">
            <v>24988</v>
          </cell>
          <cell r="F14">
            <v>27458</v>
          </cell>
          <cell r="G14">
            <v>26049</v>
          </cell>
          <cell r="H14">
            <v>27968</v>
          </cell>
          <cell r="I14">
            <v>28910</v>
          </cell>
          <cell r="J14">
            <v>27348</v>
          </cell>
          <cell r="K14">
            <v>28950</v>
          </cell>
          <cell r="L14">
            <v>42282</v>
          </cell>
          <cell r="M14">
            <v>33690</v>
          </cell>
          <cell r="N14">
            <v>32792</v>
          </cell>
          <cell r="O14">
            <v>32404</v>
          </cell>
          <cell r="P14">
            <v>365156</v>
          </cell>
        </row>
        <row r="15">
          <cell r="C15" t="str">
            <v>Jesus Maria</v>
          </cell>
          <cell r="D15">
            <v>27677</v>
          </cell>
          <cell r="E15">
            <v>24937</v>
          </cell>
          <cell r="F15">
            <v>27878</v>
          </cell>
          <cell r="G15">
            <v>25884</v>
          </cell>
          <cell r="H15">
            <v>30865</v>
          </cell>
          <cell r="I15">
            <v>30323</v>
          </cell>
          <cell r="J15">
            <v>27586</v>
          </cell>
          <cell r="K15">
            <v>31275</v>
          </cell>
          <cell r="L15">
            <v>35527</v>
          </cell>
          <cell r="M15">
            <v>39078</v>
          </cell>
          <cell r="N15">
            <v>38037</v>
          </cell>
          <cell r="O15">
            <v>37587</v>
          </cell>
          <cell r="P15">
            <v>376654</v>
          </cell>
        </row>
        <row r="16">
          <cell r="D16">
            <v>150531</v>
          </cell>
          <cell r="E16">
            <v>144897</v>
          </cell>
          <cell r="F16">
            <v>165165</v>
          </cell>
          <cell r="G16">
            <v>158674</v>
          </cell>
          <cell r="H16">
            <v>177640</v>
          </cell>
          <cell r="I16">
            <v>163370</v>
          </cell>
          <cell r="J16">
            <v>158178</v>
          </cell>
          <cell r="K16">
            <v>174248</v>
          </cell>
          <cell r="L16">
            <v>190617</v>
          </cell>
          <cell r="M16">
            <v>198444</v>
          </cell>
          <cell r="N16">
            <v>193154</v>
          </cell>
          <cell r="O16">
            <v>190869</v>
          </cell>
        </row>
        <row r="20">
          <cell r="C20" t="str">
            <v xml:space="preserve">Colosio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C21" t="str">
            <v xml:space="preserve">San Rafael </v>
          </cell>
          <cell r="D21">
            <v>5479</v>
          </cell>
          <cell r="E21">
            <v>4966</v>
          </cell>
          <cell r="F21">
            <v>6046</v>
          </cell>
          <cell r="G21">
            <v>7215</v>
          </cell>
          <cell r="H21">
            <v>8677</v>
          </cell>
          <cell r="I21">
            <v>6940</v>
          </cell>
          <cell r="J21">
            <v>7389</v>
          </cell>
          <cell r="K21">
            <v>6176</v>
          </cell>
          <cell r="L21">
            <v>5997</v>
          </cell>
          <cell r="M21">
            <v>5613</v>
          </cell>
          <cell r="N21">
            <v>5463</v>
          </cell>
          <cell r="O21">
            <v>5399</v>
          </cell>
          <cell r="P21">
            <v>75360</v>
          </cell>
        </row>
        <row r="22">
          <cell r="C22" t="str">
            <v xml:space="preserve">Puertecito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C23" t="str">
            <v>Jesus Maria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D24">
            <v>5479</v>
          </cell>
          <cell r="E24">
            <v>4966</v>
          </cell>
          <cell r="F24">
            <v>6046</v>
          </cell>
          <cell r="G24">
            <v>7215</v>
          </cell>
          <cell r="H24">
            <v>8677</v>
          </cell>
          <cell r="I24">
            <v>6940</v>
          </cell>
          <cell r="J24">
            <v>7389</v>
          </cell>
          <cell r="K24">
            <v>6176</v>
          </cell>
          <cell r="L24">
            <v>5997</v>
          </cell>
          <cell r="M24">
            <v>5613</v>
          </cell>
          <cell r="N24">
            <v>5463</v>
          </cell>
          <cell r="O24">
            <v>5399</v>
          </cell>
        </row>
        <row r="45">
          <cell r="C45" t="str">
            <v xml:space="preserve">Colosio </v>
          </cell>
          <cell r="D45">
            <v>1560</v>
          </cell>
          <cell r="E45">
            <v>1440</v>
          </cell>
          <cell r="F45">
            <v>1200</v>
          </cell>
          <cell r="G45">
            <v>1560</v>
          </cell>
          <cell r="H45">
            <v>1500</v>
          </cell>
          <cell r="I45">
            <v>1260</v>
          </cell>
          <cell r="J45">
            <v>1380</v>
          </cell>
          <cell r="K45">
            <v>1200</v>
          </cell>
          <cell r="L45">
            <v>1440</v>
          </cell>
          <cell r="M45">
            <v>3780</v>
          </cell>
          <cell r="N45">
            <v>3600</v>
          </cell>
          <cell r="O45">
            <v>2940</v>
          </cell>
          <cell r="P45">
            <v>22860</v>
          </cell>
        </row>
        <row r="46">
          <cell r="C46" t="str">
            <v xml:space="preserve">San Rafael </v>
          </cell>
          <cell r="D46">
            <v>900</v>
          </cell>
          <cell r="E46">
            <v>480</v>
          </cell>
          <cell r="F46">
            <v>5700</v>
          </cell>
          <cell r="G46">
            <v>5820</v>
          </cell>
          <cell r="H46">
            <v>5760</v>
          </cell>
          <cell r="I46">
            <v>5460</v>
          </cell>
          <cell r="J46">
            <v>4500</v>
          </cell>
          <cell r="K46">
            <v>6360</v>
          </cell>
          <cell r="L46">
            <v>4800</v>
          </cell>
          <cell r="M46">
            <v>6060</v>
          </cell>
          <cell r="N46">
            <v>7140</v>
          </cell>
          <cell r="O46">
            <v>6900</v>
          </cell>
          <cell r="P46">
            <v>59880</v>
          </cell>
        </row>
        <row r="47">
          <cell r="C47" t="str">
            <v xml:space="preserve">Puertecito </v>
          </cell>
          <cell r="D47">
            <v>1980</v>
          </cell>
          <cell r="E47">
            <v>3780</v>
          </cell>
          <cell r="F47">
            <v>5880</v>
          </cell>
          <cell r="G47">
            <v>5040</v>
          </cell>
          <cell r="H47">
            <v>7560</v>
          </cell>
          <cell r="I47">
            <v>6240</v>
          </cell>
          <cell r="J47">
            <v>6480</v>
          </cell>
          <cell r="K47">
            <v>5940</v>
          </cell>
          <cell r="L47">
            <v>5700</v>
          </cell>
          <cell r="M47">
            <v>6960</v>
          </cell>
          <cell r="N47">
            <v>6300</v>
          </cell>
          <cell r="O47">
            <v>14940</v>
          </cell>
          <cell r="P47">
            <v>76800</v>
          </cell>
        </row>
        <row r="48">
          <cell r="C48" t="str">
            <v>Jesus Maria</v>
          </cell>
          <cell r="D48">
            <v>4140</v>
          </cell>
          <cell r="E48">
            <v>1860</v>
          </cell>
          <cell r="F48">
            <v>2520</v>
          </cell>
          <cell r="G48">
            <v>2400</v>
          </cell>
          <cell r="H48">
            <v>2700</v>
          </cell>
          <cell r="I48">
            <v>1740</v>
          </cell>
          <cell r="J48">
            <v>3480</v>
          </cell>
          <cell r="K48">
            <v>3480</v>
          </cell>
          <cell r="L48">
            <v>2520</v>
          </cell>
          <cell r="M48">
            <v>2520</v>
          </cell>
          <cell r="N48">
            <v>3240</v>
          </cell>
          <cell r="O48">
            <v>2700</v>
          </cell>
          <cell r="P48">
            <v>33300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VMPWIUH56JEVHZAJRQU7F5HEMW">
      <xxl21:absoluteUrl r:id="rId2"/>
    </xxl21:alternateUrls>
    <sheetNames>
      <sheetName val="Resumen"/>
      <sheetName val="Detalle"/>
      <sheetName val="Evidencia"/>
    </sheetNames>
    <sheetDataSet>
      <sheetData sheetId="0">
        <row r="8">
          <cell r="C8" t="str">
            <v xml:space="preserve">Colosio </v>
          </cell>
          <cell r="D8">
            <v>6666.8720799999992</v>
          </cell>
          <cell r="E8">
            <v>6666.8720799999992</v>
          </cell>
          <cell r="F8">
            <v>6666.8720799999992</v>
          </cell>
          <cell r="G8">
            <v>6666.8720799999992</v>
          </cell>
          <cell r="H8">
            <v>6666.8720799999992</v>
          </cell>
          <cell r="I8">
            <v>6666.8720799999992</v>
          </cell>
          <cell r="J8">
            <v>6666.8720799999992</v>
          </cell>
          <cell r="K8">
            <v>6666.8720799999992</v>
          </cell>
          <cell r="L8">
            <v>6666.8720799999992</v>
          </cell>
          <cell r="M8">
            <v>6666.8720799999992</v>
          </cell>
          <cell r="N8">
            <v>6666.8720799999992</v>
          </cell>
          <cell r="O8">
            <v>6666.8720799999992</v>
          </cell>
        </row>
        <row r="9">
          <cell r="C9" t="str">
            <v xml:space="preserve">San Rafael </v>
          </cell>
          <cell r="D9">
            <v>14747.587249999999</v>
          </cell>
          <cell r="E9">
            <v>14747.587249999999</v>
          </cell>
          <cell r="F9">
            <v>14747.587249999999</v>
          </cell>
          <cell r="G9">
            <v>14747.587249999999</v>
          </cell>
          <cell r="H9">
            <v>14747.587249999999</v>
          </cell>
          <cell r="I9">
            <v>14747.587249999999</v>
          </cell>
          <cell r="J9">
            <v>14747.587249999999</v>
          </cell>
          <cell r="K9">
            <v>14747.587249999999</v>
          </cell>
          <cell r="L9">
            <v>14747.587249999999</v>
          </cell>
          <cell r="M9">
            <v>14747.587249999999</v>
          </cell>
          <cell r="N9">
            <v>14747.587249999999</v>
          </cell>
          <cell r="O9">
            <v>14747.587249999999</v>
          </cell>
        </row>
        <row r="10">
          <cell r="C10" t="str">
            <v xml:space="preserve">Puertecito </v>
          </cell>
          <cell r="D10">
            <v>15922.477504999997</v>
          </cell>
          <cell r="E10">
            <v>15922.477504999997</v>
          </cell>
          <cell r="F10">
            <v>15922.477504999997</v>
          </cell>
          <cell r="G10">
            <v>15922.477504999997</v>
          </cell>
          <cell r="H10">
            <v>15922.477504999997</v>
          </cell>
          <cell r="I10">
            <v>15922.477504999997</v>
          </cell>
          <cell r="J10">
            <v>15922.477504999997</v>
          </cell>
          <cell r="K10">
            <v>15922.477504999997</v>
          </cell>
          <cell r="L10">
            <v>15922.477504999997</v>
          </cell>
          <cell r="M10">
            <v>15922.477504999997</v>
          </cell>
          <cell r="N10">
            <v>15922.477504999997</v>
          </cell>
          <cell r="O10">
            <v>15922.477504999997</v>
          </cell>
        </row>
        <row r="11">
          <cell r="C11" t="str">
            <v>Jesus Maria</v>
          </cell>
          <cell r="D11">
            <v>12976.738169999999</v>
          </cell>
          <cell r="E11">
            <v>12976.738169999999</v>
          </cell>
          <cell r="F11">
            <v>12976.738169999999</v>
          </cell>
          <cell r="G11">
            <v>12976.738169999999</v>
          </cell>
          <cell r="H11">
            <v>12976.738169999999</v>
          </cell>
          <cell r="I11">
            <v>12976.738169999999</v>
          </cell>
          <cell r="J11">
            <v>12976.738169999999</v>
          </cell>
          <cell r="K11">
            <v>12976.738169999999</v>
          </cell>
          <cell r="L11">
            <v>12976.738169999999</v>
          </cell>
          <cell r="M11">
            <v>12976.738169999999</v>
          </cell>
          <cell r="N11">
            <v>12976.738169999999</v>
          </cell>
          <cell r="O11">
            <v>12976.738169999999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S6QMGHHAKMNFC36LQ3Z4UZDVPZ">
      <xxl21:absoluteUrl r:id="rId2"/>
    </xxl21:alternateUrls>
    <sheetNames>
      <sheetName val="Resumen"/>
      <sheetName val="Detalle"/>
      <sheetName val="Evidencias"/>
      <sheetName val="Presupues Vs Gasto Real 2024"/>
    </sheetNames>
    <sheetDataSet>
      <sheetData sheetId="0">
        <row r="9">
          <cell r="C9" t="str">
            <v xml:space="preserve">Colosio </v>
          </cell>
          <cell r="D9">
            <v>1840</v>
          </cell>
          <cell r="E9">
            <v>1840</v>
          </cell>
          <cell r="F9">
            <v>1840</v>
          </cell>
          <cell r="G9">
            <v>1840</v>
          </cell>
          <cell r="H9">
            <v>1840</v>
          </cell>
          <cell r="I9">
            <v>1840</v>
          </cell>
          <cell r="J9">
            <v>1840</v>
          </cell>
          <cell r="K9">
            <v>1840</v>
          </cell>
          <cell r="L9">
            <v>1840</v>
          </cell>
          <cell r="M9">
            <v>1840</v>
          </cell>
          <cell r="N9">
            <v>1840</v>
          </cell>
          <cell r="O9">
            <v>1840</v>
          </cell>
        </row>
        <row r="10">
          <cell r="C10" t="str">
            <v xml:space="preserve">San Rafael </v>
          </cell>
          <cell r="D10">
            <v>1840</v>
          </cell>
          <cell r="E10">
            <v>1840</v>
          </cell>
          <cell r="F10">
            <v>1840</v>
          </cell>
          <cell r="G10">
            <v>1840</v>
          </cell>
          <cell r="H10">
            <v>1840</v>
          </cell>
          <cell r="I10">
            <v>1840</v>
          </cell>
          <cell r="J10">
            <v>1840</v>
          </cell>
          <cell r="K10">
            <v>1840</v>
          </cell>
          <cell r="L10">
            <v>1840</v>
          </cell>
          <cell r="M10">
            <v>1840</v>
          </cell>
          <cell r="N10">
            <v>1840</v>
          </cell>
          <cell r="O10">
            <v>1840</v>
          </cell>
        </row>
        <row r="11">
          <cell r="C11" t="str">
            <v xml:space="preserve">Puertecito </v>
          </cell>
          <cell r="D11">
            <v>1840</v>
          </cell>
          <cell r="E11">
            <v>1840</v>
          </cell>
          <cell r="F11">
            <v>1840</v>
          </cell>
          <cell r="G11">
            <v>1840</v>
          </cell>
          <cell r="H11">
            <v>1840</v>
          </cell>
          <cell r="I11">
            <v>1840</v>
          </cell>
          <cell r="J11">
            <v>1840</v>
          </cell>
          <cell r="K11">
            <v>1840</v>
          </cell>
          <cell r="L11">
            <v>1840</v>
          </cell>
          <cell r="M11">
            <v>1840</v>
          </cell>
          <cell r="N11">
            <v>1840</v>
          </cell>
          <cell r="O11">
            <v>1840</v>
          </cell>
        </row>
        <row r="12">
          <cell r="C12" t="str">
            <v>Jesus Maria</v>
          </cell>
          <cell r="D12">
            <v>1840</v>
          </cell>
          <cell r="E12">
            <v>1840</v>
          </cell>
          <cell r="F12">
            <v>1840</v>
          </cell>
          <cell r="G12">
            <v>1840</v>
          </cell>
          <cell r="H12">
            <v>1840</v>
          </cell>
          <cell r="I12">
            <v>1840</v>
          </cell>
          <cell r="J12">
            <v>1840</v>
          </cell>
          <cell r="K12">
            <v>1840</v>
          </cell>
          <cell r="L12">
            <v>1840</v>
          </cell>
          <cell r="M12">
            <v>1840</v>
          </cell>
          <cell r="N12">
            <v>1840</v>
          </cell>
          <cell r="O12">
            <v>1840</v>
          </cell>
        </row>
        <row r="18">
          <cell r="C18" t="str">
            <v xml:space="preserve">Colosio </v>
          </cell>
          <cell r="D18">
            <v>2200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2200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 xml:space="preserve">San Rafael </v>
          </cell>
          <cell r="D19">
            <v>2200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2200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C20" t="str">
            <v xml:space="preserve">Puertecito </v>
          </cell>
          <cell r="D20">
            <v>2200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2200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Jesus Maria</v>
          </cell>
          <cell r="D21">
            <v>2200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2200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7">
          <cell r="C27" t="str">
            <v xml:space="preserve">Colosio </v>
          </cell>
          <cell r="D27">
            <v>1300</v>
          </cell>
          <cell r="E27">
            <v>1300</v>
          </cell>
          <cell r="F27">
            <v>1300</v>
          </cell>
          <cell r="G27">
            <v>1300</v>
          </cell>
          <cell r="H27">
            <v>1300</v>
          </cell>
          <cell r="I27">
            <v>1300</v>
          </cell>
          <cell r="J27">
            <v>1300</v>
          </cell>
          <cell r="K27">
            <v>1300</v>
          </cell>
          <cell r="L27">
            <v>1300</v>
          </cell>
          <cell r="M27">
            <v>1300</v>
          </cell>
          <cell r="N27">
            <v>1300</v>
          </cell>
          <cell r="O27">
            <v>1300</v>
          </cell>
        </row>
        <row r="28">
          <cell r="C28" t="str">
            <v xml:space="preserve">San Rafael </v>
          </cell>
          <cell r="D28">
            <v>0</v>
          </cell>
          <cell r="E28">
            <v>1300</v>
          </cell>
          <cell r="F28">
            <v>1300</v>
          </cell>
          <cell r="G28">
            <v>1300</v>
          </cell>
          <cell r="H28">
            <v>1300</v>
          </cell>
          <cell r="I28">
            <v>1300</v>
          </cell>
          <cell r="J28">
            <v>1300</v>
          </cell>
          <cell r="K28">
            <v>1300</v>
          </cell>
          <cell r="L28">
            <v>1300</v>
          </cell>
          <cell r="M28">
            <v>1300</v>
          </cell>
          <cell r="N28">
            <v>1300</v>
          </cell>
          <cell r="O28">
            <v>1300</v>
          </cell>
        </row>
        <row r="29">
          <cell r="C29" t="str">
            <v xml:space="preserve">Puertecito </v>
          </cell>
          <cell r="D29">
            <v>0</v>
          </cell>
          <cell r="E29">
            <v>1300</v>
          </cell>
          <cell r="F29">
            <v>1300</v>
          </cell>
          <cell r="G29">
            <v>1300</v>
          </cell>
          <cell r="H29">
            <v>1300</v>
          </cell>
          <cell r="I29">
            <v>1300</v>
          </cell>
          <cell r="J29">
            <v>1300</v>
          </cell>
          <cell r="K29">
            <v>1300</v>
          </cell>
          <cell r="L29">
            <v>1300</v>
          </cell>
          <cell r="M29">
            <v>1300</v>
          </cell>
          <cell r="N29">
            <v>1300</v>
          </cell>
          <cell r="O29">
            <v>1300</v>
          </cell>
        </row>
        <row r="30">
          <cell r="C30" t="str">
            <v>Jesus Maria</v>
          </cell>
          <cell r="D30">
            <v>1300</v>
          </cell>
          <cell r="E30">
            <v>1300</v>
          </cell>
          <cell r="F30">
            <v>1300</v>
          </cell>
          <cell r="G30">
            <v>1300</v>
          </cell>
          <cell r="H30">
            <v>1300</v>
          </cell>
          <cell r="I30">
            <v>1300</v>
          </cell>
          <cell r="J30">
            <v>1300</v>
          </cell>
          <cell r="K30">
            <v>1300</v>
          </cell>
          <cell r="L30">
            <v>1300</v>
          </cell>
          <cell r="M30">
            <v>1300</v>
          </cell>
          <cell r="N30">
            <v>1300</v>
          </cell>
          <cell r="O30">
            <v>1300</v>
          </cell>
        </row>
        <row r="36">
          <cell r="C36" t="str">
            <v xml:space="preserve">Colosio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C37" t="str">
            <v xml:space="preserve">San Rafael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C38" t="str">
            <v xml:space="preserve">Puertecito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C39" t="str">
            <v>Jesus Maria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AXLDA7DGMGFCJA6F3REIY3JE2">
      <xxl21:absoluteUrl r:id="rId2"/>
    </xxl21:alternateUrls>
    <sheetNames>
      <sheetName val="Resumen"/>
      <sheetName val="Detalle"/>
      <sheetName val="Evidencias"/>
    </sheetNames>
    <sheetDataSet>
      <sheetData sheetId="0">
        <row r="9">
          <cell r="C9" t="str">
            <v xml:space="preserve">Colosio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1242.1199999999999</v>
          </cell>
        </row>
        <row r="10">
          <cell r="C10" t="str">
            <v xml:space="preserve">San Rafael 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1242.1199999999999</v>
          </cell>
        </row>
        <row r="11">
          <cell r="C11" t="str">
            <v xml:space="preserve">Puertecito 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1242.1199999999999</v>
          </cell>
        </row>
        <row r="12">
          <cell r="C12" t="str">
            <v>Jesus Maria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1242.1199999999999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VYXZHNVHMK6BBKP3254VCUZUBP">
      <xxl21:absoluteUrl r:id="rId2"/>
    </xxl21:alternateUrls>
    <sheetNames>
      <sheetName val="Resumen"/>
      <sheetName val="Detalle"/>
      <sheetName val="Evidencias"/>
    </sheetNames>
    <sheetDataSet>
      <sheetData sheetId="0">
        <row r="26">
          <cell r="V26" t="str">
            <v xml:space="preserve">Colosio </v>
          </cell>
          <cell r="W26">
            <v>35400.42</v>
          </cell>
          <cell r="X26">
            <v>157335.19999999998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V27" t="str">
            <v xml:space="preserve">San Rafael </v>
          </cell>
          <cell r="W27">
            <v>35400.42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V28" t="str">
            <v xml:space="preserve">Puertecito </v>
          </cell>
          <cell r="W28">
            <v>35400.42</v>
          </cell>
          <cell r="X28">
            <v>38298.699999999997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V29" t="str">
            <v>Jesus Maria</v>
          </cell>
          <cell r="W29">
            <v>35400.42</v>
          </cell>
          <cell r="X29">
            <v>38298.699999999997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5">
          <cell r="V35" t="str">
            <v xml:space="preserve">Colosio 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V36" t="str">
            <v xml:space="preserve">San Rafael 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V37" t="str">
            <v xml:space="preserve">Puertecito </v>
          </cell>
          <cell r="W37">
            <v>2021.5502999999999</v>
          </cell>
          <cell r="X37">
            <v>2021.5502999999999</v>
          </cell>
          <cell r="Y37">
            <v>2021.5502999999999</v>
          </cell>
          <cell r="Z37">
            <v>2021.5502999999999</v>
          </cell>
          <cell r="AA37">
            <v>2021.5502999999999</v>
          </cell>
          <cell r="AB37">
            <v>2021.5502999999999</v>
          </cell>
          <cell r="AC37">
            <v>2021.5502999999999</v>
          </cell>
          <cell r="AD37">
            <v>2021.5502999999999</v>
          </cell>
          <cell r="AE37">
            <v>2021.5502999999999</v>
          </cell>
          <cell r="AF37">
            <v>2021.5502999999999</v>
          </cell>
          <cell r="AG37">
            <v>2021.5502999999999</v>
          </cell>
          <cell r="AH37">
            <v>2021.5502999999999</v>
          </cell>
        </row>
        <row r="38">
          <cell r="V38" t="str">
            <v>Jesus Maria</v>
          </cell>
          <cell r="W38">
            <v>2021.5502999999999</v>
          </cell>
          <cell r="X38">
            <v>2021.5502999999999</v>
          </cell>
          <cell r="Y38">
            <v>2021.5502999999999</v>
          </cell>
          <cell r="Z38">
            <v>2021.5502999999999</v>
          </cell>
          <cell r="AA38">
            <v>2021.5502999999999</v>
          </cell>
          <cell r="AB38">
            <v>2021.5502999999999</v>
          </cell>
          <cell r="AC38">
            <v>2021.5502999999999</v>
          </cell>
          <cell r="AD38">
            <v>2021.5502999999999</v>
          </cell>
          <cell r="AE38">
            <v>2021.5502999999999</v>
          </cell>
          <cell r="AF38">
            <v>2021.5502999999999</v>
          </cell>
          <cell r="AG38">
            <v>2021.5502999999999</v>
          </cell>
          <cell r="AH38">
            <v>2021.5502999999999</v>
          </cell>
        </row>
        <row r="44">
          <cell r="V44" t="str">
            <v xml:space="preserve">Colosio 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V45" t="str">
            <v xml:space="preserve">San Rafael 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V46" t="str">
            <v xml:space="preserve">Puertecito 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V47" t="str">
            <v>Jesus Maria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53">
          <cell r="V53" t="str">
            <v xml:space="preserve">Colosio </v>
          </cell>
          <cell r="W53">
            <v>37339.162299999996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V54" t="str">
            <v xml:space="preserve">San Rafael </v>
          </cell>
          <cell r="W54">
            <v>37339.162299999996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V55" t="str">
            <v xml:space="preserve">Puertecito </v>
          </cell>
          <cell r="W55">
            <v>37339.162299999996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V56" t="str">
            <v>Jesus Maria</v>
          </cell>
          <cell r="W56">
            <v>37339.162299999996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62">
          <cell r="V62" t="str">
            <v xml:space="preserve">Colosio </v>
          </cell>
          <cell r="W62">
            <v>0</v>
          </cell>
          <cell r="X62">
            <v>0</v>
          </cell>
          <cell r="Y62">
            <v>3621.8148999999999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V63" t="str">
            <v xml:space="preserve">San Rafael </v>
          </cell>
          <cell r="W63">
            <v>0</v>
          </cell>
          <cell r="X63">
            <v>0</v>
          </cell>
          <cell r="Y63">
            <v>3621.8148999999999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V64" t="str">
            <v xml:space="preserve">Puertecito </v>
          </cell>
          <cell r="W64">
            <v>0</v>
          </cell>
          <cell r="X64">
            <v>0</v>
          </cell>
          <cell r="Y64">
            <v>3621.8148999999999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V65" t="str">
            <v>Jesus Maria</v>
          </cell>
          <cell r="W65">
            <v>0</v>
          </cell>
          <cell r="X65">
            <v>0</v>
          </cell>
          <cell r="Y65">
            <v>3621.8148999999999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80">
          <cell r="V80" t="str">
            <v xml:space="preserve">Colosio </v>
          </cell>
          <cell r="W80">
            <v>7111.7925633333325</v>
          </cell>
          <cell r="X80">
            <v>6423.5545733333329</v>
          </cell>
          <cell r="Y80">
            <v>7111.7925633333325</v>
          </cell>
          <cell r="Z80">
            <v>6882.379899999999</v>
          </cell>
          <cell r="AA80">
            <v>7111.7925633333325</v>
          </cell>
          <cell r="AB80">
            <v>6882.379899999999</v>
          </cell>
          <cell r="AC80">
            <v>7111.7925633333325</v>
          </cell>
          <cell r="AD80">
            <v>7111.7925633333325</v>
          </cell>
          <cell r="AE80">
            <v>6882.379899999999</v>
          </cell>
          <cell r="AF80">
            <v>7111.7925633333325</v>
          </cell>
          <cell r="AG80">
            <v>6882.379899999999</v>
          </cell>
          <cell r="AH80">
            <v>7111.7925633333325</v>
          </cell>
        </row>
        <row r="81">
          <cell r="V81" t="str">
            <v xml:space="preserve">San Rafael </v>
          </cell>
          <cell r="W81">
            <v>5743.7698999999993</v>
          </cell>
          <cell r="X81">
            <v>6475.5855999999994</v>
          </cell>
          <cell r="Y81">
            <v>6609.1134999999995</v>
          </cell>
          <cell r="Z81">
            <v>6594.6220999999996</v>
          </cell>
          <cell r="AA81">
            <v>7833.6367999999993</v>
          </cell>
          <cell r="AB81">
            <v>9110.9501999999993</v>
          </cell>
          <cell r="AC81">
            <v>8107.94980111111</v>
          </cell>
          <cell r="AD81">
            <v>8350.8456003703686</v>
          </cell>
          <cell r="AE81">
            <v>8248.3050327359615</v>
          </cell>
          <cell r="AF81">
            <v>8510.2234828971177</v>
          </cell>
          <cell r="AG81">
            <v>8099.7981019365943</v>
          </cell>
          <cell r="AH81">
            <v>8562.3125016073318</v>
          </cell>
        </row>
        <row r="82">
          <cell r="V82" t="str">
            <v xml:space="preserve">Puertecito </v>
          </cell>
          <cell r="W82">
            <v>7720.3968599999989</v>
          </cell>
          <cell r="X82">
            <v>6973.2616799999996</v>
          </cell>
          <cell r="Y82">
            <v>7720.3968599999989</v>
          </cell>
          <cell r="Z82">
            <v>7471.3517999999995</v>
          </cell>
          <cell r="AA82">
            <v>7720.3968599999989</v>
          </cell>
          <cell r="AB82">
            <v>7471.3517999999995</v>
          </cell>
          <cell r="AC82">
            <v>7720.3968599999989</v>
          </cell>
          <cell r="AD82">
            <v>7720.3968599999989</v>
          </cell>
          <cell r="AE82">
            <v>7471.3517999999995</v>
          </cell>
          <cell r="AF82">
            <v>7720.3968599999989</v>
          </cell>
          <cell r="AG82">
            <v>7471.3517999999995</v>
          </cell>
          <cell r="AH82">
            <v>7720.3968599999989</v>
          </cell>
        </row>
        <row r="83">
          <cell r="V83" t="str">
            <v>Jesus Maria</v>
          </cell>
          <cell r="W83">
            <v>5743.7698999999993</v>
          </cell>
          <cell r="X83">
            <v>6475.5855999999994</v>
          </cell>
          <cell r="Y83">
            <v>6609.1134999999995</v>
          </cell>
          <cell r="Z83">
            <v>6594.6220999999996</v>
          </cell>
          <cell r="AA83">
            <v>7833.6367999999993</v>
          </cell>
          <cell r="AB83">
            <v>9110.9501999999993</v>
          </cell>
          <cell r="AC83">
            <v>8107.94980111111</v>
          </cell>
          <cell r="AD83">
            <v>8350.8456003703686</v>
          </cell>
          <cell r="AE83">
            <v>8248.3050327359615</v>
          </cell>
          <cell r="AF83">
            <v>8510.2234828971177</v>
          </cell>
          <cell r="AG83">
            <v>8099.7981019365943</v>
          </cell>
          <cell r="AH83">
            <v>8562.3125016073318</v>
          </cell>
        </row>
        <row r="89">
          <cell r="V89" t="str">
            <v xml:space="preserve">Colosio </v>
          </cell>
          <cell r="W89">
            <v>859.13299999999992</v>
          </cell>
          <cell r="X89">
            <v>859.13299999999992</v>
          </cell>
          <cell r="Y89">
            <v>859.13299999999992</v>
          </cell>
          <cell r="Z89">
            <v>859.13299999999992</v>
          </cell>
          <cell r="AA89">
            <v>859.13299999999992</v>
          </cell>
          <cell r="AB89">
            <v>859.13299999999992</v>
          </cell>
          <cell r="AC89">
            <v>859.13299999999992</v>
          </cell>
          <cell r="AD89">
            <v>859.13299999999992</v>
          </cell>
          <cell r="AE89">
            <v>859.13299999999992</v>
          </cell>
          <cell r="AF89">
            <v>859.13299999999992</v>
          </cell>
          <cell r="AG89">
            <v>859.13299999999992</v>
          </cell>
          <cell r="AH89">
            <v>859.13299999999992</v>
          </cell>
        </row>
        <row r="90">
          <cell r="V90" t="str">
            <v xml:space="preserve">San Rafael </v>
          </cell>
          <cell r="W90">
            <v>1293.875</v>
          </cell>
          <cell r="X90">
            <v>1293.875</v>
          </cell>
          <cell r="Y90">
            <v>1293.875</v>
          </cell>
          <cell r="Z90">
            <v>1293.875</v>
          </cell>
          <cell r="AA90">
            <v>1293.875</v>
          </cell>
          <cell r="AB90">
            <v>1293.875</v>
          </cell>
          <cell r="AC90">
            <v>1293.875</v>
          </cell>
          <cell r="AD90">
            <v>1293.875</v>
          </cell>
          <cell r="AE90">
            <v>1293.875</v>
          </cell>
          <cell r="AF90">
            <v>1293.875</v>
          </cell>
          <cell r="AG90">
            <v>1293.875</v>
          </cell>
          <cell r="AH90">
            <v>1293.875</v>
          </cell>
        </row>
        <row r="91">
          <cell r="V91" t="str">
            <v xml:space="preserve">Puertecito </v>
          </cell>
          <cell r="W91">
            <v>859.13299999999992</v>
          </cell>
          <cell r="X91">
            <v>859.13299999999992</v>
          </cell>
          <cell r="Y91">
            <v>859.13299999999992</v>
          </cell>
          <cell r="Z91">
            <v>859.13299999999992</v>
          </cell>
          <cell r="AA91">
            <v>859.13299999999992</v>
          </cell>
          <cell r="AB91">
            <v>859.13299999999992</v>
          </cell>
          <cell r="AC91">
            <v>859.13299999999992</v>
          </cell>
          <cell r="AD91">
            <v>859.13299999999992</v>
          </cell>
          <cell r="AE91">
            <v>859.13299999999992</v>
          </cell>
          <cell r="AF91">
            <v>859.13299999999992</v>
          </cell>
          <cell r="AG91">
            <v>859.13299999999992</v>
          </cell>
          <cell r="AH91">
            <v>859.13299999999992</v>
          </cell>
        </row>
        <row r="92">
          <cell r="V92" t="str">
            <v>Jesus Maria</v>
          </cell>
          <cell r="W92">
            <v>859.13299999999992</v>
          </cell>
          <cell r="X92">
            <v>859.13299999999992</v>
          </cell>
          <cell r="Y92">
            <v>859.13299999999992</v>
          </cell>
          <cell r="Z92">
            <v>859.13299999999992</v>
          </cell>
          <cell r="AA92">
            <v>859.13299999999992</v>
          </cell>
          <cell r="AB92">
            <v>859.13299999999992</v>
          </cell>
          <cell r="AC92">
            <v>859.13299999999992</v>
          </cell>
          <cell r="AD92">
            <v>859.13299999999992</v>
          </cell>
          <cell r="AE92">
            <v>859.13299999999992</v>
          </cell>
          <cell r="AF92">
            <v>859.13299999999992</v>
          </cell>
          <cell r="AG92">
            <v>859.13299999999992</v>
          </cell>
          <cell r="AH92">
            <v>859.13299999999992</v>
          </cell>
        </row>
        <row r="98">
          <cell r="V98" t="str">
            <v xml:space="preserve">Colosio </v>
          </cell>
          <cell r="W98">
            <v>598.15734904109581</v>
          </cell>
          <cell r="X98">
            <v>540.27115397260275</v>
          </cell>
          <cell r="Y98">
            <v>598.15734904109581</v>
          </cell>
          <cell r="Z98">
            <v>578.86195068493146</v>
          </cell>
          <cell r="AA98">
            <v>598.15734904109581</v>
          </cell>
          <cell r="AB98">
            <v>578.86195068493146</v>
          </cell>
          <cell r="AC98">
            <v>598.15734904109581</v>
          </cell>
          <cell r="AD98">
            <v>598.15734904109581</v>
          </cell>
          <cell r="AE98">
            <v>578.86195068493146</v>
          </cell>
          <cell r="AF98">
            <v>598.15734904109581</v>
          </cell>
          <cell r="AG98">
            <v>578.86195068493146</v>
          </cell>
          <cell r="AH98">
            <v>598.15734904109581</v>
          </cell>
        </row>
        <row r="99">
          <cell r="V99" t="str">
            <v xml:space="preserve">San Rafael </v>
          </cell>
          <cell r="W99">
            <v>598.15734904109581</v>
          </cell>
          <cell r="X99">
            <v>540.27115397260275</v>
          </cell>
          <cell r="Y99">
            <v>598.15734904109581</v>
          </cell>
          <cell r="Z99">
            <v>578.86195068493146</v>
          </cell>
          <cell r="AA99">
            <v>598.15734904109581</v>
          </cell>
          <cell r="AB99">
            <v>578.86195068493146</v>
          </cell>
          <cell r="AC99">
            <v>598.15734904109581</v>
          </cell>
          <cell r="AD99">
            <v>598.15734904109581</v>
          </cell>
          <cell r="AE99">
            <v>578.86195068493146</v>
          </cell>
          <cell r="AF99">
            <v>598.15734904109581</v>
          </cell>
          <cell r="AG99">
            <v>578.86195068493146</v>
          </cell>
          <cell r="AH99">
            <v>598.15734904109581</v>
          </cell>
        </row>
        <row r="100">
          <cell r="V100" t="str">
            <v xml:space="preserve">Puertecito </v>
          </cell>
          <cell r="W100">
            <v>598.15734904109581</v>
          </cell>
          <cell r="X100">
            <v>540.27115397260275</v>
          </cell>
          <cell r="Y100">
            <v>598.15734904109581</v>
          </cell>
          <cell r="Z100">
            <v>578.86195068493146</v>
          </cell>
          <cell r="AA100">
            <v>598.15734904109581</v>
          </cell>
          <cell r="AB100">
            <v>578.86195068493146</v>
          </cell>
          <cell r="AC100">
            <v>598.15734904109581</v>
          </cell>
          <cell r="AD100">
            <v>598.15734904109581</v>
          </cell>
          <cell r="AE100">
            <v>578.86195068493146</v>
          </cell>
          <cell r="AF100">
            <v>598.15734904109581</v>
          </cell>
          <cell r="AG100">
            <v>578.86195068493146</v>
          </cell>
          <cell r="AH100">
            <v>598.15734904109581</v>
          </cell>
        </row>
        <row r="101">
          <cell r="V101" t="str">
            <v>Jesus Maria</v>
          </cell>
          <cell r="W101">
            <v>598.15734904109581</v>
          </cell>
          <cell r="X101">
            <v>540.27115397260275</v>
          </cell>
          <cell r="Y101">
            <v>598.15734904109581</v>
          </cell>
          <cell r="Z101">
            <v>578.86195068493146</v>
          </cell>
          <cell r="AA101">
            <v>598.15734904109581</v>
          </cell>
          <cell r="AB101">
            <v>578.86195068493146</v>
          </cell>
          <cell r="AC101">
            <v>598.15734904109581</v>
          </cell>
          <cell r="AD101">
            <v>598.15734904109581</v>
          </cell>
          <cell r="AE101">
            <v>578.86195068493146</v>
          </cell>
          <cell r="AF101">
            <v>598.15734904109581</v>
          </cell>
          <cell r="AG101">
            <v>578.86195068493146</v>
          </cell>
          <cell r="AH101">
            <v>598.15734904109581</v>
          </cell>
        </row>
        <row r="107">
          <cell r="V107" t="str">
            <v xml:space="preserve">Colosio </v>
          </cell>
          <cell r="W107">
            <v>11892.263899999998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V108" t="str">
            <v xml:space="preserve">San Rafael </v>
          </cell>
          <cell r="W108">
            <v>11892.263899999998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V109" t="str">
            <v xml:space="preserve">Puertecito </v>
          </cell>
          <cell r="W109">
            <v>11892.263899999998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V110" t="str">
            <v>Jesus Maria</v>
          </cell>
          <cell r="W110">
            <v>11892.263899999998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VMENICRZP3LBH3ZJ6MEWBXCS7E">
      <xxl21:absoluteUrl r:id="rId2"/>
    </xxl21:alternateUrls>
    <sheetNames>
      <sheetName val="Resumen"/>
      <sheetName val="Detalle"/>
    </sheetNames>
    <sheetDataSet>
      <sheetData sheetId="0">
        <row r="10">
          <cell r="V10" t="str">
            <v xml:space="preserve">Colosio 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24221.339999999997</v>
          </cell>
          <cell r="AF10">
            <v>0</v>
          </cell>
          <cell r="AG10">
            <v>0</v>
          </cell>
          <cell r="AH10">
            <v>0</v>
          </cell>
        </row>
        <row r="11">
          <cell r="V11" t="str">
            <v xml:space="preserve">San Rafael 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24221.339999999997</v>
          </cell>
          <cell r="AF11">
            <v>0</v>
          </cell>
          <cell r="AG11">
            <v>0</v>
          </cell>
          <cell r="AH11">
            <v>0</v>
          </cell>
        </row>
        <row r="12">
          <cell r="V12" t="str">
            <v xml:space="preserve">Puertecito 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24221.339999999997</v>
          </cell>
          <cell r="AF12">
            <v>0</v>
          </cell>
          <cell r="AG12">
            <v>0</v>
          </cell>
          <cell r="AH12">
            <v>0</v>
          </cell>
        </row>
        <row r="13">
          <cell r="V13" t="str">
            <v>Jesus Maria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18528.289999999997</v>
          </cell>
          <cell r="AF13">
            <v>0</v>
          </cell>
          <cell r="AG13">
            <v>0</v>
          </cell>
          <cell r="AH13">
            <v>0</v>
          </cell>
        </row>
        <row r="19">
          <cell r="V19" t="str">
            <v xml:space="preserve">Colosio </v>
          </cell>
          <cell r="W19">
            <v>4657.95</v>
          </cell>
          <cell r="X19">
            <v>0</v>
          </cell>
          <cell r="Y19">
            <v>0</v>
          </cell>
          <cell r="Z19">
            <v>109927.62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V20" t="str">
            <v xml:space="preserve">San Rafael </v>
          </cell>
          <cell r="W20">
            <v>0</v>
          </cell>
          <cell r="X20">
            <v>0</v>
          </cell>
          <cell r="Y20">
            <v>0</v>
          </cell>
          <cell r="Z20">
            <v>109927.62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V21" t="str">
            <v xml:space="preserve">Puertecito </v>
          </cell>
          <cell r="W21">
            <v>0</v>
          </cell>
          <cell r="X21">
            <v>0</v>
          </cell>
          <cell r="Y21">
            <v>0</v>
          </cell>
          <cell r="Z21">
            <v>109927.62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V22" t="str">
            <v>Jesus Maria</v>
          </cell>
          <cell r="W22">
            <v>0</v>
          </cell>
          <cell r="X22">
            <v>0</v>
          </cell>
          <cell r="Y22">
            <v>0</v>
          </cell>
          <cell r="Z22">
            <v>109927.62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8">
          <cell r="V28" t="str">
            <v xml:space="preserve">Colosio 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24842.399999999998</v>
          </cell>
          <cell r="AF28">
            <v>0</v>
          </cell>
          <cell r="AG28">
            <v>0</v>
          </cell>
          <cell r="AH28">
            <v>0</v>
          </cell>
        </row>
        <row r="29">
          <cell r="V29" t="str">
            <v xml:space="preserve">San Rafael 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24842.399999999998</v>
          </cell>
          <cell r="AF29">
            <v>0</v>
          </cell>
          <cell r="AG29">
            <v>0</v>
          </cell>
          <cell r="AH29">
            <v>0</v>
          </cell>
        </row>
        <row r="30">
          <cell r="V30" t="str">
            <v xml:space="preserve">Puertecito 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24842.399999999998</v>
          </cell>
          <cell r="AF30">
            <v>0</v>
          </cell>
          <cell r="AG30">
            <v>0</v>
          </cell>
          <cell r="AH30">
            <v>0</v>
          </cell>
        </row>
        <row r="31">
          <cell r="V31" t="str">
            <v>Jesus Maria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24842.399999999998</v>
          </cell>
          <cell r="AF31">
            <v>0</v>
          </cell>
          <cell r="AG31">
            <v>0</v>
          </cell>
          <cell r="AH31">
            <v>0</v>
          </cell>
        </row>
        <row r="37">
          <cell r="V37" t="str">
            <v xml:space="preserve">Colosio 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7763.2499999999991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V38" t="str">
            <v xml:space="preserve">San Rafael 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7763.2499999999991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V39" t="str">
            <v xml:space="preserve">Puertecito 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7763.2499999999991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V40" t="str">
            <v>Jesus Maria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7763.2499999999991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6">
          <cell r="V46" t="str">
            <v xml:space="preserve">Colosio </v>
          </cell>
          <cell r="W46">
            <v>2587.75</v>
          </cell>
          <cell r="X46">
            <v>2587.75</v>
          </cell>
          <cell r="Y46">
            <v>2587.75</v>
          </cell>
          <cell r="Z46">
            <v>2587.75</v>
          </cell>
          <cell r="AA46">
            <v>2587.75</v>
          </cell>
          <cell r="AB46">
            <v>2587.75</v>
          </cell>
          <cell r="AC46">
            <v>2587.75</v>
          </cell>
          <cell r="AD46">
            <v>2587.75</v>
          </cell>
          <cell r="AE46">
            <v>2587.75</v>
          </cell>
          <cell r="AF46">
            <v>2587.75</v>
          </cell>
          <cell r="AG46">
            <v>2587.75</v>
          </cell>
          <cell r="AH46">
            <v>2587.75</v>
          </cell>
        </row>
        <row r="47">
          <cell r="V47" t="str">
            <v xml:space="preserve">San Rafael </v>
          </cell>
          <cell r="W47">
            <v>8280.7999999999993</v>
          </cell>
          <cell r="X47">
            <v>8280.7999999999993</v>
          </cell>
          <cell r="Y47">
            <v>8280.7999999999993</v>
          </cell>
          <cell r="Z47">
            <v>8280.7999999999993</v>
          </cell>
          <cell r="AA47">
            <v>8280.7999999999993</v>
          </cell>
          <cell r="AB47">
            <v>8280.7999999999993</v>
          </cell>
          <cell r="AC47">
            <v>8280.7999999999993</v>
          </cell>
          <cell r="AD47">
            <v>8280.7999999999993</v>
          </cell>
          <cell r="AE47">
            <v>8280.7999999999993</v>
          </cell>
          <cell r="AF47">
            <v>8280.7999999999993</v>
          </cell>
          <cell r="AG47">
            <v>8280.7999999999993</v>
          </cell>
          <cell r="AH47">
            <v>8280.7999999999993</v>
          </cell>
        </row>
        <row r="48">
          <cell r="V48" t="str">
            <v xml:space="preserve">Puertecito </v>
          </cell>
          <cell r="W48">
            <v>5175.5</v>
          </cell>
          <cell r="X48">
            <v>5175.5</v>
          </cell>
          <cell r="Y48">
            <v>5175.5</v>
          </cell>
          <cell r="Z48">
            <v>5175.5</v>
          </cell>
          <cell r="AA48">
            <v>5175.5</v>
          </cell>
          <cell r="AB48">
            <v>5175.5</v>
          </cell>
          <cell r="AC48">
            <v>5175.5</v>
          </cell>
          <cell r="AD48">
            <v>5175.5</v>
          </cell>
          <cell r="AE48">
            <v>5175.5</v>
          </cell>
          <cell r="AF48">
            <v>5175.5</v>
          </cell>
          <cell r="AG48">
            <v>5175.5</v>
          </cell>
          <cell r="AH48">
            <v>5175.5</v>
          </cell>
        </row>
        <row r="49">
          <cell r="V49" t="str">
            <v>Jesus Maria</v>
          </cell>
          <cell r="W49">
            <v>4140.3999999999996</v>
          </cell>
          <cell r="X49">
            <v>4140.3999999999996</v>
          </cell>
          <cell r="Y49">
            <v>4140.3999999999996</v>
          </cell>
          <cell r="Z49">
            <v>4140.3999999999996</v>
          </cell>
          <cell r="AA49">
            <v>4140.3999999999996</v>
          </cell>
          <cell r="AB49">
            <v>4140.3999999999996</v>
          </cell>
          <cell r="AC49">
            <v>4140.3999999999996</v>
          </cell>
          <cell r="AD49">
            <v>4140.3999999999996</v>
          </cell>
          <cell r="AE49">
            <v>4140.3999999999996</v>
          </cell>
          <cell r="AF49">
            <v>4140.3999999999996</v>
          </cell>
          <cell r="AG49">
            <v>4140.3999999999996</v>
          </cell>
          <cell r="AH49">
            <v>4140.3999999999996</v>
          </cell>
        </row>
        <row r="55">
          <cell r="V55" t="str">
            <v xml:space="preserve">Colosio </v>
          </cell>
          <cell r="W55">
            <v>0</v>
          </cell>
          <cell r="X55">
            <v>0</v>
          </cell>
          <cell r="Y55">
            <v>0</v>
          </cell>
          <cell r="Z55">
            <v>362.28499999999997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2535.9949999999999</v>
          </cell>
          <cell r="AF55">
            <v>0</v>
          </cell>
          <cell r="AG55">
            <v>0</v>
          </cell>
          <cell r="AH55">
            <v>0</v>
          </cell>
        </row>
        <row r="56">
          <cell r="V56" t="str">
            <v xml:space="preserve">San Rafael </v>
          </cell>
          <cell r="W56">
            <v>0</v>
          </cell>
          <cell r="X56">
            <v>362.28499999999997</v>
          </cell>
          <cell r="Y56">
            <v>0</v>
          </cell>
          <cell r="Z56">
            <v>0</v>
          </cell>
          <cell r="AA56">
            <v>362.28499999999997</v>
          </cell>
          <cell r="AB56">
            <v>0</v>
          </cell>
          <cell r="AC56">
            <v>0</v>
          </cell>
          <cell r="AD56">
            <v>0</v>
          </cell>
          <cell r="AE56">
            <v>3260.5649999999996</v>
          </cell>
          <cell r="AF56">
            <v>0</v>
          </cell>
          <cell r="AG56">
            <v>0</v>
          </cell>
          <cell r="AH56">
            <v>0</v>
          </cell>
        </row>
        <row r="57">
          <cell r="V57" t="str">
            <v xml:space="preserve">Puertecito 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362.28499999999997</v>
          </cell>
          <cell r="AC57">
            <v>0</v>
          </cell>
          <cell r="AD57">
            <v>0</v>
          </cell>
          <cell r="AE57">
            <v>2535.9949999999999</v>
          </cell>
          <cell r="AF57">
            <v>0</v>
          </cell>
          <cell r="AG57">
            <v>0</v>
          </cell>
          <cell r="AH57">
            <v>0</v>
          </cell>
        </row>
        <row r="58">
          <cell r="V58" t="str">
            <v>Jesus Maria</v>
          </cell>
          <cell r="W58">
            <v>0</v>
          </cell>
          <cell r="X58">
            <v>0</v>
          </cell>
          <cell r="Y58">
            <v>362.28499999999997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2535.9949999999999</v>
          </cell>
          <cell r="AF58">
            <v>0</v>
          </cell>
          <cell r="AG58">
            <v>0</v>
          </cell>
          <cell r="AH58">
            <v>0</v>
          </cell>
        </row>
        <row r="64">
          <cell r="V64" t="str">
            <v xml:space="preserve">Colosio </v>
          </cell>
          <cell r="W64">
            <v>0</v>
          </cell>
          <cell r="X64">
            <v>5175.5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5175.5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V65" t="str">
            <v xml:space="preserve">San Rafael </v>
          </cell>
          <cell r="W65">
            <v>0</v>
          </cell>
          <cell r="X65">
            <v>7763.2499999999991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7763.2499999999991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V66" t="str">
            <v xml:space="preserve">Puertecito </v>
          </cell>
          <cell r="W66">
            <v>0</v>
          </cell>
          <cell r="X66">
            <v>5175.5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5175.5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</row>
        <row r="67">
          <cell r="V67" t="str">
            <v>Jesus Maria</v>
          </cell>
          <cell r="W67">
            <v>0</v>
          </cell>
          <cell r="X67">
            <v>5175.5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5175.5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73">
          <cell r="V73" t="str">
            <v xml:space="preserve">Colosio 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V74" t="str">
            <v xml:space="preserve">San Rafael 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V75" t="str">
            <v xml:space="preserve">Puertecito 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V76" t="str">
            <v>Jesus Maria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82">
          <cell r="V82" t="str">
            <v xml:space="preserve">Colosio 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V83" t="str">
            <v xml:space="preserve">San Rafael 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V84" t="str">
            <v xml:space="preserve">Puertecito 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V85" t="str">
            <v>Jesus Maria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91">
          <cell r="V91" t="str">
            <v xml:space="preserve">Colosio 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V92" t="str">
            <v xml:space="preserve">San Rafael 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V93" t="str">
            <v xml:space="preserve">Puertecito 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V94" t="str">
            <v>Jesus Maria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100">
          <cell r="V100" t="str">
            <v xml:space="preserve">Colosio 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15526.499999999998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V101" t="str">
            <v xml:space="preserve">San Rafael 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15526.499999999998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V102" t="str">
            <v xml:space="preserve">Puertecito 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15526.499999999998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V103" t="str">
            <v>Jesus Maria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15526.499999999998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9">
          <cell r="V109" t="str">
            <v xml:space="preserve">Colosio </v>
          </cell>
          <cell r="W109">
            <v>0</v>
          </cell>
          <cell r="X109">
            <v>0</v>
          </cell>
          <cell r="Y109">
            <v>4968.4799999999996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V110" t="str">
            <v xml:space="preserve">San Rafael </v>
          </cell>
          <cell r="W110">
            <v>0</v>
          </cell>
          <cell r="X110">
            <v>0</v>
          </cell>
          <cell r="Y110">
            <v>7452.7199999999993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V111" t="str">
            <v xml:space="preserve">Puertecito </v>
          </cell>
          <cell r="W111">
            <v>0</v>
          </cell>
          <cell r="X111">
            <v>0</v>
          </cell>
          <cell r="Y111">
            <v>4968.4799999999996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V112" t="str">
            <v>Jesus Maria</v>
          </cell>
          <cell r="W112">
            <v>0</v>
          </cell>
          <cell r="X112">
            <v>0</v>
          </cell>
          <cell r="Y112">
            <v>4968.4799999999996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8">
          <cell r="V118" t="str">
            <v xml:space="preserve">Colosio 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V119" t="str">
            <v xml:space="preserve">San Rafael 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V120" t="str">
            <v xml:space="preserve">Puertecito 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V121" t="str">
            <v>Jesus Maria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7">
          <cell r="V127" t="str">
            <v xml:space="preserve">Colosio </v>
          </cell>
          <cell r="W127">
            <v>0</v>
          </cell>
          <cell r="X127">
            <v>0</v>
          </cell>
          <cell r="Y127">
            <v>3622.8499999999995</v>
          </cell>
          <cell r="Z127">
            <v>0</v>
          </cell>
          <cell r="AA127">
            <v>0</v>
          </cell>
          <cell r="AB127">
            <v>0</v>
          </cell>
          <cell r="AC127">
            <v>3622.8499999999995</v>
          </cell>
          <cell r="AD127">
            <v>0</v>
          </cell>
          <cell r="AE127">
            <v>0</v>
          </cell>
          <cell r="AF127">
            <v>3622.8499999999995</v>
          </cell>
          <cell r="AG127">
            <v>0</v>
          </cell>
          <cell r="AH127">
            <v>0</v>
          </cell>
        </row>
        <row r="128">
          <cell r="V128" t="str">
            <v xml:space="preserve">San Rafael 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V129" t="str">
            <v xml:space="preserve">Puertecito 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V130" t="str">
            <v>Jesus Maria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6">
          <cell r="V136" t="str">
            <v xml:space="preserve">Colosio </v>
          </cell>
          <cell r="W136">
            <v>0</v>
          </cell>
          <cell r="X136">
            <v>3726.3599999999997</v>
          </cell>
          <cell r="Y136">
            <v>0</v>
          </cell>
          <cell r="Z136">
            <v>0</v>
          </cell>
          <cell r="AA136">
            <v>3726.3599999999997</v>
          </cell>
          <cell r="AB136">
            <v>0</v>
          </cell>
          <cell r="AC136">
            <v>0</v>
          </cell>
          <cell r="AD136">
            <v>3726.3599999999997</v>
          </cell>
          <cell r="AE136">
            <v>0</v>
          </cell>
          <cell r="AF136">
            <v>0</v>
          </cell>
          <cell r="AG136">
            <v>3726.3599999999997</v>
          </cell>
          <cell r="AH136">
            <v>0</v>
          </cell>
        </row>
        <row r="137">
          <cell r="V137" t="str">
            <v xml:space="preserve">San Rafael </v>
          </cell>
          <cell r="W137">
            <v>0</v>
          </cell>
          <cell r="X137">
            <v>3726.3599999999997</v>
          </cell>
          <cell r="Y137">
            <v>0</v>
          </cell>
          <cell r="Z137">
            <v>0</v>
          </cell>
          <cell r="AA137">
            <v>3726.3599999999997</v>
          </cell>
          <cell r="AB137">
            <v>0</v>
          </cell>
          <cell r="AC137">
            <v>0</v>
          </cell>
          <cell r="AD137">
            <v>3726.3599999999997</v>
          </cell>
          <cell r="AE137">
            <v>0</v>
          </cell>
          <cell r="AF137">
            <v>0</v>
          </cell>
          <cell r="AG137">
            <v>3726.3599999999997</v>
          </cell>
          <cell r="AH137">
            <v>0</v>
          </cell>
        </row>
        <row r="138">
          <cell r="V138" t="str">
            <v xml:space="preserve">Puertecito </v>
          </cell>
          <cell r="W138">
            <v>0</v>
          </cell>
          <cell r="X138">
            <v>3726.3599999999997</v>
          </cell>
          <cell r="Y138">
            <v>0</v>
          </cell>
          <cell r="Z138">
            <v>0</v>
          </cell>
          <cell r="AA138">
            <v>3726.3599999999997</v>
          </cell>
          <cell r="AB138">
            <v>0</v>
          </cell>
          <cell r="AC138">
            <v>0</v>
          </cell>
          <cell r="AD138">
            <v>3726.3599999999997</v>
          </cell>
          <cell r="AE138">
            <v>0</v>
          </cell>
          <cell r="AF138">
            <v>0</v>
          </cell>
          <cell r="AG138">
            <v>3726.3599999999997</v>
          </cell>
          <cell r="AH138">
            <v>0</v>
          </cell>
        </row>
        <row r="139">
          <cell r="V139" t="str">
            <v>Jesus Maria</v>
          </cell>
          <cell r="W139">
            <v>0</v>
          </cell>
          <cell r="X139">
            <v>3726.3599999999997</v>
          </cell>
          <cell r="Y139">
            <v>0</v>
          </cell>
          <cell r="Z139">
            <v>0</v>
          </cell>
          <cell r="AA139">
            <v>3726.3599999999997</v>
          </cell>
          <cell r="AB139">
            <v>0</v>
          </cell>
          <cell r="AC139">
            <v>0</v>
          </cell>
          <cell r="AD139">
            <v>3726.3599999999997</v>
          </cell>
          <cell r="AE139">
            <v>0</v>
          </cell>
          <cell r="AF139">
            <v>0</v>
          </cell>
          <cell r="AG139">
            <v>3726.3599999999997</v>
          </cell>
          <cell r="AH139">
            <v>0</v>
          </cell>
        </row>
        <row r="145">
          <cell r="V145" t="str">
            <v xml:space="preserve">Colosio </v>
          </cell>
          <cell r="W145">
            <v>0</v>
          </cell>
          <cell r="X145">
            <v>970.92379999999991</v>
          </cell>
          <cell r="Y145">
            <v>0</v>
          </cell>
          <cell r="Z145">
            <v>0</v>
          </cell>
          <cell r="AA145">
            <v>970.92379999999991</v>
          </cell>
          <cell r="AB145">
            <v>0</v>
          </cell>
          <cell r="AC145">
            <v>0</v>
          </cell>
          <cell r="AD145">
            <v>970.92379999999991</v>
          </cell>
          <cell r="AE145">
            <v>0</v>
          </cell>
          <cell r="AF145">
            <v>0</v>
          </cell>
          <cell r="AG145">
            <v>970.92379999999991</v>
          </cell>
          <cell r="AH145">
            <v>0</v>
          </cell>
        </row>
        <row r="146">
          <cell r="V146" t="str">
            <v xml:space="preserve">San Rafael </v>
          </cell>
          <cell r="W146">
            <v>0</v>
          </cell>
          <cell r="X146">
            <v>970.92379999999991</v>
          </cell>
          <cell r="Y146">
            <v>0</v>
          </cell>
          <cell r="Z146">
            <v>0</v>
          </cell>
          <cell r="AA146">
            <v>970.92379999999991</v>
          </cell>
          <cell r="AB146">
            <v>0</v>
          </cell>
          <cell r="AC146">
            <v>0</v>
          </cell>
          <cell r="AD146">
            <v>970.92379999999991</v>
          </cell>
          <cell r="AE146">
            <v>0</v>
          </cell>
          <cell r="AF146">
            <v>0</v>
          </cell>
          <cell r="AG146">
            <v>970.92379999999991</v>
          </cell>
          <cell r="AH146">
            <v>0</v>
          </cell>
        </row>
        <row r="147">
          <cell r="V147" t="str">
            <v xml:space="preserve">Puertecito </v>
          </cell>
          <cell r="W147">
            <v>0</v>
          </cell>
          <cell r="X147">
            <v>970.92379999999991</v>
          </cell>
          <cell r="Y147">
            <v>0</v>
          </cell>
          <cell r="Z147">
            <v>0</v>
          </cell>
          <cell r="AA147">
            <v>970.92379999999991</v>
          </cell>
          <cell r="AB147">
            <v>0</v>
          </cell>
          <cell r="AC147">
            <v>0</v>
          </cell>
          <cell r="AD147">
            <v>970.92379999999991</v>
          </cell>
          <cell r="AE147">
            <v>0</v>
          </cell>
          <cell r="AF147">
            <v>0</v>
          </cell>
          <cell r="AG147">
            <v>970.92379999999991</v>
          </cell>
          <cell r="AH147">
            <v>0</v>
          </cell>
        </row>
        <row r="148">
          <cell r="V148" t="str">
            <v>Jesus Maria</v>
          </cell>
          <cell r="W148">
            <v>0</v>
          </cell>
          <cell r="X148">
            <v>970.92379999999991</v>
          </cell>
          <cell r="Y148">
            <v>0</v>
          </cell>
          <cell r="Z148">
            <v>0</v>
          </cell>
          <cell r="AA148">
            <v>970.92379999999991</v>
          </cell>
          <cell r="AB148">
            <v>0</v>
          </cell>
          <cell r="AC148">
            <v>0</v>
          </cell>
          <cell r="AD148">
            <v>970.92379999999991</v>
          </cell>
          <cell r="AE148">
            <v>0</v>
          </cell>
          <cell r="AF148">
            <v>0</v>
          </cell>
          <cell r="AG148">
            <v>970.92379999999991</v>
          </cell>
          <cell r="AH148">
            <v>0</v>
          </cell>
        </row>
        <row r="154">
          <cell r="V154" t="str">
            <v xml:space="preserve">Colosio 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V155" t="str">
            <v xml:space="preserve">San Rafael 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V156" t="str">
            <v xml:space="preserve">Puertecito 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V157" t="str">
            <v>Jesus Maria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63">
          <cell r="V163" t="str">
            <v xml:space="preserve">Colosio 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3208.8099999999995</v>
          </cell>
        </row>
        <row r="164">
          <cell r="V164" t="str">
            <v xml:space="preserve">San Rafael 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3208.8099999999995</v>
          </cell>
        </row>
        <row r="165">
          <cell r="V165" t="str">
            <v xml:space="preserve">Puertecito 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3208.8099999999995</v>
          </cell>
        </row>
        <row r="166">
          <cell r="V166" t="str">
            <v>Jesus Maria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3208.8099999999995</v>
          </cell>
        </row>
        <row r="181">
          <cell r="V181" t="str">
            <v xml:space="preserve">Colosio </v>
          </cell>
          <cell r="W181">
            <v>1449.1399999999999</v>
          </cell>
          <cell r="X181">
            <v>1449.1399999999999</v>
          </cell>
          <cell r="Y181">
            <v>1449.1399999999999</v>
          </cell>
          <cell r="Z181">
            <v>1449.1399999999999</v>
          </cell>
          <cell r="AA181">
            <v>1449.1399999999999</v>
          </cell>
          <cell r="AB181">
            <v>1449.1399999999999</v>
          </cell>
          <cell r="AC181">
            <v>1449.1399999999999</v>
          </cell>
          <cell r="AD181">
            <v>1449.1399999999999</v>
          </cell>
          <cell r="AE181">
            <v>1449.1399999999999</v>
          </cell>
          <cell r="AF181">
            <v>1449.1399999999999</v>
          </cell>
          <cell r="AG181">
            <v>1449.1399999999999</v>
          </cell>
          <cell r="AH181">
            <v>1449.1399999999999</v>
          </cell>
        </row>
        <row r="182">
          <cell r="V182" t="str">
            <v xml:space="preserve">San Rafael </v>
          </cell>
          <cell r="W182">
            <v>1811.4249999999997</v>
          </cell>
          <cell r="X182">
            <v>1811.4249999999997</v>
          </cell>
          <cell r="Y182">
            <v>1811.4249999999997</v>
          </cell>
          <cell r="Z182">
            <v>1811.4249999999997</v>
          </cell>
          <cell r="AA182">
            <v>1811.4249999999997</v>
          </cell>
          <cell r="AB182">
            <v>1811.4249999999997</v>
          </cell>
          <cell r="AC182">
            <v>1811.4249999999997</v>
          </cell>
          <cell r="AD182">
            <v>1811.4249999999997</v>
          </cell>
          <cell r="AE182">
            <v>1811.4249999999997</v>
          </cell>
          <cell r="AF182">
            <v>1811.4249999999997</v>
          </cell>
          <cell r="AG182">
            <v>1811.4249999999997</v>
          </cell>
          <cell r="AH182">
            <v>1811.4249999999997</v>
          </cell>
        </row>
        <row r="183">
          <cell r="V183" t="str">
            <v xml:space="preserve">Puertecito </v>
          </cell>
          <cell r="W183">
            <v>1500.895</v>
          </cell>
          <cell r="X183">
            <v>1500.895</v>
          </cell>
          <cell r="Y183">
            <v>1500.895</v>
          </cell>
          <cell r="Z183">
            <v>1500.895</v>
          </cell>
          <cell r="AA183">
            <v>1500.895</v>
          </cell>
          <cell r="AB183">
            <v>1500.895</v>
          </cell>
          <cell r="AC183">
            <v>1500.895</v>
          </cell>
          <cell r="AD183">
            <v>1500.895</v>
          </cell>
          <cell r="AE183">
            <v>1500.895</v>
          </cell>
          <cell r="AF183">
            <v>1500.895</v>
          </cell>
          <cell r="AG183">
            <v>1500.895</v>
          </cell>
          <cell r="AH183">
            <v>1500.895</v>
          </cell>
        </row>
        <row r="184">
          <cell r="V184" t="str">
            <v>Jesus Maria</v>
          </cell>
          <cell r="W184">
            <v>1500.895</v>
          </cell>
          <cell r="X184">
            <v>1500.895</v>
          </cell>
          <cell r="Y184">
            <v>1500.895</v>
          </cell>
          <cell r="Z184">
            <v>1500.895</v>
          </cell>
          <cell r="AA184">
            <v>1500.895</v>
          </cell>
          <cell r="AB184">
            <v>1500.895</v>
          </cell>
          <cell r="AC184">
            <v>1500.895</v>
          </cell>
          <cell r="AD184">
            <v>1500.895</v>
          </cell>
          <cell r="AE184">
            <v>1500.895</v>
          </cell>
          <cell r="AF184">
            <v>1500.895</v>
          </cell>
          <cell r="AG184">
            <v>1500.895</v>
          </cell>
          <cell r="AH184">
            <v>1500.895</v>
          </cell>
        </row>
      </sheetData>
      <sheetData sheetId="1">
        <row r="168">
          <cell r="C168" t="str">
            <v xml:space="preserve">Colosio </v>
          </cell>
          <cell r="D168">
            <v>800</v>
          </cell>
          <cell r="E168">
            <v>800</v>
          </cell>
          <cell r="F168">
            <v>800</v>
          </cell>
          <cell r="G168">
            <v>800</v>
          </cell>
          <cell r="H168">
            <v>800</v>
          </cell>
          <cell r="I168">
            <v>800</v>
          </cell>
          <cell r="J168">
            <v>800</v>
          </cell>
          <cell r="K168">
            <v>800</v>
          </cell>
          <cell r="L168">
            <v>800</v>
          </cell>
          <cell r="M168">
            <v>800</v>
          </cell>
          <cell r="N168">
            <v>800</v>
          </cell>
          <cell r="O168">
            <v>800</v>
          </cell>
        </row>
        <row r="169">
          <cell r="C169" t="str">
            <v xml:space="preserve">San Rafael </v>
          </cell>
          <cell r="D169">
            <v>1250</v>
          </cell>
          <cell r="E169">
            <v>1250</v>
          </cell>
          <cell r="F169">
            <v>1250</v>
          </cell>
          <cell r="G169">
            <v>1250</v>
          </cell>
          <cell r="H169">
            <v>1250</v>
          </cell>
          <cell r="I169">
            <v>1250</v>
          </cell>
          <cell r="J169">
            <v>1250</v>
          </cell>
          <cell r="K169">
            <v>1250</v>
          </cell>
          <cell r="L169">
            <v>1250</v>
          </cell>
          <cell r="M169">
            <v>1250</v>
          </cell>
          <cell r="N169">
            <v>1250</v>
          </cell>
          <cell r="O169">
            <v>1250</v>
          </cell>
        </row>
        <row r="170">
          <cell r="C170" t="str">
            <v xml:space="preserve">Puertecito </v>
          </cell>
          <cell r="D170">
            <v>810</v>
          </cell>
          <cell r="E170">
            <v>810</v>
          </cell>
          <cell r="F170">
            <v>810</v>
          </cell>
          <cell r="G170">
            <v>810</v>
          </cell>
          <cell r="H170">
            <v>810</v>
          </cell>
          <cell r="I170">
            <v>810</v>
          </cell>
          <cell r="J170">
            <v>810</v>
          </cell>
          <cell r="K170">
            <v>810</v>
          </cell>
          <cell r="L170">
            <v>810</v>
          </cell>
          <cell r="M170">
            <v>810</v>
          </cell>
          <cell r="N170">
            <v>810</v>
          </cell>
          <cell r="O170">
            <v>810</v>
          </cell>
        </row>
        <row r="171">
          <cell r="C171" t="str">
            <v>Jesus Maria</v>
          </cell>
          <cell r="D171">
            <v>810</v>
          </cell>
          <cell r="E171">
            <v>810</v>
          </cell>
          <cell r="F171">
            <v>810</v>
          </cell>
          <cell r="G171">
            <v>810</v>
          </cell>
          <cell r="H171">
            <v>810</v>
          </cell>
          <cell r="I171">
            <v>810</v>
          </cell>
          <cell r="J171">
            <v>810</v>
          </cell>
          <cell r="K171">
            <v>810</v>
          </cell>
          <cell r="L171">
            <v>810</v>
          </cell>
          <cell r="M171">
            <v>810</v>
          </cell>
          <cell r="N171">
            <v>810</v>
          </cell>
          <cell r="O171">
            <v>810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MPJSSGU44FVHKWVOCTMBMMKGV">
      <xxl21:absoluteUrl r:id="rId2"/>
    </xxl21:alternateUrls>
    <sheetNames>
      <sheetName val="Resumen"/>
      <sheetName val="Detalle"/>
      <sheetName val="Evidencias"/>
    </sheetNames>
    <sheetDataSet>
      <sheetData sheetId="0">
        <row r="7">
          <cell r="V7" t="str">
            <v>Alias</v>
          </cell>
          <cell r="W7" t="str">
            <v>Ene</v>
          </cell>
          <cell r="X7" t="str">
            <v>Feb</v>
          </cell>
          <cell r="Y7" t="str">
            <v>Mar</v>
          </cell>
          <cell r="Z7" t="str">
            <v>Abr</v>
          </cell>
          <cell r="AA7" t="str">
            <v>May</v>
          </cell>
          <cell r="AB7" t="str">
            <v>Jun</v>
          </cell>
          <cell r="AC7" t="str">
            <v>Jul</v>
          </cell>
          <cell r="AD7" t="str">
            <v>Ago</v>
          </cell>
          <cell r="AE7" t="str">
            <v>Sep</v>
          </cell>
          <cell r="AF7" t="str">
            <v>Oct</v>
          </cell>
          <cell r="AG7" t="str">
            <v>Nov</v>
          </cell>
          <cell r="AH7" t="str">
            <v>Dic</v>
          </cell>
        </row>
        <row r="8">
          <cell r="V8" t="str">
            <v xml:space="preserve">Colosio </v>
          </cell>
          <cell r="W8">
            <v>0</v>
          </cell>
          <cell r="X8">
            <v>0</v>
          </cell>
          <cell r="Y8">
            <v>4243.91</v>
          </cell>
          <cell r="Z8">
            <v>5175.5</v>
          </cell>
          <cell r="AA8">
            <v>12938.749999999998</v>
          </cell>
          <cell r="AB8">
            <v>0</v>
          </cell>
          <cell r="AC8">
            <v>0</v>
          </cell>
          <cell r="AD8">
            <v>310.52999999999997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 xml:space="preserve">San Rafael </v>
          </cell>
          <cell r="W9">
            <v>0</v>
          </cell>
          <cell r="X9">
            <v>310.52999999999997</v>
          </cell>
          <cell r="Y9">
            <v>10972.06</v>
          </cell>
          <cell r="Z9">
            <v>18631.8</v>
          </cell>
          <cell r="AA9">
            <v>12938.749999999998</v>
          </cell>
          <cell r="AB9">
            <v>0</v>
          </cell>
          <cell r="AC9">
            <v>1759.6699999999998</v>
          </cell>
          <cell r="AD9">
            <v>931.58999999999992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V10" t="str">
            <v xml:space="preserve">Puertecito </v>
          </cell>
          <cell r="W10">
            <v>0</v>
          </cell>
          <cell r="X10">
            <v>310.52999999999997</v>
          </cell>
          <cell r="Y10">
            <v>16768.62</v>
          </cell>
          <cell r="Z10">
            <v>12938.749999999998</v>
          </cell>
          <cell r="AA10">
            <v>12938.749999999998</v>
          </cell>
          <cell r="AB10">
            <v>0</v>
          </cell>
          <cell r="AC10">
            <v>0</v>
          </cell>
          <cell r="AD10">
            <v>310.52999999999997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V11" t="str">
            <v>Jesus Maria</v>
          </cell>
          <cell r="W11">
            <v>0</v>
          </cell>
          <cell r="X11">
            <v>310.52999999999997</v>
          </cell>
          <cell r="Y11">
            <v>16768.62</v>
          </cell>
          <cell r="Z11">
            <v>12938.749999999998</v>
          </cell>
          <cell r="AA11">
            <v>12938.749999999998</v>
          </cell>
          <cell r="AB11">
            <v>0</v>
          </cell>
          <cell r="AC11">
            <v>0</v>
          </cell>
          <cell r="AD11">
            <v>310.52999999999997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TUW7Q6YATIOBDYQG6UO4AOFNKC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186.61658653846152</v>
          </cell>
          <cell r="X8">
            <v>597.17307692307691</v>
          </cell>
          <cell r="Y8">
            <v>111.96995192307691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 xml:space="preserve">San Rafael </v>
          </cell>
          <cell r="W9">
            <v>684.26081730769215</v>
          </cell>
          <cell r="X9">
            <v>2189.6346153846157</v>
          </cell>
          <cell r="Y9">
            <v>410.5564903846153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V10" t="str">
            <v xml:space="preserve">Puertecito </v>
          </cell>
          <cell r="W10">
            <v>559.84975961538464</v>
          </cell>
          <cell r="X10">
            <v>1791.5192307692307</v>
          </cell>
          <cell r="Y10">
            <v>335.90985576923072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V11" t="str">
            <v>Jesus Maria</v>
          </cell>
          <cell r="W11">
            <v>559.84975961538464</v>
          </cell>
          <cell r="X11">
            <v>1791.5192307692307</v>
          </cell>
          <cell r="Y11">
            <v>335.90985576923072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S2EUL5DOFKFRHJSRQOTOD7SVIT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5834.8586999999998</v>
          </cell>
          <cell r="X8">
            <v>5834.8586999999998</v>
          </cell>
          <cell r="Y8">
            <v>5834.8586999999998</v>
          </cell>
          <cell r="Z8">
            <v>5834.8586999999998</v>
          </cell>
          <cell r="AA8">
            <v>5834.8586999999998</v>
          </cell>
          <cell r="AB8">
            <v>5834.8586999999998</v>
          </cell>
          <cell r="AC8">
            <v>5834.8586999999998</v>
          </cell>
          <cell r="AD8">
            <v>5834.8586999999998</v>
          </cell>
          <cell r="AE8">
            <v>5834.8586999999998</v>
          </cell>
          <cell r="AF8">
            <v>5834.8586999999998</v>
          </cell>
          <cell r="AG8">
            <v>5834.8586999999998</v>
          </cell>
          <cell r="AH8">
            <v>5834.8586999999998</v>
          </cell>
        </row>
        <row r="9">
          <cell r="V9" t="str">
            <v xml:space="preserve">San Rafael </v>
          </cell>
          <cell r="W9">
            <v>5834.8586999999998</v>
          </cell>
          <cell r="X9">
            <v>5834.8586999999998</v>
          </cell>
          <cell r="Y9">
            <v>5834.8586999999998</v>
          </cell>
          <cell r="Z9">
            <v>5834.8586999999998</v>
          </cell>
          <cell r="AA9">
            <v>7687.6876999999995</v>
          </cell>
          <cell r="AB9">
            <v>7687.6876999999995</v>
          </cell>
          <cell r="AC9">
            <v>7687.6876999999995</v>
          </cell>
          <cell r="AD9">
            <v>7687.6876999999995</v>
          </cell>
          <cell r="AE9">
            <v>7687.6876999999995</v>
          </cell>
          <cell r="AF9">
            <v>7687.6876999999995</v>
          </cell>
          <cell r="AG9">
            <v>7687.6876999999995</v>
          </cell>
          <cell r="AH9">
            <v>7687.6876999999995</v>
          </cell>
        </row>
        <row r="10">
          <cell r="V10" t="str">
            <v xml:space="preserve">Puertecito </v>
          </cell>
          <cell r="W10">
            <v>5834.8586999999998</v>
          </cell>
          <cell r="X10">
            <v>5834.8586999999998</v>
          </cell>
          <cell r="Y10">
            <v>5834.8586999999998</v>
          </cell>
          <cell r="Z10">
            <v>5834.8586999999998</v>
          </cell>
          <cell r="AA10">
            <v>7687.6876999999995</v>
          </cell>
          <cell r="AB10">
            <v>7687.6876999999995</v>
          </cell>
          <cell r="AC10">
            <v>7687.6876999999995</v>
          </cell>
          <cell r="AD10">
            <v>7687.6876999999995</v>
          </cell>
          <cell r="AE10">
            <v>7687.6876999999995</v>
          </cell>
          <cell r="AF10">
            <v>7687.6876999999995</v>
          </cell>
          <cell r="AG10">
            <v>7687.6876999999995</v>
          </cell>
          <cell r="AH10">
            <v>7687.6876999999995</v>
          </cell>
        </row>
        <row r="11">
          <cell r="V11" t="str">
            <v>Jesus Maria</v>
          </cell>
          <cell r="W11">
            <v>5834.8586999999998</v>
          </cell>
          <cell r="X11">
            <v>5834.8586999999998</v>
          </cell>
          <cell r="Y11">
            <v>5834.8586999999998</v>
          </cell>
          <cell r="Z11">
            <v>5834.8586999999998</v>
          </cell>
          <cell r="AA11">
            <v>7687.6876999999995</v>
          </cell>
          <cell r="AB11">
            <v>7687.6876999999995</v>
          </cell>
          <cell r="AC11">
            <v>7687.6876999999995</v>
          </cell>
          <cell r="AD11">
            <v>7687.6876999999995</v>
          </cell>
          <cell r="AE11">
            <v>7687.6876999999995</v>
          </cell>
          <cell r="AF11">
            <v>7687.6876999999995</v>
          </cell>
          <cell r="AG11">
            <v>7687.6876999999995</v>
          </cell>
          <cell r="AH11">
            <v>7687.6876999999995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PQW5TFRDOC5GL3TSW7HTQXX45">
      <xxl21:absoluteUrl r:id="rId2"/>
    </xxl21:alternateUrls>
    <sheetNames>
      <sheetName val="Resumen"/>
      <sheetName val="Detalle"/>
      <sheetName val="Evidencias"/>
    </sheetNames>
    <sheetDataSet>
      <sheetData sheetId="0">
        <row r="10">
          <cell r="V10" t="str">
            <v xml:space="preserve">Colosio </v>
          </cell>
          <cell r="W10">
            <v>1035.0999999999999</v>
          </cell>
          <cell r="X10">
            <v>1035.0999999999999</v>
          </cell>
          <cell r="Y10">
            <v>1035.0999999999999</v>
          </cell>
          <cell r="Z10">
            <v>1035.0999999999999</v>
          </cell>
          <cell r="AA10">
            <v>1035.0999999999999</v>
          </cell>
          <cell r="AB10">
            <v>1035.0999999999999</v>
          </cell>
          <cell r="AC10">
            <v>1035.0999999999999</v>
          </cell>
          <cell r="AD10">
            <v>1035.0999999999999</v>
          </cell>
          <cell r="AE10">
            <v>1035.0999999999999</v>
          </cell>
          <cell r="AF10">
            <v>1035.0999999999999</v>
          </cell>
          <cell r="AG10">
            <v>1035.0999999999999</v>
          </cell>
          <cell r="AH10">
            <v>1035.0999999999999</v>
          </cell>
        </row>
        <row r="11">
          <cell r="V11" t="str">
            <v xml:space="preserve">San Rafael </v>
          </cell>
          <cell r="W11">
            <v>1086.855</v>
          </cell>
          <cell r="X11">
            <v>1086.855</v>
          </cell>
          <cell r="Y11">
            <v>1086.855</v>
          </cell>
          <cell r="Z11">
            <v>1086.855</v>
          </cell>
          <cell r="AA11">
            <v>1086.855</v>
          </cell>
          <cell r="AB11">
            <v>1086.855</v>
          </cell>
          <cell r="AC11">
            <v>1086.855</v>
          </cell>
          <cell r="AD11">
            <v>1086.855</v>
          </cell>
          <cell r="AE11">
            <v>1086.855</v>
          </cell>
          <cell r="AF11">
            <v>1086.855</v>
          </cell>
          <cell r="AG11">
            <v>1086.855</v>
          </cell>
          <cell r="AH11">
            <v>1086.855</v>
          </cell>
        </row>
        <row r="12">
          <cell r="V12" t="str">
            <v xml:space="preserve">Puertecito </v>
          </cell>
          <cell r="W12">
            <v>1035.0999999999999</v>
          </cell>
          <cell r="X12">
            <v>1035.0999999999999</v>
          </cell>
          <cell r="Y12">
            <v>1035.0999999999999</v>
          </cell>
          <cell r="Z12">
            <v>1035.0999999999999</v>
          </cell>
          <cell r="AA12">
            <v>1035.0999999999999</v>
          </cell>
          <cell r="AB12">
            <v>1035.0999999999999</v>
          </cell>
          <cell r="AC12">
            <v>1035.0999999999999</v>
          </cell>
          <cell r="AD12">
            <v>1035.0999999999999</v>
          </cell>
          <cell r="AE12">
            <v>1035.0999999999999</v>
          </cell>
          <cell r="AF12">
            <v>1035.0999999999999</v>
          </cell>
          <cell r="AG12">
            <v>1035.0999999999999</v>
          </cell>
          <cell r="AH12">
            <v>1035.0999999999999</v>
          </cell>
        </row>
        <row r="13">
          <cell r="V13" t="str">
            <v>Jesus Maria</v>
          </cell>
          <cell r="W13">
            <v>1035.0999999999999</v>
          </cell>
          <cell r="X13">
            <v>1035.0999999999999</v>
          </cell>
          <cell r="Y13">
            <v>1035.0999999999999</v>
          </cell>
          <cell r="Z13">
            <v>1035.0999999999999</v>
          </cell>
          <cell r="AA13">
            <v>1035.0999999999999</v>
          </cell>
          <cell r="AB13">
            <v>1035.0999999999999</v>
          </cell>
          <cell r="AC13">
            <v>1035.0999999999999</v>
          </cell>
          <cell r="AD13">
            <v>1035.0999999999999</v>
          </cell>
          <cell r="AE13">
            <v>1035.0999999999999</v>
          </cell>
          <cell r="AF13">
            <v>1035.0999999999999</v>
          </cell>
          <cell r="AG13">
            <v>1035.0999999999999</v>
          </cell>
          <cell r="AH13">
            <v>1035.0999999999999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SZMAISPNT2VG2SYC4QJ67JRTB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7431.935191999999</v>
          </cell>
          <cell r="X8">
            <v>11147.902787999999</v>
          </cell>
          <cell r="Y8">
            <v>7431.935191999999</v>
          </cell>
          <cell r="Z8">
            <v>10475.087788000001</v>
          </cell>
          <cell r="AA8">
            <v>7431.935191999999</v>
          </cell>
          <cell r="AB8">
            <v>10475.087788000001</v>
          </cell>
          <cell r="AC8">
            <v>3715.9675959999995</v>
          </cell>
          <cell r="AD8">
            <v>11147.902787999999</v>
          </cell>
          <cell r="AE8">
            <v>6759.1201919999994</v>
          </cell>
          <cell r="AF8">
            <v>0</v>
          </cell>
          <cell r="AG8">
            <v>3715.9675959999995</v>
          </cell>
          <cell r="AH8">
            <v>11147.902787999999</v>
          </cell>
        </row>
        <row r="9">
          <cell r="V9" t="str">
            <v xml:space="preserve">San Rafael </v>
          </cell>
          <cell r="W9">
            <v>7431.935191999999</v>
          </cell>
          <cell r="X9">
            <v>3715.9675959999995</v>
          </cell>
          <cell r="Y9">
            <v>11147.902787999999</v>
          </cell>
          <cell r="Z9">
            <v>3715.9675959999995</v>
          </cell>
          <cell r="AA9">
            <v>6759.1201919999994</v>
          </cell>
          <cell r="AB9">
            <v>3043.1525959999999</v>
          </cell>
          <cell r="AC9">
            <v>11147.902787999999</v>
          </cell>
          <cell r="AD9">
            <v>3043.1525959999999</v>
          </cell>
          <cell r="AE9">
            <v>7431.935191999999</v>
          </cell>
          <cell r="AF9">
            <v>3043.1525959999999</v>
          </cell>
          <cell r="AG9">
            <v>3715.9675959999995</v>
          </cell>
          <cell r="AH9">
            <v>11147.902787999999</v>
          </cell>
        </row>
        <row r="10">
          <cell r="V10" t="str">
            <v xml:space="preserve">Puertecito </v>
          </cell>
          <cell r="W10">
            <v>11147.902787999999</v>
          </cell>
          <cell r="X10">
            <v>3715.9675959999995</v>
          </cell>
          <cell r="Y10">
            <v>11147.902787999999</v>
          </cell>
          <cell r="Z10">
            <v>10475.087788000001</v>
          </cell>
          <cell r="AA10">
            <v>0</v>
          </cell>
          <cell r="AB10">
            <v>6759.1201919999994</v>
          </cell>
          <cell r="AC10">
            <v>14191.055383999999</v>
          </cell>
          <cell r="AD10">
            <v>3715.9675959999995</v>
          </cell>
          <cell r="AE10">
            <v>3043.1525959999999</v>
          </cell>
          <cell r="AF10">
            <v>0</v>
          </cell>
          <cell r="AG10">
            <v>3715.9675959999995</v>
          </cell>
          <cell r="AH10">
            <v>7431.935191999999</v>
          </cell>
        </row>
        <row r="11">
          <cell r="V11" t="str">
            <v>Jesus Maria</v>
          </cell>
          <cell r="W11">
            <v>11147.902787999999</v>
          </cell>
          <cell r="X11">
            <v>11147.902787999999</v>
          </cell>
          <cell r="Y11">
            <v>3715.9675959999995</v>
          </cell>
          <cell r="Z11">
            <v>7431.935191999999</v>
          </cell>
          <cell r="AA11">
            <v>6759.1201919999994</v>
          </cell>
          <cell r="AB11">
            <v>3715.9675959999995</v>
          </cell>
          <cell r="AC11">
            <v>10475.087788000001</v>
          </cell>
          <cell r="AD11">
            <v>10475.087788000001</v>
          </cell>
          <cell r="AE11">
            <v>14191.055383999999</v>
          </cell>
          <cell r="AF11">
            <v>3043.1525959999999</v>
          </cell>
          <cell r="AG11">
            <v>0</v>
          </cell>
          <cell r="AH11">
            <v>3715.9675959999995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TKTU7ZGDR6I5CYJ3KJRDP7HB6Z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0</v>
          </cell>
          <cell r="X8">
            <v>0</v>
          </cell>
          <cell r="Y8">
            <v>0</v>
          </cell>
          <cell r="Z8">
            <v>1055.8019999999999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1055.8019999999999</v>
          </cell>
          <cell r="AH8">
            <v>0</v>
          </cell>
        </row>
        <row r="9">
          <cell r="V9" t="str">
            <v xml:space="preserve">San Rafael </v>
          </cell>
          <cell r="W9">
            <v>3167.4059999999999</v>
          </cell>
          <cell r="X9">
            <v>0</v>
          </cell>
          <cell r="Y9">
            <v>0</v>
          </cell>
          <cell r="Z9">
            <v>1055.8019999999999</v>
          </cell>
          <cell r="AA9">
            <v>2111.6039999999998</v>
          </cell>
          <cell r="AB9">
            <v>2111.6039999999998</v>
          </cell>
          <cell r="AC9">
            <v>1055.8019999999999</v>
          </cell>
          <cell r="AD9">
            <v>0</v>
          </cell>
          <cell r="AE9">
            <v>4223.2079999999996</v>
          </cell>
          <cell r="AF9">
            <v>1055.8019999999999</v>
          </cell>
          <cell r="AG9">
            <v>0</v>
          </cell>
          <cell r="AH9">
            <v>1055.8019999999999</v>
          </cell>
        </row>
        <row r="10">
          <cell r="V10" t="str">
            <v xml:space="preserve">Puertecito </v>
          </cell>
          <cell r="W10">
            <v>1055.8019999999999</v>
          </cell>
          <cell r="X10">
            <v>0</v>
          </cell>
          <cell r="Y10">
            <v>0</v>
          </cell>
          <cell r="Z10">
            <v>0</v>
          </cell>
          <cell r="AA10">
            <v>1055.8019999999999</v>
          </cell>
          <cell r="AB10">
            <v>1055.8019999999999</v>
          </cell>
          <cell r="AC10">
            <v>2111.6039999999998</v>
          </cell>
          <cell r="AD10">
            <v>1055.8019999999999</v>
          </cell>
          <cell r="AE10">
            <v>0</v>
          </cell>
          <cell r="AF10">
            <v>0</v>
          </cell>
          <cell r="AG10">
            <v>0</v>
          </cell>
          <cell r="AH10">
            <v>2111.6039999999998</v>
          </cell>
        </row>
        <row r="11">
          <cell r="V11" t="str">
            <v>Jesus Maria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2111.6039999999998</v>
          </cell>
          <cell r="AC11">
            <v>1055.8019999999999</v>
          </cell>
          <cell r="AD11">
            <v>2111.6039999999998</v>
          </cell>
          <cell r="AE11">
            <v>1055.8019999999999</v>
          </cell>
          <cell r="AF11">
            <v>0</v>
          </cell>
          <cell r="AG11">
            <v>1055.8019999999999</v>
          </cell>
          <cell r="AH11">
            <v>1055.8019999999999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XRMP6NBD2ZPNGIQUPFXO6BCERR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776.32499999999993</v>
          </cell>
          <cell r="AB8">
            <v>776.32499999999993</v>
          </cell>
          <cell r="AC8">
            <v>0</v>
          </cell>
          <cell r="AD8">
            <v>776.32499999999993</v>
          </cell>
          <cell r="AE8">
            <v>0</v>
          </cell>
          <cell r="AF8">
            <v>248.42399999999998</v>
          </cell>
          <cell r="AG8">
            <v>155.26499999999999</v>
          </cell>
          <cell r="AH8">
            <v>5279.0099999999993</v>
          </cell>
        </row>
        <row r="9">
          <cell r="V9" t="str">
            <v xml:space="preserve">San Rafael 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2846.5249999999996</v>
          </cell>
          <cell r="AB9">
            <v>2846.5249999999996</v>
          </cell>
          <cell r="AC9">
            <v>0</v>
          </cell>
          <cell r="AD9">
            <v>2846.5249999999996</v>
          </cell>
          <cell r="AE9">
            <v>0</v>
          </cell>
          <cell r="AF9">
            <v>910.88799999999992</v>
          </cell>
          <cell r="AG9">
            <v>569.30499999999995</v>
          </cell>
          <cell r="AH9">
            <v>19356.37</v>
          </cell>
        </row>
        <row r="10">
          <cell r="V10" t="str">
            <v xml:space="preserve">Puertecito 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2328.9749999999999</v>
          </cell>
          <cell r="AB10">
            <v>2328.9749999999999</v>
          </cell>
          <cell r="AC10">
            <v>0</v>
          </cell>
          <cell r="AD10">
            <v>2328.9749999999999</v>
          </cell>
          <cell r="AE10">
            <v>0</v>
          </cell>
          <cell r="AF10">
            <v>745.27199999999993</v>
          </cell>
          <cell r="AG10">
            <v>465.79499999999996</v>
          </cell>
          <cell r="AH10">
            <v>15837.029999999999</v>
          </cell>
        </row>
        <row r="11">
          <cell r="V11" t="str">
            <v>Jesus Maria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2328.9749999999999</v>
          </cell>
          <cell r="AB11">
            <v>2328.9749999999999</v>
          </cell>
          <cell r="AC11">
            <v>0</v>
          </cell>
          <cell r="AD11">
            <v>2328.9749999999999</v>
          </cell>
          <cell r="AE11">
            <v>0</v>
          </cell>
          <cell r="AF11">
            <v>745.27199999999993</v>
          </cell>
          <cell r="AG11">
            <v>465.79499999999996</v>
          </cell>
          <cell r="AH11">
            <v>15837.029999999999</v>
          </cell>
        </row>
      </sheetData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CLKWOLJZRMVBKVKJCD755AI4D">
      <xxl21:absoluteUrl r:id="rId2"/>
    </xxl21:alternateUrls>
    <sheetNames>
      <sheetName val="Parametros"/>
      <sheetName val="Resumen OPE"/>
      <sheetName val="Resumen Global"/>
      <sheetName val="EJEMPLO"/>
      <sheetName val="Hoja1"/>
      <sheetName val="EJERCICIO ENE"/>
      <sheetName val="EJERCICIO ENE PRUEBv2"/>
      <sheetName val="Puestos"/>
      <sheetName val="Calculadora de Variables DG"/>
      <sheetName val="STAFF ENE24"/>
      <sheetName val="Gasto Real Vs Presupuesto 2026"/>
      <sheetName val="OPE ENE26"/>
      <sheetName val="OPE FEB26"/>
      <sheetName val="OPE MAR26"/>
      <sheetName val="OPE ABR26"/>
      <sheetName val="OPE MAY26"/>
      <sheetName val="OPE JUN26"/>
      <sheetName val="OPE JUL26"/>
      <sheetName val="OPE AGO26"/>
      <sheetName val="OPE SEPT26"/>
      <sheetName val="OPE OCT26"/>
      <sheetName val="OPE NOV26"/>
      <sheetName val="OPE DIC26"/>
      <sheetName val="Tabla de bonos ope"/>
      <sheetName val="Festivos26"/>
      <sheetName val="Hoja3"/>
      <sheetName val="SALARIOS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A7" t="str">
            <v>Aguinaldo</v>
          </cell>
          <cell r="B7">
            <v>4933.7624777671235</v>
          </cell>
          <cell r="C7">
            <v>4224.0822534246581</v>
          </cell>
          <cell r="D7">
            <v>4676.6624948630133</v>
          </cell>
          <cell r="E7">
            <v>4525.802414383561</v>
          </cell>
          <cell r="F7">
            <v>4676.6624948630133</v>
          </cell>
          <cell r="G7">
            <v>4525.802414383561</v>
          </cell>
          <cell r="H7">
            <v>4676.6624948630133</v>
          </cell>
          <cell r="I7">
            <v>4676.6624948630133</v>
          </cell>
          <cell r="J7">
            <v>4525.802414383561</v>
          </cell>
          <cell r="K7">
            <v>4676.6624948630133</v>
          </cell>
          <cell r="L7">
            <v>4525.802414383561</v>
          </cell>
          <cell r="M7">
            <v>4676.6624948630133</v>
          </cell>
          <cell r="N7">
            <v>55321.029357904095</v>
          </cell>
        </row>
        <row r="8">
          <cell r="A8" t="str">
            <v>Compensaciones</v>
          </cell>
          <cell r="B8">
            <v>13447.44257142857</v>
          </cell>
          <cell r="C8">
            <v>13447.44257142857</v>
          </cell>
          <cell r="D8">
            <v>13447.44257142857</v>
          </cell>
          <cell r="E8">
            <v>13447.44257142857</v>
          </cell>
          <cell r="F8">
            <v>13447.44257142857</v>
          </cell>
          <cell r="G8">
            <v>13447.44257142857</v>
          </cell>
          <cell r="H8">
            <v>13447.44257142857</v>
          </cell>
          <cell r="I8">
            <v>13447.44257142857</v>
          </cell>
          <cell r="J8">
            <v>13447.44257142857</v>
          </cell>
          <cell r="K8">
            <v>13447.44257142857</v>
          </cell>
          <cell r="L8">
            <v>13447.44257142857</v>
          </cell>
          <cell r="M8">
            <v>13447.44257142857</v>
          </cell>
          <cell r="N8">
            <v>161369.31085714287</v>
          </cell>
        </row>
        <row r="9">
          <cell r="A9" t="str">
            <v>Días festivos</v>
          </cell>
          <cell r="B9">
            <v>4647.2859467999997</v>
          </cell>
          <cell r="C9">
            <v>4405.1143500000007</v>
          </cell>
          <cell r="D9">
            <v>4405.1143500000007</v>
          </cell>
          <cell r="E9">
            <v>0</v>
          </cell>
          <cell r="F9">
            <v>4405.1143500000007</v>
          </cell>
          <cell r="G9">
            <v>0</v>
          </cell>
          <cell r="H9">
            <v>0</v>
          </cell>
          <cell r="I9">
            <v>0</v>
          </cell>
          <cell r="J9">
            <v>4405.1143500000007</v>
          </cell>
          <cell r="K9">
            <v>0</v>
          </cell>
          <cell r="L9">
            <v>4405.1143500000007</v>
          </cell>
          <cell r="M9">
            <v>4405.1143500000007</v>
          </cell>
          <cell r="N9">
            <v>31077.972046800001</v>
          </cell>
        </row>
        <row r="10">
          <cell r="A10" t="str">
            <v>Fondo de ahorro</v>
          </cell>
          <cell r="B10">
            <v>6627.0297601368002</v>
          </cell>
          <cell r="C10">
            <v>6167.1600899999994</v>
          </cell>
          <cell r="D10">
            <v>6827.9272424999999</v>
          </cell>
          <cell r="E10">
            <v>6607.6715249999997</v>
          </cell>
          <cell r="F10">
            <v>6827.9272424999999</v>
          </cell>
          <cell r="G10">
            <v>6607.6715249999997</v>
          </cell>
          <cell r="H10">
            <v>6827.9272424999999</v>
          </cell>
          <cell r="I10">
            <v>6827.9272424999999</v>
          </cell>
          <cell r="J10">
            <v>6607.6715249999997</v>
          </cell>
          <cell r="K10">
            <v>6827.9272424999999</v>
          </cell>
          <cell r="L10">
            <v>6607.6715249999997</v>
          </cell>
          <cell r="M10">
            <v>6827.9272424999999</v>
          </cell>
          <cell r="N10">
            <v>80192.439405136785</v>
          </cell>
        </row>
        <row r="11">
          <cell r="A11" t="str">
            <v>Gratificaciones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Indemnizaciones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Premios de asistencia</v>
          </cell>
          <cell r="B13">
            <v>10590.293160000001</v>
          </cell>
          <cell r="C13">
            <v>9565.4260799999993</v>
          </cell>
          <cell r="D13">
            <v>10590.293160000001</v>
          </cell>
          <cell r="E13">
            <v>10248.6708</v>
          </cell>
          <cell r="F13">
            <v>10590.293160000001</v>
          </cell>
          <cell r="G13">
            <v>10248.6708</v>
          </cell>
          <cell r="H13">
            <v>10590.293160000001</v>
          </cell>
          <cell r="I13">
            <v>10590.293160000001</v>
          </cell>
          <cell r="J13">
            <v>10248.6708</v>
          </cell>
          <cell r="K13">
            <v>10590.293160000001</v>
          </cell>
          <cell r="L13">
            <v>10248.6708</v>
          </cell>
          <cell r="M13">
            <v>10590.293160000001</v>
          </cell>
          <cell r="N13">
            <v>124692.16139999998</v>
          </cell>
        </row>
        <row r="14">
          <cell r="A14" t="str">
            <v>Premios de puntualidad</v>
          </cell>
          <cell r="B14">
            <v>8243.389799999999</v>
          </cell>
          <cell r="C14">
            <v>7445.6423999999997</v>
          </cell>
          <cell r="D14">
            <v>8243.389799999999</v>
          </cell>
          <cell r="E14">
            <v>7977.4739999999983</v>
          </cell>
          <cell r="F14">
            <v>8243.389799999999</v>
          </cell>
          <cell r="G14">
            <v>7977.4739999999983</v>
          </cell>
          <cell r="H14">
            <v>8243.389799999999</v>
          </cell>
          <cell r="I14">
            <v>8243.389799999999</v>
          </cell>
          <cell r="J14">
            <v>7977.4739999999983</v>
          </cell>
          <cell r="K14">
            <v>8243.389799999999</v>
          </cell>
          <cell r="L14">
            <v>7977.4739999999983</v>
          </cell>
          <cell r="M14">
            <v>8243.389799999999</v>
          </cell>
          <cell r="N14">
            <v>97059.267000000007</v>
          </cell>
        </row>
        <row r="15">
          <cell r="A15" t="str">
            <v>Previsión social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Prima dominical</v>
          </cell>
          <cell r="B16">
            <v>2533.1292756000003</v>
          </cell>
          <cell r="C16">
            <v>2146.7209680000001</v>
          </cell>
          <cell r="D16">
            <v>2376.7267860000002</v>
          </cell>
          <cell r="E16">
            <v>2300.05818</v>
          </cell>
          <cell r="F16">
            <v>2376.7267860000002</v>
          </cell>
          <cell r="G16">
            <v>2300.05818</v>
          </cell>
          <cell r="H16">
            <v>2376.7267860000002</v>
          </cell>
          <cell r="I16">
            <v>2376.7267860000002</v>
          </cell>
          <cell r="J16">
            <v>2300.05818</v>
          </cell>
          <cell r="K16">
            <v>2376.7267860000002</v>
          </cell>
          <cell r="L16">
            <v>2300.05818</v>
          </cell>
          <cell r="M16">
            <v>2376.7267860000002</v>
          </cell>
          <cell r="N16">
            <v>28140.443679599997</v>
          </cell>
        </row>
        <row r="17">
          <cell r="A17" t="str">
            <v>Prima vacacional</v>
          </cell>
          <cell r="B17">
            <v>1233.4406194417809</v>
          </cell>
          <cell r="C17">
            <v>1056.0205633561645</v>
          </cell>
          <cell r="D17">
            <v>1169.1656237157533</v>
          </cell>
          <cell r="E17">
            <v>1131.4506035958902</v>
          </cell>
          <cell r="F17">
            <v>1169.1656237157533</v>
          </cell>
          <cell r="G17">
            <v>1131.4506035958902</v>
          </cell>
          <cell r="H17">
            <v>1169.1656237157533</v>
          </cell>
          <cell r="I17">
            <v>1169.1656237157533</v>
          </cell>
          <cell r="J17">
            <v>1131.4506035958902</v>
          </cell>
          <cell r="K17">
            <v>1169.1656237157533</v>
          </cell>
          <cell r="L17">
            <v>1131.4506035958902</v>
          </cell>
          <cell r="M17">
            <v>1169.1656237157533</v>
          </cell>
          <cell r="N17">
            <v>13830.257339476024</v>
          </cell>
        </row>
        <row r="18">
          <cell r="A18" t="str">
            <v>Primas de antigüedad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>PTU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 t="str">
            <v>Sueldos y salarios</v>
          </cell>
          <cell r="B20">
            <v>120054.886959</v>
          </cell>
          <cell r="C20">
            <v>102786.00150000001</v>
          </cell>
          <cell r="D20">
            <v>113798.787375</v>
          </cell>
          <cell r="E20">
            <v>110127.85875000001</v>
          </cell>
          <cell r="F20">
            <v>113798.787375</v>
          </cell>
          <cell r="G20">
            <v>110127.85875000001</v>
          </cell>
          <cell r="H20">
            <v>113798.787375</v>
          </cell>
          <cell r="I20">
            <v>113798.787375</v>
          </cell>
          <cell r="J20">
            <v>110127.85875000001</v>
          </cell>
          <cell r="K20">
            <v>113798.787375</v>
          </cell>
          <cell r="L20">
            <v>110127.85875000001</v>
          </cell>
          <cell r="M20">
            <v>113798.787375</v>
          </cell>
          <cell r="N20">
            <v>1346145.0477090001</v>
          </cell>
        </row>
        <row r="21">
          <cell r="A21" t="str">
            <v>Tiempos extras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 t="str">
            <v>Vacaciones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 t="str">
            <v>TOTAL NOMINA</v>
          </cell>
          <cell r="B23">
            <v>172310.66057017428</v>
          </cell>
          <cell r="C23">
            <v>151243.61077620939</v>
          </cell>
          <cell r="D23">
            <v>165535.50940350734</v>
          </cell>
          <cell r="E23">
            <v>156366.42884440804</v>
          </cell>
          <cell r="F23">
            <v>165535.50940350734</v>
          </cell>
          <cell r="G23">
            <v>156366.42884440804</v>
          </cell>
          <cell r="H23">
            <v>161130.39505350732</v>
          </cell>
          <cell r="I23">
            <v>161130.39505350732</v>
          </cell>
          <cell r="J23">
            <v>160771.54319440803</v>
          </cell>
          <cell r="K23">
            <v>161130.39505350732</v>
          </cell>
          <cell r="L23">
            <v>160771.54319440803</v>
          </cell>
          <cell r="M23">
            <v>165535.50940350734</v>
          </cell>
          <cell r="N23">
            <v>1937827.9287950599</v>
          </cell>
        </row>
        <row r="24">
          <cell r="A24" t="str">
            <v xml:space="preserve">D - COSTO SOCIAL </v>
          </cell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</row>
        <row r="25">
          <cell r="A25" t="str">
            <v>Aportaciones al infonavit</v>
          </cell>
          <cell r="B25">
            <v>7342.4973925018739</v>
          </cell>
          <cell r="C25">
            <v>6403.2691103104708</v>
          </cell>
          <cell r="D25">
            <v>6993.6949600503685</v>
          </cell>
          <cell r="E25">
            <v>6576.6306259704024</v>
          </cell>
          <cell r="F25">
            <v>6993.6949600503685</v>
          </cell>
          <cell r="G25">
            <v>6576.6306259704024</v>
          </cell>
          <cell r="H25">
            <v>6773.4392425503665</v>
          </cell>
          <cell r="I25">
            <v>6773.4392425503665</v>
          </cell>
          <cell r="J25">
            <v>6796.8863434704017</v>
          </cell>
          <cell r="K25">
            <v>6773.4392425503665</v>
          </cell>
          <cell r="L25">
            <v>6796.8863434704017</v>
          </cell>
          <cell r="M25">
            <v>6993.6949600503685</v>
          </cell>
          <cell r="N25">
            <v>81794.203049496165</v>
          </cell>
        </row>
        <row r="26">
          <cell r="A26" t="str">
            <v>Aportaciones al SAR</v>
          </cell>
          <cell r="B26">
            <v>12778.752938867936</v>
          </cell>
          <cell r="C26">
            <v>11139.261199203442</v>
          </cell>
          <cell r="D26">
            <v>12164.073594115614</v>
          </cell>
          <cell r="E26">
            <v>11440.027279798884</v>
          </cell>
          <cell r="F26">
            <v>12164.073594115614</v>
          </cell>
          <cell r="G26">
            <v>11440.027279798884</v>
          </cell>
          <cell r="H26">
            <v>11498.127605406853</v>
          </cell>
          <cell r="I26">
            <v>11498.127605406853</v>
          </cell>
          <cell r="J26">
            <v>11822.469462478224</v>
          </cell>
          <cell r="K26">
            <v>11498.127605406853</v>
          </cell>
          <cell r="L26">
            <v>11822.469462478224</v>
          </cell>
          <cell r="M26">
            <v>12164.073594115614</v>
          </cell>
          <cell r="N26">
            <v>141429.61122119302</v>
          </cell>
        </row>
        <row r="27">
          <cell r="A27" t="str">
            <v>Cuotas al IMSS</v>
          </cell>
          <cell r="B27">
            <v>16717.345269287052</v>
          </cell>
          <cell r="C27">
            <v>14785.203297702947</v>
          </cell>
          <cell r="D27">
            <v>16237.861912703</v>
          </cell>
          <cell r="E27">
            <v>15450.86653077397</v>
          </cell>
          <cell r="F27">
            <v>16237.861912703</v>
          </cell>
          <cell r="G27">
            <v>15450.86653077397</v>
          </cell>
          <cell r="H27">
            <v>15935.086069107316</v>
          </cell>
          <cell r="I27">
            <v>15935.086069107316</v>
          </cell>
          <cell r="J27">
            <v>15753.64237436965</v>
          </cell>
          <cell r="K27">
            <v>15935.086069107316</v>
          </cell>
          <cell r="L27">
            <v>15753.64237436965</v>
          </cell>
          <cell r="M27">
            <v>16237.861912703</v>
          </cell>
          <cell r="N27">
            <v>190430.41032270817</v>
          </cell>
        </row>
        <row r="28">
          <cell r="A28" t="str">
            <v>Impuesto Estatal</v>
          </cell>
          <cell r="B28">
            <v>4970.5089243011253</v>
          </cell>
          <cell r="C28">
            <v>4352.2935205862823</v>
          </cell>
          <cell r="D28">
            <v>4761.2274648302209</v>
          </cell>
          <cell r="E28">
            <v>4492.7627195822406</v>
          </cell>
          <cell r="F28">
            <v>4761.2274648302209</v>
          </cell>
          <cell r="G28">
            <v>4492.7627195822406</v>
          </cell>
          <cell r="H28">
            <v>4629.0740343302205</v>
          </cell>
          <cell r="I28">
            <v>4629.0740343302205</v>
          </cell>
          <cell r="J28">
            <v>4624.9161500822411</v>
          </cell>
          <cell r="K28">
            <v>4629.0740343302205</v>
          </cell>
          <cell r="L28">
            <v>4624.9161500822411</v>
          </cell>
          <cell r="M28">
            <v>4761.2274648302209</v>
          </cell>
          <cell r="N28">
            <v>55729.064681697688</v>
          </cell>
        </row>
        <row r="29">
          <cell r="A29" t="str">
            <v>TOTAL COSTO SOCIAL</v>
          </cell>
          <cell r="B29">
            <v>41809.104524957984</v>
          </cell>
          <cell r="C29">
            <v>36680.027127803143</v>
          </cell>
          <cell r="D29">
            <v>40156.857931699204</v>
          </cell>
          <cell r="E29">
            <v>37960.287156125501</v>
          </cell>
          <cell r="F29">
            <v>40156.857931699204</v>
          </cell>
          <cell r="G29">
            <v>37960.287156125501</v>
          </cell>
          <cell r="H29">
            <v>38835.726951394754</v>
          </cell>
          <cell r="I29">
            <v>38835.726951394754</v>
          </cell>
          <cell r="J29">
            <v>38997.914330400512</v>
          </cell>
          <cell r="K29">
            <v>38835.726951394754</v>
          </cell>
          <cell r="L29">
            <v>38997.914330400512</v>
          </cell>
          <cell r="M29">
            <v>40156.857931699204</v>
          </cell>
          <cell r="N29">
            <v>469383.28927509504</v>
          </cell>
        </row>
        <row r="34">
          <cell r="A34" t="str">
            <v>Aguinaldo</v>
          </cell>
          <cell r="B34">
            <v>4126.7541980958895</v>
          </cell>
          <cell r="C34">
            <v>3546.7758468493153</v>
          </cell>
          <cell r="D34">
            <v>3926.7875447260271</v>
          </cell>
          <cell r="E34">
            <v>3800.1169787671233</v>
          </cell>
          <cell r="F34">
            <v>3926.7875447260271</v>
          </cell>
          <cell r="G34">
            <v>3800.1169787671233</v>
          </cell>
          <cell r="H34">
            <v>3926.7875447260271</v>
          </cell>
          <cell r="I34">
            <v>3926.7875447260271</v>
          </cell>
          <cell r="J34">
            <v>3800.1169787671233</v>
          </cell>
          <cell r="K34">
            <v>3926.7875447260271</v>
          </cell>
          <cell r="L34">
            <v>3800.1169787671233</v>
          </cell>
          <cell r="M34">
            <v>3926.7875447260271</v>
          </cell>
          <cell r="N34">
            <v>46434.723228369869</v>
          </cell>
        </row>
        <row r="35">
          <cell r="A35" t="str">
            <v>Compensaciones</v>
          </cell>
          <cell r="B35">
            <v>11930.916857142856</v>
          </cell>
          <cell r="C35">
            <v>11930.916857142856</v>
          </cell>
          <cell r="D35">
            <v>11930.916857142856</v>
          </cell>
          <cell r="E35">
            <v>11930.916857142856</v>
          </cell>
          <cell r="F35">
            <v>11930.916857142856</v>
          </cell>
          <cell r="G35">
            <v>11930.916857142856</v>
          </cell>
          <cell r="H35">
            <v>11930.916857142856</v>
          </cell>
          <cell r="I35">
            <v>11930.916857142856</v>
          </cell>
          <cell r="J35">
            <v>11930.916857142856</v>
          </cell>
          <cell r="K35">
            <v>11930.916857142856</v>
          </cell>
          <cell r="L35">
            <v>11930.916857142856</v>
          </cell>
          <cell r="M35">
            <v>11930.916857142856</v>
          </cell>
          <cell r="N35">
            <v>143171.00228571429</v>
          </cell>
        </row>
        <row r="36">
          <cell r="A36" t="str">
            <v>Días festivos</v>
          </cell>
          <cell r="B36">
            <v>3887.1362123999997</v>
          </cell>
          <cell r="C36">
            <v>3698.780526</v>
          </cell>
          <cell r="D36">
            <v>3698.780526</v>
          </cell>
          <cell r="E36">
            <v>0</v>
          </cell>
          <cell r="F36">
            <v>3698.780526</v>
          </cell>
          <cell r="G36">
            <v>0</v>
          </cell>
          <cell r="H36">
            <v>0</v>
          </cell>
          <cell r="I36">
            <v>0</v>
          </cell>
          <cell r="J36">
            <v>3698.780526</v>
          </cell>
          <cell r="K36">
            <v>0</v>
          </cell>
          <cell r="L36">
            <v>3698.780526</v>
          </cell>
          <cell r="M36">
            <v>3698.780526</v>
          </cell>
          <cell r="N36">
            <v>26079.819368399996</v>
          </cell>
        </row>
        <row r="37">
          <cell r="A37" t="str">
            <v>Fondo de ahorro</v>
          </cell>
          <cell r="B37">
            <v>5543.0562388824001</v>
          </cell>
          <cell r="C37">
            <v>5178.2927364000006</v>
          </cell>
          <cell r="D37">
            <v>5733.1098152999994</v>
          </cell>
          <cell r="E37">
            <v>5548.1707890000007</v>
          </cell>
          <cell r="F37">
            <v>5733.1098152999994</v>
          </cell>
          <cell r="G37">
            <v>5548.1707890000007</v>
          </cell>
          <cell r="H37">
            <v>5733.1098152999994</v>
          </cell>
          <cell r="I37">
            <v>5733.1098152999994</v>
          </cell>
          <cell r="J37">
            <v>5548.1707890000007</v>
          </cell>
          <cell r="K37">
            <v>5733.1098152999994</v>
          </cell>
          <cell r="L37">
            <v>5548.1707890000007</v>
          </cell>
          <cell r="M37">
            <v>5733.1098152999994</v>
          </cell>
          <cell r="N37">
            <v>67312.6910230824</v>
          </cell>
        </row>
        <row r="38">
          <cell r="A38" t="str">
            <v>Gratificaciones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Indemnizaciones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Premios de asistencia</v>
          </cell>
          <cell r="B40">
            <v>8832.2806799999998</v>
          </cell>
          <cell r="C40">
            <v>7977.5438399999985</v>
          </cell>
          <cell r="D40">
            <v>8832.2806799999998</v>
          </cell>
          <cell r="E40">
            <v>8547.3684000000012</v>
          </cell>
          <cell r="F40">
            <v>8832.2806799999998</v>
          </cell>
          <cell r="G40">
            <v>8547.3684000000012</v>
          </cell>
          <cell r="H40">
            <v>8832.2806799999998</v>
          </cell>
          <cell r="I40">
            <v>8832.2806799999998</v>
          </cell>
          <cell r="J40">
            <v>8547.3684000000012</v>
          </cell>
          <cell r="K40">
            <v>8832.2806799999998</v>
          </cell>
          <cell r="L40">
            <v>8547.3684000000012</v>
          </cell>
          <cell r="M40">
            <v>8832.2806799999998</v>
          </cell>
          <cell r="N40">
            <v>103992.9822</v>
          </cell>
        </row>
        <row r="41">
          <cell r="A41" t="str">
            <v>Premios de puntualidad</v>
          </cell>
          <cell r="B41">
            <v>6778.3793999999998</v>
          </cell>
          <cell r="C41">
            <v>6122.4071999999996</v>
          </cell>
          <cell r="D41">
            <v>6778.3793999999998</v>
          </cell>
          <cell r="E41">
            <v>6559.7219999999988</v>
          </cell>
          <cell r="F41">
            <v>6778.3793999999998</v>
          </cell>
          <cell r="G41">
            <v>6559.7219999999988</v>
          </cell>
          <cell r="H41">
            <v>6778.3793999999998</v>
          </cell>
          <cell r="I41">
            <v>6778.3793999999998</v>
          </cell>
          <cell r="J41">
            <v>6559.7219999999988</v>
          </cell>
          <cell r="K41">
            <v>6778.3793999999998</v>
          </cell>
          <cell r="L41">
            <v>6559.7219999999988</v>
          </cell>
          <cell r="M41">
            <v>6778.3793999999998</v>
          </cell>
          <cell r="N41">
            <v>79809.951000000001</v>
          </cell>
        </row>
        <row r="42">
          <cell r="A42" t="str">
            <v>Previsión social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 t="str">
            <v>Prima dominical</v>
          </cell>
          <cell r="B43">
            <v>2042.1992387999994</v>
          </cell>
          <cell r="C43">
            <v>1734.692904</v>
          </cell>
          <cell r="D43">
            <v>1920.552858</v>
          </cell>
          <cell r="E43">
            <v>1858.5995400000002</v>
          </cell>
          <cell r="F43">
            <v>1920.552858</v>
          </cell>
          <cell r="G43">
            <v>1858.5995400000002</v>
          </cell>
          <cell r="H43">
            <v>1920.552858</v>
          </cell>
          <cell r="I43">
            <v>1920.552858</v>
          </cell>
          <cell r="J43">
            <v>1858.5995400000002</v>
          </cell>
          <cell r="K43">
            <v>1920.552858</v>
          </cell>
          <cell r="L43">
            <v>1858.5995400000002</v>
          </cell>
          <cell r="M43">
            <v>1920.552858</v>
          </cell>
          <cell r="N43">
            <v>22734.607450799995</v>
          </cell>
        </row>
        <row r="44">
          <cell r="A44" t="str">
            <v>Prima vacacional</v>
          </cell>
          <cell r="B44">
            <v>1031.6885495239724</v>
          </cell>
          <cell r="C44">
            <v>886.69396171232881</v>
          </cell>
          <cell r="D44">
            <v>981.69688618150678</v>
          </cell>
          <cell r="E44">
            <v>950.02924469178083</v>
          </cell>
          <cell r="F44">
            <v>981.69688618150678</v>
          </cell>
          <cell r="G44">
            <v>950.02924469178083</v>
          </cell>
          <cell r="H44">
            <v>981.69688618150678</v>
          </cell>
          <cell r="I44">
            <v>981.69688618150678</v>
          </cell>
          <cell r="J44">
            <v>950.02924469178083</v>
          </cell>
          <cell r="K44">
            <v>981.69688618150678</v>
          </cell>
          <cell r="L44">
            <v>950.02924469178083</v>
          </cell>
          <cell r="M44">
            <v>981.69688618150678</v>
          </cell>
          <cell r="N44">
            <v>11608.680807092467</v>
          </cell>
        </row>
        <row r="45">
          <cell r="A45" t="str">
            <v>Primas de antigüedad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 t="str">
            <v>PTU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Sueldos y salarios</v>
          </cell>
          <cell r="B47">
            <v>100417.68548700001</v>
          </cell>
          <cell r="C47">
            <v>86304.87894000001</v>
          </cell>
          <cell r="D47">
            <v>95551.830255000008</v>
          </cell>
          <cell r="E47">
            <v>92469.513149999999</v>
          </cell>
          <cell r="F47">
            <v>95551.830255000008</v>
          </cell>
          <cell r="G47">
            <v>92469.513149999999</v>
          </cell>
          <cell r="H47">
            <v>95551.830255000008</v>
          </cell>
          <cell r="I47">
            <v>95551.830255000008</v>
          </cell>
          <cell r="J47">
            <v>92469.513149999999</v>
          </cell>
          <cell r="K47">
            <v>95551.830255000008</v>
          </cell>
          <cell r="L47">
            <v>92469.513149999999</v>
          </cell>
          <cell r="M47">
            <v>95551.830255000008</v>
          </cell>
          <cell r="N47">
            <v>1129911.5985570003</v>
          </cell>
        </row>
        <row r="48">
          <cell r="A48" t="str">
            <v>Tiempos extras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Vacaciones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TOTAL NOMINA</v>
          </cell>
          <cell r="B50">
            <v>144590.09686184512</v>
          </cell>
          <cell r="C50">
            <v>127380.98281210451</v>
          </cell>
          <cell r="D50">
            <v>139354.33482235039</v>
          </cell>
          <cell r="E50">
            <v>131664.43695960176</v>
          </cell>
          <cell r="F50">
            <v>139354.33482235039</v>
          </cell>
          <cell r="G50">
            <v>131664.43695960176</v>
          </cell>
          <cell r="H50">
            <v>135655.5542963504</v>
          </cell>
          <cell r="I50">
            <v>135655.5542963504</v>
          </cell>
          <cell r="J50">
            <v>135363.21748560178</v>
          </cell>
          <cell r="K50">
            <v>135655.5542963504</v>
          </cell>
          <cell r="L50">
            <v>135363.21748560178</v>
          </cell>
          <cell r="M50">
            <v>139354.33482235039</v>
          </cell>
          <cell r="N50">
            <v>1631056.0559204593</v>
          </cell>
        </row>
        <row r="51">
          <cell r="A51" t="str">
            <v xml:space="preserve">D - COSTO SOCIAL </v>
          </cell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</row>
        <row r="52">
          <cell r="A52" t="str">
            <v>Aportaciones al infonavit</v>
          </cell>
          <cell r="B52">
            <v>6171.8190271481371</v>
          </cell>
          <cell r="C52">
            <v>5405.1369517852263</v>
          </cell>
          <cell r="D52">
            <v>5900.5282463525209</v>
          </cell>
          <cell r="E52">
            <v>5550.4587885300898</v>
          </cell>
          <cell r="F52">
            <v>5900.5282463525209</v>
          </cell>
          <cell r="G52">
            <v>5550.4587885300898</v>
          </cell>
          <cell r="H52">
            <v>5715.5892200525195</v>
          </cell>
          <cell r="I52">
            <v>5715.5892200525195</v>
          </cell>
          <cell r="J52">
            <v>5735.3978148300894</v>
          </cell>
          <cell r="K52">
            <v>5715.5892200525195</v>
          </cell>
          <cell r="L52">
            <v>5735.3978148300894</v>
          </cell>
          <cell r="M52">
            <v>5900.5282463525209</v>
          </cell>
          <cell r="N52">
            <v>68997.021584868839</v>
          </cell>
        </row>
        <row r="53">
          <cell r="A53" t="str">
            <v>Aportaciones al SAR</v>
          </cell>
          <cell r="B53">
            <v>10821.144576323415</v>
          </cell>
          <cell r="C53">
            <v>9470.1846037175255</v>
          </cell>
          <cell r="D53">
            <v>10336.080215470074</v>
          </cell>
          <cell r="E53">
            <v>9724.0627332311924</v>
          </cell>
          <cell r="F53">
            <v>10336.080215470074</v>
          </cell>
          <cell r="G53">
            <v>9724.0627332311924</v>
          </cell>
          <cell r="H53">
            <v>9800.066749293308</v>
          </cell>
          <cell r="I53">
            <v>9800.066749293308</v>
          </cell>
          <cell r="J53">
            <v>10047.448344885892</v>
          </cell>
          <cell r="K53">
            <v>9800.066749293308</v>
          </cell>
          <cell r="L53">
            <v>10047.448344885892</v>
          </cell>
          <cell r="M53">
            <v>10336.080215470074</v>
          </cell>
          <cell r="N53">
            <v>120242.79223056528</v>
          </cell>
        </row>
        <row r="54">
          <cell r="A54" t="str">
            <v>Cuotas al IMSS</v>
          </cell>
          <cell r="B54">
            <v>13903.713016883346</v>
          </cell>
          <cell r="C54">
            <v>12325.312937993269</v>
          </cell>
          <cell r="D54">
            <v>13530.78151731797</v>
          </cell>
          <cell r="E54">
            <v>12874.731115405621</v>
          </cell>
          <cell r="F54">
            <v>13530.78151731797</v>
          </cell>
          <cell r="G54">
            <v>12874.731115405621</v>
          </cell>
          <cell r="H54">
            <v>13276.553975180514</v>
          </cell>
          <cell r="I54">
            <v>13276.553975180514</v>
          </cell>
          <cell r="J54">
            <v>13128.958657543071</v>
          </cell>
          <cell r="K54">
            <v>13276.553975180514</v>
          </cell>
          <cell r="L54">
            <v>13128.958657543071</v>
          </cell>
          <cell r="M54">
            <v>13530.78151731797</v>
          </cell>
          <cell r="N54">
            <v>158658.41197826946</v>
          </cell>
        </row>
        <row r="55">
          <cell r="A55" t="str">
            <v>Impuesto Estatal</v>
          </cell>
          <cell r="B55">
            <v>4171.4112186888824</v>
          </cell>
          <cell r="C55">
            <v>3666.0807022711347</v>
          </cell>
          <cell r="D55">
            <v>4008.6367502115127</v>
          </cell>
          <cell r="E55">
            <v>3783.4879851180526</v>
          </cell>
          <cell r="F55">
            <v>4008.6367502115127</v>
          </cell>
          <cell r="G55">
            <v>3783.4879851180526</v>
          </cell>
          <cell r="H55">
            <v>3897.6733344315116</v>
          </cell>
          <cell r="I55">
            <v>3897.6733344315116</v>
          </cell>
          <cell r="J55">
            <v>3894.4514008980518</v>
          </cell>
          <cell r="K55">
            <v>3897.6733344315116</v>
          </cell>
          <cell r="L55">
            <v>3894.4514008980518</v>
          </cell>
          <cell r="M55">
            <v>4008.6367502115127</v>
          </cell>
          <cell r="N55">
            <v>46912.300946921299</v>
          </cell>
        </row>
        <row r="56">
          <cell r="A56" t="str">
            <v>TOTAL COSTO SOCIAL</v>
          </cell>
          <cell r="B56">
            <v>35068.087839043779</v>
          </cell>
          <cell r="C56">
            <v>30866.715195767156</v>
          </cell>
          <cell r="D56">
            <v>33776.026729352074</v>
          </cell>
          <cell r="E56">
            <v>31932.740622284953</v>
          </cell>
          <cell r="F56">
            <v>33776.026729352074</v>
          </cell>
          <cell r="G56">
            <v>31932.740622284953</v>
          </cell>
          <cell r="H56">
            <v>32689.883278957852</v>
          </cell>
          <cell r="I56">
            <v>32689.883278957852</v>
          </cell>
          <cell r="J56">
            <v>32806.256218157105</v>
          </cell>
          <cell r="K56">
            <v>32689.883278957852</v>
          </cell>
          <cell r="L56">
            <v>32806.256218157105</v>
          </cell>
          <cell r="M56">
            <v>33776.026729352074</v>
          </cell>
          <cell r="N56">
            <v>394810.52674062486</v>
          </cell>
        </row>
        <row r="61">
          <cell r="A61" t="str">
            <v>Aguinaldo</v>
          </cell>
          <cell r="B61">
            <v>1872.0300111780825</v>
          </cell>
          <cell r="C61">
            <v>1639.2615189041096</v>
          </cell>
          <cell r="D61">
            <v>1814.8966816438356</v>
          </cell>
          <cell r="E61">
            <v>1756.3516273972605</v>
          </cell>
          <cell r="F61">
            <v>1814.8966816438356</v>
          </cell>
          <cell r="G61">
            <v>1756.3516273972605</v>
          </cell>
          <cell r="H61">
            <v>1814.8966816438356</v>
          </cell>
          <cell r="I61">
            <v>1814.8966816438356</v>
          </cell>
          <cell r="J61">
            <v>1756.3516273972605</v>
          </cell>
          <cell r="K61">
            <v>1814.8966816438356</v>
          </cell>
          <cell r="L61">
            <v>1756.3516273972605</v>
          </cell>
          <cell r="M61">
            <v>1814.8966816438356</v>
          </cell>
          <cell r="N61">
            <v>21426.078129534246</v>
          </cell>
        </row>
        <row r="62">
          <cell r="A62" t="str">
            <v>Compensaciones</v>
          </cell>
          <cell r="B62">
            <v>7098.9865714285706</v>
          </cell>
          <cell r="C62">
            <v>7098.9865714285706</v>
          </cell>
          <cell r="D62">
            <v>7098.9865714285706</v>
          </cell>
          <cell r="E62">
            <v>7098.9865714285706</v>
          </cell>
          <cell r="F62">
            <v>7098.9865714285706</v>
          </cell>
          <cell r="G62">
            <v>7098.9865714285706</v>
          </cell>
          <cell r="H62">
            <v>7098.9865714285706</v>
          </cell>
          <cell r="I62">
            <v>7098.9865714285706</v>
          </cell>
          <cell r="J62">
            <v>7098.9865714285706</v>
          </cell>
          <cell r="K62">
            <v>7098.9865714285706</v>
          </cell>
          <cell r="L62">
            <v>7098.9865714285706</v>
          </cell>
          <cell r="M62">
            <v>7098.9865714285706</v>
          </cell>
          <cell r="N62">
            <v>85187.838857142851</v>
          </cell>
        </row>
        <row r="63">
          <cell r="A63" t="str">
            <v>Días festivos</v>
          </cell>
          <cell r="B63">
            <v>1763.3314944000001</v>
          </cell>
          <cell r="C63">
            <v>1709.515584</v>
          </cell>
          <cell r="D63">
            <v>1709.515584</v>
          </cell>
          <cell r="E63">
            <v>0</v>
          </cell>
          <cell r="F63">
            <v>1709.515584</v>
          </cell>
          <cell r="G63">
            <v>0</v>
          </cell>
          <cell r="H63">
            <v>0</v>
          </cell>
          <cell r="I63">
            <v>0</v>
          </cell>
          <cell r="J63">
            <v>1709.515584</v>
          </cell>
          <cell r="K63">
            <v>0</v>
          </cell>
          <cell r="L63">
            <v>1709.515584</v>
          </cell>
          <cell r="M63">
            <v>1709.515584</v>
          </cell>
          <cell r="N63">
            <v>12020.424998400002</v>
          </cell>
        </row>
        <row r="64">
          <cell r="A64" t="str">
            <v>Fondo de ahorro</v>
          </cell>
          <cell r="B64">
            <v>2514.5107110144004</v>
          </cell>
          <cell r="C64">
            <v>2393.3218176</v>
          </cell>
          <cell r="D64">
            <v>2649.7491552000001</v>
          </cell>
          <cell r="E64">
            <v>2564.2733759999996</v>
          </cell>
          <cell r="F64">
            <v>2649.7491552000001</v>
          </cell>
          <cell r="G64">
            <v>2564.2733759999996</v>
          </cell>
          <cell r="H64">
            <v>2649.7491552000001</v>
          </cell>
          <cell r="I64">
            <v>2649.7491552000001</v>
          </cell>
          <cell r="J64">
            <v>2564.2733759999996</v>
          </cell>
          <cell r="K64">
            <v>2649.7491552000001</v>
          </cell>
          <cell r="L64">
            <v>2564.2733759999996</v>
          </cell>
          <cell r="M64">
            <v>2649.7491552000001</v>
          </cell>
          <cell r="N64">
            <v>31063.420963814402</v>
          </cell>
        </row>
        <row r="65">
          <cell r="A65" t="str">
            <v>Gratificaciones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>Indemnizaciones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A67" t="str">
            <v>Premios de asistencia</v>
          </cell>
          <cell r="B67">
            <v>3814.8004799999999</v>
          </cell>
          <cell r="C67">
            <v>3445.6262400000005</v>
          </cell>
          <cell r="D67">
            <v>3814.8004799999999</v>
          </cell>
          <cell r="E67">
            <v>3691.7424000000001</v>
          </cell>
          <cell r="F67">
            <v>3814.8004799999999</v>
          </cell>
          <cell r="G67">
            <v>3691.7424000000001</v>
          </cell>
          <cell r="H67">
            <v>3814.8004799999999</v>
          </cell>
          <cell r="I67">
            <v>3814.8004799999999</v>
          </cell>
          <cell r="J67">
            <v>3691.7424000000001</v>
          </cell>
          <cell r="K67">
            <v>3814.8004799999999</v>
          </cell>
          <cell r="L67">
            <v>3691.7424000000001</v>
          </cell>
          <cell r="M67">
            <v>3814.8004799999999</v>
          </cell>
          <cell r="N67">
            <v>44916.199200000003</v>
          </cell>
        </row>
        <row r="68">
          <cell r="A68" t="str">
            <v>Premios de puntualidad</v>
          </cell>
          <cell r="B68">
            <v>2818.1603999999998</v>
          </cell>
          <cell r="C68">
            <v>2545.4351999999999</v>
          </cell>
          <cell r="D68">
            <v>2818.1603999999998</v>
          </cell>
          <cell r="E68">
            <v>2727.2520000000004</v>
          </cell>
          <cell r="F68">
            <v>2818.1603999999998</v>
          </cell>
          <cell r="G68">
            <v>2727.2520000000004</v>
          </cell>
          <cell r="H68">
            <v>2818.1603999999998</v>
          </cell>
          <cell r="I68">
            <v>2818.1603999999998</v>
          </cell>
          <cell r="J68">
            <v>2727.2520000000004</v>
          </cell>
          <cell r="K68">
            <v>2818.1603999999998</v>
          </cell>
          <cell r="L68">
            <v>2727.2520000000004</v>
          </cell>
          <cell r="M68">
            <v>2818.1603999999998</v>
          </cell>
          <cell r="N68">
            <v>33181.565999999999</v>
          </cell>
        </row>
        <row r="69">
          <cell r="A69" t="str">
            <v>Previsión social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Prima dominical</v>
          </cell>
          <cell r="B70">
            <v>1138.8182568</v>
          </cell>
          <cell r="C70">
            <v>997.21742400000016</v>
          </cell>
          <cell r="D70">
            <v>1104.062148</v>
          </cell>
          <cell r="E70">
            <v>1068.4472400000002</v>
          </cell>
          <cell r="F70">
            <v>1104.062148</v>
          </cell>
          <cell r="G70">
            <v>1068.4472400000002</v>
          </cell>
          <cell r="H70">
            <v>1104.062148</v>
          </cell>
          <cell r="I70">
            <v>1104.062148</v>
          </cell>
          <cell r="J70">
            <v>1068.4472400000002</v>
          </cell>
          <cell r="K70">
            <v>1104.062148</v>
          </cell>
          <cell r="L70">
            <v>1068.4472400000002</v>
          </cell>
          <cell r="M70">
            <v>1104.062148</v>
          </cell>
          <cell r="N70">
            <v>13034.197528799999</v>
          </cell>
        </row>
        <row r="71">
          <cell r="A71" t="str">
            <v>Prima vacacional</v>
          </cell>
          <cell r="B71">
            <v>468.00750279452063</v>
          </cell>
          <cell r="C71">
            <v>409.8153797260274</v>
          </cell>
          <cell r="D71">
            <v>453.72417041095889</v>
          </cell>
          <cell r="E71">
            <v>439.08790684931512</v>
          </cell>
          <cell r="F71">
            <v>453.72417041095889</v>
          </cell>
          <cell r="G71">
            <v>439.08790684931512</v>
          </cell>
          <cell r="H71">
            <v>453.72417041095889</v>
          </cell>
          <cell r="I71">
            <v>453.72417041095889</v>
          </cell>
          <cell r="J71">
            <v>439.08790684931512</v>
          </cell>
          <cell r="K71">
            <v>453.72417041095889</v>
          </cell>
          <cell r="L71">
            <v>439.08790684931512</v>
          </cell>
          <cell r="M71">
            <v>453.72417041095889</v>
          </cell>
          <cell r="N71">
            <v>5356.5195323835615</v>
          </cell>
        </row>
        <row r="72">
          <cell r="A72" t="str">
            <v>Primas de antigüedad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A73" t="str">
            <v>PTU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Sueldos y salarios</v>
          </cell>
          <cell r="B74">
            <v>45552.730271999993</v>
          </cell>
          <cell r="C74">
            <v>39888.696960000001</v>
          </cell>
          <cell r="D74">
            <v>44162.485919999999</v>
          </cell>
          <cell r="E74">
            <v>42737.889600000002</v>
          </cell>
          <cell r="F74">
            <v>44162.485919999999</v>
          </cell>
          <cell r="G74">
            <v>42737.889600000002</v>
          </cell>
          <cell r="H74">
            <v>44162.485919999999</v>
          </cell>
          <cell r="I74">
            <v>44162.485919999999</v>
          </cell>
          <cell r="J74">
            <v>42737.889600000002</v>
          </cell>
          <cell r="K74">
            <v>44162.485919999999</v>
          </cell>
          <cell r="L74">
            <v>42737.889600000002</v>
          </cell>
          <cell r="M74">
            <v>44162.485919999999</v>
          </cell>
          <cell r="N74">
            <v>521367.90115200001</v>
          </cell>
        </row>
        <row r="75">
          <cell r="A75" t="str">
            <v>Tiempos extras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A76" t="str">
            <v>Vacaciones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A77" t="str">
            <v>TOTAL NOMINA</v>
          </cell>
          <cell r="B77">
            <v>67041.375699615572</v>
          </cell>
          <cell r="C77">
            <v>60127.876695658706</v>
          </cell>
          <cell r="D77">
            <v>65626.381110683375</v>
          </cell>
          <cell r="E77">
            <v>62084.030721675153</v>
          </cell>
          <cell r="F77">
            <v>65626.381110683375</v>
          </cell>
          <cell r="G77">
            <v>62084.030721675153</v>
          </cell>
          <cell r="H77">
            <v>63916.865526683367</v>
          </cell>
          <cell r="I77">
            <v>63916.865526683367</v>
          </cell>
          <cell r="J77">
            <v>63793.546305675147</v>
          </cell>
          <cell r="K77">
            <v>63916.865526683367</v>
          </cell>
          <cell r="L77">
            <v>63793.546305675147</v>
          </cell>
          <cell r="M77">
            <v>65626.381110683375</v>
          </cell>
          <cell r="N77">
            <v>767554.14636207512</v>
          </cell>
        </row>
        <row r="78">
          <cell r="A78" t="str">
            <v xml:space="preserve">D - COSTO SOCIAL </v>
          </cell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</row>
        <row r="79">
          <cell r="A79" t="str">
            <v>Aportaciones al infonavit</v>
          </cell>
          <cell r="B79">
            <v>2894.6952054300591</v>
          </cell>
          <cell r="C79">
            <v>2587.1746719029356</v>
          </cell>
          <cell r="D79">
            <v>2817.183553774169</v>
          </cell>
          <cell r="E79">
            <v>2655.0381472837576</v>
          </cell>
          <cell r="F79">
            <v>2817.183553774169</v>
          </cell>
          <cell r="G79">
            <v>2655.0381472837576</v>
          </cell>
          <cell r="H79">
            <v>2731.7077745741685</v>
          </cell>
          <cell r="I79">
            <v>2731.7077745741685</v>
          </cell>
          <cell r="J79">
            <v>2740.5139264837571</v>
          </cell>
          <cell r="K79">
            <v>2731.7077745741685</v>
          </cell>
          <cell r="L79">
            <v>2740.5139264837571</v>
          </cell>
          <cell r="M79">
            <v>2817.183553774169</v>
          </cell>
          <cell r="N79">
            <v>32919.648009913042</v>
          </cell>
        </row>
        <row r="80">
          <cell r="A80" t="str">
            <v>Aportaciones al SAR</v>
          </cell>
          <cell r="B80">
            <v>5260.399531566356</v>
          </cell>
          <cell r="C80">
            <v>4683.6536933240232</v>
          </cell>
          <cell r="D80">
            <v>5099.3726304604625</v>
          </cell>
          <cell r="E80">
            <v>4806.3103995615429</v>
          </cell>
          <cell r="F80">
            <v>5099.3726304604625</v>
          </cell>
          <cell r="G80">
            <v>4806.3103995615429</v>
          </cell>
          <cell r="H80">
            <v>4909.4454028533455</v>
          </cell>
          <cell r="I80">
            <v>4909.4454028533455</v>
          </cell>
          <cell r="J80">
            <v>4960.7996514149827</v>
          </cell>
          <cell r="K80">
            <v>4909.4454028533455</v>
          </cell>
          <cell r="L80">
            <v>4960.7996514149827</v>
          </cell>
          <cell r="M80">
            <v>5099.3726304604625</v>
          </cell>
          <cell r="N80">
            <v>59504.727426784862</v>
          </cell>
        </row>
        <row r="81">
          <cell r="A81" t="str">
            <v>Cuotas al IMSS</v>
          </cell>
          <cell r="B81">
            <v>6387.9145591156612</v>
          </cell>
          <cell r="C81">
            <v>5732.0791841794007</v>
          </cell>
          <cell r="D81">
            <v>6281.3627020969825</v>
          </cell>
          <cell r="E81">
            <v>5980.7684033925025</v>
          </cell>
          <cell r="F81">
            <v>6281.3627020969825</v>
          </cell>
          <cell r="G81">
            <v>5980.7684033925025</v>
          </cell>
          <cell r="H81">
            <v>6163.8629093650279</v>
          </cell>
          <cell r="I81">
            <v>6163.8629093650279</v>
          </cell>
          <cell r="J81">
            <v>6098.2681961244552</v>
          </cell>
          <cell r="K81">
            <v>6163.8629093650279</v>
          </cell>
          <cell r="L81">
            <v>6098.2681961244552</v>
          </cell>
          <cell r="M81">
            <v>6281.3627020969825</v>
          </cell>
          <cell r="N81">
            <v>73613.743776715026</v>
          </cell>
        </row>
        <row r="82">
          <cell r="A82" t="str">
            <v>Impuesto Estatal</v>
          </cell>
          <cell r="B82">
            <v>1935.8059496580354</v>
          </cell>
          <cell r="C82">
            <v>1732.0366463417611</v>
          </cell>
          <cell r="D82">
            <v>1889.2989586645008</v>
          </cell>
          <cell r="E82">
            <v>1785.5927203702543</v>
          </cell>
          <cell r="F82">
            <v>1889.2989586645008</v>
          </cell>
          <cell r="G82">
            <v>1785.5927203702543</v>
          </cell>
          <cell r="H82">
            <v>1838.0134911445011</v>
          </cell>
          <cell r="I82">
            <v>1838.0134911445011</v>
          </cell>
          <cell r="J82">
            <v>1836.8781878902544</v>
          </cell>
          <cell r="K82">
            <v>1838.0134911445011</v>
          </cell>
          <cell r="L82">
            <v>1836.8781878902544</v>
          </cell>
          <cell r="M82">
            <v>1889.2989586645008</v>
          </cell>
          <cell r="N82">
            <v>22094.721761947825</v>
          </cell>
        </row>
        <row r="83">
          <cell r="A83" t="str">
            <v>TOTAL COSTO SOCIAL</v>
          </cell>
          <cell r="B83">
            <v>16478.815245770111</v>
          </cell>
          <cell r="C83">
            <v>14734.944195748119</v>
          </cell>
          <cell r="D83">
            <v>16087.217844996114</v>
          </cell>
          <cell r="E83">
            <v>15227.709670608057</v>
          </cell>
          <cell r="F83">
            <v>16087.217844996114</v>
          </cell>
          <cell r="G83">
            <v>15227.709670608057</v>
          </cell>
          <cell r="H83">
            <v>15643.029577937043</v>
          </cell>
          <cell r="I83">
            <v>15643.029577937043</v>
          </cell>
          <cell r="J83">
            <v>15636.459961913448</v>
          </cell>
          <cell r="K83">
            <v>15643.029577937043</v>
          </cell>
          <cell r="L83">
            <v>15636.459961913448</v>
          </cell>
          <cell r="M83">
            <v>16087.217844996114</v>
          </cell>
          <cell r="N83">
            <v>188132.84097536074</v>
          </cell>
        </row>
        <row r="84">
          <cell r="A84" t="str">
            <v>TOTAL NOM MAS COSTO SOCIAL</v>
          </cell>
          <cell r="B84">
            <v>83520.190945385679</v>
          </cell>
          <cell r="C84">
            <v>74862.820891406824</v>
          </cell>
          <cell r="D84">
            <v>81713.598955679481</v>
          </cell>
          <cell r="E84">
            <v>77311.740392283216</v>
          </cell>
          <cell r="F84">
            <v>81713.598955679481</v>
          </cell>
          <cell r="G84">
            <v>77311.740392283216</v>
          </cell>
          <cell r="H84">
            <v>79559.895104620402</v>
          </cell>
          <cell r="I84">
            <v>79559.895104620402</v>
          </cell>
          <cell r="J84">
            <v>79430.0062675886</v>
          </cell>
          <cell r="K84">
            <v>79559.895104620402</v>
          </cell>
          <cell r="L84">
            <v>79430.0062675886</v>
          </cell>
          <cell r="M84">
            <v>81713.598955679481</v>
          </cell>
          <cell r="N84">
            <v>955686.98733743583</v>
          </cell>
        </row>
        <row r="88">
          <cell r="A88" t="str">
            <v>Aguinaldo</v>
          </cell>
          <cell r="B88">
            <v>4126.7541980958895</v>
          </cell>
          <cell r="C88">
            <v>3546.7758468493153</v>
          </cell>
          <cell r="D88">
            <v>3926.7875447260271</v>
          </cell>
          <cell r="E88">
            <v>3800.1169787671233</v>
          </cell>
          <cell r="F88">
            <v>3926.7875447260271</v>
          </cell>
          <cell r="G88">
            <v>3800.1169787671233</v>
          </cell>
          <cell r="H88">
            <v>3926.7875447260271</v>
          </cell>
          <cell r="I88">
            <v>3926.7875447260271</v>
          </cell>
          <cell r="J88">
            <v>3800.1169787671233</v>
          </cell>
          <cell r="K88">
            <v>3926.7875447260271</v>
          </cell>
          <cell r="L88">
            <v>3800.1169787671233</v>
          </cell>
          <cell r="M88">
            <v>3926.7875447260271</v>
          </cell>
          <cell r="N88">
            <v>46434.723228369869</v>
          </cell>
        </row>
        <row r="89">
          <cell r="A89" t="str">
            <v>Compensaciones</v>
          </cell>
          <cell r="B89">
            <v>11930.916857142856</v>
          </cell>
          <cell r="C89">
            <v>11930.916857142856</v>
          </cell>
          <cell r="D89">
            <v>11930.916857142856</v>
          </cell>
          <cell r="E89">
            <v>11930.916857142856</v>
          </cell>
          <cell r="F89">
            <v>11930.916857142856</v>
          </cell>
          <cell r="G89">
            <v>11930.916857142856</v>
          </cell>
          <cell r="H89">
            <v>11930.916857142856</v>
          </cell>
          <cell r="I89">
            <v>11930.916857142856</v>
          </cell>
          <cell r="J89">
            <v>11930.916857142856</v>
          </cell>
          <cell r="K89">
            <v>11930.916857142856</v>
          </cell>
          <cell r="L89">
            <v>11930.916857142856</v>
          </cell>
          <cell r="M89">
            <v>11930.916857142856</v>
          </cell>
          <cell r="N89">
            <v>143171.00228571429</v>
          </cell>
        </row>
        <row r="90">
          <cell r="A90" t="str">
            <v>Días festivos</v>
          </cell>
          <cell r="B90">
            <v>3887.1362123999997</v>
          </cell>
          <cell r="C90">
            <v>3698.780526</v>
          </cell>
          <cell r="D90">
            <v>3698.780526</v>
          </cell>
          <cell r="E90">
            <v>0</v>
          </cell>
          <cell r="F90">
            <v>3698.780526</v>
          </cell>
          <cell r="G90">
            <v>0</v>
          </cell>
          <cell r="H90">
            <v>0</v>
          </cell>
          <cell r="I90">
            <v>0</v>
          </cell>
          <cell r="J90">
            <v>3698.780526</v>
          </cell>
          <cell r="K90">
            <v>0</v>
          </cell>
          <cell r="L90">
            <v>3698.780526</v>
          </cell>
          <cell r="M90">
            <v>3698.780526</v>
          </cell>
          <cell r="N90">
            <v>26079.819368399996</v>
          </cell>
        </row>
        <row r="91">
          <cell r="A91" t="str">
            <v>Fondo de ahorro</v>
          </cell>
          <cell r="B91">
            <v>5543.0562388824001</v>
          </cell>
          <cell r="C91">
            <v>5178.2927364000006</v>
          </cell>
          <cell r="D91">
            <v>5733.1098152999994</v>
          </cell>
          <cell r="E91">
            <v>5548.1707890000007</v>
          </cell>
          <cell r="F91">
            <v>5733.1098152999994</v>
          </cell>
          <cell r="G91">
            <v>5548.1707890000007</v>
          </cell>
          <cell r="H91">
            <v>5733.1098152999994</v>
          </cell>
          <cell r="I91">
            <v>5733.1098152999994</v>
          </cell>
          <cell r="J91">
            <v>5548.1707890000007</v>
          </cell>
          <cell r="K91">
            <v>5733.1098152999994</v>
          </cell>
          <cell r="L91">
            <v>5548.1707890000007</v>
          </cell>
          <cell r="M91">
            <v>5733.1098152999994</v>
          </cell>
          <cell r="N91">
            <v>67312.6910230824</v>
          </cell>
        </row>
        <row r="92">
          <cell r="A92" t="str">
            <v>Gratificaciones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Indemnizaciones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A94" t="str">
            <v>Premios de asistencia</v>
          </cell>
          <cell r="B94">
            <v>8832.2806799999998</v>
          </cell>
          <cell r="C94">
            <v>7977.5438399999985</v>
          </cell>
          <cell r="D94">
            <v>8832.2806799999998</v>
          </cell>
          <cell r="E94">
            <v>8547.3684000000012</v>
          </cell>
          <cell r="F94">
            <v>8832.2806799999998</v>
          </cell>
          <cell r="G94">
            <v>8547.3684000000012</v>
          </cell>
          <cell r="H94">
            <v>8832.2806799999998</v>
          </cell>
          <cell r="I94">
            <v>8832.2806799999998</v>
          </cell>
          <cell r="J94">
            <v>8547.3684000000012</v>
          </cell>
          <cell r="K94">
            <v>8832.2806799999998</v>
          </cell>
          <cell r="L94">
            <v>8547.3684000000012</v>
          </cell>
          <cell r="M94">
            <v>8832.2806799999998</v>
          </cell>
          <cell r="N94">
            <v>103992.9822</v>
          </cell>
        </row>
        <row r="95">
          <cell r="A95" t="str">
            <v>Premios de puntualidad</v>
          </cell>
          <cell r="B95">
            <v>6778.3793999999998</v>
          </cell>
          <cell r="C95">
            <v>6122.4071999999996</v>
          </cell>
          <cell r="D95">
            <v>6778.3793999999998</v>
          </cell>
          <cell r="E95">
            <v>6559.7219999999988</v>
          </cell>
          <cell r="F95">
            <v>6778.3793999999998</v>
          </cell>
          <cell r="G95">
            <v>6559.7219999999988</v>
          </cell>
          <cell r="H95">
            <v>6778.3793999999998</v>
          </cell>
          <cell r="I95">
            <v>6778.3793999999998</v>
          </cell>
          <cell r="J95">
            <v>6559.7219999999988</v>
          </cell>
          <cell r="K95">
            <v>6778.3793999999998</v>
          </cell>
          <cell r="L95">
            <v>6559.7219999999988</v>
          </cell>
          <cell r="M95">
            <v>6778.3793999999998</v>
          </cell>
          <cell r="N95">
            <v>79809.951000000001</v>
          </cell>
        </row>
        <row r="96">
          <cell r="A96" t="str">
            <v>Previsión social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 t="str">
            <v>Prima dominical</v>
          </cell>
          <cell r="B97">
            <v>2042.1992387999994</v>
          </cell>
          <cell r="C97">
            <v>1734.692904</v>
          </cell>
          <cell r="D97">
            <v>1920.552858</v>
          </cell>
          <cell r="E97">
            <v>1858.5995400000002</v>
          </cell>
          <cell r="F97">
            <v>1920.552858</v>
          </cell>
          <cell r="G97">
            <v>1858.5995400000002</v>
          </cell>
          <cell r="H97">
            <v>1920.552858</v>
          </cell>
          <cell r="I97">
            <v>1920.552858</v>
          </cell>
          <cell r="J97">
            <v>1858.5995400000002</v>
          </cell>
          <cell r="K97">
            <v>1920.552858</v>
          </cell>
          <cell r="L97">
            <v>1858.5995400000002</v>
          </cell>
          <cell r="M97">
            <v>1920.552858</v>
          </cell>
          <cell r="N97">
            <v>22734.607450799995</v>
          </cell>
        </row>
        <row r="98">
          <cell r="A98" t="str">
            <v>Prima vacacional</v>
          </cell>
          <cell r="B98">
            <v>1031.6885495239724</v>
          </cell>
          <cell r="C98">
            <v>886.69396171232881</v>
          </cell>
          <cell r="D98">
            <v>981.69688618150678</v>
          </cell>
          <cell r="E98">
            <v>950.02924469178083</v>
          </cell>
          <cell r="F98">
            <v>981.69688618150678</v>
          </cell>
          <cell r="G98">
            <v>950.02924469178083</v>
          </cell>
          <cell r="H98">
            <v>981.69688618150678</v>
          </cell>
          <cell r="I98">
            <v>981.69688618150678</v>
          </cell>
          <cell r="J98">
            <v>950.02924469178083</v>
          </cell>
          <cell r="K98">
            <v>981.69688618150678</v>
          </cell>
          <cell r="L98">
            <v>950.02924469178083</v>
          </cell>
          <cell r="M98">
            <v>981.69688618150678</v>
          </cell>
          <cell r="N98">
            <v>11608.680807092467</v>
          </cell>
        </row>
        <row r="99">
          <cell r="A99" t="str">
            <v>Primas de antigüedad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PTU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A101" t="str">
            <v>Sueldos y salarios</v>
          </cell>
          <cell r="B101">
            <v>100417.68548700001</v>
          </cell>
          <cell r="C101">
            <v>86304.87894000001</v>
          </cell>
          <cell r="D101">
            <v>95551.830255000008</v>
          </cell>
          <cell r="E101">
            <v>92469.513149999999</v>
          </cell>
          <cell r="F101">
            <v>95551.830255000008</v>
          </cell>
          <cell r="G101">
            <v>92469.513149999999</v>
          </cell>
          <cell r="H101">
            <v>95551.830255000008</v>
          </cell>
          <cell r="I101">
            <v>95551.830255000008</v>
          </cell>
          <cell r="J101">
            <v>92469.513149999999</v>
          </cell>
          <cell r="K101">
            <v>95551.830255000008</v>
          </cell>
          <cell r="L101">
            <v>92469.513149999999</v>
          </cell>
          <cell r="M101">
            <v>95551.830255000008</v>
          </cell>
          <cell r="N101">
            <v>1129911.5985570003</v>
          </cell>
        </row>
        <row r="102">
          <cell r="A102" t="str">
            <v>Tiempos extras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 t="str">
            <v>Vacaciones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 t="str">
            <v>TOTAL NOMINA</v>
          </cell>
          <cell r="B104">
            <v>144590.09686184512</v>
          </cell>
          <cell r="C104">
            <v>127380.98281210451</v>
          </cell>
          <cell r="D104">
            <v>139354.33482235039</v>
          </cell>
          <cell r="E104">
            <v>131664.43695960176</v>
          </cell>
          <cell r="F104">
            <v>139354.33482235039</v>
          </cell>
          <cell r="G104">
            <v>131664.43695960176</v>
          </cell>
          <cell r="H104">
            <v>135655.5542963504</v>
          </cell>
          <cell r="I104">
            <v>135655.5542963504</v>
          </cell>
          <cell r="J104">
            <v>135363.21748560178</v>
          </cell>
          <cell r="K104">
            <v>135655.5542963504</v>
          </cell>
          <cell r="L104">
            <v>135363.21748560178</v>
          </cell>
          <cell r="M104">
            <v>139354.33482235039</v>
          </cell>
          <cell r="N104">
            <v>1631056.0559204593</v>
          </cell>
        </row>
        <row r="105">
          <cell r="A105" t="str">
            <v xml:space="preserve">D - COSTO SOCIAL </v>
          </cell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</row>
        <row r="106">
          <cell r="A106" t="str">
            <v>Aportaciones al infonavit</v>
          </cell>
          <cell r="B106">
            <v>6171.8190271481371</v>
          </cell>
          <cell r="C106">
            <v>5405.1369517852263</v>
          </cell>
          <cell r="D106">
            <v>5900.5282463525209</v>
          </cell>
          <cell r="E106">
            <v>5550.4587885300898</v>
          </cell>
          <cell r="F106">
            <v>5900.5282463525209</v>
          </cell>
          <cell r="G106">
            <v>5550.4587885300898</v>
          </cell>
          <cell r="H106">
            <v>5715.5892200525195</v>
          </cell>
          <cell r="I106">
            <v>5715.5892200525195</v>
          </cell>
          <cell r="J106">
            <v>5735.3978148300894</v>
          </cell>
          <cell r="K106">
            <v>5715.5892200525195</v>
          </cell>
          <cell r="L106">
            <v>5735.3978148300894</v>
          </cell>
          <cell r="M106">
            <v>5900.5282463525209</v>
          </cell>
          <cell r="N106">
            <v>68997.021584868839</v>
          </cell>
        </row>
        <row r="107">
          <cell r="A107" t="str">
            <v>Aportaciones al SAR</v>
          </cell>
          <cell r="B107">
            <v>10821.144576323415</v>
          </cell>
          <cell r="C107">
            <v>9470.1846037175255</v>
          </cell>
          <cell r="D107">
            <v>10336.080215470074</v>
          </cell>
          <cell r="E107">
            <v>9724.0627332311924</v>
          </cell>
          <cell r="F107">
            <v>10336.080215470074</v>
          </cell>
          <cell r="G107">
            <v>9724.0627332311924</v>
          </cell>
          <cell r="H107">
            <v>9800.066749293308</v>
          </cell>
          <cell r="I107">
            <v>9800.066749293308</v>
          </cell>
          <cell r="J107">
            <v>10047.448344885892</v>
          </cell>
          <cell r="K107">
            <v>9800.066749293308</v>
          </cell>
          <cell r="L107">
            <v>10047.448344885892</v>
          </cell>
          <cell r="M107">
            <v>10336.080215470074</v>
          </cell>
          <cell r="N107">
            <v>120242.79223056528</v>
          </cell>
        </row>
        <row r="108">
          <cell r="A108" t="str">
            <v>Cuotas al IMSS</v>
          </cell>
          <cell r="B108">
            <v>13903.713016883346</v>
          </cell>
          <cell r="C108">
            <v>12325.312937993269</v>
          </cell>
          <cell r="D108">
            <v>13530.78151731797</v>
          </cell>
          <cell r="E108">
            <v>12874.731115405621</v>
          </cell>
          <cell r="F108">
            <v>13530.78151731797</v>
          </cell>
          <cell r="G108">
            <v>12874.731115405621</v>
          </cell>
          <cell r="H108">
            <v>13276.553975180514</v>
          </cell>
          <cell r="I108">
            <v>13276.553975180514</v>
          </cell>
          <cell r="J108">
            <v>13128.958657543071</v>
          </cell>
          <cell r="K108">
            <v>13276.553975180514</v>
          </cell>
          <cell r="L108">
            <v>13128.958657543071</v>
          </cell>
          <cell r="M108">
            <v>13530.78151731797</v>
          </cell>
          <cell r="N108">
            <v>158658.41197826946</v>
          </cell>
        </row>
        <row r="109">
          <cell r="A109" t="str">
            <v>Impuesto Estatal</v>
          </cell>
          <cell r="B109">
            <v>4171.4112186888824</v>
          </cell>
          <cell r="C109">
            <v>3666.0807022711347</v>
          </cell>
          <cell r="D109">
            <v>4008.6367502115127</v>
          </cell>
          <cell r="E109">
            <v>3783.4879851180526</v>
          </cell>
          <cell r="F109">
            <v>4008.6367502115127</v>
          </cell>
          <cell r="G109">
            <v>3783.4879851180526</v>
          </cell>
          <cell r="H109">
            <v>3897.6733344315116</v>
          </cell>
          <cell r="I109">
            <v>3897.6733344315116</v>
          </cell>
          <cell r="J109">
            <v>3894.4514008980518</v>
          </cell>
          <cell r="K109">
            <v>3897.6733344315116</v>
          </cell>
          <cell r="L109">
            <v>3894.4514008980518</v>
          </cell>
          <cell r="M109">
            <v>4008.6367502115127</v>
          </cell>
          <cell r="N109">
            <v>46912.300946921299</v>
          </cell>
        </row>
        <row r="110">
          <cell r="A110" t="str">
            <v>TOTAL COSTO SOCIAL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394810.52674062486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VGWTQ5GGQFHZEIU3I6TUFHDGYK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2233.5100000000002</v>
          </cell>
          <cell r="X8">
            <v>2233.5100000000002</v>
          </cell>
          <cell r="Y8">
            <v>2233.5100000000002</v>
          </cell>
          <cell r="Z8">
            <v>2233.5100000000002</v>
          </cell>
          <cell r="AA8">
            <v>2233.5100000000002</v>
          </cell>
          <cell r="AB8">
            <v>2233.5100000000002</v>
          </cell>
          <cell r="AC8">
            <v>2233.5100000000002</v>
          </cell>
          <cell r="AD8">
            <v>2233.5100000000002</v>
          </cell>
          <cell r="AE8">
            <v>2233.5100000000002</v>
          </cell>
          <cell r="AF8">
            <v>2233.5100000000002</v>
          </cell>
          <cell r="AG8">
            <v>2233.5100000000002</v>
          </cell>
          <cell r="AH8">
            <v>2233.5100000000002</v>
          </cell>
        </row>
        <row r="9">
          <cell r="V9" t="str">
            <v xml:space="preserve">San Rafael </v>
          </cell>
          <cell r="W9">
            <v>2233.5100000000002</v>
          </cell>
          <cell r="X9">
            <v>2233.5100000000002</v>
          </cell>
          <cell r="Y9">
            <v>2233.5100000000002</v>
          </cell>
          <cell r="Z9">
            <v>2233.5100000000002</v>
          </cell>
          <cell r="AA9">
            <v>2233.5100000000002</v>
          </cell>
          <cell r="AB9">
            <v>2233.5100000000002</v>
          </cell>
          <cell r="AC9">
            <v>2233.5100000000002</v>
          </cell>
          <cell r="AD9">
            <v>2233.5100000000002</v>
          </cell>
          <cell r="AE9">
            <v>2233.5100000000002</v>
          </cell>
          <cell r="AF9">
            <v>2233.5100000000002</v>
          </cell>
          <cell r="AG9">
            <v>2233.5100000000002</v>
          </cell>
          <cell r="AH9">
            <v>2233.5100000000002</v>
          </cell>
        </row>
        <row r="10">
          <cell r="V10" t="str">
            <v xml:space="preserve">Puertecito </v>
          </cell>
          <cell r="W10">
            <v>2233.5100000000002</v>
          </cell>
          <cell r="X10">
            <v>2233.5100000000002</v>
          </cell>
          <cell r="Y10">
            <v>2233.5100000000002</v>
          </cell>
          <cell r="Z10">
            <v>2233.5100000000002</v>
          </cell>
          <cell r="AA10">
            <v>2233.5100000000002</v>
          </cell>
          <cell r="AB10">
            <v>2233.5100000000002</v>
          </cell>
          <cell r="AC10">
            <v>2233.5100000000002</v>
          </cell>
          <cell r="AD10">
            <v>2233.5100000000002</v>
          </cell>
          <cell r="AE10">
            <v>2233.5100000000002</v>
          </cell>
          <cell r="AF10">
            <v>2233.5100000000002</v>
          </cell>
          <cell r="AG10">
            <v>2233.5100000000002</v>
          </cell>
          <cell r="AH10">
            <v>2233.5100000000002</v>
          </cell>
        </row>
        <row r="11">
          <cell r="V11" t="str">
            <v>Jesus Maria</v>
          </cell>
          <cell r="W11">
            <v>2233.5100000000002</v>
          </cell>
          <cell r="X11">
            <v>2233.5100000000002</v>
          </cell>
          <cell r="Y11">
            <v>2233.5100000000002</v>
          </cell>
          <cell r="Z11">
            <v>2233.5100000000002</v>
          </cell>
          <cell r="AA11">
            <v>2233.5100000000002</v>
          </cell>
          <cell r="AB11">
            <v>2233.5100000000002</v>
          </cell>
          <cell r="AC11">
            <v>2233.5100000000002</v>
          </cell>
          <cell r="AD11">
            <v>2233.5100000000002</v>
          </cell>
          <cell r="AE11">
            <v>2233.5100000000002</v>
          </cell>
          <cell r="AF11">
            <v>2233.5100000000002</v>
          </cell>
          <cell r="AG11">
            <v>2233.5100000000002</v>
          </cell>
          <cell r="AH11">
            <v>2233.5100000000002</v>
          </cell>
        </row>
      </sheetData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Q2EMWKKI3TNE335FPOPK5JLOV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 xml:space="preserve">San Rafael 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V10" t="str">
            <v xml:space="preserve">Puertecito 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V11" t="str">
            <v>Jesus Maria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6FOCVVYLGPRFYKJEDBZ4W47O2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 xml:space="preserve">San Rafael 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V10" t="str">
            <v xml:space="preserve">Puertecito 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V11" t="str">
            <v>Jesus Maria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</sheetData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VMJI7F6Z2OTZB2Q2OPSCAYMP4M">
      <xxl21:absoluteUrl r:id="rId2"/>
    </xxl21:alternateUrls>
    <sheetNames>
      <sheetName val="STAFF"/>
      <sheetName val="ESTACIONES"/>
      <sheetName val="Variables Globales"/>
      <sheetName val="Plantilla"/>
    </sheetNames>
    <sheetDataSet>
      <sheetData sheetId="0"/>
      <sheetData sheetId="1"/>
      <sheetData sheetId="2">
        <row r="3">
          <cell r="C3">
            <v>1.0350999999999999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SLFGVNNAL66BGL5N3GANH7HKEC">
      <xxl21:absoluteUrl r:id="rId2"/>
      <xxl21:relativeUrl r:id="rId3"/>
    </xxl21:alternateUrls>
    <sheetNames>
      <sheetName val="Parametros JRZ"/>
      <sheetName val="Parametros AGS"/>
      <sheetName val="Parametros PAR"/>
      <sheetName val="Parametros DEL"/>
      <sheetName val="Parametros VILLA"/>
      <sheetName val="Parametros PRAXEDIS"/>
      <sheetName val="Parametros SMA"/>
      <sheetName val="EDO RESULTADOS MISMAS EST"/>
      <sheetName val="S"/>
      <sheetName val="ADMINISTRATIVO-FINANZAS"/>
      <sheetName val="CONTABILIDAD-FISCAL"/>
      <sheetName val="INGRESOS"/>
      <sheetName val="SISTEMAS"/>
      <sheetName val="1G"/>
      <sheetName val="MANTENIMIENTO-OPERACIONES"/>
      <sheetName val="COMERCIAL-MKT"/>
      <sheetName val="CAPITAL HUMANO"/>
      <sheetName val="PROYECTOS"/>
      <sheetName val="DIRECCION"/>
      <sheetName val="LOGISTICA"/>
      <sheetName val="Z"/>
      <sheetName val="EXPANSION"/>
      <sheetName val="AUDITORIA CORP"/>
      <sheetName val="CORP"/>
      <sheetName val="Y"/>
      <sheetName val="EDO RESULTADOS COMP 24-25"/>
      <sheetName val="EDO RESULTADOS COMP SIN TSA XZ"/>
      <sheetName val="EDO RESULTADOS COMP SIN TSA"/>
      <sheetName val="EDO RESULTADOS COMPARATIVO"/>
      <sheetName val="EDO RESULTADOS TOTAL EST"/>
      <sheetName val="TOTAL ESTACIONES"/>
      <sheetName val="A"/>
      <sheetName val="Lerdo"/>
      <sheetName val="Lopez Mateos"/>
      <sheetName val="Tecnologico"/>
      <sheetName val="Gemela Chica"/>
      <sheetName val="Gemela Grande"/>
      <sheetName val="M libre"/>
      <sheetName val="Aztecas"/>
      <sheetName val="Misiones"/>
      <sheetName val="P Palos"/>
      <sheetName val="M Madrid"/>
      <sheetName val="Permuta"/>
      <sheetName val="Electrolux"/>
      <sheetName val="Aeronautica"/>
      <sheetName val="Anapra"/>
      <sheetName val="H Escobar"/>
      <sheetName val="Custodia"/>
      <sheetName val="Plutarco"/>
      <sheetName val="Parral"/>
      <sheetName val="Ahumada"/>
      <sheetName val="Delicias"/>
      <sheetName val="Castaño"/>
      <sheetName val="Aguascalientes"/>
      <sheetName val="Travel Center"/>
      <sheetName val="B"/>
      <sheetName val="Praxedis"/>
      <sheetName val="ANOTACIONES"/>
      <sheetName val="ER ACUMULADO"/>
      <sheetName val="ADM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82"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</row>
        <row r="244"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6">
          <cell r="Y6">
            <v>345953400.56851846</v>
          </cell>
          <cell r="Z6">
            <v>343761068.01192588</v>
          </cell>
          <cell r="AA6">
            <v>366086013.90242529</v>
          </cell>
          <cell r="AB6">
            <v>359842927.81928909</v>
          </cell>
          <cell r="AC6">
            <v>392391122.63609403</v>
          </cell>
          <cell r="AD6">
            <v>382953908.0702244</v>
          </cell>
          <cell r="AE6">
            <v>376315683.19764954</v>
          </cell>
          <cell r="AF6">
            <v>386798921.90946937</v>
          </cell>
          <cell r="AG6">
            <v>383838013.06794298</v>
          </cell>
          <cell r="AH6">
            <v>388120716.8875435</v>
          </cell>
          <cell r="AI6">
            <v>377124307.50279218</v>
          </cell>
          <cell r="AJ6">
            <v>370418951.26983756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SULJG2FQR2YFAJQB6BGAHWFJAZ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 xml:space="preserve">Colosio </v>
          </cell>
          <cell r="W8">
            <v>1248</v>
          </cell>
          <cell r="X8">
            <v>1248</v>
          </cell>
          <cell r="Y8">
            <v>1248</v>
          </cell>
          <cell r="Z8">
            <v>1248</v>
          </cell>
          <cell r="AA8">
            <v>1248</v>
          </cell>
          <cell r="AB8">
            <v>1248</v>
          </cell>
          <cell r="AC8">
            <v>1248</v>
          </cell>
          <cell r="AD8">
            <v>1248</v>
          </cell>
          <cell r="AE8">
            <v>1248</v>
          </cell>
          <cell r="AF8">
            <v>1248</v>
          </cell>
          <cell r="AG8">
            <v>1248</v>
          </cell>
          <cell r="AH8">
            <v>1248</v>
          </cell>
        </row>
        <row r="9">
          <cell r="V9" t="str">
            <v xml:space="preserve">San Rafael </v>
          </cell>
          <cell r="W9">
            <v>1248</v>
          </cell>
          <cell r="X9">
            <v>1248</v>
          </cell>
          <cell r="Y9">
            <v>1248</v>
          </cell>
          <cell r="Z9">
            <v>1248</v>
          </cell>
          <cell r="AA9">
            <v>1248</v>
          </cell>
          <cell r="AB9">
            <v>1248</v>
          </cell>
          <cell r="AC9">
            <v>1248</v>
          </cell>
          <cell r="AD9">
            <v>1248</v>
          </cell>
          <cell r="AE9">
            <v>1248</v>
          </cell>
          <cell r="AF9">
            <v>1248</v>
          </cell>
          <cell r="AG9">
            <v>1248</v>
          </cell>
          <cell r="AH9">
            <v>1248</v>
          </cell>
        </row>
        <row r="10">
          <cell r="V10" t="str">
            <v xml:space="preserve">Puertecito </v>
          </cell>
          <cell r="W10">
            <v>1248</v>
          </cell>
          <cell r="X10">
            <v>1248</v>
          </cell>
          <cell r="Y10">
            <v>1248</v>
          </cell>
          <cell r="Z10">
            <v>1248</v>
          </cell>
          <cell r="AA10">
            <v>1248</v>
          </cell>
          <cell r="AB10">
            <v>1248</v>
          </cell>
          <cell r="AC10">
            <v>1248</v>
          </cell>
          <cell r="AD10">
            <v>1248</v>
          </cell>
          <cell r="AE10">
            <v>1248</v>
          </cell>
          <cell r="AF10">
            <v>1248</v>
          </cell>
          <cell r="AG10">
            <v>1248</v>
          </cell>
          <cell r="AH10">
            <v>1248</v>
          </cell>
        </row>
        <row r="11">
          <cell r="V11" t="str">
            <v>Jesus Maria</v>
          </cell>
          <cell r="W11">
            <v>1248</v>
          </cell>
          <cell r="X11">
            <v>1248</v>
          </cell>
          <cell r="Y11">
            <v>1248</v>
          </cell>
          <cell r="Z11">
            <v>1248</v>
          </cell>
          <cell r="AA11">
            <v>1248</v>
          </cell>
          <cell r="AB11">
            <v>1248</v>
          </cell>
          <cell r="AC11">
            <v>1248</v>
          </cell>
          <cell r="AD11">
            <v>1248</v>
          </cell>
          <cell r="AE11">
            <v>1248</v>
          </cell>
          <cell r="AF11">
            <v>1248</v>
          </cell>
          <cell r="AG11">
            <v>1248</v>
          </cell>
          <cell r="AH11">
            <v>1248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totalgasgroup-my.sharepoint.com/:x:/g/personal/veronicaolvera_totalgasgroup_onmicrosoft_com/EX-emBMCcbZBq51aS8EnEb8BP2Di2OUiGWsLGLXBm4Jk5g?e=Dw19dC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0000"/>
  </sheetPr>
  <dimension ref="A1:AM224"/>
  <sheetViews>
    <sheetView zoomScale="90" zoomScaleNormal="90" workbookViewId="0">
      <selection activeCell="L7" sqref="L7:O7"/>
    </sheetView>
  </sheetViews>
  <sheetFormatPr defaultColWidth="11.5703125" defaultRowHeight="14.45"/>
  <cols>
    <col min="1" max="1" width="16.28515625" bestFit="1" customWidth="1"/>
    <col min="2" max="2" width="13.7109375" customWidth="1"/>
    <col min="3" max="6" width="12.5703125" bestFit="1" customWidth="1"/>
    <col min="7" max="10" width="14.85546875" bestFit="1" customWidth="1"/>
    <col min="11" max="13" width="12.5703125" bestFit="1" customWidth="1"/>
    <col min="15" max="15" width="13" bestFit="1" customWidth="1"/>
    <col min="16" max="16" width="11.42578125"/>
    <col min="17" max="17" width="17.140625" bestFit="1" customWidth="1"/>
    <col min="18" max="27" width="0" hidden="1" customWidth="1"/>
    <col min="29" max="29" width="15" bestFit="1" customWidth="1"/>
    <col min="30" max="30" width="13.85546875" bestFit="1" customWidth="1"/>
  </cols>
  <sheetData>
    <row r="1" spans="1:28">
      <c r="A1" s="291" t="s">
        <v>0</v>
      </c>
      <c r="B1" s="291"/>
      <c r="C1" s="8"/>
      <c r="D1" s="291" t="s">
        <v>1</v>
      </c>
      <c r="E1" s="291"/>
    </row>
    <row r="2" spans="1:28">
      <c r="A2" t="s">
        <v>2</v>
      </c>
      <c r="B2" s="95"/>
      <c r="D2" t="s">
        <v>2</v>
      </c>
      <c r="E2" s="96">
        <v>0.52247900000000003</v>
      </c>
      <c r="I2" s="203" t="s">
        <v>3</v>
      </c>
      <c r="J2" s="203"/>
      <c r="K2" s="203"/>
      <c r="L2" s="203"/>
      <c r="M2" s="203"/>
    </row>
    <row r="3" spans="1:28">
      <c r="A3" t="s">
        <v>4</v>
      </c>
      <c r="B3" s="95"/>
      <c r="D3" t="s">
        <v>4</v>
      </c>
      <c r="E3" s="96">
        <v>0.63752200000000003</v>
      </c>
    </row>
    <row r="4" spans="1:28">
      <c r="A4" t="s">
        <v>5</v>
      </c>
      <c r="B4" s="95"/>
      <c r="D4" t="s">
        <v>5</v>
      </c>
      <c r="E4" s="96">
        <v>0.43362600000000001</v>
      </c>
    </row>
    <row r="5" spans="1:28">
      <c r="E5" s="97"/>
    </row>
    <row r="6" spans="1:28" ht="15">
      <c r="A6" s="293" t="s">
        <v>6</v>
      </c>
      <c r="B6" s="293"/>
      <c r="D6" t="s">
        <v>7</v>
      </c>
      <c r="G6" s="112" t="s">
        <v>8</v>
      </c>
      <c r="H6" s="112" t="s">
        <v>9</v>
      </c>
      <c r="I6" s="112" t="s">
        <v>10</v>
      </c>
      <c r="J6" s="112" t="s">
        <v>11</v>
      </c>
      <c r="L6" s="112" t="s">
        <v>8</v>
      </c>
      <c r="M6" s="112" t="s">
        <v>9</v>
      </c>
      <c r="N6" s="112" t="s">
        <v>10</v>
      </c>
      <c r="O6" s="112" t="s">
        <v>11</v>
      </c>
    </row>
    <row r="7" spans="1:28">
      <c r="A7" t="s">
        <v>2</v>
      </c>
      <c r="B7" s="117">
        <v>24</v>
      </c>
      <c r="D7" s="119">
        <f>+B7/1.08</f>
        <v>22.222222222222221</v>
      </c>
      <c r="G7" s="118">
        <v>21.944444444444443</v>
      </c>
      <c r="H7" s="118">
        <v>21.944444444444443</v>
      </c>
      <c r="I7" s="118">
        <v>21.944444444444443</v>
      </c>
      <c r="J7" s="118">
        <v>21.944444444444443</v>
      </c>
      <c r="L7" s="118">
        <v>21.4</v>
      </c>
      <c r="M7" s="118">
        <v>21.4</v>
      </c>
      <c r="N7" s="118">
        <v>21.4</v>
      </c>
      <c r="O7" s="118">
        <v>21.4</v>
      </c>
    </row>
    <row r="8" spans="1:28">
      <c r="A8" t="s">
        <v>4</v>
      </c>
      <c r="B8" s="117">
        <v>25</v>
      </c>
      <c r="D8" s="119">
        <f>+B8/1.08</f>
        <v>23.148148148148145</v>
      </c>
      <c r="G8" s="118">
        <v>23.148148148148145</v>
      </c>
      <c r="H8" s="118">
        <v>23.148148148148145</v>
      </c>
      <c r="I8" s="118">
        <v>23.148148148148145</v>
      </c>
      <c r="J8" s="118">
        <v>23.148148148148145</v>
      </c>
      <c r="L8" s="118">
        <v>22.82</v>
      </c>
      <c r="M8" s="118">
        <v>22.82</v>
      </c>
      <c r="N8" s="118">
        <v>22.82</v>
      </c>
      <c r="O8" s="118">
        <v>22.82</v>
      </c>
    </row>
    <row r="9" spans="1:28">
      <c r="A9" t="s">
        <v>5</v>
      </c>
      <c r="B9" s="117">
        <v>26.9</v>
      </c>
      <c r="D9" s="119">
        <f>+B9/1.08</f>
        <v>24.907407407407405</v>
      </c>
      <c r="G9" s="118">
        <v>24.907407407407405</v>
      </c>
      <c r="H9" s="118">
        <v>24.907407407407405</v>
      </c>
      <c r="I9" s="118">
        <v>24.907407407407405</v>
      </c>
      <c r="J9" s="118">
        <v>24.907407407407405</v>
      </c>
      <c r="L9" s="118">
        <v>24.45</v>
      </c>
      <c r="M9" s="118">
        <v>24.45</v>
      </c>
      <c r="N9" s="118">
        <v>24.45</v>
      </c>
      <c r="O9" s="118">
        <v>24.45</v>
      </c>
    </row>
    <row r="11" spans="1:28">
      <c r="A11" s="100" t="s">
        <v>12</v>
      </c>
      <c r="B11" s="101"/>
      <c r="C11" s="99"/>
    </row>
    <row r="12" spans="1:28" ht="18">
      <c r="A12" s="103" t="s">
        <v>13</v>
      </c>
      <c r="B12" s="106">
        <v>4.0000000000000001E-3</v>
      </c>
      <c r="C12" s="106">
        <v>4.0000000000000001E-3</v>
      </c>
      <c r="D12" s="106">
        <v>4.0000000000000001E-3</v>
      </c>
      <c r="E12" s="106">
        <v>4.0000000000000001E-3</v>
      </c>
      <c r="F12" s="106">
        <v>4.0000000000000001E-3</v>
      </c>
      <c r="G12" s="106">
        <v>4.0000000000000001E-3</v>
      </c>
      <c r="H12" s="106">
        <v>4.0000000000000001E-3</v>
      </c>
      <c r="I12" s="106">
        <v>4.0000000000000001E-3</v>
      </c>
      <c r="J12" s="106">
        <v>4.0000000000000001E-3</v>
      </c>
      <c r="K12" s="106">
        <v>4.0000000000000001E-3</v>
      </c>
      <c r="L12" s="106">
        <v>4.0000000000000001E-3</v>
      </c>
      <c r="M12" s="106">
        <v>4.0000000000000001E-3</v>
      </c>
    </row>
    <row r="13" spans="1:28">
      <c r="A13" s="104" t="s">
        <v>14</v>
      </c>
      <c r="B13" s="104" t="s">
        <v>15</v>
      </c>
      <c r="C13" s="104" t="s">
        <v>16</v>
      </c>
      <c r="D13" s="104" t="s">
        <v>17</v>
      </c>
      <c r="E13" s="104" t="s">
        <v>18</v>
      </c>
      <c r="F13" s="104" t="s">
        <v>19</v>
      </c>
      <c r="G13" s="104" t="s">
        <v>20</v>
      </c>
      <c r="H13" s="104" t="s">
        <v>21</v>
      </c>
      <c r="I13" s="104" t="s">
        <v>22</v>
      </c>
      <c r="J13" s="104" t="s">
        <v>23</v>
      </c>
      <c r="K13" s="104" t="s">
        <v>24</v>
      </c>
      <c r="L13" s="104" t="s">
        <v>25</v>
      </c>
      <c r="M13" s="104" t="s">
        <v>26</v>
      </c>
    </row>
    <row r="14" spans="1:28">
      <c r="A14" s="104" t="s">
        <v>27</v>
      </c>
      <c r="B14" s="105">
        <f>+D7</f>
        <v>22.222222222222221</v>
      </c>
      <c r="C14" s="105">
        <f>B14*(1+$C$12)</f>
        <v>22.31111111111111</v>
      </c>
      <c r="D14" s="105">
        <f t="shared" ref="D14:M14" si="0">C14*(1+$C$12)</f>
        <v>22.400355555555553</v>
      </c>
      <c r="E14" s="105">
        <f t="shared" si="0"/>
        <v>22.489956977777776</v>
      </c>
      <c r="F14" s="105">
        <f t="shared" si="0"/>
        <v>22.579916805688889</v>
      </c>
      <c r="G14" s="105">
        <f t="shared" si="0"/>
        <v>22.670236472911643</v>
      </c>
      <c r="H14" s="105">
        <f t="shared" si="0"/>
        <v>22.760917418803288</v>
      </c>
      <c r="I14" s="105">
        <f t="shared" si="0"/>
        <v>22.8519610884785</v>
      </c>
      <c r="J14" s="105">
        <f t="shared" si="0"/>
        <v>22.943368932832414</v>
      </c>
      <c r="K14" s="105">
        <f t="shared" si="0"/>
        <v>23.035142408563743</v>
      </c>
      <c r="L14" s="105">
        <f t="shared" si="0"/>
        <v>23.127282978198</v>
      </c>
      <c r="M14" s="105">
        <f t="shared" si="0"/>
        <v>23.219792110110792</v>
      </c>
      <c r="AB14" s="118"/>
    </row>
    <row r="15" spans="1:28">
      <c r="A15" s="104" t="s">
        <v>28</v>
      </c>
      <c r="B15" s="105">
        <f>+D8</f>
        <v>23.148148148148145</v>
      </c>
      <c r="C15" s="105">
        <f>B15*(1+$C$12)</f>
        <v>23.240740740740737</v>
      </c>
      <c r="D15" s="105">
        <f t="shared" ref="D15:M15" si="1">C15*(1+$C$12)</f>
        <v>23.333703703703701</v>
      </c>
      <c r="E15" s="105">
        <f t="shared" si="1"/>
        <v>23.427038518518515</v>
      </c>
      <c r="F15" s="105">
        <f t="shared" si="1"/>
        <v>23.52074667259259</v>
      </c>
      <c r="G15" s="105">
        <f t="shared" si="1"/>
        <v>23.614829659282961</v>
      </c>
      <c r="H15" s="105">
        <f t="shared" si="1"/>
        <v>23.709288977920092</v>
      </c>
      <c r="I15" s="105">
        <f t="shared" si="1"/>
        <v>23.804126133831772</v>
      </c>
      <c r="J15" s="105">
        <f t="shared" si="1"/>
        <v>23.899342638367099</v>
      </c>
      <c r="K15" s="105">
        <f t="shared" si="1"/>
        <v>23.994940008920565</v>
      </c>
      <c r="L15" s="105">
        <f t="shared" si="1"/>
        <v>24.090919768956248</v>
      </c>
      <c r="M15" s="105">
        <f t="shared" si="1"/>
        <v>24.187283448032073</v>
      </c>
    </row>
    <row r="16" spans="1:28">
      <c r="A16" s="104" t="s">
        <v>5</v>
      </c>
      <c r="B16" s="105">
        <f>+D9</f>
        <v>24.907407407407405</v>
      </c>
      <c r="C16" s="105">
        <f>B16*(1+$C$12)</f>
        <v>25.007037037037033</v>
      </c>
      <c r="D16" s="105">
        <f t="shared" ref="D16:M16" si="2">C16*(1+$C$12)</f>
        <v>25.107065185185181</v>
      </c>
      <c r="E16" s="105">
        <f t="shared" si="2"/>
        <v>25.207493445925923</v>
      </c>
      <c r="F16" s="105">
        <f t="shared" si="2"/>
        <v>25.308323419709627</v>
      </c>
      <c r="G16" s="105">
        <f t="shared" si="2"/>
        <v>25.409556713388465</v>
      </c>
      <c r="H16" s="105">
        <f t="shared" si="2"/>
        <v>25.511194940242017</v>
      </c>
      <c r="I16" s="105">
        <f t="shared" si="2"/>
        <v>25.613239720002987</v>
      </c>
      <c r="J16" s="105">
        <f t="shared" si="2"/>
        <v>25.715692678882998</v>
      </c>
      <c r="K16" s="105">
        <f t="shared" si="2"/>
        <v>25.818555449598531</v>
      </c>
      <c r="L16" s="105">
        <f t="shared" si="2"/>
        <v>25.921829671396925</v>
      </c>
      <c r="M16" s="105">
        <f t="shared" si="2"/>
        <v>26.025516990082512</v>
      </c>
    </row>
    <row r="18" spans="1:30">
      <c r="A18" t="s">
        <v>29</v>
      </c>
      <c r="B18" s="102">
        <f>'[19]Variables Globales'!$C$3</f>
        <v>1.0350999999999999</v>
      </c>
    </row>
    <row r="20" spans="1:30" ht="15">
      <c r="AC20" s="118"/>
      <c r="AD20" s="118"/>
    </row>
    <row r="21" spans="1:30">
      <c r="A21" s="100" t="s">
        <v>30</v>
      </c>
      <c r="B21" s="101"/>
      <c r="AD21" s="118"/>
    </row>
    <row r="22" spans="1:30" ht="21">
      <c r="A22" s="103" t="s">
        <v>13</v>
      </c>
      <c r="B22" s="107" t="s">
        <v>31</v>
      </c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</row>
    <row r="23" spans="1:30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Q23" s="118"/>
    </row>
    <row r="24" spans="1:30">
      <c r="A24" t="s">
        <v>27</v>
      </c>
      <c r="B24" s="118">
        <v>0</v>
      </c>
      <c r="C24" s="118">
        <v>0</v>
      </c>
      <c r="D24" s="118">
        <v>0</v>
      </c>
      <c r="E24" s="118">
        <v>0</v>
      </c>
      <c r="F24" s="118">
        <v>0</v>
      </c>
      <c r="G24" s="118">
        <v>0</v>
      </c>
      <c r="H24" s="118">
        <v>0</v>
      </c>
      <c r="I24" s="118">
        <v>0</v>
      </c>
      <c r="J24" s="118">
        <v>0</v>
      </c>
      <c r="K24" s="118">
        <v>0</v>
      </c>
      <c r="L24" s="118">
        <v>0</v>
      </c>
      <c r="M24" s="118">
        <v>0</v>
      </c>
      <c r="P24" s="118"/>
      <c r="Q24" s="118"/>
    </row>
    <row r="25" spans="1:30">
      <c r="A25" t="s">
        <v>28</v>
      </c>
      <c r="B25" s="118">
        <v>0</v>
      </c>
      <c r="C25" s="118">
        <v>0</v>
      </c>
      <c r="D25" s="118">
        <v>0</v>
      </c>
      <c r="E25" s="118">
        <v>0</v>
      </c>
      <c r="F25" s="118">
        <v>0</v>
      </c>
      <c r="G25" s="118">
        <v>0</v>
      </c>
      <c r="H25" s="118">
        <v>0</v>
      </c>
      <c r="I25" s="118">
        <v>0</v>
      </c>
      <c r="J25" s="118">
        <v>0</v>
      </c>
      <c r="K25" s="118">
        <v>0</v>
      </c>
      <c r="L25" s="118">
        <v>0</v>
      </c>
      <c r="M25" s="118">
        <v>0</v>
      </c>
      <c r="P25" s="118"/>
      <c r="Q25" s="118"/>
    </row>
    <row r="26" spans="1:30">
      <c r="A26" t="s">
        <v>5</v>
      </c>
      <c r="B26" s="118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0</v>
      </c>
      <c r="I26" s="118">
        <v>0</v>
      </c>
      <c r="J26" s="118">
        <v>0</v>
      </c>
      <c r="K26" s="118">
        <v>0</v>
      </c>
      <c r="L26" s="118">
        <v>0</v>
      </c>
      <c r="M26" s="118">
        <v>0</v>
      </c>
      <c r="P26" s="118"/>
      <c r="Q26" s="118"/>
    </row>
    <row r="27" spans="1:30"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P27" s="118"/>
      <c r="Q27" s="118"/>
    </row>
    <row r="28" spans="1:30" ht="21">
      <c r="B28" s="185" t="s">
        <v>32</v>
      </c>
      <c r="P28" s="118"/>
    </row>
    <row r="29" spans="1:30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s="207" t="s">
        <v>33</v>
      </c>
      <c r="P29" s="118"/>
      <c r="Q29" s="1"/>
      <c r="R29" s="132"/>
    </row>
    <row r="30" spans="1:30">
      <c r="A30" t="s">
        <v>27</v>
      </c>
      <c r="B30" s="118">
        <v>2.08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207">
        <v>0.2</v>
      </c>
      <c r="O30" s="118"/>
      <c r="P30" s="118">
        <f>AVERAGE(B30:M30)</f>
        <v>2.08</v>
      </c>
      <c r="AB30" s="133"/>
    </row>
    <row r="31" spans="1:30">
      <c r="A31" t="s">
        <v>28</v>
      </c>
      <c r="B31" s="118">
        <v>3.37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207">
        <v>0.2</v>
      </c>
      <c r="O31" s="118"/>
      <c r="P31" s="118">
        <f>AVERAGE(B31:M31)</f>
        <v>3.37</v>
      </c>
      <c r="Q31" s="118"/>
    </row>
    <row r="32" spans="1:30">
      <c r="A32" t="s">
        <v>5</v>
      </c>
      <c r="B32" s="118">
        <v>1.08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207">
        <v>0.2</v>
      </c>
      <c r="O32" s="118"/>
      <c r="P32" s="118">
        <f>AVERAGE(B32:M32)</f>
        <v>1.08</v>
      </c>
      <c r="Q32" s="118"/>
      <c r="AB32" s="118"/>
      <c r="AD32" s="119"/>
    </row>
    <row r="33" spans="1:39"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208"/>
      <c r="P33" s="118"/>
    </row>
    <row r="34" spans="1:39" ht="21">
      <c r="B34" s="185" t="s">
        <v>34</v>
      </c>
      <c r="N34" s="208"/>
      <c r="P34" s="118"/>
      <c r="Q34" s="186"/>
    </row>
    <row r="35" spans="1:39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26</v>
      </c>
      <c r="N35" s="207" t="s">
        <v>33</v>
      </c>
      <c r="P35" s="118"/>
      <c r="Q35" s="187"/>
    </row>
    <row r="36" spans="1:39">
      <c r="A36" t="s">
        <v>27</v>
      </c>
      <c r="B36" s="118">
        <v>2.2599999999999998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207">
        <v>0.43</v>
      </c>
      <c r="P36" s="118">
        <f>AVERAGE(B36:M36)</f>
        <v>2.2599999999999998</v>
      </c>
      <c r="Q36" s="125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233"/>
    </row>
    <row r="37" spans="1:39">
      <c r="A37" t="s">
        <v>28</v>
      </c>
      <c r="B37" s="233">
        <v>2.89</v>
      </c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07">
        <v>0.43</v>
      </c>
      <c r="P37" s="118">
        <f>AVERAGE(B37:M37)</f>
        <v>2.89</v>
      </c>
      <c r="Q37" s="125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234"/>
    </row>
    <row r="38" spans="1:39">
      <c r="A38" t="s">
        <v>5</v>
      </c>
      <c r="B38" s="233">
        <v>1.93</v>
      </c>
      <c r="C38" s="234"/>
      <c r="D38" s="233"/>
      <c r="E38" s="118"/>
      <c r="F38" s="118"/>
      <c r="G38" s="118"/>
      <c r="H38" s="118"/>
      <c r="I38" s="118"/>
      <c r="J38" s="118"/>
      <c r="K38" s="118"/>
      <c r="L38" s="118"/>
      <c r="M38" s="118"/>
      <c r="N38" s="207">
        <v>0.43</v>
      </c>
      <c r="P38" s="118">
        <f>AVERAGE(B38:M38)</f>
        <v>1.93</v>
      </c>
      <c r="Q38" s="125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233"/>
    </row>
    <row r="39" spans="1:39" ht="15.75" customHeight="1">
      <c r="B39" s="125"/>
      <c r="N39" s="208"/>
      <c r="P39" s="118"/>
      <c r="Q39" s="125"/>
      <c r="AB39" s="109"/>
      <c r="AC39" s="118"/>
    </row>
    <row r="40" spans="1:39" ht="21">
      <c r="A40" s="185"/>
      <c r="B40" s="107" t="s">
        <v>35</v>
      </c>
      <c r="N40" s="209"/>
      <c r="P40" s="118"/>
      <c r="Q40" s="125"/>
      <c r="AB40" s="109"/>
      <c r="AC40" s="118"/>
    </row>
    <row r="41" spans="1:39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 s="207" t="s">
        <v>33</v>
      </c>
      <c r="P41" s="118"/>
      <c r="Q41" s="125"/>
      <c r="AB41" s="109"/>
      <c r="AC41" s="118"/>
    </row>
    <row r="42" spans="1:39">
      <c r="A42" t="s">
        <v>27</v>
      </c>
      <c r="B42" s="233">
        <v>1.93</v>
      </c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10">
        <v>0.28999999999999998</v>
      </c>
      <c r="P42" s="118">
        <f t="shared" ref="P42:P56" si="3">AVERAGE(B42:M42)</f>
        <v>1.93</v>
      </c>
      <c r="Q42" s="125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</row>
    <row r="43" spans="1:39">
      <c r="A43" t="s">
        <v>28</v>
      </c>
      <c r="B43" s="233">
        <v>2.75</v>
      </c>
      <c r="C43" s="234"/>
      <c r="D43" s="233"/>
      <c r="E43" s="118"/>
      <c r="F43" s="118"/>
      <c r="G43" s="118"/>
      <c r="H43" s="118"/>
      <c r="I43" s="118"/>
      <c r="J43" s="118"/>
      <c r="K43" s="118"/>
      <c r="L43" s="118"/>
      <c r="M43" s="118"/>
      <c r="N43" s="210">
        <v>0.28999999999999998</v>
      </c>
      <c r="P43" s="118">
        <f t="shared" si="3"/>
        <v>2.75</v>
      </c>
      <c r="Q43" s="125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</row>
    <row r="44" spans="1:39">
      <c r="A44" t="s">
        <v>5</v>
      </c>
      <c r="B44" s="233">
        <v>0.62</v>
      </c>
      <c r="C44" s="234"/>
      <c r="D44" s="233"/>
      <c r="E44" s="118"/>
      <c r="F44" s="118"/>
      <c r="G44" s="118"/>
      <c r="H44" s="118"/>
      <c r="I44" s="118"/>
      <c r="J44" s="118"/>
      <c r="K44" s="118"/>
      <c r="L44" s="118"/>
      <c r="M44" s="118"/>
      <c r="N44" s="210">
        <v>0.28999999999999998</v>
      </c>
      <c r="P44" s="118">
        <f t="shared" si="3"/>
        <v>0.62</v>
      </c>
      <c r="Q44" s="188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</row>
    <row r="45" spans="1:39"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210"/>
      <c r="P45" s="118"/>
      <c r="Q45" s="188"/>
      <c r="AB45" s="109"/>
      <c r="AC45" s="118"/>
    </row>
    <row r="46" spans="1:39" ht="21">
      <c r="A46" s="185"/>
      <c r="B46" s="107" t="s">
        <v>36</v>
      </c>
      <c r="N46" s="209"/>
      <c r="P46" s="118"/>
      <c r="Q46" s="125"/>
      <c r="AB46" s="109"/>
      <c r="AC46" s="118"/>
    </row>
    <row r="47" spans="1:39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 s="207" t="s">
        <v>33</v>
      </c>
      <c r="P47" s="118"/>
      <c r="Q47" s="125"/>
      <c r="AB47" s="109"/>
      <c r="AC47" s="118"/>
    </row>
    <row r="48" spans="1:39">
      <c r="A48" t="s">
        <v>27</v>
      </c>
      <c r="B48" s="233">
        <v>2.13</v>
      </c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10">
        <v>0.08</v>
      </c>
      <c r="P48" s="118">
        <f t="shared" si="3"/>
        <v>2.13</v>
      </c>
      <c r="AB48" s="98"/>
    </row>
    <row r="49" spans="1:28">
      <c r="A49" t="s">
        <v>28</v>
      </c>
      <c r="B49" s="233">
        <v>0</v>
      </c>
      <c r="C49" s="234">
        <v>0</v>
      </c>
      <c r="D49" s="233">
        <v>0</v>
      </c>
      <c r="E49" s="118">
        <v>0</v>
      </c>
      <c r="F49" s="118">
        <v>0</v>
      </c>
      <c r="G49" s="118">
        <v>0</v>
      </c>
      <c r="H49" s="118">
        <v>0</v>
      </c>
      <c r="I49" s="118">
        <v>0</v>
      </c>
      <c r="J49" s="118">
        <v>0</v>
      </c>
      <c r="K49" s="118">
        <v>0</v>
      </c>
      <c r="L49" s="118">
        <v>0</v>
      </c>
      <c r="M49" s="118">
        <v>0</v>
      </c>
      <c r="N49" s="210">
        <v>0</v>
      </c>
      <c r="P49" s="118">
        <f t="shared" si="3"/>
        <v>0</v>
      </c>
      <c r="AB49" s="95"/>
    </row>
    <row r="50" spans="1:28">
      <c r="A50" t="s">
        <v>5</v>
      </c>
      <c r="B50" s="233">
        <v>2.98</v>
      </c>
      <c r="C50" s="234"/>
      <c r="D50" s="233"/>
      <c r="E50" s="118"/>
      <c r="F50" s="118"/>
      <c r="G50" s="118"/>
      <c r="H50" s="118"/>
      <c r="I50" s="118"/>
      <c r="J50" s="118"/>
      <c r="K50" s="118"/>
      <c r="L50" s="118"/>
      <c r="M50" s="118"/>
      <c r="N50" s="210">
        <v>0.08</v>
      </c>
      <c r="P50" s="118">
        <f t="shared" si="3"/>
        <v>2.98</v>
      </c>
      <c r="Q50" s="188"/>
      <c r="AB50" s="95"/>
    </row>
    <row r="51" spans="1:28"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210"/>
      <c r="P51" s="118"/>
      <c r="Q51" s="188"/>
      <c r="AB51" s="95"/>
    </row>
    <row r="52" spans="1:28" ht="21">
      <c r="A52" s="185"/>
      <c r="B52" s="107" t="s">
        <v>36</v>
      </c>
      <c r="N52" s="209"/>
      <c r="P52" s="118"/>
      <c r="AB52" s="125"/>
    </row>
    <row r="53" spans="1:28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s="207" t="s">
        <v>33</v>
      </c>
      <c r="P53" s="118"/>
    </row>
    <row r="54" spans="1:28">
      <c r="A54" t="s">
        <v>27</v>
      </c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210">
        <v>0</v>
      </c>
      <c r="P54" s="118" t="e">
        <f t="shared" si="3"/>
        <v>#DIV/0!</v>
      </c>
      <c r="AB54" s="98"/>
    </row>
    <row r="55" spans="1:28">
      <c r="A55" t="s">
        <v>28</v>
      </c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210">
        <v>0</v>
      </c>
      <c r="P55" s="118" t="e">
        <f t="shared" si="3"/>
        <v>#DIV/0!</v>
      </c>
      <c r="AB55" s="95"/>
    </row>
    <row r="56" spans="1:28">
      <c r="A56" t="s">
        <v>5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210">
        <v>0</v>
      </c>
      <c r="P56" s="118" t="e">
        <f t="shared" si="3"/>
        <v>#DIV/0!</v>
      </c>
      <c r="Q56" s="188"/>
      <c r="AB56" s="95"/>
    </row>
    <row r="58" spans="1:28">
      <c r="A58" s="112" t="s">
        <v>37</v>
      </c>
      <c r="M58" t="s">
        <v>27</v>
      </c>
      <c r="N58" s="211">
        <f>+N30+N36+N42+N48+N54</f>
        <v>0.99999999999999989</v>
      </c>
    </row>
    <row r="59" spans="1:28">
      <c r="A59" t="s">
        <v>27</v>
      </c>
      <c r="B59" s="109">
        <v>0</v>
      </c>
      <c r="M59" t="s">
        <v>28</v>
      </c>
      <c r="N59" s="211">
        <f>+N31+N37+N43+N49+N55</f>
        <v>0.91999999999999993</v>
      </c>
    </row>
    <row r="60" spans="1:28">
      <c r="A60" t="s">
        <v>28</v>
      </c>
      <c r="B60" s="109">
        <v>0</v>
      </c>
      <c r="M60" t="s">
        <v>5</v>
      </c>
      <c r="N60" s="211">
        <f>+N32+N38+N44+N50+N56</f>
        <v>0.99999999999999989</v>
      </c>
    </row>
    <row r="61" spans="1:28">
      <c r="A61" t="s">
        <v>5</v>
      </c>
      <c r="B61" s="109">
        <v>0</v>
      </c>
    </row>
    <row r="66" spans="1:15" ht="21">
      <c r="A66" s="294" t="s">
        <v>38</v>
      </c>
      <c r="B66" s="294"/>
    </row>
    <row r="67" spans="1:15" ht="21">
      <c r="A67" s="292" t="s">
        <v>39</v>
      </c>
      <c r="B67" s="292"/>
      <c r="C67" s="110" t="s">
        <v>15</v>
      </c>
      <c r="D67" s="110" t="s">
        <v>16</v>
      </c>
      <c r="E67" s="110" t="s">
        <v>17</v>
      </c>
      <c r="F67" s="110" t="s">
        <v>18</v>
      </c>
      <c r="G67" s="110" t="s">
        <v>19</v>
      </c>
      <c r="H67" s="110" t="s">
        <v>20</v>
      </c>
      <c r="I67" s="110" t="s">
        <v>21</v>
      </c>
      <c r="J67" s="110" t="s">
        <v>22</v>
      </c>
      <c r="K67" s="110" t="s">
        <v>23</v>
      </c>
      <c r="L67" s="110" t="s">
        <v>24</v>
      </c>
      <c r="M67" s="110" t="s">
        <v>25</v>
      </c>
      <c r="N67" s="204" t="s">
        <v>26</v>
      </c>
      <c r="O67" s="110"/>
    </row>
    <row r="68" spans="1:15">
      <c r="A68" s="111">
        <v>23214</v>
      </c>
      <c r="B68" s="112" t="s">
        <v>40</v>
      </c>
      <c r="C68" s="113">
        <v>-0.2</v>
      </c>
      <c r="D68" s="113">
        <v>-0.2</v>
      </c>
      <c r="E68" s="113">
        <v>-0.2</v>
      </c>
      <c r="F68" s="113">
        <v>-0.2</v>
      </c>
      <c r="G68" s="113">
        <v>-0.2</v>
      </c>
      <c r="H68" s="113">
        <v>-0.2</v>
      </c>
      <c r="I68" s="113">
        <v>-0.2</v>
      </c>
      <c r="J68" s="113">
        <v>-0.2</v>
      </c>
      <c r="K68" s="113">
        <v>-0.2</v>
      </c>
      <c r="L68" s="113">
        <v>-0.2</v>
      </c>
      <c r="M68" s="113">
        <v>-0.2</v>
      </c>
      <c r="N68" s="205">
        <v>-0.2</v>
      </c>
      <c r="O68" s="113"/>
    </row>
    <row r="69" spans="1:15">
      <c r="A69" s="111">
        <v>1149</v>
      </c>
      <c r="B69" s="112" t="s">
        <v>41</v>
      </c>
      <c r="C69" s="113">
        <v>-0.25</v>
      </c>
      <c r="D69" s="113">
        <v>-0.25</v>
      </c>
      <c r="E69" s="113">
        <v>-0.25</v>
      </c>
      <c r="F69" s="113">
        <v>-0.25</v>
      </c>
      <c r="G69" s="113">
        <v>-0.25</v>
      </c>
      <c r="H69" s="113">
        <v>-0.25</v>
      </c>
      <c r="I69" s="113">
        <v>-0.25</v>
      </c>
      <c r="J69" s="113">
        <v>-0.25</v>
      </c>
      <c r="K69" s="113">
        <v>-0.25</v>
      </c>
      <c r="L69" s="113">
        <v>-0.25</v>
      </c>
      <c r="M69" s="113">
        <v>-0.25</v>
      </c>
      <c r="N69" s="113">
        <v>-0.25</v>
      </c>
      <c r="O69" s="113"/>
    </row>
    <row r="70" spans="1:15">
      <c r="A70" s="111">
        <v>1163</v>
      </c>
      <c r="B70" s="112" t="s">
        <v>42</v>
      </c>
      <c r="C70" s="113">
        <v>-0.21</v>
      </c>
      <c r="D70" s="113">
        <v>-0.21</v>
      </c>
      <c r="E70" s="113">
        <v>-0.21</v>
      </c>
      <c r="F70" s="113">
        <v>-0.21</v>
      </c>
      <c r="G70" s="113">
        <v>-0.21</v>
      </c>
      <c r="H70" s="113">
        <v>-0.21</v>
      </c>
      <c r="I70" s="113">
        <v>-0.21</v>
      </c>
      <c r="J70" s="113">
        <v>-0.21</v>
      </c>
      <c r="K70" s="113">
        <v>-0.21</v>
      </c>
      <c r="L70" s="113">
        <v>-0.21</v>
      </c>
      <c r="M70" s="113">
        <v>-0.21</v>
      </c>
      <c r="N70" s="113">
        <v>-0.21</v>
      </c>
      <c r="O70" s="98"/>
    </row>
    <row r="71" spans="1:15">
      <c r="A71" s="111">
        <v>1376</v>
      </c>
      <c r="B71" s="112" t="s">
        <v>43</v>
      </c>
      <c r="C71" s="113">
        <v>-0.2</v>
      </c>
      <c r="D71" s="113">
        <v>-0.2</v>
      </c>
      <c r="E71" s="113">
        <v>-0.2</v>
      </c>
      <c r="F71" s="113">
        <v>-0.2</v>
      </c>
      <c r="G71" s="113">
        <v>-0.2</v>
      </c>
      <c r="H71" s="113">
        <v>-0.2</v>
      </c>
      <c r="I71" s="113">
        <v>-0.2</v>
      </c>
      <c r="J71" s="113">
        <v>-0.2</v>
      </c>
      <c r="K71" s="113">
        <v>-0.2</v>
      </c>
      <c r="L71" s="113">
        <v>-0.2</v>
      </c>
      <c r="M71" s="113">
        <v>-0.2</v>
      </c>
      <c r="N71" s="205">
        <v>-0.2</v>
      </c>
      <c r="O71" s="113"/>
    </row>
    <row r="72" spans="1:15">
      <c r="A72" s="111">
        <v>2172</v>
      </c>
      <c r="B72" s="112" t="s">
        <v>44</v>
      </c>
      <c r="C72" s="113">
        <v>-0.2</v>
      </c>
      <c r="D72" s="113">
        <v>-0.2</v>
      </c>
      <c r="E72" s="113">
        <v>-0.2</v>
      </c>
      <c r="F72" s="113">
        <v>-0.2</v>
      </c>
      <c r="G72" s="113">
        <v>-0.2</v>
      </c>
      <c r="H72" s="113">
        <v>-0.2</v>
      </c>
      <c r="I72" s="113">
        <v>-0.2</v>
      </c>
      <c r="J72" s="113">
        <v>-0.2</v>
      </c>
      <c r="K72" s="113">
        <v>-0.2</v>
      </c>
      <c r="L72" s="113">
        <v>-0.2</v>
      </c>
      <c r="M72" s="113">
        <v>-0.2</v>
      </c>
      <c r="N72" s="205">
        <v>-0.2</v>
      </c>
      <c r="O72" s="113"/>
    </row>
    <row r="73" spans="1:15">
      <c r="A73" s="111">
        <v>2526</v>
      </c>
      <c r="B73" s="112" t="s">
        <v>45</v>
      </c>
      <c r="C73" s="113">
        <v>-0.2</v>
      </c>
      <c r="D73" s="113">
        <v>-0.2</v>
      </c>
      <c r="E73" s="113">
        <v>-0.2</v>
      </c>
      <c r="F73" s="113">
        <v>-0.2</v>
      </c>
      <c r="G73" s="113">
        <v>-0.2</v>
      </c>
      <c r="H73" s="113">
        <v>-0.2</v>
      </c>
      <c r="I73" s="113">
        <v>-0.2</v>
      </c>
      <c r="J73" s="113">
        <v>-0.2</v>
      </c>
      <c r="K73" s="113">
        <v>-0.2</v>
      </c>
      <c r="L73" s="113">
        <v>-0.2</v>
      </c>
      <c r="M73" s="113">
        <v>-0.2</v>
      </c>
      <c r="N73" s="113">
        <v>-0.2</v>
      </c>
      <c r="O73" s="113"/>
    </row>
    <row r="74" spans="1:15">
      <c r="A74" s="111">
        <v>4179</v>
      </c>
      <c r="B74" s="112" t="s">
        <v>46</v>
      </c>
      <c r="C74" s="113">
        <v>-0.1</v>
      </c>
      <c r="D74" s="113">
        <v>-0.1</v>
      </c>
      <c r="E74" s="113">
        <v>-0.1</v>
      </c>
      <c r="F74" s="113">
        <v>-0.1</v>
      </c>
      <c r="G74" s="113">
        <v>-0.1</v>
      </c>
      <c r="H74" s="113">
        <v>-0.1</v>
      </c>
      <c r="I74" s="113">
        <v>-0.1</v>
      </c>
      <c r="J74" s="113">
        <v>-0.1</v>
      </c>
      <c r="K74" s="113">
        <v>-0.1</v>
      </c>
      <c r="L74" s="113">
        <v>-0.1</v>
      </c>
      <c r="M74" s="113">
        <v>-0.1</v>
      </c>
      <c r="N74" s="113">
        <v>-0.1</v>
      </c>
      <c r="O74" s="113"/>
    </row>
    <row r="75" spans="1:15">
      <c r="A75" s="111">
        <v>4188</v>
      </c>
      <c r="B75" s="112" t="s">
        <v>47</v>
      </c>
      <c r="C75" s="113">
        <v>-0.21</v>
      </c>
      <c r="D75" s="113">
        <v>-0.21</v>
      </c>
      <c r="E75" s="113">
        <v>-0.21</v>
      </c>
      <c r="F75" s="113">
        <v>-0.21</v>
      </c>
      <c r="G75" s="113">
        <v>-0.21</v>
      </c>
      <c r="H75" s="113">
        <v>-0.21</v>
      </c>
      <c r="I75" s="113">
        <v>-0.21</v>
      </c>
      <c r="J75" s="113">
        <v>-0.21</v>
      </c>
      <c r="K75" s="113">
        <v>-0.21</v>
      </c>
      <c r="L75" s="113">
        <v>-0.21</v>
      </c>
      <c r="M75" s="113">
        <v>-0.21</v>
      </c>
      <c r="N75" s="113">
        <v>-0.21</v>
      </c>
      <c r="O75" s="113"/>
    </row>
    <row r="76" spans="1:15">
      <c r="A76" s="111">
        <v>5317</v>
      </c>
      <c r="B76" s="112" t="s">
        <v>48</v>
      </c>
      <c r="C76" s="113">
        <v>-0.16</v>
      </c>
      <c r="D76" s="113">
        <v>-0.16</v>
      </c>
      <c r="E76" s="113">
        <v>-0.16</v>
      </c>
      <c r="F76" s="113">
        <v>-0.16</v>
      </c>
      <c r="G76" s="113">
        <v>-0.16</v>
      </c>
      <c r="H76" s="113">
        <v>-0.16</v>
      </c>
      <c r="I76" s="113">
        <v>-0.16</v>
      </c>
      <c r="J76" s="113">
        <v>-0.16</v>
      </c>
      <c r="K76" s="113">
        <v>-0.16</v>
      </c>
      <c r="L76" s="113">
        <v>-0.16</v>
      </c>
      <c r="M76" s="113">
        <v>-0.16</v>
      </c>
      <c r="N76" s="113">
        <v>-0.16</v>
      </c>
      <c r="O76" s="113"/>
    </row>
    <row r="77" spans="1:15">
      <c r="A77" s="111">
        <v>6410</v>
      </c>
      <c r="B77" s="112" t="s">
        <v>49</v>
      </c>
      <c r="C77" s="113">
        <v>-0.22</v>
      </c>
      <c r="D77" s="113">
        <v>-0.22</v>
      </c>
      <c r="E77" s="113">
        <v>-0.22</v>
      </c>
      <c r="F77" s="113">
        <v>-0.22</v>
      </c>
      <c r="G77" s="113">
        <v>-0.22</v>
      </c>
      <c r="H77" s="113">
        <v>-0.22</v>
      </c>
      <c r="I77" s="113">
        <v>-0.22</v>
      </c>
      <c r="J77" s="113">
        <v>-0.22</v>
      </c>
      <c r="K77" s="113">
        <v>-0.22</v>
      </c>
      <c r="L77" s="113">
        <v>-0.22</v>
      </c>
      <c r="M77" s="113">
        <v>-0.22</v>
      </c>
      <c r="N77" s="113">
        <v>-0.22</v>
      </c>
      <c r="O77" s="113"/>
    </row>
    <row r="78" spans="1:15">
      <c r="A78" s="111">
        <v>6947</v>
      </c>
      <c r="B78" s="112" t="s">
        <v>50</v>
      </c>
      <c r="C78" s="113">
        <v>-0.2</v>
      </c>
      <c r="D78" s="113">
        <v>-0.2</v>
      </c>
      <c r="E78" s="113">
        <v>-0.2</v>
      </c>
      <c r="F78" s="113">
        <v>-0.2</v>
      </c>
      <c r="G78" s="113">
        <v>-0.2</v>
      </c>
      <c r="H78" s="113">
        <v>-0.2</v>
      </c>
      <c r="I78" s="113">
        <v>-0.2</v>
      </c>
      <c r="J78" s="113">
        <v>-0.2</v>
      </c>
      <c r="K78" s="113">
        <v>-0.2</v>
      </c>
      <c r="L78" s="113">
        <v>-0.2</v>
      </c>
      <c r="M78" s="113">
        <v>-0.2</v>
      </c>
      <c r="N78" s="113">
        <v>-0.2</v>
      </c>
      <c r="O78" s="113"/>
    </row>
    <row r="79" spans="1:15">
      <c r="A79" s="111">
        <v>7167</v>
      </c>
      <c r="B79" s="112" t="s">
        <v>51</v>
      </c>
      <c r="C79" s="113">
        <v>-0.15</v>
      </c>
      <c r="D79" s="113">
        <v>-0.15</v>
      </c>
      <c r="E79" s="113">
        <v>-0.15</v>
      </c>
      <c r="F79" s="113">
        <v>-0.15</v>
      </c>
      <c r="G79" s="113">
        <v>-0.15</v>
      </c>
      <c r="H79" s="113">
        <v>-0.15</v>
      </c>
      <c r="I79" s="113">
        <v>-0.15</v>
      </c>
      <c r="J79" s="113">
        <v>-0.15</v>
      </c>
      <c r="K79" s="113">
        <v>-0.15</v>
      </c>
      <c r="L79" s="113">
        <v>-0.15</v>
      </c>
      <c r="M79" s="113">
        <v>-0.15</v>
      </c>
      <c r="N79" s="113">
        <v>-0.15</v>
      </c>
      <c r="O79" s="113"/>
    </row>
    <row r="80" spans="1:15">
      <c r="A80" s="111">
        <v>5465</v>
      </c>
      <c r="B80" s="112" t="s">
        <v>52</v>
      </c>
      <c r="C80" s="113">
        <v>-0.17</v>
      </c>
      <c r="D80" s="113">
        <v>-0.17</v>
      </c>
      <c r="E80" s="113">
        <v>-0.17</v>
      </c>
      <c r="F80" s="113">
        <v>-0.17</v>
      </c>
      <c r="G80" s="113">
        <v>-0.17</v>
      </c>
      <c r="H80" s="113">
        <v>-0.17</v>
      </c>
      <c r="I80" s="113">
        <v>-0.17</v>
      </c>
      <c r="J80" s="113">
        <v>-0.17</v>
      </c>
      <c r="K80" s="113">
        <v>-0.17</v>
      </c>
      <c r="L80" s="113">
        <v>-0.17</v>
      </c>
      <c r="M80" s="113">
        <v>-0.17</v>
      </c>
      <c r="N80" s="113">
        <v>-0.17</v>
      </c>
      <c r="O80" s="113"/>
    </row>
    <row r="81" spans="1:15">
      <c r="A81" s="111">
        <v>8244</v>
      </c>
      <c r="B81" s="112" t="s">
        <v>53</v>
      </c>
      <c r="C81" s="113">
        <v>-0.2</v>
      </c>
      <c r="D81" s="113">
        <v>-0.2</v>
      </c>
      <c r="E81" s="113">
        <v>-0.2</v>
      </c>
      <c r="F81" s="113">
        <v>-0.2</v>
      </c>
      <c r="G81" s="113">
        <v>-0.2</v>
      </c>
      <c r="H81" s="113">
        <v>-0.2</v>
      </c>
      <c r="I81" s="113">
        <v>-0.2</v>
      </c>
      <c r="J81" s="113">
        <v>-0.2</v>
      </c>
      <c r="K81" s="113">
        <v>-0.2</v>
      </c>
      <c r="L81" s="113">
        <v>-0.2</v>
      </c>
      <c r="M81" s="113">
        <v>-0.2</v>
      </c>
      <c r="N81" s="113">
        <v>-0.2</v>
      </c>
      <c r="O81" s="113"/>
    </row>
    <row r="82" spans="1:15">
      <c r="A82" s="111">
        <v>9191</v>
      </c>
      <c r="B82" s="112" t="s">
        <v>54</v>
      </c>
      <c r="C82" s="113">
        <v>-0.15</v>
      </c>
      <c r="D82" s="113">
        <v>-0.15</v>
      </c>
      <c r="E82" s="113">
        <v>-0.15</v>
      </c>
      <c r="F82" s="113">
        <v>-0.15</v>
      </c>
      <c r="G82" s="113">
        <v>-0.15</v>
      </c>
      <c r="H82" s="113">
        <v>-0.15</v>
      </c>
      <c r="I82" s="113">
        <v>-0.15</v>
      </c>
      <c r="J82" s="113">
        <v>-0.15</v>
      </c>
      <c r="K82" s="113">
        <v>-0.15</v>
      </c>
      <c r="L82" s="113">
        <v>-0.15</v>
      </c>
      <c r="M82" s="113">
        <v>-0.15</v>
      </c>
      <c r="N82" s="113">
        <v>-0.15</v>
      </c>
      <c r="O82" s="113"/>
    </row>
    <row r="83" spans="1:15">
      <c r="A83" s="111">
        <v>9235</v>
      </c>
      <c r="B83" s="112" t="s">
        <v>55</v>
      </c>
      <c r="C83" s="113">
        <v>-0.17</v>
      </c>
      <c r="D83" s="113">
        <v>-0.17</v>
      </c>
      <c r="E83" s="113">
        <v>-0.17</v>
      </c>
      <c r="F83" s="113">
        <v>-0.17</v>
      </c>
      <c r="G83" s="113">
        <v>-0.17</v>
      </c>
      <c r="H83" s="113">
        <v>-0.17</v>
      </c>
      <c r="I83" s="113">
        <v>-0.17</v>
      </c>
      <c r="J83" s="113">
        <v>-0.17</v>
      </c>
      <c r="K83" s="113">
        <v>-0.17</v>
      </c>
      <c r="L83" s="113">
        <v>-0.17</v>
      </c>
      <c r="M83" s="113">
        <v>-0.17</v>
      </c>
      <c r="N83" s="113">
        <v>-0.17</v>
      </c>
      <c r="O83" s="113"/>
    </row>
    <row r="84" spans="1:15">
      <c r="A84" s="111">
        <v>9885</v>
      </c>
      <c r="B84" s="112" t="s">
        <v>56</v>
      </c>
      <c r="C84" s="113">
        <v>-0.15</v>
      </c>
      <c r="D84" s="113">
        <v>-0.15</v>
      </c>
      <c r="E84" s="113">
        <v>-0.15</v>
      </c>
      <c r="F84" s="113">
        <v>-0.15</v>
      </c>
      <c r="G84" s="113">
        <v>-0.15</v>
      </c>
      <c r="H84" s="113">
        <v>-0.15</v>
      </c>
      <c r="I84" s="113">
        <v>-0.15</v>
      </c>
      <c r="J84" s="113">
        <v>-0.15</v>
      </c>
      <c r="K84" s="113">
        <v>-0.15</v>
      </c>
      <c r="L84" s="113">
        <v>-0.15</v>
      </c>
      <c r="M84" s="113">
        <v>-0.15</v>
      </c>
      <c r="N84" s="113">
        <v>-0.15</v>
      </c>
      <c r="O84" s="113"/>
    </row>
    <row r="85" spans="1:15">
      <c r="A85" s="111">
        <v>9893</v>
      </c>
      <c r="B85" s="112" t="s">
        <v>57</v>
      </c>
      <c r="C85" s="113">
        <v>-0.16</v>
      </c>
      <c r="D85" s="113">
        <v>-0.16</v>
      </c>
      <c r="E85" s="113">
        <v>-0.16</v>
      </c>
      <c r="F85" s="113">
        <v>-0.16</v>
      </c>
      <c r="G85" s="113">
        <v>-0.16</v>
      </c>
      <c r="H85" s="113">
        <v>-0.16</v>
      </c>
      <c r="I85" s="113">
        <v>-0.16</v>
      </c>
      <c r="J85" s="113">
        <v>-0.16</v>
      </c>
      <c r="K85" s="113">
        <v>-0.16</v>
      </c>
      <c r="L85" s="113">
        <v>-0.16</v>
      </c>
      <c r="M85" s="113">
        <v>-0.16</v>
      </c>
      <c r="N85" s="113">
        <v>-0.16</v>
      </c>
      <c r="O85" s="113"/>
    </row>
    <row r="86" spans="1:15">
      <c r="A86" s="111">
        <v>5170</v>
      </c>
      <c r="B86" s="112" t="s">
        <v>58</v>
      </c>
      <c r="C86" s="113">
        <v>-0.22</v>
      </c>
      <c r="D86" s="113">
        <v>-0.22</v>
      </c>
      <c r="E86" s="113">
        <v>-0.22</v>
      </c>
      <c r="F86" s="113">
        <v>-0.22</v>
      </c>
      <c r="G86" s="113">
        <v>-0.22</v>
      </c>
      <c r="H86" s="113">
        <v>-0.22</v>
      </c>
      <c r="I86" s="113">
        <v>-0.22</v>
      </c>
      <c r="J86" s="113">
        <v>-0.22</v>
      </c>
      <c r="K86" s="113">
        <v>-0.22</v>
      </c>
      <c r="L86" s="113">
        <v>-0.22</v>
      </c>
      <c r="M86" s="113">
        <v>-0.22</v>
      </c>
      <c r="N86" s="113">
        <v>-0.22</v>
      </c>
      <c r="O86" s="113"/>
    </row>
    <row r="87" spans="1:15">
      <c r="A87" s="111">
        <v>11007</v>
      </c>
      <c r="B87" s="112" t="s">
        <v>59</v>
      </c>
      <c r="C87" s="113">
        <v>-0.2</v>
      </c>
      <c r="D87" s="113">
        <v>-0.2</v>
      </c>
      <c r="E87" s="113">
        <v>-0.2</v>
      </c>
      <c r="F87" s="113">
        <v>-0.2</v>
      </c>
      <c r="G87" s="113">
        <v>-0.2</v>
      </c>
      <c r="H87" s="113">
        <v>-0.2</v>
      </c>
      <c r="I87" s="113">
        <v>-0.2</v>
      </c>
      <c r="J87" s="113">
        <v>-0.2</v>
      </c>
      <c r="K87" s="113">
        <v>-0.2</v>
      </c>
      <c r="L87" s="113">
        <v>-0.2</v>
      </c>
      <c r="M87" s="113">
        <v>-0.2</v>
      </c>
      <c r="N87" s="205">
        <v>-0.2</v>
      </c>
      <c r="O87" s="113"/>
    </row>
    <row r="88" spans="1:15">
      <c r="A88" s="111">
        <v>24938</v>
      </c>
      <c r="B88" s="112" t="s">
        <v>60</v>
      </c>
      <c r="C88" s="113">
        <v>-0.2</v>
      </c>
      <c r="D88" s="113">
        <v>-0.2</v>
      </c>
      <c r="E88" s="113">
        <v>-0.2</v>
      </c>
      <c r="F88" s="113">
        <v>-0.2</v>
      </c>
      <c r="G88" s="113">
        <v>-0.2</v>
      </c>
      <c r="H88" s="113">
        <v>-0.2</v>
      </c>
      <c r="I88" s="113">
        <v>-0.2</v>
      </c>
      <c r="J88" s="113">
        <v>-0.2</v>
      </c>
      <c r="K88" s="113">
        <v>-0.2</v>
      </c>
      <c r="L88" s="113">
        <v>-0.2</v>
      </c>
      <c r="M88" s="113">
        <v>-0.2</v>
      </c>
      <c r="N88" s="205">
        <v>-0.2</v>
      </c>
    </row>
    <row r="89" spans="1:15">
      <c r="A89" s="111">
        <v>1242</v>
      </c>
      <c r="B89" s="112" t="s">
        <v>61</v>
      </c>
      <c r="C89" s="113">
        <v>-0.2</v>
      </c>
      <c r="D89" s="113">
        <v>-0.2</v>
      </c>
      <c r="E89" s="113">
        <v>-0.2</v>
      </c>
      <c r="F89" s="113">
        <v>-0.2</v>
      </c>
      <c r="G89" s="113">
        <v>-0.2</v>
      </c>
      <c r="H89" s="113">
        <v>-0.2</v>
      </c>
      <c r="I89" s="113">
        <v>-0.2</v>
      </c>
      <c r="J89" s="113">
        <v>-0.2</v>
      </c>
      <c r="K89" s="113">
        <v>-0.2</v>
      </c>
      <c r="L89" s="113">
        <v>-0.2</v>
      </c>
      <c r="M89" s="113">
        <v>-0.2</v>
      </c>
      <c r="N89" s="205">
        <v>-0.2</v>
      </c>
    </row>
    <row r="90" spans="1:15">
      <c r="A90" s="111">
        <v>12900</v>
      </c>
      <c r="B90" s="112" t="s">
        <v>62</v>
      </c>
      <c r="C90" s="113">
        <v>-0.2</v>
      </c>
      <c r="D90" s="113">
        <v>-0.2</v>
      </c>
      <c r="E90" s="113">
        <v>-0.2</v>
      </c>
      <c r="F90" s="113">
        <v>-0.2</v>
      </c>
      <c r="G90" s="113">
        <v>-0.2</v>
      </c>
      <c r="H90" s="113">
        <v>-0.2</v>
      </c>
      <c r="I90" s="113">
        <v>-0.2</v>
      </c>
      <c r="J90" s="113">
        <v>-0.2</v>
      </c>
      <c r="K90" s="113">
        <v>-0.2</v>
      </c>
      <c r="L90" s="113">
        <v>-0.2</v>
      </c>
      <c r="M90" s="113">
        <v>-0.2</v>
      </c>
      <c r="N90" s="205">
        <v>-0.2</v>
      </c>
    </row>
    <row r="91" spans="1:15">
      <c r="A91" s="111">
        <v>24499</v>
      </c>
      <c r="B91" s="112" t="s">
        <v>63</v>
      </c>
      <c r="C91" s="113">
        <v>-0.2</v>
      </c>
      <c r="D91" s="113">
        <v>-0.2</v>
      </c>
      <c r="E91" s="113">
        <v>-0.2</v>
      </c>
      <c r="F91" s="113">
        <v>-0.2</v>
      </c>
      <c r="G91" s="113">
        <v>-0.2</v>
      </c>
      <c r="H91" s="113">
        <v>-0.2</v>
      </c>
      <c r="I91" s="113">
        <v>-0.2</v>
      </c>
      <c r="J91" s="113">
        <v>-0.2</v>
      </c>
      <c r="K91" s="113">
        <v>-0.2</v>
      </c>
      <c r="L91" s="113">
        <v>-0.2</v>
      </c>
      <c r="M91" s="113">
        <v>-0.2</v>
      </c>
      <c r="N91" s="205">
        <v>-0.2</v>
      </c>
    </row>
    <row r="92" spans="1:15">
      <c r="A92" s="111">
        <v>24500</v>
      </c>
      <c r="B92" s="112" t="s">
        <v>64</v>
      </c>
      <c r="C92" s="113">
        <v>-0.2</v>
      </c>
      <c r="D92" s="113">
        <v>-0.2</v>
      </c>
      <c r="E92" s="113">
        <v>-0.2</v>
      </c>
      <c r="F92" s="113">
        <v>-0.2</v>
      </c>
      <c r="G92" s="113">
        <v>-0.2</v>
      </c>
      <c r="H92" s="113">
        <v>-0.2</v>
      </c>
      <c r="I92" s="113">
        <v>-0.2</v>
      </c>
      <c r="J92" s="113">
        <v>-0.2</v>
      </c>
      <c r="K92" s="113">
        <v>-0.2</v>
      </c>
      <c r="L92" s="113">
        <v>-0.2</v>
      </c>
      <c r="M92" s="113">
        <v>-0.2</v>
      </c>
      <c r="N92" s="205">
        <v>-0.2</v>
      </c>
    </row>
    <row r="93" spans="1:15">
      <c r="A93" s="111">
        <v>3184</v>
      </c>
      <c r="B93" s="112" t="s">
        <v>65</v>
      </c>
      <c r="C93" s="113">
        <v>-0.2</v>
      </c>
      <c r="D93" s="113">
        <v>-0.2</v>
      </c>
      <c r="E93" s="113">
        <v>-0.2</v>
      </c>
      <c r="F93" s="113">
        <v>-0.2</v>
      </c>
      <c r="G93" s="113">
        <v>-0.2</v>
      </c>
      <c r="H93" s="113">
        <v>-0.2</v>
      </c>
      <c r="I93" s="113">
        <v>-0.2</v>
      </c>
      <c r="J93" s="113">
        <v>-0.2</v>
      </c>
      <c r="K93" s="113">
        <v>-0.2</v>
      </c>
      <c r="L93" s="113">
        <v>-0.2</v>
      </c>
      <c r="M93" s="113">
        <v>-0.2</v>
      </c>
      <c r="N93" s="205">
        <v>-0.2</v>
      </c>
    </row>
    <row r="95" spans="1:15" ht="21">
      <c r="A95" s="290" t="s">
        <v>66</v>
      </c>
      <c r="B95" s="290"/>
      <c r="C95" s="110" t="s">
        <v>15</v>
      </c>
      <c r="D95" s="110" t="s">
        <v>16</v>
      </c>
      <c r="E95" s="110" t="s">
        <v>17</v>
      </c>
      <c r="F95" s="110" t="s">
        <v>18</v>
      </c>
      <c r="G95" s="110" t="s">
        <v>19</v>
      </c>
      <c r="H95" s="110" t="s">
        <v>20</v>
      </c>
      <c r="I95" s="110" t="s">
        <v>21</v>
      </c>
      <c r="J95" s="110" t="s">
        <v>22</v>
      </c>
      <c r="K95" s="110" t="s">
        <v>23</v>
      </c>
      <c r="L95" s="110" t="s">
        <v>24</v>
      </c>
      <c r="M95" s="110" t="s">
        <v>25</v>
      </c>
      <c r="N95" s="204" t="s">
        <v>26</v>
      </c>
      <c r="O95" s="110"/>
    </row>
    <row r="96" spans="1:15">
      <c r="A96" s="111"/>
      <c r="B96" s="112" t="s">
        <v>40</v>
      </c>
      <c r="C96" s="113">
        <v>0</v>
      </c>
      <c r="D96" s="113">
        <v>0</v>
      </c>
      <c r="E96" s="113">
        <v>0</v>
      </c>
      <c r="F96" s="113">
        <v>0</v>
      </c>
      <c r="G96" s="113">
        <v>0</v>
      </c>
      <c r="H96" s="113">
        <v>0</v>
      </c>
      <c r="I96" s="113">
        <v>0</v>
      </c>
      <c r="J96" s="113">
        <v>0</v>
      </c>
      <c r="K96" s="113">
        <v>0</v>
      </c>
      <c r="L96" s="113">
        <v>0</v>
      </c>
      <c r="M96" s="113">
        <v>0</v>
      </c>
      <c r="N96" s="205">
        <v>0</v>
      </c>
      <c r="O96" s="98"/>
    </row>
    <row r="97" spans="1:15">
      <c r="A97" s="111">
        <v>1149</v>
      </c>
      <c r="B97" s="112" t="s">
        <v>41</v>
      </c>
      <c r="C97" s="113">
        <v>0</v>
      </c>
      <c r="D97" s="113">
        <v>0</v>
      </c>
      <c r="E97" s="113">
        <v>0</v>
      </c>
      <c r="F97" s="113">
        <v>0</v>
      </c>
      <c r="G97" s="113">
        <v>0</v>
      </c>
      <c r="H97" s="113">
        <v>0</v>
      </c>
      <c r="I97" s="113">
        <v>0</v>
      </c>
      <c r="J97" s="113">
        <v>0</v>
      </c>
      <c r="K97" s="113">
        <v>0</v>
      </c>
      <c r="L97" s="113">
        <v>0</v>
      </c>
      <c r="M97" s="113">
        <v>0</v>
      </c>
      <c r="N97" s="205">
        <v>0</v>
      </c>
      <c r="O97" s="98"/>
    </row>
    <row r="98" spans="1:15">
      <c r="A98" s="111">
        <v>1163</v>
      </c>
      <c r="B98" s="112" t="s">
        <v>42</v>
      </c>
      <c r="C98" s="113">
        <v>0</v>
      </c>
      <c r="D98" s="113">
        <v>0</v>
      </c>
      <c r="E98" s="113">
        <v>0</v>
      </c>
      <c r="F98" s="113">
        <v>0</v>
      </c>
      <c r="G98" s="113">
        <v>0</v>
      </c>
      <c r="H98" s="113">
        <v>0</v>
      </c>
      <c r="I98" s="113">
        <v>0</v>
      </c>
      <c r="J98" s="113">
        <v>0</v>
      </c>
      <c r="K98" s="113">
        <v>0</v>
      </c>
      <c r="L98" s="113">
        <v>0</v>
      </c>
      <c r="M98" s="113">
        <v>0</v>
      </c>
      <c r="N98" s="205">
        <v>0</v>
      </c>
      <c r="O98" s="98"/>
    </row>
    <row r="99" spans="1:15">
      <c r="A99" s="111">
        <v>1376</v>
      </c>
      <c r="B99" s="112" t="s">
        <v>43</v>
      </c>
      <c r="C99" s="113">
        <v>0</v>
      </c>
      <c r="D99" s="113">
        <v>0</v>
      </c>
      <c r="E99" s="113">
        <v>0</v>
      </c>
      <c r="F99" s="113">
        <v>0</v>
      </c>
      <c r="G99" s="113">
        <v>0</v>
      </c>
      <c r="H99" s="113">
        <v>0</v>
      </c>
      <c r="I99" s="113">
        <v>0</v>
      </c>
      <c r="J99" s="113">
        <v>0</v>
      </c>
      <c r="K99" s="113">
        <v>0</v>
      </c>
      <c r="L99" s="113">
        <v>0</v>
      </c>
      <c r="M99" s="113">
        <v>0</v>
      </c>
      <c r="N99" s="205">
        <v>0</v>
      </c>
      <c r="O99" s="98"/>
    </row>
    <row r="100" spans="1:15">
      <c r="A100" s="111">
        <v>2172</v>
      </c>
      <c r="B100" s="112" t="s">
        <v>44</v>
      </c>
      <c r="C100" s="113">
        <v>0</v>
      </c>
      <c r="D100" s="113">
        <v>0</v>
      </c>
      <c r="E100" s="113">
        <v>0</v>
      </c>
      <c r="F100" s="113">
        <v>0</v>
      </c>
      <c r="G100" s="113">
        <v>0</v>
      </c>
      <c r="H100" s="113">
        <v>0</v>
      </c>
      <c r="I100" s="113">
        <v>0</v>
      </c>
      <c r="J100" s="113">
        <v>0</v>
      </c>
      <c r="K100" s="113">
        <v>0</v>
      </c>
      <c r="L100" s="113">
        <v>0</v>
      </c>
      <c r="M100" s="113">
        <v>0</v>
      </c>
      <c r="N100" s="205">
        <v>0</v>
      </c>
      <c r="O100" s="98"/>
    </row>
    <row r="101" spans="1:15">
      <c r="A101" s="111">
        <v>2526</v>
      </c>
      <c r="B101" s="112" t="s">
        <v>45</v>
      </c>
      <c r="C101" s="113">
        <v>0</v>
      </c>
      <c r="D101" s="113">
        <v>0</v>
      </c>
      <c r="E101" s="113">
        <v>0</v>
      </c>
      <c r="F101" s="113">
        <v>0</v>
      </c>
      <c r="G101" s="113">
        <v>0</v>
      </c>
      <c r="H101" s="113">
        <v>0</v>
      </c>
      <c r="I101" s="113">
        <v>0</v>
      </c>
      <c r="J101" s="113">
        <v>0</v>
      </c>
      <c r="K101" s="113">
        <v>0</v>
      </c>
      <c r="L101" s="113">
        <v>0</v>
      </c>
      <c r="M101" s="113">
        <v>0</v>
      </c>
      <c r="N101" s="205">
        <v>0</v>
      </c>
      <c r="O101" s="98"/>
    </row>
    <row r="102" spans="1:15">
      <c r="A102" s="111">
        <v>4179</v>
      </c>
      <c r="B102" s="112" t="s">
        <v>46</v>
      </c>
      <c r="C102" s="113">
        <v>0</v>
      </c>
      <c r="D102" s="113">
        <v>0</v>
      </c>
      <c r="E102" s="113">
        <v>0</v>
      </c>
      <c r="F102" s="113">
        <v>0</v>
      </c>
      <c r="G102" s="113">
        <v>0</v>
      </c>
      <c r="H102" s="113">
        <v>0</v>
      </c>
      <c r="I102" s="113">
        <v>0</v>
      </c>
      <c r="J102" s="113">
        <v>0</v>
      </c>
      <c r="K102" s="113">
        <v>0</v>
      </c>
      <c r="L102" s="113">
        <v>0</v>
      </c>
      <c r="M102" s="113">
        <v>0</v>
      </c>
      <c r="N102" s="205">
        <v>0</v>
      </c>
      <c r="O102" s="98"/>
    </row>
    <row r="103" spans="1:15">
      <c r="A103" s="111">
        <v>4188</v>
      </c>
      <c r="B103" s="112" t="s">
        <v>47</v>
      </c>
      <c r="C103" s="113">
        <v>0</v>
      </c>
      <c r="D103" s="113">
        <v>0</v>
      </c>
      <c r="E103" s="113">
        <v>0</v>
      </c>
      <c r="F103" s="113">
        <v>0</v>
      </c>
      <c r="G103" s="113">
        <v>0</v>
      </c>
      <c r="H103" s="113">
        <v>0</v>
      </c>
      <c r="I103" s="113">
        <v>0</v>
      </c>
      <c r="J103" s="113">
        <v>0</v>
      </c>
      <c r="K103" s="113">
        <v>0</v>
      </c>
      <c r="L103" s="113">
        <v>0</v>
      </c>
      <c r="M103" s="113">
        <v>0</v>
      </c>
      <c r="N103" s="205">
        <v>0</v>
      </c>
      <c r="O103" s="98"/>
    </row>
    <row r="104" spans="1:15">
      <c r="A104" s="111">
        <v>5317</v>
      </c>
      <c r="B104" s="112" t="s">
        <v>48</v>
      </c>
      <c r="C104" s="113">
        <v>0</v>
      </c>
      <c r="D104" s="113">
        <v>0</v>
      </c>
      <c r="E104" s="113">
        <v>0</v>
      </c>
      <c r="F104" s="113">
        <v>0</v>
      </c>
      <c r="G104" s="113">
        <v>0</v>
      </c>
      <c r="H104" s="113">
        <v>0</v>
      </c>
      <c r="I104" s="113">
        <v>0</v>
      </c>
      <c r="J104" s="113">
        <v>0</v>
      </c>
      <c r="K104" s="113">
        <v>0</v>
      </c>
      <c r="L104" s="113">
        <v>0</v>
      </c>
      <c r="M104" s="113">
        <v>0</v>
      </c>
      <c r="N104" s="205">
        <v>0</v>
      </c>
      <c r="O104" s="98"/>
    </row>
    <row r="105" spans="1:15">
      <c r="A105" s="111">
        <v>6410</v>
      </c>
      <c r="B105" s="112" t="s">
        <v>49</v>
      </c>
      <c r="C105" s="113">
        <v>0</v>
      </c>
      <c r="D105" s="113">
        <v>0</v>
      </c>
      <c r="E105" s="113">
        <v>0</v>
      </c>
      <c r="F105" s="113">
        <v>0</v>
      </c>
      <c r="G105" s="113">
        <v>0</v>
      </c>
      <c r="H105" s="113">
        <v>0</v>
      </c>
      <c r="I105" s="113">
        <v>0</v>
      </c>
      <c r="J105" s="113">
        <v>0</v>
      </c>
      <c r="K105" s="113">
        <v>0</v>
      </c>
      <c r="L105" s="113">
        <v>0</v>
      </c>
      <c r="M105" s="113">
        <v>0</v>
      </c>
      <c r="N105" s="205">
        <v>0</v>
      </c>
      <c r="O105" s="98"/>
    </row>
    <row r="106" spans="1:15">
      <c r="A106" s="111">
        <v>6947</v>
      </c>
      <c r="B106" s="112" t="s">
        <v>50</v>
      </c>
      <c r="C106" s="113">
        <v>0</v>
      </c>
      <c r="D106" s="113">
        <v>0</v>
      </c>
      <c r="E106" s="113">
        <v>0</v>
      </c>
      <c r="F106" s="113">
        <v>0</v>
      </c>
      <c r="G106" s="113">
        <v>0</v>
      </c>
      <c r="H106" s="113">
        <v>0</v>
      </c>
      <c r="I106" s="113">
        <v>0</v>
      </c>
      <c r="J106" s="113">
        <v>0</v>
      </c>
      <c r="K106" s="113">
        <v>0</v>
      </c>
      <c r="L106" s="113">
        <v>0</v>
      </c>
      <c r="M106" s="113">
        <v>0</v>
      </c>
      <c r="N106" s="205">
        <v>0</v>
      </c>
      <c r="O106" s="98"/>
    </row>
    <row r="107" spans="1:15">
      <c r="A107" s="111">
        <v>7167</v>
      </c>
      <c r="B107" s="112" t="s">
        <v>51</v>
      </c>
      <c r="C107" s="113">
        <v>0</v>
      </c>
      <c r="D107" s="113">
        <v>0</v>
      </c>
      <c r="E107" s="113">
        <v>0</v>
      </c>
      <c r="F107" s="113">
        <v>0</v>
      </c>
      <c r="G107" s="113">
        <v>0</v>
      </c>
      <c r="H107" s="113">
        <v>0</v>
      </c>
      <c r="I107" s="113">
        <v>0</v>
      </c>
      <c r="J107" s="113">
        <v>0</v>
      </c>
      <c r="K107" s="113">
        <v>0</v>
      </c>
      <c r="L107" s="113">
        <v>0</v>
      </c>
      <c r="M107" s="113">
        <v>0</v>
      </c>
      <c r="N107" s="205">
        <v>0</v>
      </c>
      <c r="O107" s="98"/>
    </row>
    <row r="108" spans="1:15">
      <c r="A108" s="111">
        <v>5465</v>
      </c>
      <c r="B108" s="112" t="s">
        <v>52</v>
      </c>
      <c r="C108" s="113">
        <v>0</v>
      </c>
      <c r="D108" s="113">
        <v>0</v>
      </c>
      <c r="E108" s="113">
        <v>0</v>
      </c>
      <c r="F108" s="113">
        <v>0</v>
      </c>
      <c r="G108" s="113">
        <v>0</v>
      </c>
      <c r="H108" s="113">
        <v>0</v>
      </c>
      <c r="I108" s="113">
        <v>0</v>
      </c>
      <c r="J108" s="113">
        <v>0</v>
      </c>
      <c r="K108" s="113">
        <v>0</v>
      </c>
      <c r="L108" s="113">
        <v>0</v>
      </c>
      <c r="M108" s="113">
        <v>0</v>
      </c>
      <c r="N108" s="205">
        <v>0</v>
      </c>
      <c r="O108" s="98"/>
    </row>
    <row r="109" spans="1:15">
      <c r="A109" s="111">
        <v>8244</v>
      </c>
      <c r="B109" s="112" t="s">
        <v>53</v>
      </c>
      <c r="C109" s="113">
        <v>0</v>
      </c>
      <c r="D109" s="113">
        <v>0</v>
      </c>
      <c r="E109" s="113">
        <v>0</v>
      </c>
      <c r="F109" s="113">
        <v>0</v>
      </c>
      <c r="G109" s="113">
        <v>0</v>
      </c>
      <c r="H109" s="113">
        <v>0</v>
      </c>
      <c r="I109" s="113">
        <v>0</v>
      </c>
      <c r="J109" s="113">
        <v>0</v>
      </c>
      <c r="K109" s="113">
        <v>0</v>
      </c>
      <c r="L109" s="113">
        <v>0</v>
      </c>
      <c r="M109" s="113">
        <v>0</v>
      </c>
      <c r="N109" s="205">
        <v>0</v>
      </c>
      <c r="O109" s="98"/>
    </row>
    <row r="110" spans="1:15">
      <c r="A110" s="111">
        <v>9191</v>
      </c>
      <c r="B110" s="112" t="s">
        <v>54</v>
      </c>
      <c r="C110" s="113">
        <v>0</v>
      </c>
      <c r="D110" s="113">
        <v>0</v>
      </c>
      <c r="E110" s="113">
        <v>0</v>
      </c>
      <c r="F110" s="113">
        <v>0</v>
      </c>
      <c r="G110" s="113">
        <v>0</v>
      </c>
      <c r="H110" s="113">
        <v>0</v>
      </c>
      <c r="I110" s="113">
        <v>0</v>
      </c>
      <c r="J110" s="113">
        <v>0</v>
      </c>
      <c r="K110" s="113">
        <v>0</v>
      </c>
      <c r="L110" s="113">
        <v>0</v>
      </c>
      <c r="M110" s="113">
        <v>0</v>
      </c>
      <c r="N110" s="205">
        <v>0</v>
      </c>
      <c r="O110" s="98"/>
    </row>
    <row r="111" spans="1:15">
      <c r="A111" s="111">
        <v>9235</v>
      </c>
      <c r="B111" s="112" t="s">
        <v>55</v>
      </c>
      <c r="C111" s="113">
        <v>0</v>
      </c>
      <c r="D111" s="113">
        <v>0</v>
      </c>
      <c r="E111" s="113">
        <v>0</v>
      </c>
      <c r="F111" s="113">
        <v>0</v>
      </c>
      <c r="G111" s="113">
        <v>0</v>
      </c>
      <c r="H111" s="113">
        <v>0</v>
      </c>
      <c r="I111" s="113">
        <v>0</v>
      </c>
      <c r="J111" s="113">
        <v>0</v>
      </c>
      <c r="K111" s="113">
        <v>0</v>
      </c>
      <c r="L111" s="113">
        <v>0</v>
      </c>
      <c r="M111" s="113">
        <v>0</v>
      </c>
      <c r="N111" s="205">
        <v>0</v>
      </c>
      <c r="O111" s="98"/>
    </row>
    <row r="112" spans="1:15">
      <c r="A112" s="111">
        <v>9885</v>
      </c>
      <c r="B112" s="112" t="s">
        <v>56</v>
      </c>
      <c r="C112" s="113">
        <v>0</v>
      </c>
      <c r="D112" s="113">
        <v>0</v>
      </c>
      <c r="E112" s="113">
        <v>0</v>
      </c>
      <c r="F112" s="113">
        <v>0</v>
      </c>
      <c r="G112" s="113">
        <v>0</v>
      </c>
      <c r="H112" s="113">
        <v>0</v>
      </c>
      <c r="I112" s="113">
        <v>0</v>
      </c>
      <c r="J112" s="113">
        <v>0</v>
      </c>
      <c r="K112" s="113">
        <v>0</v>
      </c>
      <c r="L112" s="113">
        <v>0</v>
      </c>
      <c r="M112" s="113">
        <v>0</v>
      </c>
      <c r="N112" s="205">
        <v>0</v>
      </c>
      <c r="O112" s="98"/>
    </row>
    <row r="113" spans="1:15">
      <c r="A113" s="111">
        <v>9893</v>
      </c>
      <c r="B113" s="112" t="s">
        <v>57</v>
      </c>
      <c r="C113" s="113">
        <v>0</v>
      </c>
      <c r="D113" s="113">
        <v>0</v>
      </c>
      <c r="E113" s="113">
        <v>0</v>
      </c>
      <c r="F113" s="113">
        <v>0</v>
      </c>
      <c r="G113" s="113">
        <v>0</v>
      </c>
      <c r="H113" s="113">
        <v>0</v>
      </c>
      <c r="I113" s="113">
        <v>0</v>
      </c>
      <c r="J113" s="113">
        <v>0</v>
      </c>
      <c r="K113" s="113">
        <v>0</v>
      </c>
      <c r="L113" s="113">
        <v>0</v>
      </c>
      <c r="M113" s="113">
        <v>0</v>
      </c>
      <c r="N113" s="205">
        <v>0</v>
      </c>
      <c r="O113" s="98"/>
    </row>
    <row r="114" spans="1:15">
      <c r="A114" s="111">
        <v>5170</v>
      </c>
      <c r="B114" s="112" t="s">
        <v>58</v>
      </c>
      <c r="C114" s="113">
        <v>0</v>
      </c>
      <c r="D114" s="113">
        <v>0</v>
      </c>
      <c r="E114" s="113">
        <v>0</v>
      </c>
      <c r="F114" s="113">
        <v>0</v>
      </c>
      <c r="G114" s="113">
        <v>0</v>
      </c>
      <c r="H114" s="113">
        <v>0</v>
      </c>
      <c r="I114" s="113">
        <v>0</v>
      </c>
      <c r="J114" s="113">
        <v>0</v>
      </c>
      <c r="K114" s="113">
        <v>0</v>
      </c>
      <c r="L114" s="113">
        <v>0</v>
      </c>
      <c r="M114" s="113">
        <v>0</v>
      </c>
      <c r="N114" s="205">
        <v>0</v>
      </c>
      <c r="O114" s="98"/>
    </row>
    <row r="115" spans="1:15">
      <c r="A115" s="111">
        <v>11007</v>
      </c>
      <c r="B115" s="112" t="s">
        <v>59</v>
      </c>
      <c r="C115" s="113">
        <v>0</v>
      </c>
      <c r="D115" s="113">
        <v>0</v>
      </c>
      <c r="E115" s="113">
        <v>0</v>
      </c>
      <c r="F115" s="113">
        <v>0</v>
      </c>
      <c r="G115" s="113">
        <v>0</v>
      </c>
      <c r="H115" s="113">
        <v>0</v>
      </c>
      <c r="I115" s="113">
        <v>0</v>
      </c>
      <c r="J115" s="113">
        <v>0</v>
      </c>
      <c r="K115" s="113">
        <v>0</v>
      </c>
      <c r="L115" s="113">
        <v>0</v>
      </c>
      <c r="M115" s="113">
        <v>0</v>
      </c>
      <c r="N115" s="205">
        <v>0</v>
      </c>
      <c r="O115" s="98"/>
    </row>
    <row r="116" spans="1:15">
      <c r="A116" s="111">
        <v>24938</v>
      </c>
      <c r="B116" s="112" t="s">
        <v>60</v>
      </c>
      <c r="C116" s="113">
        <v>0</v>
      </c>
      <c r="D116" s="113">
        <v>0</v>
      </c>
      <c r="E116" s="113">
        <v>0</v>
      </c>
      <c r="F116" s="113">
        <v>0</v>
      </c>
      <c r="G116" s="113">
        <v>0</v>
      </c>
      <c r="H116" s="113">
        <v>0</v>
      </c>
      <c r="I116" s="113">
        <v>0</v>
      </c>
      <c r="J116" s="113">
        <v>0</v>
      </c>
      <c r="K116" s="113">
        <v>0</v>
      </c>
      <c r="L116" s="113">
        <v>0</v>
      </c>
      <c r="M116" s="113">
        <v>0</v>
      </c>
      <c r="N116" s="205">
        <v>0</v>
      </c>
      <c r="O116" s="98"/>
    </row>
    <row r="117" spans="1:15">
      <c r="A117" s="111">
        <v>1242</v>
      </c>
      <c r="B117" s="112" t="s">
        <v>61</v>
      </c>
      <c r="C117" s="113">
        <v>0</v>
      </c>
      <c r="D117" s="113">
        <v>0</v>
      </c>
      <c r="E117" s="113">
        <v>0</v>
      </c>
      <c r="F117" s="113">
        <v>0</v>
      </c>
      <c r="G117" s="113">
        <v>0</v>
      </c>
      <c r="H117" s="113">
        <v>0</v>
      </c>
      <c r="I117" s="113">
        <v>0</v>
      </c>
      <c r="J117" s="113">
        <v>0</v>
      </c>
      <c r="K117" s="113">
        <v>0</v>
      </c>
      <c r="L117" s="113">
        <v>0</v>
      </c>
      <c r="M117" s="113">
        <v>0</v>
      </c>
      <c r="N117" s="205">
        <v>0</v>
      </c>
      <c r="O117" s="98"/>
    </row>
    <row r="118" spans="1:15">
      <c r="A118" s="111">
        <v>12900</v>
      </c>
      <c r="B118" s="112" t="s">
        <v>62</v>
      </c>
      <c r="C118" s="113">
        <v>0</v>
      </c>
      <c r="D118" s="113">
        <v>0</v>
      </c>
      <c r="E118" s="113">
        <v>0</v>
      </c>
      <c r="F118" s="113">
        <v>0</v>
      </c>
      <c r="G118" s="113">
        <v>0</v>
      </c>
      <c r="H118" s="113">
        <v>0</v>
      </c>
      <c r="I118" s="113">
        <v>0</v>
      </c>
      <c r="J118" s="113">
        <v>0</v>
      </c>
      <c r="K118" s="113">
        <v>0</v>
      </c>
      <c r="L118" s="113">
        <v>0</v>
      </c>
      <c r="M118" s="113">
        <v>0</v>
      </c>
      <c r="N118" s="205">
        <v>0</v>
      </c>
      <c r="O118" s="98"/>
    </row>
    <row r="119" spans="1:15">
      <c r="A119" s="111">
        <v>24499</v>
      </c>
      <c r="B119" s="112" t="s">
        <v>63</v>
      </c>
      <c r="C119" s="113">
        <v>0</v>
      </c>
      <c r="D119" s="113">
        <v>0</v>
      </c>
      <c r="E119" s="113">
        <v>0</v>
      </c>
      <c r="F119" s="113">
        <v>0</v>
      </c>
      <c r="G119" s="113">
        <v>0</v>
      </c>
      <c r="H119" s="113">
        <v>0</v>
      </c>
      <c r="I119" s="113">
        <v>0</v>
      </c>
      <c r="J119" s="113">
        <v>0</v>
      </c>
      <c r="K119" s="113">
        <v>0</v>
      </c>
      <c r="L119" s="113">
        <v>0</v>
      </c>
      <c r="M119" s="113">
        <v>0</v>
      </c>
      <c r="N119" s="205">
        <v>0</v>
      </c>
      <c r="O119" s="98"/>
    </row>
    <row r="120" spans="1:15">
      <c r="A120" s="111">
        <v>24500</v>
      </c>
      <c r="B120" s="112" t="s">
        <v>64</v>
      </c>
      <c r="C120" s="113">
        <v>0</v>
      </c>
      <c r="D120" s="113">
        <v>0</v>
      </c>
      <c r="E120" s="113">
        <v>0</v>
      </c>
      <c r="F120" s="113">
        <v>0</v>
      </c>
      <c r="G120" s="113">
        <v>0</v>
      </c>
      <c r="H120" s="113">
        <v>0</v>
      </c>
      <c r="I120" s="113">
        <v>0</v>
      </c>
      <c r="J120" s="113">
        <v>0</v>
      </c>
      <c r="K120" s="113">
        <v>0</v>
      </c>
      <c r="L120" s="113">
        <v>0</v>
      </c>
      <c r="M120" s="113">
        <v>0</v>
      </c>
      <c r="N120" s="205">
        <v>0</v>
      </c>
      <c r="O120" s="98"/>
    </row>
    <row r="121" spans="1:15">
      <c r="A121" s="111">
        <v>3184</v>
      </c>
      <c r="B121" s="112" t="s">
        <v>65</v>
      </c>
      <c r="C121" s="113">
        <v>0</v>
      </c>
      <c r="D121" s="113">
        <v>0</v>
      </c>
      <c r="E121" s="113">
        <v>0</v>
      </c>
      <c r="F121" s="113">
        <v>0</v>
      </c>
      <c r="G121" s="113">
        <v>0</v>
      </c>
      <c r="H121" s="113">
        <v>0</v>
      </c>
      <c r="I121" s="113">
        <v>0</v>
      </c>
      <c r="J121" s="113">
        <v>0</v>
      </c>
      <c r="K121" s="113">
        <v>0</v>
      </c>
      <c r="L121" s="113">
        <v>0</v>
      </c>
      <c r="M121" s="113">
        <v>0</v>
      </c>
      <c r="N121" s="205">
        <v>0</v>
      </c>
      <c r="O121" s="98"/>
    </row>
    <row r="122" spans="1:15">
      <c r="A122" s="111"/>
      <c r="B122" s="112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205"/>
      <c r="O122" s="98"/>
    </row>
    <row r="124" spans="1:15" ht="21">
      <c r="A124" s="290" t="s">
        <v>67</v>
      </c>
      <c r="B124" s="290"/>
      <c r="C124" s="110" t="s">
        <v>15</v>
      </c>
      <c r="D124" s="110" t="s">
        <v>16</v>
      </c>
      <c r="E124" s="110" t="s">
        <v>17</v>
      </c>
      <c r="F124" s="110" t="s">
        <v>18</v>
      </c>
      <c r="G124" s="110" t="s">
        <v>19</v>
      </c>
      <c r="H124" s="110" t="s">
        <v>20</v>
      </c>
      <c r="I124" s="110" t="s">
        <v>21</v>
      </c>
      <c r="J124" s="110" t="s">
        <v>22</v>
      </c>
      <c r="K124" s="110" t="s">
        <v>23</v>
      </c>
      <c r="L124" s="110" t="s">
        <v>24</v>
      </c>
      <c r="M124" s="110" t="s">
        <v>25</v>
      </c>
      <c r="N124" s="204" t="s">
        <v>26</v>
      </c>
      <c r="O124" s="110"/>
    </row>
    <row r="125" spans="1:15">
      <c r="A125" s="111"/>
      <c r="B125" s="112" t="s">
        <v>40</v>
      </c>
      <c r="C125" s="113">
        <v>0</v>
      </c>
      <c r="D125" s="113">
        <v>0</v>
      </c>
      <c r="E125" s="113">
        <v>0</v>
      </c>
      <c r="F125" s="113">
        <v>0</v>
      </c>
      <c r="G125" s="113">
        <v>0</v>
      </c>
      <c r="H125" s="113">
        <v>0</v>
      </c>
      <c r="I125" s="113">
        <v>0</v>
      </c>
      <c r="J125" s="113">
        <v>0</v>
      </c>
      <c r="K125" s="113">
        <v>0</v>
      </c>
      <c r="L125" s="113">
        <v>0</v>
      </c>
      <c r="M125" s="113">
        <v>0</v>
      </c>
      <c r="N125" s="205">
        <v>0</v>
      </c>
      <c r="O125" s="98"/>
    </row>
    <row r="126" spans="1:15">
      <c r="A126" s="111">
        <v>1149</v>
      </c>
      <c r="B126" s="112" t="s">
        <v>41</v>
      </c>
      <c r="C126" s="113">
        <v>0</v>
      </c>
      <c r="D126" s="113">
        <v>0</v>
      </c>
      <c r="E126" s="113">
        <v>0</v>
      </c>
      <c r="F126" s="113">
        <v>0</v>
      </c>
      <c r="G126" s="113">
        <v>0</v>
      </c>
      <c r="H126" s="113">
        <v>0</v>
      </c>
      <c r="I126" s="113">
        <v>0</v>
      </c>
      <c r="J126" s="113">
        <v>0</v>
      </c>
      <c r="K126" s="113">
        <v>0</v>
      </c>
      <c r="L126" s="113">
        <v>0</v>
      </c>
      <c r="M126" s="113">
        <v>0</v>
      </c>
      <c r="N126" s="205">
        <v>0</v>
      </c>
      <c r="O126" s="98"/>
    </row>
    <row r="127" spans="1:15">
      <c r="A127" s="111">
        <v>1163</v>
      </c>
      <c r="B127" s="112" t="s">
        <v>42</v>
      </c>
      <c r="C127" s="113">
        <v>0</v>
      </c>
      <c r="D127" s="113">
        <v>0</v>
      </c>
      <c r="E127" s="113">
        <v>0</v>
      </c>
      <c r="F127" s="113">
        <v>0</v>
      </c>
      <c r="G127" s="113">
        <v>0</v>
      </c>
      <c r="H127" s="113">
        <v>0</v>
      </c>
      <c r="I127" s="113">
        <v>0</v>
      </c>
      <c r="J127" s="113">
        <v>0</v>
      </c>
      <c r="K127" s="113">
        <v>0</v>
      </c>
      <c r="L127" s="113">
        <v>0</v>
      </c>
      <c r="M127" s="113">
        <v>0</v>
      </c>
      <c r="N127" s="205">
        <v>0</v>
      </c>
      <c r="O127" s="98"/>
    </row>
    <row r="128" spans="1:15">
      <c r="A128" s="111">
        <v>1376</v>
      </c>
      <c r="B128" s="112" t="s">
        <v>43</v>
      </c>
      <c r="C128" s="113">
        <v>0</v>
      </c>
      <c r="D128" s="113">
        <v>0</v>
      </c>
      <c r="E128" s="113">
        <v>0</v>
      </c>
      <c r="F128" s="113">
        <v>0</v>
      </c>
      <c r="G128" s="113">
        <v>0</v>
      </c>
      <c r="H128" s="113">
        <v>0</v>
      </c>
      <c r="I128" s="113">
        <v>0</v>
      </c>
      <c r="J128" s="113">
        <v>0</v>
      </c>
      <c r="K128" s="113">
        <v>0</v>
      </c>
      <c r="L128" s="113">
        <v>0</v>
      </c>
      <c r="M128" s="113">
        <v>0</v>
      </c>
      <c r="N128" s="205">
        <v>0</v>
      </c>
      <c r="O128" s="98"/>
    </row>
    <row r="129" spans="1:15">
      <c r="A129" s="111">
        <v>2172</v>
      </c>
      <c r="B129" s="112" t="s">
        <v>44</v>
      </c>
      <c r="C129" s="113">
        <v>0</v>
      </c>
      <c r="D129" s="113">
        <v>0</v>
      </c>
      <c r="E129" s="113">
        <v>0</v>
      </c>
      <c r="F129" s="113">
        <v>0</v>
      </c>
      <c r="G129" s="113">
        <v>0</v>
      </c>
      <c r="H129" s="113">
        <v>0</v>
      </c>
      <c r="I129" s="113">
        <v>0</v>
      </c>
      <c r="J129" s="113">
        <v>0</v>
      </c>
      <c r="K129" s="113">
        <v>0</v>
      </c>
      <c r="L129" s="113">
        <v>0</v>
      </c>
      <c r="M129" s="113">
        <v>0</v>
      </c>
      <c r="N129" s="205">
        <v>0</v>
      </c>
      <c r="O129" s="98"/>
    </row>
    <row r="130" spans="1:15">
      <c r="A130" s="111">
        <v>2526</v>
      </c>
      <c r="B130" s="112" t="s">
        <v>45</v>
      </c>
      <c r="C130" s="113">
        <v>0</v>
      </c>
      <c r="D130" s="113">
        <v>0</v>
      </c>
      <c r="E130" s="113">
        <v>0</v>
      </c>
      <c r="F130" s="113">
        <v>0</v>
      </c>
      <c r="G130" s="113">
        <v>0</v>
      </c>
      <c r="H130" s="113">
        <v>0</v>
      </c>
      <c r="I130" s="113">
        <v>0</v>
      </c>
      <c r="J130" s="113">
        <v>0</v>
      </c>
      <c r="K130" s="113">
        <v>0</v>
      </c>
      <c r="L130" s="113">
        <v>0</v>
      </c>
      <c r="M130" s="113">
        <v>0</v>
      </c>
      <c r="N130" s="205">
        <v>0</v>
      </c>
      <c r="O130" s="98"/>
    </row>
    <row r="131" spans="1:15">
      <c r="A131" s="111">
        <v>4179</v>
      </c>
      <c r="B131" s="112" t="s">
        <v>46</v>
      </c>
      <c r="C131" s="113">
        <v>0</v>
      </c>
      <c r="D131" s="113">
        <v>0</v>
      </c>
      <c r="E131" s="113">
        <v>0</v>
      </c>
      <c r="F131" s="113">
        <v>0</v>
      </c>
      <c r="G131" s="113">
        <v>0</v>
      </c>
      <c r="H131" s="113">
        <v>0</v>
      </c>
      <c r="I131" s="113">
        <v>0</v>
      </c>
      <c r="J131" s="113">
        <v>0</v>
      </c>
      <c r="K131" s="113">
        <v>0</v>
      </c>
      <c r="L131" s="113">
        <v>0</v>
      </c>
      <c r="M131" s="113">
        <v>0</v>
      </c>
      <c r="N131" s="205">
        <v>0</v>
      </c>
      <c r="O131" s="98"/>
    </row>
    <row r="132" spans="1:15">
      <c r="A132" s="111">
        <v>4188</v>
      </c>
      <c r="B132" s="112" t="s">
        <v>47</v>
      </c>
      <c r="C132" s="113">
        <v>0</v>
      </c>
      <c r="D132" s="113">
        <v>0</v>
      </c>
      <c r="E132" s="113">
        <v>0</v>
      </c>
      <c r="F132" s="113">
        <v>0</v>
      </c>
      <c r="G132" s="113">
        <v>0</v>
      </c>
      <c r="H132" s="113">
        <v>0</v>
      </c>
      <c r="I132" s="113">
        <v>0</v>
      </c>
      <c r="J132" s="113">
        <v>0</v>
      </c>
      <c r="K132" s="113">
        <v>0</v>
      </c>
      <c r="L132" s="113">
        <v>0</v>
      </c>
      <c r="M132" s="113">
        <v>0</v>
      </c>
      <c r="N132" s="205">
        <v>0</v>
      </c>
      <c r="O132" s="98"/>
    </row>
    <row r="133" spans="1:15">
      <c r="A133" s="111">
        <v>5317</v>
      </c>
      <c r="B133" s="112" t="s">
        <v>48</v>
      </c>
      <c r="C133" s="113">
        <v>0</v>
      </c>
      <c r="D133" s="113">
        <v>0</v>
      </c>
      <c r="E133" s="113">
        <v>0</v>
      </c>
      <c r="F133" s="113">
        <v>0</v>
      </c>
      <c r="G133" s="113">
        <v>0</v>
      </c>
      <c r="H133" s="113">
        <v>0</v>
      </c>
      <c r="I133" s="113">
        <v>0</v>
      </c>
      <c r="J133" s="113">
        <v>0</v>
      </c>
      <c r="K133" s="113">
        <v>0</v>
      </c>
      <c r="L133" s="113">
        <v>0</v>
      </c>
      <c r="M133" s="113">
        <v>0</v>
      </c>
      <c r="N133" s="205">
        <v>0</v>
      </c>
      <c r="O133" s="98"/>
    </row>
    <row r="134" spans="1:15">
      <c r="A134" s="111">
        <v>6410</v>
      </c>
      <c r="B134" s="112" t="s">
        <v>49</v>
      </c>
      <c r="C134" s="113">
        <v>0</v>
      </c>
      <c r="D134" s="113">
        <v>0</v>
      </c>
      <c r="E134" s="113">
        <v>0</v>
      </c>
      <c r="F134" s="113">
        <v>0</v>
      </c>
      <c r="G134" s="113">
        <v>0</v>
      </c>
      <c r="H134" s="113">
        <v>0</v>
      </c>
      <c r="I134" s="113">
        <v>0</v>
      </c>
      <c r="J134" s="113">
        <v>0</v>
      </c>
      <c r="K134" s="113">
        <v>0</v>
      </c>
      <c r="L134" s="113">
        <v>0</v>
      </c>
      <c r="M134" s="113">
        <v>0</v>
      </c>
      <c r="N134" s="205">
        <v>0</v>
      </c>
      <c r="O134" s="98"/>
    </row>
    <row r="135" spans="1:15">
      <c r="A135" s="111">
        <v>6947</v>
      </c>
      <c r="B135" s="112" t="s">
        <v>50</v>
      </c>
      <c r="C135" s="113">
        <v>0</v>
      </c>
      <c r="D135" s="113">
        <v>0</v>
      </c>
      <c r="E135" s="113">
        <v>0</v>
      </c>
      <c r="F135" s="113">
        <v>0</v>
      </c>
      <c r="G135" s="113">
        <v>0</v>
      </c>
      <c r="H135" s="113">
        <v>0</v>
      </c>
      <c r="I135" s="113">
        <v>0</v>
      </c>
      <c r="J135" s="113">
        <v>0</v>
      </c>
      <c r="K135" s="113">
        <v>0</v>
      </c>
      <c r="L135" s="113">
        <v>0</v>
      </c>
      <c r="M135" s="113">
        <v>0</v>
      </c>
      <c r="N135" s="205">
        <v>0</v>
      </c>
      <c r="O135" s="98"/>
    </row>
    <row r="136" spans="1:15">
      <c r="A136" s="111">
        <v>7167</v>
      </c>
      <c r="B136" s="112" t="s">
        <v>51</v>
      </c>
      <c r="C136" s="113">
        <v>0</v>
      </c>
      <c r="D136" s="113">
        <v>0</v>
      </c>
      <c r="E136" s="113">
        <v>0</v>
      </c>
      <c r="F136" s="113">
        <v>0</v>
      </c>
      <c r="G136" s="113">
        <v>0</v>
      </c>
      <c r="H136" s="113">
        <v>0</v>
      </c>
      <c r="I136" s="113">
        <v>0</v>
      </c>
      <c r="J136" s="113">
        <v>0</v>
      </c>
      <c r="K136" s="113">
        <v>0</v>
      </c>
      <c r="L136" s="113">
        <v>0</v>
      </c>
      <c r="M136" s="113">
        <v>0</v>
      </c>
      <c r="N136" s="205">
        <v>0</v>
      </c>
      <c r="O136" s="98"/>
    </row>
    <row r="137" spans="1:15">
      <c r="A137" s="111">
        <v>5465</v>
      </c>
      <c r="B137" s="112" t="s">
        <v>52</v>
      </c>
      <c r="C137" s="113">
        <v>0</v>
      </c>
      <c r="D137" s="113">
        <v>0</v>
      </c>
      <c r="E137" s="113">
        <v>0</v>
      </c>
      <c r="F137" s="113">
        <v>0</v>
      </c>
      <c r="G137" s="113">
        <v>0</v>
      </c>
      <c r="H137" s="113">
        <v>0</v>
      </c>
      <c r="I137" s="113">
        <v>0</v>
      </c>
      <c r="J137" s="113">
        <v>0</v>
      </c>
      <c r="K137" s="113">
        <v>0</v>
      </c>
      <c r="L137" s="113">
        <v>0</v>
      </c>
      <c r="M137" s="113">
        <v>0</v>
      </c>
      <c r="N137" s="205">
        <v>0</v>
      </c>
      <c r="O137" s="98"/>
    </row>
    <row r="138" spans="1:15">
      <c r="A138" s="111">
        <v>8244</v>
      </c>
      <c r="B138" s="112" t="s">
        <v>53</v>
      </c>
      <c r="C138" s="113">
        <v>0</v>
      </c>
      <c r="D138" s="113">
        <v>0</v>
      </c>
      <c r="E138" s="113">
        <v>0</v>
      </c>
      <c r="F138" s="113">
        <v>0</v>
      </c>
      <c r="G138" s="113">
        <v>0</v>
      </c>
      <c r="H138" s="113">
        <v>0</v>
      </c>
      <c r="I138" s="113">
        <v>0</v>
      </c>
      <c r="J138" s="113">
        <v>0</v>
      </c>
      <c r="K138" s="113">
        <v>0</v>
      </c>
      <c r="L138" s="113">
        <v>0</v>
      </c>
      <c r="M138" s="113">
        <v>0</v>
      </c>
      <c r="N138" s="205">
        <v>0</v>
      </c>
      <c r="O138" s="98"/>
    </row>
    <row r="139" spans="1:15">
      <c r="A139" s="111">
        <v>9191</v>
      </c>
      <c r="B139" s="112" t="s">
        <v>54</v>
      </c>
      <c r="C139" s="113">
        <v>0</v>
      </c>
      <c r="D139" s="113">
        <v>0</v>
      </c>
      <c r="E139" s="113">
        <v>0</v>
      </c>
      <c r="F139" s="113">
        <v>0</v>
      </c>
      <c r="G139" s="113">
        <v>0</v>
      </c>
      <c r="H139" s="113">
        <v>0</v>
      </c>
      <c r="I139" s="113">
        <v>0</v>
      </c>
      <c r="J139" s="113">
        <v>0</v>
      </c>
      <c r="K139" s="113">
        <v>0</v>
      </c>
      <c r="L139" s="113">
        <v>0</v>
      </c>
      <c r="M139" s="113">
        <v>0</v>
      </c>
      <c r="N139" s="205">
        <v>0</v>
      </c>
      <c r="O139" s="98"/>
    </row>
    <row r="140" spans="1:15">
      <c r="A140" s="111">
        <v>9235</v>
      </c>
      <c r="B140" s="112" t="s">
        <v>55</v>
      </c>
      <c r="C140" s="113">
        <v>0</v>
      </c>
      <c r="D140" s="113">
        <v>0</v>
      </c>
      <c r="E140" s="113">
        <v>0</v>
      </c>
      <c r="F140" s="113">
        <v>0</v>
      </c>
      <c r="G140" s="113">
        <v>0</v>
      </c>
      <c r="H140" s="113">
        <v>0</v>
      </c>
      <c r="I140" s="113">
        <v>0</v>
      </c>
      <c r="J140" s="113">
        <v>0</v>
      </c>
      <c r="K140" s="113">
        <v>0</v>
      </c>
      <c r="L140" s="113">
        <v>0</v>
      </c>
      <c r="M140" s="113">
        <v>0</v>
      </c>
      <c r="N140" s="205">
        <v>0</v>
      </c>
      <c r="O140" s="98"/>
    </row>
    <row r="141" spans="1:15">
      <c r="A141" s="111">
        <v>9885</v>
      </c>
      <c r="B141" s="112" t="s">
        <v>56</v>
      </c>
      <c r="C141" s="113">
        <v>0</v>
      </c>
      <c r="D141" s="113">
        <v>0</v>
      </c>
      <c r="E141" s="113">
        <v>0</v>
      </c>
      <c r="F141" s="113">
        <v>0</v>
      </c>
      <c r="G141" s="113">
        <v>0</v>
      </c>
      <c r="H141" s="113">
        <v>0</v>
      </c>
      <c r="I141" s="113">
        <v>0</v>
      </c>
      <c r="J141" s="113">
        <v>0</v>
      </c>
      <c r="K141" s="113">
        <v>0</v>
      </c>
      <c r="L141" s="113">
        <v>0</v>
      </c>
      <c r="M141" s="113">
        <v>0</v>
      </c>
      <c r="N141" s="205">
        <v>0</v>
      </c>
      <c r="O141" s="98"/>
    </row>
    <row r="142" spans="1:15">
      <c r="A142" s="111">
        <v>9893</v>
      </c>
      <c r="B142" s="112" t="s">
        <v>57</v>
      </c>
      <c r="C142" s="113">
        <v>0</v>
      </c>
      <c r="D142" s="113">
        <v>0</v>
      </c>
      <c r="E142" s="113">
        <v>0</v>
      </c>
      <c r="F142" s="113">
        <v>0</v>
      </c>
      <c r="G142" s="113">
        <v>0</v>
      </c>
      <c r="H142" s="113">
        <v>0</v>
      </c>
      <c r="I142" s="113">
        <v>0</v>
      </c>
      <c r="J142" s="113">
        <v>0</v>
      </c>
      <c r="K142" s="113">
        <v>0</v>
      </c>
      <c r="L142" s="113">
        <v>0</v>
      </c>
      <c r="M142" s="113">
        <v>0</v>
      </c>
      <c r="N142" s="205">
        <v>0</v>
      </c>
      <c r="O142" s="98"/>
    </row>
    <row r="143" spans="1:15">
      <c r="A143" s="111">
        <v>5170</v>
      </c>
      <c r="B143" s="112" t="s">
        <v>58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205">
        <v>0</v>
      </c>
      <c r="O143" s="98"/>
    </row>
    <row r="144" spans="1:15">
      <c r="A144" s="111">
        <v>11007</v>
      </c>
      <c r="B144" s="112" t="s">
        <v>59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205">
        <v>0</v>
      </c>
      <c r="O144" s="98"/>
    </row>
    <row r="145" spans="1:15">
      <c r="A145" s="111">
        <v>24938</v>
      </c>
      <c r="B145" s="112" t="s">
        <v>60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205">
        <v>0</v>
      </c>
      <c r="O145" s="98"/>
    </row>
    <row r="146" spans="1:15">
      <c r="A146" s="111">
        <v>1242</v>
      </c>
      <c r="B146" s="112" t="s">
        <v>61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205">
        <v>0</v>
      </c>
      <c r="O146" s="98"/>
    </row>
    <row r="147" spans="1:15">
      <c r="A147" s="111">
        <v>12900</v>
      </c>
      <c r="B147" s="112" t="s">
        <v>62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205">
        <v>0</v>
      </c>
      <c r="O147" s="98"/>
    </row>
    <row r="148" spans="1:15">
      <c r="A148" s="111">
        <v>24499</v>
      </c>
      <c r="B148" s="112" t="s">
        <v>63</v>
      </c>
      <c r="C148" s="113">
        <v>0</v>
      </c>
      <c r="D148" s="113">
        <v>0</v>
      </c>
      <c r="E148" s="113">
        <v>0</v>
      </c>
      <c r="F148" s="113">
        <v>0</v>
      </c>
      <c r="G148" s="113">
        <v>0</v>
      </c>
      <c r="H148" s="113">
        <v>0</v>
      </c>
      <c r="I148" s="113">
        <v>0</v>
      </c>
      <c r="J148" s="113">
        <v>0</v>
      </c>
      <c r="K148" s="113">
        <v>0</v>
      </c>
      <c r="L148" s="113">
        <v>0</v>
      </c>
      <c r="M148" s="113">
        <v>0</v>
      </c>
      <c r="N148" s="205">
        <v>0</v>
      </c>
      <c r="O148" s="98"/>
    </row>
    <row r="149" spans="1:15">
      <c r="A149" s="111">
        <v>24500</v>
      </c>
      <c r="B149" s="112" t="s">
        <v>64</v>
      </c>
      <c r="C149" s="113">
        <v>0</v>
      </c>
      <c r="D149" s="113">
        <v>0</v>
      </c>
      <c r="E149" s="113">
        <v>0</v>
      </c>
      <c r="F149" s="113">
        <v>0</v>
      </c>
      <c r="G149" s="113">
        <v>0</v>
      </c>
      <c r="H149" s="113">
        <v>0</v>
      </c>
      <c r="I149" s="113">
        <v>0</v>
      </c>
      <c r="J149" s="113">
        <v>0</v>
      </c>
      <c r="K149" s="113">
        <v>0</v>
      </c>
      <c r="L149" s="113">
        <v>0</v>
      </c>
      <c r="M149" s="113">
        <v>0</v>
      </c>
      <c r="N149" s="205">
        <v>0</v>
      </c>
      <c r="O149" s="98"/>
    </row>
    <row r="150" spans="1:15">
      <c r="A150" s="111">
        <v>3184</v>
      </c>
      <c r="B150" s="112" t="s">
        <v>65</v>
      </c>
      <c r="C150" s="113">
        <v>0</v>
      </c>
      <c r="D150" s="113">
        <v>0</v>
      </c>
      <c r="E150" s="113">
        <v>0</v>
      </c>
      <c r="F150" s="113">
        <v>0</v>
      </c>
      <c r="G150" s="113">
        <v>0</v>
      </c>
      <c r="H150" s="113">
        <v>0</v>
      </c>
      <c r="I150" s="113">
        <v>0</v>
      </c>
      <c r="J150" s="113">
        <v>0</v>
      </c>
      <c r="K150" s="113">
        <v>0</v>
      </c>
      <c r="L150" s="113">
        <v>0</v>
      </c>
      <c r="M150" s="113">
        <v>0</v>
      </c>
      <c r="N150" s="205">
        <v>0</v>
      </c>
      <c r="O150" s="98"/>
    </row>
    <row r="151" spans="1:15">
      <c r="A151" s="111"/>
      <c r="B151" s="112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205"/>
      <c r="O151" s="98"/>
    </row>
    <row r="152" spans="1:15" hidden="1">
      <c r="A152" s="111"/>
      <c r="B152" s="112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205"/>
      <c r="O152" s="98"/>
    </row>
    <row r="153" spans="1:15" hidden="1"/>
    <row r="154" spans="1:15" ht="21" hidden="1">
      <c r="A154" s="114" t="s">
        <v>68</v>
      </c>
      <c r="B154" s="114"/>
      <c r="C154" s="110" t="s">
        <v>69</v>
      </c>
      <c r="D154" s="110" t="s">
        <v>70</v>
      </c>
      <c r="E154" s="110" t="s">
        <v>71</v>
      </c>
      <c r="F154" s="110" t="s">
        <v>72</v>
      </c>
      <c r="G154" s="110" t="s">
        <v>73</v>
      </c>
      <c r="H154" s="110" t="s">
        <v>74</v>
      </c>
      <c r="I154" s="110" t="s">
        <v>75</v>
      </c>
      <c r="J154" s="110" t="s">
        <v>76</v>
      </c>
      <c r="K154" s="110" t="s">
        <v>77</v>
      </c>
      <c r="L154" s="110" t="s">
        <v>78</v>
      </c>
      <c r="M154" s="110" t="s">
        <v>79</v>
      </c>
      <c r="N154" s="204" t="s">
        <v>80</v>
      </c>
      <c r="O154" s="110"/>
    </row>
    <row r="155" spans="1:15" hidden="1">
      <c r="A155" s="111">
        <v>1147</v>
      </c>
      <c r="B155" s="112" t="s">
        <v>81</v>
      </c>
      <c r="C155" s="115">
        <v>0</v>
      </c>
      <c r="D155" s="115">
        <v>0</v>
      </c>
      <c r="E155" s="115">
        <v>0</v>
      </c>
      <c r="F155" s="115">
        <v>0</v>
      </c>
      <c r="G155" s="115">
        <v>0</v>
      </c>
      <c r="H155" s="115">
        <v>0</v>
      </c>
      <c r="I155" s="115">
        <v>0</v>
      </c>
      <c r="J155" s="115">
        <v>0</v>
      </c>
      <c r="K155" s="115">
        <v>0</v>
      </c>
      <c r="L155" s="115">
        <v>0</v>
      </c>
      <c r="M155" s="115">
        <v>0</v>
      </c>
      <c r="N155" s="206">
        <v>0</v>
      </c>
      <c r="O155" s="115"/>
    </row>
    <row r="156" spans="1:15" hidden="1">
      <c r="A156" s="111">
        <v>1149</v>
      </c>
      <c r="B156" s="112" t="s">
        <v>41</v>
      </c>
      <c r="C156" s="115">
        <v>0</v>
      </c>
      <c r="D156" s="115">
        <v>0</v>
      </c>
      <c r="E156" s="115">
        <v>0</v>
      </c>
      <c r="F156" s="115">
        <v>0</v>
      </c>
      <c r="G156" s="115">
        <v>0</v>
      </c>
      <c r="H156" s="115">
        <v>0</v>
      </c>
      <c r="I156" s="115">
        <v>0</v>
      </c>
      <c r="J156" s="115">
        <v>0</v>
      </c>
      <c r="K156" s="115">
        <v>0</v>
      </c>
      <c r="L156" s="115">
        <v>0</v>
      </c>
      <c r="M156" s="115">
        <v>0</v>
      </c>
      <c r="N156" s="206">
        <v>0</v>
      </c>
      <c r="O156" s="115"/>
    </row>
    <row r="157" spans="1:15" hidden="1">
      <c r="A157" s="111">
        <v>1163</v>
      </c>
      <c r="B157" s="112" t="s">
        <v>42</v>
      </c>
      <c r="C157" s="115">
        <v>0</v>
      </c>
      <c r="D157" s="115">
        <v>0</v>
      </c>
      <c r="E157" s="115">
        <v>0</v>
      </c>
      <c r="F157" s="115">
        <v>0</v>
      </c>
      <c r="G157" s="115">
        <v>0</v>
      </c>
      <c r="H157" s="115">
        <v>0</v>
      </c>
      <c r="I157" s="115">
        <v>0</v>
      </c>
      <c r="J157" s="115">
        <v>0</v>
      </c>
      <c r="K157" s="115">
        <v>0</v>
      </c>
      <c r="L157" s="115">
        <v>0</v>
      </c>
      <c r="M157" s="115">
        <v>0</v>
      </c>
      <c r="N157" s="206">
        <v>0</v>
      </c>
      <c r="O157" s="115"/>
    </row>
    <row r="158" spans="1:15" hidden="1">
      <c r="A158" s="111">
        <v>1376</v>
      </c>
      <c r="B158" s="112" t="s">
        <v>43</v>
      </c>
      <c r="C158" s="115">
        <v>0</v>
      </c>
      <c r="D158" s="115">
        <v>0</v>
      </c>
      <c r="E158" s="115">
        <v>0</v>
      </c>
      <c r="F158" s="115">
        <v>0</v>
      </c>
      <c r="G158" s="115">
        <v>0</v>
      </c>
      <c r="H158" s="115">
        <v>0</v>
      </c>
      <c r="I158" s="115">
        <v>0</v>
      </c>
      <c r="J158" s="115">
        <v>0</v>
      </c>
      <c r="K158" s="115">
        <v>0</v>
      </c>
      <c r="L158" s="115">
        <v>0</v>
      </c>
      <c r="M158" s="115">
        <v>0</v>
      </c>
      <c r="N158" s="206">
        <v>0</v>
      </c>
      <c r="O158" s="115"/>
    </row>
    <row r="159" spans="1:15" hidden="1">
      <c r="A159" s="111">
        <v>2172</v>
      </c>
      <c r="B159" s="112" t="s">
        <v>44</v>
      </c>
      <c r="C159" s="115">
        <v>0</v>
      </c>
      <c r="D159" s="115">
        <v>0</v>
      </c>
      <c r="E159" s="115">
        <v>0</v>
      </c>
      <c r="F159" s="115">
        <v>0</v>
      </c>
      <c r="G159" s="115">
        <v>0</v>
      </c>
      <c r="H159" s="115">
        <v>0</v>
      </c>
      <c r="I159" s="115">
        <v>0</v>
      </c>
      <c r="J159" s="115">
        <v>0</v>
      </c>
      <c r="K159" s="115">
        <v>0</v>
      </c>
      <c r="L159" s="115">
        <v>0</v>
      </c>
      <c r="M159" s="115">
        <v>0</v>
      </c>
      <c r="N159" s="206">
        <v>0</v>
      </c>
      <c r="O159" s="115"/>
    </row>
    <row r="160" spans="1:15" hidden="1">
      <c r="A160" s="111">
        <v>2526</v>
      </c>
      <c r="B160" s="112" t="s">
        <v>45</v>
      </c>
      <c r="C160" s="115">
        <v>0</v>
      </c>
      <c r="D160" s="115">
        <v>0</v>
      </c>
      <c r="E160" s="115">
        <v>0</v>
      </c>
      <c r="F160" s="115">
        <v>0</v>
      </c>
      <c r="G160" s="115">
        <v>0</v>
      </c>
      <c r="H160" s="115">
        <v>0</v>
      </c>
      <c r="I160" s="115">
        <v>0</v>
      </c>
      <c r="J160" s="115">
        <v>0</v>
      </c>
      <c r="K160" s="115">
        <v>0</v>
      </c>
      <c r="L160" s="115">
        <v>0</v>
      </c>
      <c r="M160" s="115">
        <v>0</v>
      </c>
      <c r="N160" s="206">
        <v>0</v>
      </c>
      <c r="O160" s="115"/>
    </row>
    <row r="161" spans="1:15" hidden="1">
      <c r="A161" s="111">
        <v>4179</v>
      </c>
      <c r="B161" s="112" t="s">
        <v>82</v>
      </c>
      <c r="C161" s="115">
        <v>0</v>
      </c>
      <c r="D161" s="115">
        <v>0</v>
      </c>
      <c r="E161" s="115">
        <v>0</v>
      </c>
      <c r="F161" s="115">
        <v>0</v>
      </c>
      <c r="G161" s="115">
        <v>0</v>
      </c>
      <c r="H161" s="115">
        <v>0</v>
      </c>
      <c r="I161" s="115">
        <v>0</v>
      </c>
      <c r="J161" s="115">
        <v>0</v>
      </c>
      <c r="K161" s="115">
        <v>0</v>
      </c>
      <c r="L161" s="115">
        <v>0</v>
      </c>
      <c r="M161" s="115">
        <v>0</v>
      </c>
      <c r="N161" s="206">
        <v>0</v>
      </c>
      <c r="O161" s="115"/>
    </row>
    <row r="162" spans="1:15" hidden="1">
      <c r="A162" s="111">
        <v>4188</v>
      </c>
      <c r="B162" s="112" t="s">
        <v>83</v>
      </c>
      <c r="C162" s="115">
        <v>0</v>
      </c>
      <c r="D162" s="115">
        <v>0</v>
      </c>
      <c r="E162" s="115">
        <v>0</v>
      </c>
      <c r="F162" s="115">
        <v>0</v>
      </c>
      <c r="G162" s="115">
        <v>0</v>
      </c>
      <c r="H162" s="115">
        <v>0</v>
      </c>
      <c r="I162" s="115">
        <v>0</v>
      </c>
      <c r="J162" s="115">
        <v>0</v>
      </c>
      <c r="K162" s="115">
        <v>0</v>
      </c>
      <c r="L162" s="115">
        <v>0</v>
      </c>
      <c r="M162" s="115">
        <v>0</v>
      </c>
      <c r="N162" s="206">
        <v>0</v>
      </c>
      <c r="O162" s="115"/>
    </row>
    <row r="163" spans="1:15" hidden="1">
      <c r="A163" s="111">
        <v>5317</v>
      </c>
      <c r="B163" s="112" t="s">
        <v>48</v>
      </c>
      <c r="C163" s="115">
        <v>0</v>
      </c>
      <c r="D163" s="115">
        <v>0</v>
      </c>
      <c r="E163" s="115">
        <v>0</v>
      </c>
      <c r="F163" s="115">
        <v>0</v>
      </c>
      <c r="G163" s="115">
        <v>0</v>
      </c>
      <c r="H163" s="115">
        <v>0</v>
      </c>
      <c r="I163" s="115">
        <v>0</v>
      </c>
      <c r="J163" s="115">
        <v>0</v>
      </c>
      <c r="K163" s="115">
        <v>0</v>
      </c>
      <c r="L163" s="115">
        <v>0</v>
      </c>
      <c r="M163" s="115">
        <v>0</v>
      </c>
      <c r="N163" s="206">
        <v>0</v>
      </c>
      <c r="O163" s="115"/>
    </row>
    <row r="164" spans="1:15" hidden="1">
      <c r="A164" s="111">
        <v>6410</v>
      </c>
      <c r="B164" s="112" t="s">
        <v>84</v>
      </c>
      <c r="C164" s="115">
        <v>0</v>
      </c>
      <c r="D164" s="115">
        <v>0</v>
      </c>
      <c r="E164" s="115">
        <v>0</v>
      </c>
      <c r="F164" s="115">
        <v>0</v>
      </c>
      <c r="G164" s="115">
        <v>0</v>
      </c>
      <c r="H164" s="115">
        <v>0</v>
      </c>
      <c r="I164" s="115">
        <v>0</v>
      </c>
      <c r="J164" s="115">
        <v>0</v>
      </c>
      <c r="K164" s="115">
        <v>0</v>
      </c>
      <c r="L164" s="115">
        <v>0</v>
      </c>
      <c r="M164" s="115">
        <v>0</v>
      </c>
      <c r="N164" s="206">
        <v>0</v>
      </c>
      <c r="O164" s="115"/>
    </row>
    <row r="165" spans="1:15" hidden="1">
      <c r="A165" s="111">
        <v>6947</v>
      </c>
      <c r="B165" s="112" t="s">
        <v>85</v>
      </c>
      <c r="C165" s="115">
        <v>0</v>
      </c>
      <c r="D165" s="115">
        <v>0</v>
      </c>
      <c r="E165" s="115">
        <v>0</v>
      </c>
      <c r="F165" s="115">
        <v>0</v>
      </c>
      <c r="G165" s="115">
        <v>0</v>
      </c>
      <c r="H165" s="115">
        <v>0</v>
      </c>
      <c r="I165" s="115">
        <v>0</v>
      </c>
      <c r="J165" s="115">
        <v>0</v>
      </c>
      <c r="K165" s="115">
        <v>0</v>
      </c>
      <c r="L165" s="115">
        <v>0</v>
      </c>
      <c r="M165" s="115">
        <v>0</v>
      </c>
      <c r="N165" s="206">
        <v>0</v>
      </c>
      <c r="O165" s="115"/>
    </row>
    <row r="166" spans="1:15" hidden="1">
      <c r="A166" s="111">
        <v>7167</v>
      </c>
      <c r="B166" s="112" t="s">
        <v>86</v>
      </c>
      <c r="C166" s="115">
        <v>0</v>
      </c>
      <c r="D166" s="115">
        <v>0</v>
      </c>
      <c r="E166" s="115">
        <v>0</v>
      </c>
      <c r="F166" s="115">
        <v>0</v>
      </c>
      <c r="G166" s="115">
        <v>0</v>
      </c>
      <c r="H166" s="115">
        <v>0</v>
      </c>
      <c r="I166" s="115">
        <v>0</v>
      </c>
      <c r="J166" s="115">
        <v>0</v>
      </c>
      <c r="K166" s="115">
        <v>0</v>
      </c>
      <c r="L166" s="115">
        <v>0</v>
      </c>
      <c r="M166" s="115">
        <v>0</v>
      </c>
      <c r="N166" s="206">
        <v>0</v>
      </c>
      <c r="O166" s="115"/>
    </row>
    <row r="167" spans="1:15" hidden="1">
      <c r="A167" s="111">
        <v>5465</v>
      </c>
      <c r="B167" s="112" t="s">
        <v>52</v>
      </c>
      <c r="C167" s="115">
        <v>0</v>
      </c>
      <c r="D167" s="115">
        <v>0</v>
      </c>
      <c r="E167" s="115">
        <v>0</v>
      </c>
      <c r="F167" s="115">
        <v>0</v>
      </c>
      <c r="G167" s="115">
        <v>0</v>
      </c>
      <c r="H167" s="115">
        <v>0</v>
      </c>
      <c r="I167" s="115">
        <v>0</v>
      </c>
      <c r="J167" s="115">
        <v>0</v>
      </c>
      <c r="K167" s="115">
        <v>0</v>
      </c>
      <c r="L167" s="115">
        <v>0</v>
      </c>
      <c r="M167" s="115">
        <v>0</v>
      </c>
      <c r="N167" s="206">
        <v>0</v>
      </c>
      <c r="O167" s="115"/>
    </row>
    <row r="168" spans="1:15" hidden="1">
      <c r="A168" s="111">
        <v>8244</v>
      </c>
      <c r="B168" s="112" t="s">
        <v>53</v>
      </c>
      <c r="C168" s="115">
        <v>0</v>
      </c>
      <c r="D168" s="115">
        <v>0</v>
      </c>
      <c r="E168" s="115">
        <v>0</v>
      </c>
      <c r="F168" s="115">
        <v>0</v>
      </c>
      <c r="G168" s="115">
        <v>0</v>
      </c>
      <c r="H168" s="115">
        <v>0</v>
      </c>
      <c r="I168" s="115">
        <v>0</v>
      </c>
      <c r="J168" s="115">
        <v>0</v>
      </c>
      <c r="K168" s="115">
        <v>0</v>
      </c>
      <c r="L168" s="115">
        <v>0</v>
      </c>
      <c r="M168" s="115">
        <v>0</v>
      </c>
      <c r="N168" s="206">
        <v>0</v>
      </c>
      <c r="O168" s="115"/>
    </row>
    <row r="169" spans="1:15" hidden="1">
      <c r="A169" s="111">
        <v>9191</v>
      </c>
      <c r="B169" s="112" t="s">
        <v>87</v>
      </c>
      <c r="C169" s="115">
        <v>0</v>
      </c>
      <c r="D169" s="115">
        <v>0</v>
      </c>
      <c r="E169" s="115">
        <v>0</v>
      </c>
      <c r="F169" s="115">
        <v>0</v>
      </c>
      <c r="G169" s="115">
        <v>0</v>
      </c>
      <c r="H169" s="115">
        <v>0</v>
      </c>
      <c r="I169" s="115">
        <v>0</v>
      </c>
      <c r="J169" s="115">
        <v>0</v>
      </c>
      <c r="K169" s="115">
        <v>0</v>
      </c>
      <c r="L169" s="115">
        <v>0</v>
      </c>
      <c r="M169" s="115">
        <v>0</v>
      </c>
      <c r="N169" s="206">
        <v>0</v>
      </c>
      <c r="O169" s="115"/>
    </row>
    <row r="170" spans="1:15" hidden="1">
      <c r="A170" s="111">
        <v>9235</v>
      </c>
      <c r="B170" s="112" t="s">
        <v>55</v>
      </c>
      <c r="C170" s="115">
        <v>0</v>
      </c>
      <c r="D170" s="115">
        <v>0</v>
      </c>
      <c r="E170" s="115">
        <v>0</v>
      </c>
      <c r="F170" s="115">
        <v>0</v>
      </c>
      <c r="G170" s="115">
        <v>0</v>
      </c>
      <c r="H170" s="115">
        <v>0</v>
      </c>
      <c r="I170" s="115">
        <v>0</v>
      </c>
      <c r="J170" s="115">
        <v>0</v>
      </c>
      <c r="K170" s="115">
        <v>0</v>
      </c>
      <c r="L170" s="115">
        <v>0</v>
      </c>
      <c r="M170" s="115">
        <v>0</v>
      </c>
      <c r="N170" s="206">
        <v>0</v>
      </c>
      <c r="O170" s="115"/>
    </row>
    <row r="171" spans="1:15" hidden="1">
      <c r="A171" s="111">
        <v>9885</v>
      </c>
      <c r="B171" s="112" t="s">
        <v>56</v>
      </c>
      <c r="C171" s="115">
        <v>0</v>
      </c>
      <c r="D171" s="115">
        <v>0</v>
      </c>
      <c r="E171" s="115">
        <v>0</v>
      </c>
      <c r="F171" s="115">
        <v>0</v>
      </c>
      <c r="G171" s="115">
        <v>0</v>
      </c>
      <c r="H171" s="115">
        <v>0</v>
      </c>
      <c r="I171" s="115">
        <v>0</v>
      </c>
      <c r="J171" s="115">
        <v>0</v>
      </c>
      <c r="K171" s="115">
        <v>0</v>
      </c>
      <c r="L171" s="115">
        <v>0</v>
      </c>
      <c r="M171" s="115">
        <v>0</v>
      </c>
      <c r="N171" s="206">
        <v>0</v>
      </c>
      <c r="O171" s="115"/>
    </row>
    <row r="172" spans="1:15" hidden="1">
      <c r="A172" s="111">
        <v>9893</v>
      </c>
      <c r="B172" s="112" t="s">
        <v>57</v>
      </c>
      <c r="C172" s="115">
        <v>0</v>
      </c>
      <c r="D172" s="115">
        <v>0</v>
      </c>
      <c r="E172" s="115">
        <v>0</v>
      </c>
      <c r="F172" s="115">
        <v>0</v>
      </c>
      <c r="G172" s="115">
        <v>0</v>
      </c>
      <c r="H172" s="115">
        <v>0</v>
      </c>
      <c r="I172" s="115">
        <v>0</v>
      </c>
      <c r="J172" s="115">
        <v>0</v>
      </c>
      <c r="K172" s="115">
        <v>0</v>
      </c>
      <c r="L172" s="115">
        <v>0</v>
      </c>
      <c r="M172" s="115">
        <v>0</v>
      </c>
      <c r="N172" s="206">
        <v>0</v>
      </c>
      <c r="O172" s="115"/>
    </row>
    <row r="173" spans="1:15" hidden="1">
      <c r="A173" s="111">
        <v>5170</v>
      </c>
      <c r="B173" s="112" t="s">
        <v>58</v>
      </c>
      <c r="C173" s="115">
        <v>0</v>
      </c>
      <c r="D173" s="115">
        <v>0</v>
      </c>
      <c r="E173" s="115">
        <v>0</v>
      </c>
      <c r="F173" s="115">
        <v>0</v>
      </c>
      <c r="G173" s="115">
        <v>0</v>
      </c>
      <c r="H173" s="115">
        <v>0</v>
      </c>
      <c r="I173" s="115">
        <v>0</v>
      </c>
      <c r="J173" s="115">
        <v>0</v>
      </c>
      <c r="K173" s="115">
        <v>0</v>
      </c>
      <c r="L173" s="115">
        <v>0</v>
      </c>
      <c r="M173" s="115">
        <v>0</v>
      </c>
      <c r="N173" s="206">
        <v>0</v>
      </c>
      <c r="O173" s="115"/>
    </row>
    <row r="174" spans="1:15" hidden="1">
      <c r="A174" s="111">
        <v>11007</v>
      </c>
      <c r="B174" s="112" t="s">
        <v>88</v>
      </c>
      <c r="C174" s="115">
        <v>0</v>
      </c>
      <c r="D174" s="115">
        <v>0</v>
      </c>
      <c r="E174" s="115">
        <v>0</v>
      </c>
      <c r="F174" s="115">
        <v>0</v>
      </c>
      <c r="G174" s="115">
        <v>0</v>
      </c>
      <c r="H174" s="115">
        <v>0</v>
      </c>
      <c r="I174" s="115">
        <v>0</v>
      </c>
      <c r="J174" s="115">
        <v>0</v>
      </c>
      <c r="K174" s="115">
        <v>0</v>
      </c>
      <c r="L174" s="115">
        <v>0</v>
      </c>
      <c r="M174" s="115">
        <v>0</v>
      </c>
      <c r="N174" s="206">
        <v>0</v>
      </c>
      <c r="O174" s="115"/>
    </row>
    <row r="175" spans="1:15" hidden="1"/>
    <row r="176" spans="1:15" ht="21" hidden="1">
      <c r="A176" s="114" t="s">
        <v>89</v>
      </c>
      <c r="B176" s="114"/>
      <c r="C176" s="110" t="s">
        <v>15</v>
      </c>
      <c r="D176" s="110" t="s">
        <v>16</v>
      </c>
      <c r="E176" s="110" t="s">
        <v>17</v>
      </c>
      <c r="F176" s="110" t="s">
        <v>18</v>
      </c>
      <c r="G176" s="110" t="s">
        <v>19</v>
      </c>
      <c r="H176" s="110" t="s">
        <v>20</v>
      </c>
      <c r="I176" s="110" t="s">
        <v>21</v>
      </c>
      <c r="J176" s="110" t="s">
        <v>22</v>
      </c>
      <c r="K176" s="110" t="s">
        <v>23</v>
      </c>
      <c r="L176" s="110" t="s">
        <v>24</v>
      </c>
      <c r="M176" s="110" t="s">
        <v>25</v>
      </c>
      <c r="N176" s="204" t="s">
        <v>26</v>
      </c>
      <c r="O176" s="110"/>
    </row>
    <row r="177" spans="1:15" hidden="1">
      <c r="A177" s="111">
        <v>1147</v>
      </c>
      <c r="B177" s="112" t="s">
        <v>81</v>
      </c>
      <c r="C177" s="115">
        <v>0</v>
      </c>
      <c r="D177" s="115">
        <v>0</v>
      </c>
      <c r="E177" s="115">
        <v>0</v>
      </c>
      <c r="F177" s="115">
        <v>0</v>
      </c>
      <c r="G177" s="115">
        <v>0</v>
      </c>
      <c r="H177" s="115">
        <v>0</v>
      </c>
      <c r="I177" s="115">
        <v>0</v>
      </c>
      <c r="J177" s="115">
        <v>0</v>
      </c>
      <c r="K177" s="115">
        <v>0</v>
      </c>
      <c r="L177" s="115">
        <v>0</v>
      </c>
      <c r="M177" s="115">
        <v>0</v>
      </c>
      <c r="N177" s="206">
        <v>0</v>
      </c>
      <c r="O177" s="115"/>
    </row>
    <row r="178" spans="1:15" hidden="1">
      <c r="A178" s="111">
        <v>1149</v>
      </c>
      <c r="B178" s="112" t="s">
        <v>41</v>
      </c>
      <c r="C178" s="115">
        <v>0</v>
      </c>
      <c r="D178" s="115">
        <v>0</v>
      </c>
      <c r="E178" s="115">
        <v>0</v>
      </c>
      <c r="F178" s="115">
        <v>0</v>
      </c>
      <c r="G178" s="115">
        <v>0</v>
      </c>
      <c r="H178" s="115">
        <v>0</v>
      </c>
      <c r="I178" s="115">
        <v>0</v>
      </c>
      <c r="J178" s="115">
        <v>0</v>
      </c>
      <c r="K178" s="115">
        <v>0</v>
      </c>
      <c r="L178" s="115">
        <v>0</v>
      </c>
      <c r="M178" s="115">
        <v>0</v>
      </c>
      <c r="N178" s="206">
        <v>0</v>
      </c>
      <c r="O178" s="115"/>
    </row>
    <row r="179" spans="1:15" hidden="1">
      <c r="A179" s="111">
        <v>1163</v>
      </c>
      <c r="B179" s="112" t="s">
        <v>42</v>
      </c>
      <c r="C179" s="115">
        <v>0</v>
      </c>
      <c r="D179" s="115">
        <v>0</v>
      </c>
      <c r="E179" s="115">
        <v>0</v>
      </c>
      <c r="F179" s="115">
        <v>0</v>
      </c>
      <c r="G179" s="115">
        <v>0</v>
      </c>
      <c r="H179" s="115">
        <v>0</v>
      </c>
      <c r="I179" s="115">
        <v>0</v>
      </c>
      <c r="J179" s="115">
        <v>0</v>
      </c>
      <c r="K179" s="115">
        <v>0</v>
      </c>
      <c r="L179" s="115">
        <v>0</v>
      </c>
      <c r="M179" s="115">
        <v>0</v>
      </c>
      <c r="N179" s="206">
        <v>0</v>
      </c>
      <c r="O179" s="115"/>
    </row>
    <row r="180" spans="1:15" hidden="1">
      <c r="A180" s="111">
        <v>1376</v>
      </c>
      <c r="B180" s="112" t="s">
        <v>43</v>
      </c>
      <c r="C180" s="115">
        <v>0</v>
      </c>
      <c r="D180" s="115">
        <v>0</v>
      </c>
      <c r="E180" s="115">
        <v>0</v>
      </c>
      <c r="F180" s="115">
        <v>0</v>
      </c>
      <c r="G180" s="115">
        <v>0</v>
      </c>
      <c r="H180" s="115">
        <v>0</v>
      </c>
      <c r="I180" s="115">
        <v>0</v>
      </c>
      <c r="J180" s="115">
        <v>0</v>
      </c>
      <c r="K180" s="115">
        <v>0</v>
      </c>
      <c r="L180" s="115">
        <v>0</v>
      </c>
      <c r="M180" s="115">
        <v>0</v>
      </c>
      <c r="N180" s="206">
        <v>0</v>
      </c>
      <c r="O180" s="115"/>
    </row>
    <row r="181" spans="1:15" hidden="1">
      <c r="A181" s="111">
        <v>2172</v>
      </c>
      <c r="B181" s="112" t="s">
        <v>44</v>
      </c>
      <c r="C181" s="115">
        <v>0</v>
      </c>
      <c r="D181" s="115">
        <v>0</v>
      </c>
      <c r="E181" s="115">
        <v>0</v>
      </c>
      <c r="F181" s="115">
        <v>0</v>
      </c>
      <c r="G181" s="115">
        <v>0</v>
      </c>
      <c r="H181" s="115">
        <v>0</v>
      </c>
      <c r="I181" s="115">
        <v>0</v>
      </c>
      <c r="J181" s="115">
        <v>0</v>
      </c>
      <c r="K181" s="115">
        <v>0</v>
      </c>
      <c r="L181" s="115">
        <v>0</v>
      </c>
      <c r="M181" s="115">
        <v>0</v>
      </c>
      <c r="N181" s="206">
        <v>0</v>
      </c>
      <c r="O181" s="115"/>
    </row>
    <row r="182" spans="1:15" hidden="1">
      <c r="A182" s="111">
        <v>2526</v>
      </c>
      <c r="B182" s="112" t="s">
        <v>45</v>
      </c>
      <c r="C182" s="115">
        <v>0</v>
      </c>
      <c r="D182" s="115">
        <v>0</v>
      </c>
      <c r="E182" s="115">
        <v>0</v>
      </c>
      <c r="F182" s="115">
        <v>0</v>
      </c>
      <c r="G182" s="115">
        <v>0</v>
      </c>
      <c r="H182" s="115">
        <v>0</v>
      </c>
      <c r="I182" s="115">
        <v>0</v>
      </c>
      <c r="J182" s="115">
        <v>0</v>
      </c>
      <c r="K182" s="115">
        <v>0</v>
      </c>
      <c r="L182" s="115">
        <v>0</v>
      </c>
      <c r="M182" s="115">
        <v>0</v>
      </c>
      <c r="N182" s="206">
        <v>0</v>
      </c>
      <c r="O182" s="115"/>
    </row>
    <row r="183" spans="1:15" hidden="1">
      <c r="A183" s="111">
        <v>4179</v>
      </c>
      <c r="B183" s="112" t="s">
        <v>82</v>
      </c>
      <c r="C183" s="115">
        <v>0</v>
      </c>
      <c r="D183" s="115">
        <v>0</v>
      </c>
      <c r="E183" s="115">
        <v>0</v>
      </c>
      <c r="F183" s="115">
        <v>0</v>
      </c>
      <c r="G183" s="115">
        <v>0</v>
      </c>
      <c r="H183" s="115">
        <v>0</v>
      </c>
      <c r="I183" s="115">
        <v>0</v>
      </c>
      <c r="J183" s="115">
        <v>0</v>
      </c>
      <c r="K183" s="115">
        <v>0</v>
      </c>
      <c r="L183" s="115">
        <v>0</v>
      </c>
      <c r="M183" s="115">
        <v>0</v>
      </c>
      <c r="N183" s="206">
        <v>0</v>
      </c>
      <c r="O183" s="115"/>
    </row>
    <row r="184" spans="1:15" hidden="1">
      <c r="A184" s="111">
        <v>4188</v>
      </c>
      <c r="B184" s="112" t="s">
        <v>83</v>
      </c>
      <c r="C184" s="115">
        <v>0</v>
      </c>
      <c r="D184" s="115">
        <v>0</v>
      </c>
      <c r="E184" s="115">
        <v>0</v>
      </c>
      <c r="F184" s="115">
        <v>0</v>
      </c>
      <c r="G184" s="115">
        <v>0</v>
      </c>
      <c r="H184" s="115">
        <v>0</v>
      </c>
      <c r="I184" s="115">
        <v>0</v>
      </c>
      <c r="J184" s="115">
        <v>0</v>
      </c>
      <c r="K184" s="115">
        <v>0</v>
      </c>
      <c r="L184" s="115">
        <v>0</v>
      </c>
      <c r="M184" s="115">
        <v>0</v>
      </c>
      <c r="N184" s="206">
        <v>0</v>
      </c>
      <c r="O184" s="115"/>
    </row>
    <row r="185" spans="1:15" hidden="1">
      <c r="A185" s="111">
        <v>5317</v>
      </c>
      <c r="B185" s="112" t="s">
        <v>48</v>
      </c>
      <c r="C185" s="115">
        <v>0</v>
      </c>
      <c r="D185" s="115">
        <v>0</v>
      </c>
      <c r="E185" s="115">
        <v>0</v>
      </c>
      <c r="F185" s="115">
        <v>0</v>
      </c>
      <c r="G185" s="115">
        <v>0</v>
      </c>
      <c r="H185" s="115">
        <v>0</v>
      </c>
      <c r="I185" s="115">
        <v>0</v>
      </c>
      <c r="J185" s="115">
        <v>0</v>
      </c>
      <c r="K185" s="115">
        <v>0</v>
      </c>
      <c r="L185" s="115">
        <v>0</v>
      </c>
      <c r="M185" s="115">
        <v>0</v>
      </c>
      <c r="N185" s="206">
        <v>0</v>
      </c>
      <c r="O185" s="115"/>
    </row>
    <row r="186" spans="1:15" hidden="1">
      <c r="A186" s="111">
        <v>6410</v>
      </c>
      <c r="B186" s="112" t="s">
        <v>84</v>
      </c>
      <c r="C186" s="115">
        <v>0</v>
      </c>
      <c r="D186" s="115">
        <v>0</v>
      </c>
      <c r="E186" s="115">
        <v>0</v>
      </c>
      <c r="F186" s="115">
        <v>0</v>
      </c>
      <c r="G186" s="115">
        <v>0</v>
      </c>
      <c r="H186" s="115">
        <v>0</v>
      </c>
      <c r="I186" s="115">
        <v>0</v>
      </c>
      <c r="J186" s="115">
        <v>0</v>
      </c>
      <c r="K186" s="115">
        <v>0</v>
      </c>
      <c r="L186" s="115">
        <v>0</v>
      </c>
      <c r="M186" s="115">
        <v>0</v>
      </c>
      <c r="N186" s="206">
        <v>0</v>
      </c>
      <c r="O186" s="115"/>
    </row>
    <row r="187" spans="1:15" hidden="1">
      <c r="A187" s="111">
        <v>6947</v>
      </c>
      <c r="B187" s="112" t="s">
        <v>85</v>
      </c>
      <c r="C187" s="115">
        <v>0</v>
      </c>
      <c r="D187" s="115">
        <v>0</v>
      </c>
      <c r="E187" s="115">
        <v>0</v>
      </c>
      <c r="F187" s="115">
        <v>0</v>
      </c>
      <c r="G187" s="115">
        <v>0</v>
      </c>
      <c r="H187" s="115">
        <v>0</v>
      </c>
      <c r="I187" s="115">
        <v>0</v>
      </c>
      <c r="J187" s="115">
        <v>0</v>
      </c>
      <c r="K187" s="115">
        <v>0</v>
      </c>
      <c r="L187" s="115">
        <v>0</v>
      </c>
      <c r="M187" s="115">
        <v>0</v>
      </c>
      <c r="N187" s="206">
        <v>0</v>
      </c>
      <c r="O187" s="115"/>
    </row>
    <row r="188" spans="1:15" hidden="1">
      <c r="A188" s="111">
        <v>7167</v>
      </c>
      <c r="B188" s="112" t="s">
        <v>86</v>
      </c>
      <c r="C188" s="115">
        <v>0</v>
      </c>
      <c r="D188" s="115">
        <v>0</v>
      </c>
      <c r="E188" s="115">
        <v>0</v>
      </c>
      <c r="F188" s="115">
        <v>0</v>
      </c>
      <c r="G188" s="115">
        <v>0</v>
      </c>
      <c r="H188" s="115">
        <v>0</v>
      </c>
      <c r="I188" s="115">
        <v>0</v>
      </c>
      <c r="J188" s="115">
        <v>0</v>
      </c>
      <c r="K188" s="115">
        <v>0</v>
      </c>
      <c r="L188" s="115">
        <v>0</v>
      </c>
      <c r="M188" s="115">
        <v>0</v>
      </c>
      <c r="N188" s="206">
        <v>0</v>
      </c>
      <c r="O188" s="115"/>
    </row>
    <row r="189" spans="1:15" hidden="1">
      <c r="A189" s="111">
        <v>5465</v>
      </c>
      <c r="B189" s="112" t="s">
        <v>52</v>
      </c>
      <c r="C189" s="115">
        <v>0</v>
      </c>
      <c r="D189" s="115">
        <v>0</v>
      </c>
      <c r="E189" s="115">
        <v>0</v>
      </c>
      <c r="F189" s="115">
        <v>0</v>
      </c>
      <c r="G189" s="115">
        <v>0</v>
      </c>
      <c r="H189" s="115">
        <v>0</v>
      </c>
      <c r="I189" s="115">
        <v>0</v>
      </c>
      <c r="J189" s="115">
        <v>0</v>
      </c>
      <c r="K189" s="115">
        <v>0</v>
      </c>
      <c r="L189" s="115">
        <v>0</v>
      </c>
      <c r="M189" s="115">
        <v>0</v>
      </c>
      <c r="N189" s="206">
        <v>0</v>
      </c>
      <c r="O189" s="115"/>
    </row>
    <row r="190" spans="1:15" hidden="1">
      <c r="A190" s="111">
        <v>8244</v>
      </c>
      <c r="B190" s="112" t="s">
        <v>53</v>
      </c>
      <c r="C190" s="115">
        <v>0</v>
      </c>
      <c r="D190" s="115">
        <v>0</v>
      </c>
      <c r="E190" s="115">
        <v>0</v>
      </c>
      <c r="F190" s="115">
        <v>0</v>
      </c>
      <c r="G190" s="115">
        <v>0</v>
      </c>
      <c r="H190" s="115">
        <v>0</v>
      </c>
      <c r="I190" s="115">
        <v>0</v>
      </c>
      <c r="J190" s="115">
        <v>0</v>
      </c>
      <c r="K190" s="115">
        <v>0</v>
      </c>
      <c r="L190" s="115">
        <v>0</v>
      </c>
      <c r="M190" s="115">
        <v>0</v>
      </c>
      <c r="N190" s="206">
        <v>0</v>
      </c>
      <c r="O190" s="115"/>
    </row>
    <row r="191" spans="1:15" hidden="1">
      <c r="A191" s="111">
        <v>9191</v>
      </c>
      <c r="B191" s="112" t="s">
        <v>87</v>
      </c>
      <c r="C191" s="115">
        <v>0</v>
      </c>
      <c r="D191" s="115">
        <v>0</v>
      </c>
      <c r="E191" s="115">
        <v>0</v>
      </c>
      <c r="F191" s="115">
        <v>0</v>
      </c>
      <c r="G191" s="115">
        <v>0</v>
      </c>
      <c r="H191" s="115">
        <v>0</v>
      </c>
      <c r="I191" s="115">
        <v>0</v>
      </c>
      <c r="J191" s="115">
        <v>0</v>
      </c>
      <c r="K191" s="115">
        <v>0</v>
      </c>
      <c r="L191" s="115">
        <v>0</v>
      </c>
      <c r="M191" s="115">
        <v>0</v>
      </c>
      <c r="N191" s="206">
        <v>0</v>
      </c>
      <c r="O191" s="115"/>
    </row>
    <row r="192" spans="1:15" hidden="1">
      <c r="A192" s="111">
        <v>9235</v>
      </c>
      <c r="B192" s="112" t="s">
        <v>55</v>
      </c>
      <c r="C192" s="115">
        <v>0</v>
      </c>
      <c r="D192" s="115">
        <v>0</v>
      </c>
      <c r="E192" s="115">
        <v>0</v>
      </c>
      <c r="F192" s="115">
        <v>0</v>
      </c>
      <c r="G192" s="115">
        <v>0</v>
      </c>
      <c r="H192" s="115">
        <v>0</v>
      </c>
      <c r="I192" s="115">
        <v>0</v>
      </c>
      <c r="J192" s="115">
        <v>0</v>
      </c>
      <c r="K192" s="115">
        <v>0</v>
      </c>
      <c r="L192" s="115">
        <v>0</v>
      </c>
      <c r="M192" s="115">
        <v>0</v>
      </c>
      <c r="N192" s="206">
        <v>0</v>
      </c>
      <c r="O192" s="115"/>
    </row>
    <row r="193" spans="1:15" hidden="1">
      <c r="A193" s="111">
        <v>9885</v>
      </c>
      <c r="B193" s="112" t="s">
        <v>56</v>
      </c>
      <c r="C193" s="115">
        <v>0</v>
      </c>
      <c r="D193" s="115">
        <v>0</v>
      </c>
      <c r="E193" s="115">
        <v>0</v>
      </c>
      <c r="F193" s="115">
        <v>0</v>
      </c>
      <c r="G193" s="115">
        <v>0</v>
      </c>
      <c r="H193" s="115">
        <v>0</v>
      </c>
      <c r="I193" s="115">
        <v>0</v>
      </c>
      <c r="J193" s="115">
        <v>0</v>
      </c>
      <c r="K193" s="115">
        <v>0</v>
      </c>
      <c r="L193" s="115">
        <v>0</v>
      </c>
      <c r="M193" s="115">
        <v>0</v>
      </c>
      <c r="N193" s="206">
        <v>0</v>
      </c>
      <c r="O193" s="115"/>
    </row>
    <row r="194" spans="1:15" hidden="1">
      <c r="A194" s="111">
        <v>9893</v>
      </c>
      <c r="B194" s="112" t="s">
        <v>57</v>
      </c>
      <c r="C194" s="115">
        <v>0</v>
      </c>
      <c r="D194" s="115">
        <v>0</v>
      </c>
      <c r="E194" s="115">
        <v>0</v>
      </c>
      <c r="F194" s="115">
        <v>0</v>
      </c>
      <c r="G194" s="115">
        <v>0</v>
      </c>
      <c r="H194" s="115">
        <v>0</v>
      </c>
      <c r="I194" s="115">
        <v>0</v>
      </c>
      <c r="J194" s="115">
        <v>0</v>
      </c>
      <c r="K194" s="115">
        <v>0</v>
      </c>
      <c r="L194" s="115">
        <v>0</v>
      </c>
      <c r="M194" s="115">
        <v>0</v>
      </c>
      <c r="N194" s="206">
        <v>0</v>
      </c>
      <c r="O194" s="115"/>
    </row>
    <row r="195" spans="1:15" hidden="1">
      <c r="A195" s="111">
        <v>5170</v>
      </c>
      <c r="B195" s="112" t="s">
        <v>58</v>
      </c>
      <c r="C195" s="115">
        <v>0</v>
      </c>
      <c r="D195" s="115">
        <v>0</v>
      </c>
      <c r="E195" s="115">
        <v>0</v>
      </c>
      <c r="F195" s="115">
        <v>0</v>
      </c>
      <c r="G195" s="115">
        <v>0</v>
      </c>
      <c r="H195" s="115">
        <v>0</v>
      </c>
      <c r="I195" s="115">
        <v>0</v>
      </c>
      <c r="J195" s="115">
        <v>0</v>
      </c>
      <c r="K195" s="115">
        <v>0</v>
      </c>
      <c r="L195" s="115">
        <v>0</v>
      </c>
      <c r="M195" s="115">
        <v>0</v>
      </c>
      <c r="N195" s="206">
        <v>0</v>
      </c>
      <c r="O195" s="115"/>
    </row>
    <row r="196" spans="1:15" hidden="1">
      <c r="A196" s="111">
        <v>11007</v>
      </c>
      <c r="B196" s="112" t="s">
        <v>88</v>
      </c>
      <c r="C196" s="115">
        <v>0</v>
      </c>
      <c r="D196" s="115">
        <v>0</v>
      </c>
      <c r="E196" s="115">
        <v>0</v>
      </c>
      <c r="F196" s="115">
        <v>0</v>
      </c>
      <c r="G196" s="115">
        <v>0</v>
      </c>
      <c r="H196" s="115">
        <v>0</v>
      </c>
      <c r="I196" s="115">
        <v>0</v>
      </c>
      <c r="J196" s="115">
        <v>0</v>
      </c>
      <c r="K196" s="115">
        <v>0</v>
      </c>
      <c r="L196" s="115">
        <v>0</v>
      </c>
      <c r="M196" s="115">
        <v>0</v>
      </c>
      <c r="N196" s="206">
        <v>0</v>
      </c>
      <c r="O196" s="115"/>
    </row>
    <row r="197" spans="1:15" hidden="1"/>
    <row r="198" spans="1:15" ht="21" hidden="1">
      <c r="A198" s="114" t="s">
        <v>90</v>
      </c>
      <c r="B198" s="114"/>
      <c r="C198" s="110" t="s">
        <v>15</v>
      </c>
      <c r="D198" s="110" t="s">
        <v>16</v>
      </c>
      <c r="E198" s="110" t="s">
        <v>17</v>
      </c>
      <c r="F198" s="110" t="s">
        <v>18</v>
      </c>
      <c r="G198" s="110" t="s">
        <v>19</v>
      </c>
      <c r="H198" s="110" t="s">
        <v>20</v>
      </c>
      <c r="I198" s="110" t="s">
        <v>21</v>
      </c>
      <c r="J198" s="110" t="s">
        <v>22</v>
      </c>
      <c r="K198" s="110" t="s">
        <v>23</v>
      </c>
      <c r="L198" s="110" t="s">
        <v>24</v>
      </c>
      <c r="M198" s="110" t="s">
        <v>25</v>
      </c>
      <c r="N198" s="204" t="s">
        <v>26</v>
      </c>
      <c r="O198" s="110"/>
    </row>
    <row r="199" spans="1:15" hidden="1">
      <c r="A199" s="111">
        <v>1147</v>
      </c>
      <c r="B199" s="112" t="s">
        <v>81</v>
      </c>
      <c r="C199" s="115">
        <v>0</v>
      </c>
      <c r="D199" s="115">
        <v>0</v>
      </c>
      <c r="E199" s="115">
        <v>0</v>
      </c>
      <c r="F199" s="115">
        <v>0</v>
      </c>
      <c r="G199" s="115">
        <v>0</v>
      </c>
      <c r="H199" s="115">
        <v>0</v>
      </c>
      <c r="I199" s="115">
        <v>0</v>
      </c>
      <c r="J199" s="115">
        <v>0</v>
      </c>
      <c r="K199" s="115">
        <v>0</v>
      </c>
      <c r="L199" s="115">
        <v>0</v>
      </c>
      <c r="M199" s="115">
        <v>0</v>
      </c>
      <c r="N199" s="206">
        <v>0</v>
      </c>
      <c r="O199" s="115"/>
    </row>
    <row r="200" spans="1:15" hidden="1">
      <c r="A200" s="111">
        <v>1149</v>
      </c>
      <c r="B200" s="112" t="s">
        <v>41</v>
      </c>
      <c r="C200" s="115">
        <v>0</v>
      </c>
      <c r="D200" s="115">
        <v>0</v>
      </c>
      <c r="E200" s="115">
        <v>0</v>
      </c>
      <c r="F200" s="115">
        <v>0</v>
      </c>
      <c r="G200" s="115">
        <v>0</v>
      </c>
      <c r="H200" s="115">
        <v>0</v>
      </c>
      <c r="I200" s="115">
        <v>0</v>
      </c>
      <c r="J200" s="115">
        <v>0</v>
      </c>
      <c r="K200" s="115">
        <v>0</v>
      </c>
      <c r="L200" s="115">
        <v>0</v>
      </c>
      <c r="M200" s="115">
        <v>0</v>
      </c>
      <c r="N200" s="206">
        <v>0</v>
      </c>
      <c r="O200" s="115"/>
    </row>
    <row r="201" spans="1:15" hidden="1">
      <c r="A201" s="111">
        <v>1163</v>
      </c>
      <c r="B201" s="112" t="s">
        <v>42</v>
      </c>
      <c r="C201" s="115">
        <v>0</v>
      </c>
      <c r="D201" s="115">
        <v>0</v>
      </c>
      <c r="E201" s="115">
        <v>0</v>
      </c>
      <c r="F201" s="115">
        <v>0</v>
      </c>
      <c r="G201" s="115">
        <v>0</v>
      </c>
      <c r="H201" s="115">
        <v>0</v>
      </c>
      <c r="I201" s="115">
        <v>0</v>
      </c>
      <c r="J201" s="115">
        <v>0</v>
      </c>
      <c r="K201" s="115">
        <v>0</v>
      </c>
      <c r="L201" s="115">
        <v>0</v>
      </c>
      <c r="M201" s="115">
        <v>0</v>
      </c>
      <c r="N201" s="206">
        <v>0</v>
      </c>
      <c r="O201" s="115"/>
    </row>
    <row r="202" spans="1:15" hidden="1">
      <c r="A202" s="111">
        <v>1376</v>
      </c>
      <c r="B202" s="112" t="s">
        <v>43</v>
      </c>
      <c r="C202" s="115">
        <v>0</v>
      </c>
      <c r="D202" s="115">
        <v>0</v>
      </c>
      <c r="E202" s="115">
        <v>0</v>
      </c>
      <c r="F202" s="115">
        <v>0</v>
      </c>
      <c r="G202" s="115">
        <v>0</v>
      </c>
      <c r="H202" s="115">
        <v>0</v>
      </c>
      <c r="I202" s="115">
        <v>0</v>
      </c>
      <c r="J202" s="115">
        <v>0</v>
      </c>
      <c r="K202" s="115">
        <v>0</v>
      </c>
      <c r="L202" s="115">
        <v>0</v>
      </c>
      <c r="M202" s="115">
        <v>0</v>
      </c>
      <c r="N202" s="206">
        <v>0</v>
      </c>
      <c r="O202" s="115"/>
    </row>
    <row r="203" spans="1:15" hidden="1">
      <c r="A203" s="111">
        <v>2172</v>
      </c>
      <c r="B203" s="112" t="s">
        <v>44</v>
      </c>
      <c r="C203" s="115">
        <v>0</v>
      </c>
      <c r="D203" s="115">
        <v>0</v>
      </c>
      <c r="E203" s="115">
        <v>0</v>
      </c>
      <c r="F203" s="115">
        <v>0</v>
      </c>
      <c r="G203" s="115">
        <v>0</v>
      </c>
      <c r="H203" s="115">
        <v>0</v>
      </c>
      <c r="I203" s="115">
        <v>0</v>
      </c>
      <c r="J203" s="115">
        <v>0</v>
      </c>
      <c r="K203" s="115">
        <v>0</v>
      </c>
      <c r="L203" s="115">
        <v>0</v>
      </c>
      <c r="M203" s="115">
        <v>0</v>
      </c>
      <c r="N203" s="206">
        <v>0</v>
      </c>
      <c r="O203" s="115"/>
    </row>
    <row r="204" spans="1:15" hidden="1">
      <c r="A204" s="111">
        <v>2526</v>
      </c>
      <c r="B204" s="112" t="s">
        <v>45</v>
      </c>
      <c r="C204" s="115">
        <v>0</v>
      </c>
      <c r="D204" s="115">
        <v>0</v>
      </c>
      <c r="E204" s="115">
        <v>0</v>
      </c>
      <c r="F204" s="115">
        <v>0</v>
      </c>
      <c r="G204" s="115">
        <v>0</v>
      </c>
      <c r="H204" s="115">
        <v>0</v>
      </c>
      <c r="I204" s="115">
        <v>0</v>
      </c>
      <c r="J204" s="115">
        <v>0</v>
      </c>
      <c r="K204" s="115">
        <v>0</v>
      </c>
      <c r="L204" s="115">
        <v>0</v>
      </c>
      <c r="M204" s="115">
        <v>0</v>
      </c>
      <c r="N204" s="206">
        <v>0</v>
      </c>
      <c r="O204" s="115"/>
    </row>
    <row r="205" spans="1:15" hidden="1">
      <c r="A205" s="111">
        <v>4179</v>
      </c>
      <c r="B205" s="112" t="s">
        <v>82</v>
      </c>
      <c r="C205" s="115">
        <v>0</v>
      </c>
      <c r="D205" s="115">
        <v>0</v>
      </c>
      <c r="E205" s="115">
        <v>0</v>
      </c>
      <c r="F205" s="115">
        <v>0</v>
      </c>
      <c r="G205" s="115">
        <v>0</v>
      </c>
      <c r="H205" s="115">
        <v>0</v>
      </c>
      <c r="I205" s="115">
        <v>0</v>
      </c>
      <c r="J205" s="115">
        <v>0</v>
      </c>
      <c r="K205" s="115">
        <v>0</v>
      </c>
      <c r="L205" s="115">
        <v>0</v>
      </c>
      <c r="M205" s="115">
        <v>0</v>
      </c>
      <c r="N205" s="206">
        <v>0</v>
      </c>
      <c r="O205" s="115"/>
    </row>
    <row r="206" spans="1:15" hidden="1">
      <c r="A206" s="111">
        <v>4188</v>
      </c>
      <c r="B206" s="112" t="s">
        <v>83</v>
      </c>
      <c r="C206" s="115">
        <v>0</v>
      </c>
      <c r="D206" s="115">
        <v>0</v>
      </c>
      <c r="E206" s="115">
        <v>0</v>
      </c>
      <c r="F206" s="115">
        <v>0</v>
      </c>
      <c r="G206" s="115">
        <v>0</v>
      </c>
      <c r="H206" s="115">
        <v>0</v>
      </c>
      <c r="I206" s="115">
        <v>0</v>
      </c>
      <c r="J206" s="115">
        <v>0</v>
      </c>
      <c r="K206" s="115">
        <v>0</v>
      </c>
      <c r="L206" s="115">
        <v>0</v>
      </c>
      <c r="M206" s="115">
        <v>0</v>
      </c>
      <c r="N206" s="206">
        <v>0</v>
      </c>
      <c r="O206" s="115"/>
    </row>
    <row r="207" spans="1:15" hidden="1">
      <c r="A207" s="111">
        <v>5317</v>
      </c>
      <c r="B207" s="112" t="s">
        <v>48</v>
      </c>
      <c r="C207" s="115">
        <v>0</v>
      </c>
      <c r="D207" s="115">
        <v>0</v>
      </c>
      <c r="E207" s="115">
        <v>0</v>
      </c>
      <c r="F207" s="115">
        <v>0</v>
      </c>
      <c r="G207" s="115">
        <v>0</v>
      </c>
      <c r="H207" s="115">
        <v>0</v>
      </c>
      <c r="I207" s="115">
        <v>0</v>
      </c>
      <c r="J207" s="115">
        <v>0</v>
      </c>
      <c r="K207" s="115">
        <v>0</v>
      </c>
      <c r="L207" s="115">
        <v>0</v>
      </c>
      <c r="M207" s="115">
        <v>0</v>
      </c>
      <c r="N207" s="206">
        <v>0</v>
      </c>
      <c r="O207" s="115"/>
    </row>
    <row r="208" spans="1:15" hidden="1">
      <c r="A208" s="111">
        <v>6410</v>
      </c>
      <c r="B208" s="112" t="s">
        <v>84</v>
      </c>
      <c r="C208" s="115">
        <v>0</v>
      </c>
      <c r="D208" s="115">
        <v>0</v>
      </c>
      <c r="E208" s="115">
        <v>0</v>
      </c>
      <c r="F208" s="115">
        <v>0</v>
      </c>
      <c r="G208" s="115">
        <v>0</v>
      </c>
      <c r="H208" s="115">
        <v>0</v>
      </c>
      <c r="I208" s="115">
        <v>0</v>
      </c>
      <c r="J208" s="115">
        <v>0</v>
      </c>
      <c r="K208" s="115">
        <v>0</v>
      </c>
      <c r="L208" s="115">
        <v>0</v>
      </c>
      <c r="M208" s="115">
        <v>0</v>
      </c>
      <c r="N208" s="206">
        <v>0</v>
      </c>
      <c r="O208" s="115"/>
    </row>
    <row r="209" spans="1:15" hidden="1">
      <c r="A209" s="111">
        <v>6947</v>
      </c>
      <c r="B209" s="112" t="s">
        <v>85</v>
      </c>
      <c r="C209" s="115">
        <v>0</v>
      </c>
      <c r="D209" s="115">
        <v>0</v>
      </c>
      <c r="E209" s="115">
        <v>0</v>
      </c>
      <c r="F209" s="115">
        <v>0</v>
      </c>
      <c r="G209" s="115">
        <v>0</v>
      </c>
      <c r="H209" s="115">
        <v>0</v>
      </c>
      <c r="I209" s="115">
        <v>0</v>
      </c>
      <c r="J209" s="115">
        <v>0</v>
      </c>
      <c r="K209" s="115">
        <v>0</v>
      </c>
      <c r="L209" s="115">
        <v>0</v>
      </c>
      <c r="M209" s="115">
        <v>0</v>
      </c>
      <c r="N209" s="206">
        <v>0</v>
      </c>
      <c r="O209" s="115"/>
    </row>
    <row r="210" spans="1:15" hidden="1">
      <c r="A210" s="111">
        <v>7167</v>
      </c>
      <c r="B210" s="112" t="s">
        <v>86</v>
      </c>
      <c r="C210" s="115">
        <v>0</v>
      </c>
      <c r="D210" s="115">
        <v>0</v>
      </c>
      <c r="E210" s="115">
        <v>0</v>
      </c>
      <c r="F210" s="115">
        <v>0</v>
      </c>
      <c r="G210" s="115">
        <v>0</v>
      </c>
      <c r="H210" s="115">
        <v>0</v>
      </c>
      <c r="I210" s="115">
        <v>0</v>
      </c>
      <c r="J210" s="115">
        <v>0</v>
      </c>
      <c r="K210" s="115">
        <v>0</v>
      </c>
      <c r="L210" s="115">
        <v>0</v>
      </c>
      <c r="M210" s="115">
        <v>0</v>
      </c>
      <c r="N210" s="206">
        <v>0</v>
      </c>
      <c r="O210" s="115"/>
    </row>
    <row r="211" spans="1:15" hidden="1">
      <c r="A211" s="111">
        <v>5465</v>
      </c>
      <c r="B211" s="112" t="s">
        <v>52</v>
      </c>
      <c r="C211" s="115">
        <v>0</v>
      </c>
      <c r="D211" s="115">
        <v>0</v>
      </c>
      <c r="E211" s="115">
        <v>0</v>
      </c>
      <c r="F211" s="115">
        <v>0</v>
      </c>
      <c r="G211" s="115">
        <v>0</v>
      </c>
      <c r="H211" s="115">
        <v>0</v>
      </c>
      <c r="I211" s="115">
        <v>0</v>
      </c>
      <c r="J211" s="115">
        <v>0</v>
      </c>
      <c r="K211" s="115">
        <v>0</v>
      </c>
      <c r="L211" s="115">
        <v>0</v>
      </c>
      <c r="M211" s="115">
        <v>0</v>
      </c>
      <c r="N211" s="206">
        <v>0</v>
      </c>
      <c r="O211" s="115"/>
    </row>
    <row r="212" spans="1:15" hidden="1">
      <c r="A212" s="111">
        <v>8244</v>
      </c>
      <c r="B212" s="112" t="s">
        <v>53</v>
      </c>
      <c r="C212" s="115">
        <v>0</v>
      </c>
      <c r="D212" s="115">
        <v>0</v>
      </c>
      <c r="E212" s="115">
        <v>0</v>
      </c>
      <c r="F212" s="115">
        <v>0</v>
      </c>
      <c r="G212" s="115">
        <v>0</v>
      </c>
      <c r="H212" s="115">
        <v>0</v>
      </c>
      <c r="I212" s="115">
        <v>0</v>
      </c>
      <c r="J212" s="115">
        <v>0</v>
      </c>
      <c r="K212" s="115">
        <v>0</v>
      </c>
      <c r="L212" s="115">
        <v>0</v>
      </c>
      <c r="M212" s="115">
        <v>0</v>
      </c>
      <c r="N212" s="206">
        <v>0</v>
      </c>
      <c r="O212" s="115"/>
    </row>
    <row r="213" spans="1:15" hidden="1">
      <c r="A213" s="111">
        <v>9191</v>
      </c>
      <c r="B213" s="112" t="s">
        <v>87</v>
      </c>
      <c r="C213" s="115">
        <v>0</v>
      </c>
      <c r="D213" s="115">
        <v>0</v>
      </c>
      <c r="E213" s="115">
        <v>0</v>
      </c>
      <c r="F213" s="115">
        <v>0</v>
      </c>
      <c r="G213" s="115">
        <v>0</v>
      </c>
      <c r="H213" s="115">
        <v>0</v>
      </c>
      <c r="I213" s="115">
        <v>0</v>
      </c>
      <c r="J213" s="115">
        <v>0</v>
      </c>
      <c r="K213" s="115">
        <v>0</v>
      </c>
      <c r="L213" s="115">
        <v>0</v>
      </c>
      <c r="M213" s="115">
        <v>0</v>
      </c>
      <c r="N213" s="206">
        <v>0</v>
      </c>
      <c r="O213" s="115"/>
    </row>
    <row r="214" spans="1:15" hidden="1">
      <c r="A214" s="111">
        <v>9235</v>
      </c>
      <c r="B214" s="112" t="s">
        <v>55</v>
      </c>
      <c r="C214" s="115">
        <v>0</v>
      </c>
      <c r="D214" s="115">
        <v>0</v>
      </c>
      <c r="E214" s="115">
        <v>0</v>
      </c>
      <c r="F214" s="115">
        <v>0</v>
      </c>
      <c r="G214" s="115">
        <v>0</v>
      </c>
      <c r="H214" s="115">
        <v>0</v>
      </c>
      <c r="I214" s="115">
        <v>0</v>
      </c>
      <c r="J214" s="115">
        <v>0</v>
      </c>
      <c r="K214" s="115">
        <v>0</v>
      </c>
      <c r="L214" s="115">
        <v>0</v>
      </c>
      <c r="M214" s="115">
        <v>0</v>
      </c>
      <c r="N214" s="206">
        <v>0</v>
      </c>
      <c r="O214" s="115"/>
    </row>
    <row r="215" spans="1:15" hidden="1">
      <c r="A215" s="111">
        <v>9885</v>
      </c>
      <c r="B215" s="112" t="s">
        <v>56</v>
      </c>
      <c r="C215" s="115">
        <v>0</v>
      </c>
      <c r="D215" s="115">
        <v>0</v>
      </c>
      <c r="E215" s="115">
        <v>0</v>
      </c>
      <c r="F215" s="115">
        <v>0</v>
      </c>
      <c r="G215" s="115">
        <v>0</v>
      </c>
      <c r="H215" s="115">
        <v>0</v>
      </c>
      <c r="I215" s="115">
        <v>0</v>
      </c>
      <c r="J215" s="115">
        <v>0</v>
      </c>
      <c r="K215" s="115">
        <v>0</v>
      </c>
      <c r="L215" s="115">
        <v>0</v>
      </c>
      <c r="M215" s="115">
        <v>0</v>
      </c>
      <c r="N215" s="206">
        <v>0</v>
      </c>
      <c r="O215" s="115"/>
    </row>
    <row r="216" spans="1:15" hidden="1">
      <c r="A216" s="111">
        <v>9893</v>
      </c>
      <c r="B216" s="112" t="s">
        <v>57</v>
      </c>
      <c r="C216" s="115">
        <v>0</v>
      </c>
      <c r="D216" s="115">
        <v>0</v>
      </c>
      <c r="E216" s="115">
        <v>0</v>
      </c>
      <c r="F216" s="115">
        <v>0</v>
      </c>
      <c r="G216" s="115">
        <v>0</v>
      </c>
      <c r="H216" s="115">
        <v>0</v>
      </c>
      <c r="I216" s="115">
        <v>0</v>
      </c>
      <c r="J216" s="115">
        <v>0</v>
      </c>
      <c r="K216" s="115">
        <v>0</v>
      </c>
      <c r="L216" s="115">
        <v>0</v>
      </c>
      <c r="M216" s="115">
        <v>0</v>
      </c>
      <c r="N216" s="206">
        <v>0</v>
      </c>
      <c r="O216" s="115"/>
    </row>
    <row r="217" spans="1:15" hidden="1">
      <c r="A217" s="111">
        <v>5170</v>
      </c>
      <c r="B217" s="112" t="s">
        <v>58</v>
      </c>
      <c r="C217" s="115">
        <v>0</v>
      </c>
      <c r="D217" s="115">
        <v>0</v>
      </c>
      <c r="E217" s="115">
        <v>0</v>
      </c>
      <c r="F217" s="115">
        <v>0</v>
      </c>
      <c r="G217" s="115">
        <v>0</v>
      </c>
      <c r="H217" s="115">
        <v>0</v>
      </c>
      <c r="I217" s="115">
        <v>0</v>
      </c>
      <c r="J217" s="115">
        <v>0</v>
      </c>
      <c r="K217" s="115">
        <v>0</v>
      </c>
      <c r="L217" s="115">
        <v>0</v>
      </c>
      <c r="M217" s="115">
        <v>0</v>
      </c>
      <c r="N217" s="206">
        <v>0</v>
      </c>
      <c r="O217" s="115"/>
    </row>
    <row r="218" spans="1:15" hidden="1">
      <c r="A218" s="111">
        <v>11007</v>
      </c>
      <c r="B218" s="112" t="s">
        <v>88</v>
      </c>
      <c r="C218" s="115">
        <v>0</v>
      </c>
      <c r="D218" s="115">
        <v>0</v>
      </c>
      <c r="E218" s="115">
        <v>0</v>
      </c>
      <c r="F218" s="115">
        <v>0</v>
      </c>
      <c r="G218" s="115">
        <v>0</v>
      </c>
      <c r="H218" s="115">
        <v>0</v>
      </c>
      <c r="I218" s="115">
        <v>0</v>
      </c>
      <c r="J218" s="115">
        <v>0</v>
      </c>
      <c r="K218" s="115">
        <v>0</v>
      </c>
      <c r="L218" s="115">
        <v>0</v>
      </c>
      <c r="M218" s="115">
        <v>0</v>
      </c>
      <c r="N218" s="206">
        <v>0</v>
      </c>
      <c r="O218" s="115"/>
    </row>
    <row r="219" spans="1:15" hidden="1"/>
    <row r="220" spans="1:15" hidden="1"/>
    <row r="221" spans="1:15" hidden="1"/>
    <row r="222" spans="1:15" hidden="1"/>
    <row r="223" spans="1:15" hidden="1"/>
    <row r="224" spans="1:15" hidden="1"/>
  </sheetData>
  <mergeCells count="7">
    <mergeCell ref="A124:B124"/>
    <mergeCell ref="A1:B1"/>
    <mergeCell ref="D1:E1"/>
    <mergeCell ref="A67:B67"/>
    <mergeCell ref="A95:B95"/>
    <mergeCell ref="A6:B6"/>
    <mergeCell ref="A66:B6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3056-246A-420D-959F-855ABDA45594}">
  <sheetPr>
    <tabColor rgb="FF00B0F0"/>
    <outlinePr summaryBelow="0" summaryRight="0"/>
  </sheetPr>
  <dimension ref="A1:AQ347"/>
  <sheetViews>
    <sheetView showGridLines="0" zoomScale="60" zoomScaleNormal="60" workbookViewId="0">
      <pane xSplit="9" ySplit="3" topLeftCell="J4" activePane="bottomRight" state="frozen"/>
      <selection pane="bottomRight" activeCell="J8" sqref="J8"/>
      <selection pane="bottomLeft" activeCell="XET148" sqref="XET148"/>
      <selection pane="topRight" activeCell="XET148" sqref="XET148"/>
    </sheetView>
  </sheetViews>
  <sheetFormatPr defaultColWidth="11.42578125" defaultRowHeight="15" outlineLevelRow="2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9.7109375" style="191" customWidth="1"/>
    <col min="6" max="8" width="10.28515625" style="6" hidden="1" customWidth="1"/>
    <col min="9" max="9" width="49.85546875" style="5" customWidth="1"/>
    <col min="10" max="11" width="19.140625" style="4" customWidth="1" outlineLevel="1"/>
    <col min="12" max="12" width="19.5703125" style="4" customWidth="1" outlineLevel="1"/>
    <col min="13" max="15" width="19.140625" style="3" customWidth="1" outlineLevel="1"/>
    <col min="16" max="16" width="19.5703125" style="3" customWidth="1" outlineLevel="1"/>
    <col min="17" max="17" width="19.140625" style="4" customWidth="1" outlineLevel="1"/>
    <col min="18" max="18" width="19.5703125" style="3" customWidth="1" outlineLevel="1"/>
    <col min="19" max="19" width="19.140625" style="3" customWidth="1" outlineLevel="1"/>
    <col min="20" max="20" width="18.7109375" style="3" customWidth="1" outlineLevel="1"/>
    <col min="21" max="21" width="19.5703125" style="4" customWidth="1" outlineLevel="1"/>
    <col min="22" max="22" width="21" style="4" bestFit="1" customWidth="1"/>
    <col min="23" max="23" width="7.140625" style="83" bestFit="1" customWidth="1"/>
    <col min="24" max="24" width="1.140625" style="93" customWidth="1"/>
    <col min="25" max="25" width="19.5703125" style="4" customWidth="1" outlineLevel="1"/>
    <col min="26" max="27" width="17.7109375" style="4" customWidth="1" outlineLevel="1"/>
    <col min="28" max="28" width="18.7109375" style="3" customWidth="1" outlineLevel="1"/>
    <col min="29" max="29" width="19.5703125" style="3" customWidth="1" outlineLevel="1"/>
    <col min="30" max="30" width="19.140625" style="3" customWidth="1" outlineLevel="1"/>
    <col min="31" max="31" width="19.5703125" style="3" customWidth="1" outlineLevel="1"/>
    <col min="32" max="32" width="19.5703125" style="4" customWidth="1" outlineLevel="1"/>
    <col min="33" max="33" width="19.5703125" style="3" customWidth="1" outlineLevel="1"/>
    <col min="34" max="34" width="18.28515625" style="3" customWidth="1" outlineLevel="1"/>
    <col min="35" max="35" width="19.140625" style="3" customWidth="1" outlineLevel="1"/>
    <col min="36" max="36" width="19.140625" style="4" customWidth="1" outlineLevel="1"/>
    <col min="37" max="37" width="21" style="4" bestFit="1" customWidth="1"/>
    <col min="38" max="38" width="6.7109375" style="83" bestFit="1" customWidth="1"/>
    <col min="39" max="39" width="13" style="2" bestFit="1" customWidth="1"/>
    <col min="40" max="40" width="1.140625" style="93" customWidth="1" collapsed="1"/>
    <col min="41" max="41" width="21" style="4" bestFit="1" customWidth="1"/>
    <col min="42" max="42" width="6.7109375" style="83" bestFit="1" customWidth="1"/>
    <col min="43" max="43" width="13" style="2" bestFit="1" customWidth="1"/>
    <col min="44" max="60" width="11.42578125" style="1" customWidth="1"/>
    <col min="61" max="16384" width="11.42578125" style="1"/>
  </cols>
  <sheetData>
    <row r="1" spans="1:43" s="57" customFormat="1" ht="6.75" customHeight="1">
      <c r="A1" s="6"/>
      <c r="B1" s="8"/>
      <c r="C1" s="8"/>
      <c r="D1" s="6"/>
      <c r="E1" s="191"/>
      <c r="F1" s="6"/>
      <c r="G1" s="6"/>
      <c r="H1" s="6"/>
      <c r="I1" s="60" t="s">
        <v>91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v>3</v>
      </c>
      <c r="AA1" s="59">
        <v>4</v>
      </c>
      <c r="AB1" s="59">
        <v>5</v>
      </c>
      <c r="AC1" s="59">
        <v>6</v>
      </c>
      <c r="AD1" s="59">
        <v>7</v>
      </c>
      <c r="AE1" s="59"/>
      <c r="AF1" s="59"/>
      <c r="AG1" s="59"/>
      <c r="AH1" s="59"/>
      <c r="AI1" s="59"/>
      <c r="AJ1" s="59"/>
      <c r="AK1" s="59"/>
      <c r="AL1" s="68"/>
      <c r="AM1" s="58">
        <v>17</v>
      </c>
      <c r="AN1" s="84"/>
      <c r="AO1" s="59"/>
      <c r="AP1" s="68"/>
      <c r="AQ1" s="58">
        <v>17</v>
      </c>
    </row>
    <row r="2" spans="1:43" s="52" customFormat="1" ht="18.75">
      <c r="A2" s="55"/>
      <c r="B2" s="55"/>
      <c r="C2" s="55"/>
      <c r="D2" s="55"/>
      <c r="E2" s="192"/>
      <c r="F2" s="55"/>
      <c r="G2" s="55"/>
      <c r="H2" s="55"/>
      <c r="I2" s="54"/>
      <c r="J2" s="284">
        <v>2024</v>
      </c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6"/>
      <c r="V2" s="287" t="s">
        <v>92</v>
      </c>
      <c r="W2" s="288"/>
      <c r="X2" s="85"/>
      <c r="Y2" s="284">
        <v>2025</v>
      </c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6"/>
      <c r="AK2" s="287" t="s">
        <v>93</v>
      </c>
      <c r="AL2" s="288"/>
      <c r="AM2" s="289"/>
      <c r="AN2" s="85"/>
      <c r="AO2" s="287" t="s">
        <v>94</v>
      </c>
      <c r="AP2" s="288"/>
      <c r="AQ2" s="289"/>
    </row>
    <row r="3" spans="1:43" s="44" customFormat="1" ht="21">
      <c r="A3" s="50"/>
      <c r="B3" s="51"/>
      <c r="C3" s="51"/>
      <c r="D3" s="50"/>
      <c r="E3" s="193"/>
      <c r="F3" s="48"/>
      <c r="G3" s="48"/>
      <c r="H3" s="48"/>
      <c r="I3" s="47"/>
      <c r="J3" s="134" t="s">
        <v>69</v>
      </c>
      <c r="K3" s="64" t="s">
        <v>70</v>
      </c>
      <c r="L3" s="64" t="s">
        <v>71</v>
      </c>
      <c r="M3" s="61" t="s">
        <v>72</v>
      </c>
      <c r="N3" s="61" t="s">
        <v>73</v>
      </c>
      <c r="O3" s="61" t="s">
        <v>74</v>
      </c>
      <c r="P3" s="61" t="s">
        <v>75</v>
      </c>
      <c r="Q3" s="63" t="s">
        <v>76</v>
      </c>
      <c r="R3" s="61" t="s">
        <v>77</v>
      </c>
      <c r="S3" s="61" t="s">
        <v>78</v>
      </c>
      <c r="T3" s="61" t="s">
        <v>79</v>
      </c>
      <c r="U3" s="62" t="s">
        <v>80</v>
      </c>
      <c r="V3" s="46">
        <v>2024</v>
      </c>
      <c r="W3" s="69" t="s">
        <v>95</v>
      </c>
      <c r="X3" s="86"/>
      <c r="Y3" s="134" t="s">
        <v>69</v>
      </c>
      <c r="Z3" s="64" t="s">
        <v>70</v>
      </c>
      <c r="AA3" s="64" t="s">
        <v>71</v>
      </c>
      <c r="AB3" s="61" t="s">
        <v>72</v>
      </c>
      <c r="AC3" s="61" t="s">
        <v>73</v>
      </c>
      <c r="AD3" s="61" t="s">
        <v>74</v>
      </c>
      <c r="AE3" s="61" t="s">
        <v>75</v>
      </c>
      <c r="AF3" s="63" t="s">
        <v>76</v>
      </c>
      <c r="AG3" s="61" t="s">
        <v>77</v>
      </c>
      <c r="AH3" s="61" t="s">
        <v>78</v>
      </c>
      <c r="AI3" s="61" t="s">
        <v>79</v>
      </c>
      <c r="AJ3" s="62" t="s">
        <v>80</v>
      </c>
      <c r="AK3" s="46">
        <v>2025</v>
      </c>
      <c r="AL3" s="69" t="s">
        <v>95</v>
      </c>
      <c r="AM3" s="45" t="s">
        <v>96</v>
      </c>
      <c r="AN3" s="86"/>
      <c r="AO3" s="46">
        <v>2024</v>
      </c>
      <c r="AP3" s="69" t="s">
        <v>95</v>
      </c>
      <c r="AQ3" s="45" t="s">
        <v>96</v>
      </c>
    </row>
    <row r="4" spans="1:43">
      <c r="I4" s="43" t="s">
        <v>97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  <c r="AN4" s="87"/>
      <c r="AO4" s="9"/>
      <c r="AP4" s="70"/>
      <c r="AQ4" s="40"/>
    </row>
    <row r="5" spans="1:43">
      <c r="A5" s="8"/>
      <c r="D5" s="8"/>
      <c r="E5" s="194"/>
      <c r="F5" s="8"/>
      <c r="G5" s="8"/>
      <c r="H5" s="8"/>
      <c r="I5" s="41"/>
      <c r="J5" s="241"/>
      <c r="K5" s="241"/>
      <c r="L5" s="241"/>
      <c r="M5" s="241"/>
      <c r="N5" s="241"/>
      <c r="O5" s="241"/>
      <c r="P5" s="1"/>
      <c r="Q5" s="241"/>
      <c r="R5" s="1"/>
      <c r="S5" s="1"/>
      <c r="T5" s="1"/>
      <c r="U5" s="263"/>
      <c r="V5" s="241"/>
      <c r="W5" s="242"/>
      <c r="X5" s="243"/>
      <c r="Y5" s="241"/>
      <c r="Z5" s="241"/>
      <c r="AA5" s="241"/>
      <c r="AB5" s="241"/>
      <c r="AC5" s="241"/>
      <c r="AD5" s="241"/>
      <c r="AE5" s="1"/>
      <c r="AF5" s="241"/>
      <c r="AG5" s="1"/>
      <c r="AH5" s="1"/>
      <c r="AI5" s="1"/>
      <c r="AJ5" s="241"/>
      <c r="AK5" s="241"/>
      <c r="AL5" s="242"/>
      <c r="AM5" s="40"/>
      <c r="AN5" s="243"/>
      <c r="AO5" s="241"/>
      <c r="AP5" s="242"/>
      <c r="AQ5" s="40"/>
    </row>
    <row r="6" spans="1:43">
      <c r="A6" s="12" t="s">
        <v>98</v>
      </c>
      <c r="B6" s="19"/>
      <c r="C6" s="19"/>
      <c r="D6" s="12"/>
      <c r="E6" s="191" t="s">
        <v>99</v>
      </c>
      <c r="I6" s="170" t="s">
        <v>100</v>
      </c>
      <c r="J6" s="15">
        <f t="shared" ref="J6:V6" si="0">SUM(J7:J12)</f>
        <v>17192824</v>
      </c>
      <c r="K6" s="15">
        <f t="shared" si="0"/>
        <v>15590830</v>
      </c>
      <c r="L6" s="15">
        <f t="shared" si="0"/>
        <v>18254554</v>
      </c>
      <c r="M6" s="15">
        <f t="shared" si="0"/>
        <v>17513698</v>
      </c>
      <c r="N6" s="15">
        <f t="shared" si="0"/>
        <v>19514034</v>
      </c>
      <c r="O6" s="15">
        <f t="shared" si="0"/>
        <v>18936949</v>
      </c>
      <c r="P6" s="15">
        <f t="shared" si="0"/>
        <v>18138616</v>
      </c>
      <c r="Q6" s="15">
        <f t="shared" si="0"/>
        <v>18621506</v>
      </c>
      <c r="R6" s="15">
        <f t="shared" si="0"/>
        <v>19604953</v>
      </c>
      <c r="S6" s="15">
        <f t="shared" si="0"/>
        <v>20801505</v>
      </c>
      <c r="T6" s="15">
        <f t="shared" si="0"/>
        <v>19675988</v>
      </c>
      <c r="U6" s="15">
        <f t="shared" si="0"/>
        <v>20027482</v>
      </c>
      <c r="V6" s="15">
        <f t="shared" si="0"/>
        <v>223872939</v>
      </c>
      <c r="W6" s="72">
        <f t="shared" ref="W6:W34" si="1">V6/V$6</f>
        <v>1</v>
      </c>
      <c r="X6" s="89"/>
      <c r="Y6" s="15">
        <f t="shared" ref="Y6:AK6" si="2">SUM(Y7:Y12)</f>
        <v>18780610.57698315</v>
      </c>
      <c r="Z6" s="15">
        <f t="shared" si="2"/>
        <v>17035191.84698315</v>
      </c>
      <c r="AA6" s="15">
        <f t="shared" si="2"/>
        <v>20269983.606983151</v>
      </c>
      <c r="AB6" s="15">
        <f t="shared" si="2"/>
        <v>19487181.636983152</v>
      </c>
      <c r="AC6" s="15">
        <f t="shared" si="2"/>
        <v>21864208.656983152</v>
      </c>
      <c r="AD6" s="15">
        <f t="shared" si="2"/>
        <v>21197315.606983148</v>
      </c>
      <c r="AE6" s="15">
        <f t="shared" si="2"/>
        <v>20370243.016983155</v>
      </c>
      <c r="AF6" s="15">
        <f t="shared" si="2"/>
        <v>20697143.366983153</v>
      </c>
      <c r="AG6" s="15">
        <f t="shared" si="2"/>
        <v>21947971.196983151</v>
      </c>
      <c r="AH6" s="15">
        <f t="shared" si="2"/>
        <v>23514210.136983156</v>
      </c>
      <c r="AI6" s="15">
        <f t="shared" si="2"/>
        <v>22914420.836983152</v>
      </c>
      <c r="AJ6" s="15">
        <f t="shared" si="2"/>
        <v>22662172.736983154</v>
      </c>
      <c r="AK6" s="15">
        <f t="shared" si="2"/>
        <v>250740653.22379783</v>
      </c>
      <c r="AL6" s="72">
        <f t="shared" ref="AL6:AL34" si="3">AK6/AK$6</f>
        <v>1</v>
      </c>
      <c r="AM6" s="10">
        <f>IFERROR(AK6/V6-1,0)</f>
        <v>0.12001322868146125</v>
      </c>
      <c r="AN6" s="89"/>
      <c r="AO6" s="241">
        <v>4407606220.2749462</v>
      </c>
      <c r="AP6" s="72">
        <v>1</v>
      </c>
      <c r="AQ6" s="178">
        <v>0.16822054208010018</v>
      </c>
    </row>
    <row r="7" spans="1:43" ht="15" customHeight="1" outlineLevel="1">
      <c r="A7" s="12" t="s">
        <v>98</v>
      </c>
      <c r="B7" s="19" t="s">
        <v>101</v>
      </c>
      <c r="C7" s="19" t="s">
        <v>102</v>
      </c>
      <c r="D7" s="12" t="s">
        <v>103</v>
      </c>
      <c r="E7" s="195"/>
      <c r="F7" s="12"/>
      <c r="G7" s="12"/>
      <c r="H7" s="12"/>
      <c r="I7" s="116" t="s">
        <v>27</v>
      </c>
      <c r="J7" s="65">
        <f>SUM(A:B!J7)</f>
        <v>13803132</v>
      </c>
      <c r="K7" s="65">
        <f>SUM(A:B!K7)</f>
        <v>12317959</v>
      </c>
      <c r="L7" s="65">
        <f>SUM(A:B!L7)</f>
        <v>14526332</v>
      </c>
      <c r="M7" s="65">
        <f>SUM(A:B!M7)</f>
        <v>13887455</v>
      </c>
      <c r="N7" s="65">
        <f>SUM(A:B!N7)</f>
        <v>15477447</v>
      </c>
      <c r="O7" s="65">
        <f>SUM(A:B!O7)</f>
        <v>15236060</v>
      </c>
      <c r="P7" s="65">
        <f>SUM(A:B!P7)</f>
        <v>14546459</v>
      </c>
      <c r="Q7" s="65">
        <f>SUM(A:B!Q7)</f>
        <v>14677535</v>
      </c>
      <c r="R7" s="65">
        <f>SUM(A:B!R7)</f>
        <v>15342133</v>
      </c>
      <c r="S7" s="65">
        <f>SUM(A:B!S7)</f>
        <v>16387138</v>
      </c>
      <c r="T7" s="65">
        <f>SUM(A:B!T7)</f>
        <v>15468935.333333332</v>
      </c>
      <c r="U7" s="65">
        <f>SUM(A:B!U7)</f>
        <v>15732735.444444446</v>
      </c>
      <c r="V7" s="11">
        <f t="shared" ref="V7:V33" si="4">SUM(J7:U7)</f>
        <v>177403320.77777779</v>
      </c>
      <c r="W7" s="73">
        <f t="shared" si="1"/>
        <v>0.79242860512845548</v>
      </c>
      <c r="X7" s="89"/>
      <c r="Y7" s="65">
        <f>SUM(A:B!Y7)</f>
        <v>15202951.606983151</v>
      </c>
      <c r="Z7" s="65">
        <f>SUM(A:B!Z7)</f>
        <v>13599663.606983151</v>
      </c>
      <c r="AA7" s="65">
        <f>SUM(A:B!AA7)</f>
        <v>16337793.606983153</v>
      </c>
      <c r="AB7" s="65">
        <f>SUM(A:B!AB7)</f>
        <v>15675014.206983153</v>
      </c>
      <c r="AC7" s="65">
        <f>SUM(A:B!AC7)</f>
        <v>17580791.206983153</v>
      </c>
      <c r="AD7" s="65">
        <f>SUM(A:B!AD7)</f>
        <v>17284829.206983149</v>
      </c>
      <c r="AE7" s="65">
        <f>SUM(A:B!AE7)</f>
        <v>16564120.006983154</v>
      </c>
      <c r="AF7" s="65">
        <f>SUM(A:B!AF7)</f>
        <v>16552820.806983152</v>
      </c>
      <c r="AG7" s="65">
        <f>SUM(A:B!AG7)</f>
        <v>17437004.606983151</v>
      </c>
      <c r="AH7" s="65">
        <f>SUM(A:B!AH7)</f>
        <v>18829160.206983153</v>
      </c>
      <c r="AI7" s="65">
        <f>SUM(A:B!AI7)</f>
        <v>18352796.206983149</v>
      </c>
      <c r="AJ7" s="65">
        <f>SUM(A:B!AJ7)</f>
        <v>18147056.606983151</v>
      </c>
      <c r="AK7" s="65">
        <f t="shared" ref="AK7:AK13" si="5">SUM(Y7:AJ7)</f>
        <v>201564001.88379782</v>
      </c>
      <c r="AL7" s="73">
        <f t="shared" si="3"/>
        <v>0.80387443875681563</v>
      </c>
      <c r="AM7" s="14">
        <f t="shared" ref="AM7:AM94" si="6">IFERROR(AK7/V7-1,0)</f>
        <v>0.13619069248587867</v>
      </c>
      <c r="AN7" s="89"/>
      <c r="AO7" s="244">
        <v>3488852532.8751698</v>
      </c>
      <c r="AP7" s="73">
        <v>0.79155268381882249</v>
      </c>
      <c r="AQ7" s="179">
        <v>0.14554128411305234</v>
      </c>
    </row>
    <row r="8" spans="1:43" ht="15" customHeight="1" outlineLevel="1">
      <c r="A8" s="12" t="s">
        <v>98</v>
      </c>
      <c r="B8" s="19" t="s">
        <v>101</v>
      </c>
      <c r="C8" s="19" t="s">
        <v>104</v>
      </c>
      <c r="D8" s="12" t="s">
        <v>105</v>
      </c>
      <c r="E8" s="195"/>
      <c r="F8" s="12"/>
      <c r="G8" s="12"/>
      <c r="H8" s="12"/>
      <c r="I8" s="116" t="s">
        <v>28</v>
      </c>
      <c r="J8" s="65">
        <f>SUM(A:B!J8)</f>
        <v>3260550</v>
      </c>
      <c r="K8" s="65">
        <f>SUM(A:B!K8)</f>
        <v>3155615</v>
      </c>
      <c r="L8" s="65">
        <f>SUM(A:B!L8)</f>
        <v>3577713</v>
      </c>
      <c r="M8" s="65">
        <f>SUM(A:B!M8)</f>
        <v>3447065</v>
      </c>
      <c r="N8" s="65">
        <f>SUM(A:B!N8)</f>
        <v>3825441</v>
      </c>
      <c r="O8" s="65">
        <f>SUM(A:B!O8)</f>
        <v>3528128</v>
      </c>
      <c r="P8" s="65">
        <f>SUM(A:B!P8)</f>
        <v>3411360</v>
      </c>
      <c r="Q8" s="65">
        <f>SUM(A:B!Q8)</f>
        <v>3791076</v>
      </c>
      <c r="R8" s="65">
        <f>SUM(A:B!R8)</f>
        <v>4112189</v>
      </c>
      <c r="S8" s="65">
        <f>SUM(A:B!S8)</f>
        <v>4239492</v>
      </c>
      <c r="T8" s="65">
        <f>SUM(A:B!T8)</f>
        <v>4047585.666666667</v>
      </c>
      <c r="U8" s="65">
        <f>SUM(A:B!U8)</f>
        <v>4133088.888888889</v>
      </c>
      <c r="V8" s="11">
        <f t="shared" si="4"/>
        <v>44529303.555555552</v>
      </c>
      <c r="W8" s="73">
        <f t="shared" si="1"/>
        <v>0.19890435956422384</v>
      </c>
      <c r="X8" s="89"/>
      <c r="Y8" s="65">
        <f>SUM(A:B!Y8)</f>
        <v>3435117.42</v>
      </c>
      <c r="Z8" s="65">
        <f>SUM(A:B!Z8)</f>
        <v>3306549.54</v>
      </c>
      <c r="AA8" s="65">
        <f>SUM(A:B!AA8)</f>
        <v>3769065.3</v>
      </c>
      <c r="AB8" s="65">
        <f>SUM(A:B!AB8)</f>
        <v>3620940.68</v>
      </c>
      <c r="AC8" s="65">
        <f>SUM(A:B!AC8)</f>
        <v>4053744.8</v>
      </c>
      <c r="AD8" s="65">
        <f>SUM(A:B!AD8)</f>
        <v>3728103.4</v>
      </c>
      <c r="AE8" s="65">
        <f>SUM(A:B!AE8)</f>
        <v>3609621.96</v>
      </c>
      <c r="AF8" s="65">
        <f>SUM(A:B!AF8)</f>
        <v>3976339.3600000003</v>
      </c>
      <c r="AG8" s="65">
        <f>SUM(A:B!AG8)</f>
        <v>4349879.9399999995</v>
      </c>
      <c r="AH8" s="65">
        <f>SUM(A:B!AH8)</f>
        <v>4528492.08</v>
      </c>
      <c r="AI8" s="65">
        <f>SUM(A:B!AI8)</f>
        <v>4407774.28</v>
      </c>
      <c r="AJ8" s="65">
        <f>SUM(A:B!AJ8)</f>
        <v>4355630.58</v>
      </c>
      <c r="AK8" s="65">
        <f t="shared" si="5"/>
        <v>47141259.339999996</v>
      </c>
      <c r="AL8" s="73">
        <f t="shared" si="3"/>
        <v>0.18800804230945431</v>
      </c>
      <c r="AM8" s="14">
        <f t="shared" si="6"/>
        <v>5.8657009561933204E-2</v>
      </c>
      <c r="AN8" s="89"/>
      <c r="AO8" s="244">
        <v>352855870.58677483</v>
      </c>
      <c r="AP8" s="73">
        <v>8.0056124107376295E-2</v>
      </c>
      <c r="AQ8" s="179">
        <v>0.26460768205757734</v>
      </c>
    </row>
    <row r="9" spans="1:43" ht="15" customHeight="1" outlineLevel="1">
      <c r="A9" s="12" t="s">
        <v>98</v>
      </c>
      <c r="B9" s="19" t="s">
        <v>101</v>
      </c>
      <c r="C9" s="19" t="s">
        <v>106</v>
      </c>
      <c r="D9" s="12" t="s">
        <v>107</v>
      </c>
      <c r="E9" s="195"/>
      <c r="F9" s="12"/>
      <c r="G9" s="12"/>
      <c r="H9" s="12"/>
      <c r="I9" s="116" t="s">
        <v>5</v>
      </c>
      <c r="J9" s="65">
        <f>SUM(A:B!J9)</f>
        <v>119320</v>
      </c>
      <c r="K9" s="65">
        <f>SUM(A:B!K9)</f>
        <v>108214</v>
      </c>
      <c r="L9" s="65">
        <f>SUM(A:B!L9)</f>
        <v>130827</v>
      </c>
      <c r="M9" s="65">
        <f>SUM(A:B!M9)</f>
        <v>157657</v>
      </c>
      <c r="N9" s="65">
        <f>SUM(A:B!N9)</f>
        <v>189122</v>
      </c>
      <c r="O9" s="65">
        <f>SUM(A:B!O9)</f>
        <v>151966</v>
      </c>
      <c r="P9" s="65">
        <f>SUM(A:B!P9)</f>
        <v>162434</v>
      </c>
      <c r="Q9" s="65">
        <f>SUM(A:B!Q9)</f>
        <v>130655</v>
      </c>
      <c r="R9" s="65">
        <f>SUM(A:B!R9)</f>
        <v>131725</v>
      </c>
      <c r="S9" s="65">
        <f>SUM(A:B!S9)</f>
        <v>149171</v>
      </c>
      <c r="T9" s="65">
        <f>SUM(A:B!T9)</f>
        <v>137183.66666666666</v>
      </c>
      <c r="U9" s="65">
        <f>SUM(A:B!U9)</f>
        <v>139359.88888888888</v>
      </c>
      <c r="V9" s="11">
        <f t="shared" si="4"/>
        <v>1707634.5555555555</v>
      </c>
      <c r="W9" s="73">
        <f t="shared" si="1"/>
        <v>7.6276952595666575E-3</v>
      </c>
      <c r="X9" s="89"/>
      <c r="Y9" s="65">
        <f>SUM(A:B!Y9)</f>
        <v>133961.54999999999</v>
      </c>
      <c r="Z9" s="65">
        <f>SUM(A:B!Z9)</f>
        <v>121418.7</v>
      </c>
      <c r="AA9" s="65">
        <f>SUM(A:B!AA9)</f>
        <v>147824.69999999998</v>
      </c>
      <c r="AB9" s="65">
        <f>SUM(A:B!AB9)</f>
        <v>176406.75</v>
      </c>
      <c r="AC9" s="65">
        <f>SUM(A:B!AC9)</f>
        <v>212152.65</v>
      </c>
      <c r="AD9" s="65">
        <f>SUM(A:B!AD9)</f>
        <v>169683</v>
      </c>
      <c r="AE9" s="65">
        <f>SUM(A:B!AE9)</f>
        <v>180661.05</v>
      </c>
      <c r="AF9" s="65">
        <f>SUM(A:B!AF9)</f>
        <v>151003.19999999998</v>
      </c>
      <c r="AG9" s="65">
        <f>SUM(A:B!AG9)</f>
        <v>146626.65</v>
      </c>
      <c r="AH9" s="65">
        <f>SUM(A:B!AH9)</f>
        <v>137237.85</v>
      </c>
      <c r="AI9" s="65">
        <f>SUM(A:B!AI9)</f>
        <v>133570.35</v>
      </c>
      <c r="AJ9" s="65">
        <f>SUM(A:B!AJ9)</f>
        <v>132005.54999999999</v>
      </c>
      <c r="AK9" s="65">
        <f t="shared" si="5"/>
        <v>1842552</v>
      </c>
      <c r="AL9" s="73">
        <f t="shared" si="3"/>
        <v>7.3484374245265912E-3</v>
      </c>
      <c r="AM9" s="14">
        <f t="shared" si="6"/>
        <v>7.9008382680889833E-2</v>
      </c>
      <c r="AN9" s="89"/>
      <c r="AO9" s="244">
        <v>565897816.81300128</v>
      </c>
      <c r="AP9" s="73">
        <v>0.12839119207380115</v>
      </c>
      <c r="AQ9" s="179">
        <v>0.30707460332354497</v>
      </c>
    </row>
    <row r="10" spans="1:43" ht="15" customHeight="1" outlineLevel="1">
      <c r="A10" s="12"/>
      <c r="B10" s="19"/>
      <c r="C10" s="19"/>
      <c r="D10" s="12"/>
      <c r="E10" s="195"/>
      <c r="F10" s="12"/>
      <c r="G10" s="12"/>
      <c r="H10" s="12"/>
      <c r="I10" s="116" t="s">
        <v>108</v>
      </c>
      <c r="J10" s="65">
        <f>SUM(A:B!J10)</f>
        <v>9822</v>
      </c>
      <c r="K10" s="65">
        <f>SUM(A:B!K10)</f>
        <v>9042</v>
      </c>
      <c r="L10" s="65">
        <f>SUM(A:B!L10)</f>
        <v>19682</v>
      </c>
      <c r="M10" s="65">
        <f>SUM(A:B!M10)</f>
        <v>21521</v>
      </c>
      <c r="N10" s="65">
        <f>SUM(A:B!N10)</f>
        <v>22024</v>
      </c>
      <c r="O10" s="65">
        <f>SUM(A:B!O10)</f>
        <v>20795</v>
      </c>
      <c r="P10" s="65">
        <f>SUM(A:B!P10)</f>
        <v>18363</v>
      </c>
      <c r="Q10" s="65">
        <f>SUM(A:B!Q10)</f>
        <v>22240</v>
      </c>
      <c r="R10" s="65">
        <f>SUM(A:B!R10)</f>
        <v>18906</v>
      </c>
      <c r="S10" s="65">
        <f>SUM(A:B!S10)</f>
        <v>25704</v>
      </c>
      <c r="T10" s="65">
        <f>SUM(A:B!T10)</f>
        <v>22283.333333333332</v>
      </c>
      <c r="U10" s="65">
        <f>SUM(A:B!U10)</f>
        <v>22297.777777777781</v>
      </c>
      <c r="V10" s="11">
        <f t="shared" si="4"/>
        <v>232680.11111111112</v>
      </c>
      <c r="W10" s="73">
        <f t="shared" si="1"/>
        <v>1.0393400477541018E-3</v>
      </c>
      <c r="X10" s="89"/>
      <c r="Y10" s="65">
        <f>SUM(A:B!Y10)</f>
        <v>8580</v>
      </c>
      <c r="Z10" s="65">
        <f>SUM(A:B!Z10)</f>
        <v>7560</v>
      </c>
      <c r="AA10" s="65">
        <f>SUM(A:B!AA10)</f>
        <v>15300</v>
      </c>
      <c r="AB10" s="65">
        <f>SUM(A:B!AB10)</f>
        <v>14820</v>
      </c>
      <c r="AC10" s="65">
        <f>SUM(A:B!AC10)</f>
        <v>17520</v>
      </c>
      <c r="AD10" s="65">
        <f>SUM(A:B!AD10)</f>
        <v>14700</v>
      </c>
      <c r="AE10" s="65">
        <f>SUM(A:B!AE10)</f>
        <v>15840</v>
      </c>
      <c r="AF10" s="65">
        <f>SUM(A:B!AF10)</f>
        <v>16980</v>
      </c>
      <c r="AG10" s="65">
        <f>SUM(A:B!AG10)</f>
        <v>14460</v>
      </c>
      <c r="AH10" s="65">
        <f>SUM(A:B!AH10)</f>
        <v>19320</v>
      </c>
      <c r="AI10" s="65">
        <f>SUM(A:B!AI10)</f>
        <v>20280</v>
      </c>
      <c r="AJ10" s="65">
        <f>SUM(A:B!AJ10)</f>
        <v>27480</v>
      </c>
      <c r="AK10" s="65">
        <f t="shared" si="5"/>
        <v>192840</v>
      </c>
      <c r="AL10" s="73">
        <f t="shared" si="3"/>
        <v>7.6908150920338087E-4</v>
      </c>
      <c r="AM10" s="14">
        <f t="shared" si="6"/>
        <v>-0.17122267528953683</v>
      </c>
      <c r="AN10" s="89"/>
      <c r="AO10" s="244">
        <v>0</v>
      </c>
      <c r="AP10" s="73">
        <v>0</v>
      </c>
      <c r="AQ10" s="179">
        <v>-1</v>
      </c>
    </row>
    <row r="11" spans="1:43" ht="15" customHeight="1" outlineLevel="1">
      <c r="A11" s="12"/>
      <c r="B11" s="19"/>
      <c r="C11" s="19"/>
      <c r="D11" s="12"/>
      <c r="E11" s="195"/>
      <c r="F11" s="12"/>
      <c r="G11" s="12"/>
      <c r="H11" s="12"/>
      <c r="I11" s="230" t="s">
        <v>109</v>
      </c>
      <c r="J11" s="65">
        <f>SUM(A:B!J11)</f>
        <v>0</v>
      </c>
      <c r="K11" s="65">
        <f>SUM(A:B!K11)</f>
        <v>0</v>
      </c>
      <c r="L11" s="65">
        <f>SUM(A:B!L11)</f>
        <v>0</v>
      </c>
      <c r="M11" s="65">
        <f>SUM(A:B!M11)</f>
        <v>0</v>
      </c>
      <c r="N11" s="65">
        <f>SUM(A:B!N11)</f>
        <v>0</v>
      </c>
      <c r="O11" s="65">
        <f>SUM(A:B!O11)</f>
        <v>0</v>
      </c>
      <c r="P11" s="65">
        <f>SUM(A:B!P11)</f>
        <v>0</v>
      </c>
      <c r="Q11" s="65">
        <f>SUM(A:B!Q11)</f>
        <v>0</v>
      </c>
      <c r="R11" s="65">
        <f>SUM(A:B!R11)</f>
        <v>0</v>
      </c>
      <c r="S11" s="65">
        <f>SUM(A:B!S11)</f>
        <v>0</v>
      </c>
      <c r="T11" s="65">
        <f>SUM(A:B!T11)</f>
        <v>0</v>
      </c>
      <c r="U11" s="65">
        <f>SUM(A:B!U11)</f>
        <v>0</v>
      </c>
      <c r="V11" s="11">
        <f t="shared" si="4"/>
        <v>0</v>
      </c>
      <c r="W11" s="73">
        <f t="shared" si="1"/>
        <v>0</v>
      </c>
      <c r="X11" s="89"/>
      <c r="Y11" s="65">
        <f>SUM(A:B!Y11)</f>
        <v>0</v>
      </c>
      <c r="Z11" s="65">
        <f>SUM(A:B!Z11)</f>
        <v>0</v>
      </c>
      <c r="AA11" s="65">
        <f>SUM(A:B!AA11)</f>
        <v>0</v>
      </c>
      <c r="AB11" s="65">
        <f>SUM(A:B!AB11)</f>
        <v>0</v>
      </c>
      <c r="AC11" s="65">
        <f>SUM(A:B!AC11)</f>
        <v>0</v>
      </c>
      <c r="AD11" s="65">
        <f>SUM(A:B!AD11)</f>
        <v>0</v>
      </c>
      <c r="AE11" s="65">
        <f>SUM(A:B!AE11)</f>
        <v>0</v>
      </c>
      <c r="AF11" s="65">
        <f>SUM(A:B!AF11)</f>
        <v>0</v>
      </c>
      <c r="AG11" s="65">
        <f>SUM(A:B!AG11)</f>
        <v>0</v>
      </c>
      <c r="AH11" s="65">
        <f>SUM(A:B!AH11)</f>
        <v>0</v>
      </c>
      <c r="AI11" s="65">
        <f>SUM(A:B!AI11)</f>
        <v>0</v>
      </c>
      <c r="AJ11" s="65">
        <f>SUM(A:B!AJ11)</f>
        <v>0</v>
      </c>
      <c r="AK11" s="65">
        <f t="shared" si="5"/>
        <v>0</v>
      </c>
      <c r="AL11" s="73">
        <f t="shared" si="3"/>
        <v>0</v>
      </c>
      <c r="AM11" s="14">
        <f t="shared" si="6"/>
        <v>0</v>
      </c>
      <c r="AN11" s="89"/>
      <c r="AO11" s="244">
        <v>0</v>
      </c>
      <c r="AP11" s="73">
        <v>0</v>
      </c>
      <c r="AQ11" s="179">
        <v>-1</v>
      </c>
    </row>
    <row r="12" spans="1:43" ht="15" customHeight="1" outlineLevel="1">
      <c r="A12" s="12"/>
      <c r="B12" s="19"/>
      <c r="C12" s="19"/>
      <c r="D12" s="12"/>
      <c r="E12" s="195"/>
      <c r="F12" s="12"/>
      <c r="G12" s="12"/>
      <c r="H12" s="12"/>
      <c r="I12" s="116"/>
      <c r="J12" s="65">
        <f>SUM(A:B!J12)</f>
        <v>0</v>
      </c>
      <c r="K12" s="65">
        <f>SUM(A:B!K12)</f>
        <v>0</v>
      </c>
      <c r="L12" s="65">
        <f>SUM(A:B!L12)</f>
        <v>0</v>
      </c>
      <c r="M12" s="65">
        <f>SUM(A:B!M12)</f>
        <v>0</v>
      </c>
      <c r="N12" s="65">
        <f>SUM(A:B!N12)</f>
        <v>0</v>
      </c>
      <c r="O12" s="65">
        <f>SUM(A:B!O12)</f>
        <v>0</v>
      </c>
      <c r="P12" s="65">
        <f>SUM(A:B!P12)</f>
        <v>0</v>
      </c>
      <c r="Q12" s="65">
        <f>SUM(A:B!Q12)</f>
        <v>0</v>
      </c>
      <c r="R12" s="65">
        <f>SUM(A:B!R12)</f>
        <v>0</v>
      </c>
      <c r="S12" s="65">
        <f>SUM(A:B!S12)</f>
        <v>0</v>
      </c>
      <c r="T12" s="65">
        <f>SUM(A:B!T12)</f>
        <v>0</v>
      </c>
      <c r="U12" s="65">
        <f>SUM(A:B!U12)</f>
        <v>0</v>
      </c>
      <c r="V12" s="11">
        <f t="shared" si="4"/>
        <v>0</v>
      </c>
      <c r="W12" s="73">
        <f t="shared" si="1"/>
        <v>0</v>
      </c>
      <c r="X12" s="89"/>
      <c r="Y12" s="65">
        <f>SUM(A:B!Y12)</f>
        <v>0</v>
      </c>
      <c r="Z12" s="65">
        <f>SUM(A:B!Z12)</f>
        <v>0</v>
      </c>
      <c r="AA12" s="65">
        <f>SUM(A:B!AA12)</f>
        <v>0</v>
      </c>
      <c r="AB12" s="65">
        <f>SUM(A:B!AB12)</f>
        <v>0</v>
      </c>
      <c r="AC12" s="65">
        <f>SUM(A:B!AC12)</f>
        <v>0</v>
      </c>
      <c r="AD12" s="65">
        <f>SUM(A:B!AD12)</f>
        <v>0</v>
      </c>
      <c r="AE12" s="65">
        <f>SUM(A:B!AE12)</f>
        <v>0</v>
      </c>
      <c r="AF12" s="65">
        <f>SUM(A:B!AF12)</f>
        <v>0</v>
      </c>
      <c r="AG12" s="65">
        <f>SUM(A:B!AG12)</f>
        <v>0</v>
      </c>
      <c r="AH12" s="65">
        <f>SUM(A:B!AH12)</f>
        <v>0</v>
      </c>
      <c r="AI12" s="65">
        <f>SUM(A:B!AI12)</f>
        <v>0</v>
      </c>
      <c r="AJ12" s="65">
        <f>SUM(A:B!AJ12)</f>
        <v>0</v>
      </c>
      <c r="AK12" s="65">
        <f t="shared" si="5"/>
        <v>0</v>
      </c>
      <c r="AL12" s="73">
        <f t="shared" si="3"/>
        <v>0</v>
      </c>
      <c r="AM12" s="14">
        <f t="shared" si="6"/>
        <v>0</v>
      </c>
      <c r="AN12" s="89"/>
      <c r="AO12" s="244">
        <v>0</v>
      </c>
      <c r="AP12" s="73">
        <v>0</v>
      </c>
      <c r="AQ12" s="179">
        <v>0</v>
      </c>
    </row>
    <row r="13" spans="1:43">
      <c r="A13" s="12" t="s">
        <v>110</v>
      </c>
      <c r="B13" s="19"/>
      <c r="E13" s="191" t="s">
        <v>111</v>
      </c>
      <c r="I13" s="170" t="s">
        <v>112</v>
      </c>
      <c r="J13" s="15">
        <f t="shared" ref="J13:V13" si="7">SUM(J14:J30)</f>
        <v>16106343</v>
      </c>
      <c r="K13" s="15">
        <f t="shared" si="7"/>
        <v>14418436</v>
      </c>
      <c r="L13" s="15">
        <f t="shared" si="7"/>
        <v>16740719</v>
      </c>
      <c r="M13" s="15">
        <f t="shared" si="7"/>
        <v>15910764</v>
      </c>
      <c r="N13" s="15">
        <f t="shared" si="7"/>
        <v>17765346</v>
      </c>
      <c r="O13" s="15">
        <f t="shared" si="7"/>
        <v>17171141</v>
      </c>
      <c r="P13" s="15">
        <f t="shared" si="7"/>
        <v>16730167</v>
      </c>
      <c r="Q13" s="15">
        <f t="shared" si="7"/>
        <v>17141232</v>
      </c>
      <c r="R13" s="15">
        <f t="shared" si="7"/>
        <v>18015268</v>
      </c>
      <c r="S13" s="15">
        <f t="shared" si="7"/>
        <v>19091775</v>
      </c>
      <c r="T13" s="15">
        <f t="shared" si="7"/>
        <v>18082758.333333336</v>
      </c>
      <c r="U13" s="15">
        <f t="shared" si="7"/>
        <v>18396600.44444444</v>
      </c>
      <c r="V13" s="15">
        <f t="shared" si="7"/>
        <v>205570549.77777782</v>
      </c>
      <c r="W13" s="72">
        <f t="shared" si="1"/>
        <v>0.91824653169795489</v>
      </c>
      <c r="X13" s="89"/>
      <c r="Y13" s="15">
        <f t="shared" ref="Y13:AJ13" si="8">SUM(Y14:Y30)</f>
        <v>17094951.048908617</v>
      </c>
      <c r="Z13" s="15">
        <f t="shared" si="8"/>
        <v>15592765.835294379</v>
      </c>
      <c r="AA13" s="15">
        <f t="shared" si="8"/>
        <v>18304072.747633677</v>
      </c>
      <c r="AB13" s="15">
        <f t="shared" si="8"/>
        <v>17779060.559260037</v>
      </c>
      <c r="AC13" s="15">
        <f t="shared" si="8"/>
        <v>19790062.850038737</v>
      </c>
      <c r="AD13" s="15">
        <f t="shared" si="8"/>
        <v>19328858.285153475</v>
      </c>
      <c r="AE13" s="15">
        <f t="shared" si="8"/>
        <v>18583116.639239077</v>
      </c>
      <c r="AF13" s="15">
        <f t="shared" si="8"/>
        <v>18827660.37678045</v>
      </c>
      <c r="AG13" s="15">
        <f t="shared" si="8"/>
        <v>19925440.213959996</v>
      </c>
      <c r="AH13" s="15">
        <f t="shared" si="8"/>
        <v>21324895.497929521</v>
      </c>
      <c r="AI13" s="15">
        <f t="shared" si="8"/>
        <v>20886262.677225634</v>
      </c>
      <c r="AJ13" s="15">
        <f t="shared" si="8"/>
        <v>20641000.591902535</v>
      </c>
      <c r="AK13" s="15">
        <f t="shared" si="5"/>
        <v>228078147.32332614</v>
      </c>
      <c r="AL13" s="72">
        <f t="shared" si="3"/>
        <v>0.90961774403513129</v>
      </c>
      <c r="AM13" s="10">
        <f t="shared" si="6"/>
        <v>0.10948843387284346</v>
      </c>
      <c r="AN13" s="89"/>
      <c r="AO13" s="241">
        <v>3756861719.6856165</v>
      </c>
      <c r="AP13" s="72">
        <v>0.85235874802156519</v>
      </c>
      <c r="AQ13" s="178">
        <v>0.16747314724291318</v>
      </c>
    </row>
    <row r="14" spans="1:43" ht="15" customHeight="1" outlineLevel="1">
      <c r="A14" s="37" t="s">
        <v>110</v>
      </c>
      <c r="B14" s="39"/>
      <c r="C14" s="39" t="s">
        <v>113</v>
      </c>
      <c r="D14" s="37" t="s">
        <v>114</v>
      </c>
      <c r="E14" s="195"/>
      <c r="F14" s="37"/>
      <c r="G14" s="37"/>
      <c r="H14" s="37"/>
      <c r="I14" s="174" t="s">
        <v>115</v>
      </c>
      <c r="J14" s="65">
        <f>SUM(A:B!J14)</f>
        <v>12973548</v>
      </c>
      <c r="K14" s="65">
        <f>SUM(A:B!K14)</f>
        <v>11404250</v>
      </c>
      <c r="L14" s="65">
        <f>SUM(A:B!L14)</f>
        <v>13331662</v>
      </c>
      <c r="M14" s="65">
        <f>SUM(A:B!M14)</f>
        <v>12710487</v>
      </c>
      <c r="N14" s="65">
        <f>SUM(A:B!N14)</f>
        <v>14240584</v>
      </c>
      <c r="O14" s="65">
        <f>SUM(A:B!O14)</f>
        <v>14028976</v>
      </c>
      <c r="P14" s="65">
        <f>SUM(A:B!P14)</f>
        <v>13394436</v>
      </c>
      <c r="Q14" s="65">
        <f>SUM(A:B!Q14)</f>
        <v>13534987</v>
      </c>
      <c r="R14" s="65">
        <f>SUM(A:B!R14)</f>
        <v>14128501</v>
      </c>
      <c r="S14" s="65">
        <f>SUM(A:B!S14)</f>
        <v>15091913</v>
      </c>
      <c r="T14" s="65">
        <f>SUM(A:B!T14)</f>
        <v>14251800.333333334</v>
      </c>
      <c r="U14" s="65">
        <f>SUM(A:B!U14)</f>
        <v>14490738.11111111</v>
      </c>
      <c r="V14" s="11">
        <f t="shared" si="4"/>
        <v>163581882.44444445</v>
      </c>
      <c r="W14" s="73">
        <f t="shared" si="1"/>
        <v>0.73069073544634378</v>
      </c>
      <c r="X14" s="89"/>
      <c r="Y14" s="65">
        <f>SUM(A:B!Y14)</f>
        <v>13883313.308908619</v>
      </c>
      <c r="Z14" s="65">
        <f>SUM(A:B!Z14)</f>
        <v>12500474.30529438</v>
      </c>
      <c r="AA14" s="65">
        <f>SUM(A:B!AA14)</f>
        <v>14787073.177633677</v>
      </c>
      <c r="AB14" s="65">
        <f>SUM(A:B!AB14)</f>
        <v>14347589.879260037</v>
      </c>
      <c r="AC14" s="65">
        <f>SUM(A:B!AC14)</f>
        <v>15960345.320038736</v>
      </c>
      <c r="AD14" s="65">
        <f>SUM(A:B!AD14)</f>
        <v>15798488.985153474</v>
      </c>
      <c r="AE14" s="65">
        <f>SUM(A:B!AE14)</f>
        <v>15161170.879239075</v>
      </c>
      <c r="AF14" s="65">
        <f>SUM(A:B!AF14)</f>
        <v>15119203.576780451</v>
      </c>
      <c r="AG14" s="65">
        <f>SUM(A:B!AG14)</f>
        <v>15888161.013959995</v>
      </c>
      <c r="AH14" s="65">
        <f>SUM(A:B!AH14)</f>
        <v>17125575.777929518</v>
      </c>
      <c r="AI14" s="65">
        <f>SUM(A:B!AI14)</f>
        <v>16785034.127225637</v>
      </c>
      <c r="AJ14" s="65">
        <f>SUM(A:B!AJ14)</f>
        <v>16585451.161902538</v>
      </c>
      <c r="AK14" s="65">
        <f>SUM(A:B!AK14)</f>
        <v>183941881.51332617</v>
      </c>
      <c r="AL14" s="73">
        <f t="shared" si="3"/>
        <v>0.7335941705039325</v>
      </c>
      <c r="AM14" s="14">
        <f t="shared" si="6"/>
        <v>0.12446365553835936</v>
      </c>
      <c r="AN14" s="89"/>
      <c r="AO14" s="245">
        <v>3523257061.8514996</v>
      </c>
      <c r="AP14" s="73">
        <v>0.79935840131193003</v>
      </c>
      <c r="AQ14" s="179">
        <v>0.13050349365196867</v>
      </c>
    </row>
    <row r="15" spans="1:43" ht="15" customHeight="1" outlineLevel="1">
      <c r="A15" s="37" t="s">
        <v>110</v>
      </c>
      <c r="B15" s="39"/>
      <c r="C15" s="39" t="s">
        <v>116</v>
      </c>
      <c r="D15" s="37" t="s">
        <v>117</v>
      </c>
      <c r="E15" s="195"/>
      <c r="F15" s="37"/>
      <c r="G15" s="37"/>
      <c r="H15" s="37"/>
      <c r="I15" s="175" t="s">
        <v>118</v>
      </c>
      <c r="J15" s="65">
        <f>SUM(A:B!J15)</f>
        <v>2994699</v>
      </c>
      <c r="K15" s="65">
        <f>SUM(A:B!K15)</f>
        <v>2908739</v>
      </c>
      <c r="L15" s="65">
        <f>SUM(A:B!L15)</f>
        <v>3286842</v>
      </c>
      <c r="M15" s="65">
        <f>SUM(A:B!M15)</f>
        <v>3157931</v>
      </c>
      <c r="N15" s="65">
        <f>SUM(A:B!N15)</f>
        <v>3455437</v>
      </c>
      <c r="O15" s="65">
        <f>SUM(A:B!O15)</f>
        <v>3184771</v>
      </c>
      <c r="P15" s="65">
        <f>SUM(A:B!P15)</f>
        <v>3126152</v>
      </c>
      <c r="Q15" s="65">
        <f>SUM(A:B!Q15)</f>
        <v>3519227</v>
      </c>
      <c r="R15" s="65">
        <f>SUM(A:B!R15)</f>
        <v>3822059</v>
      </c>
      <c r="S15" s="65">
        <f>SUM(A:B!S15)</f>
        <v>3918058</v>
      </c>
      <c r="T15" s="65">
        <f>SUM(A:B!T15)</f>
        <v>3753114.6666666665</v>
      </c>
      <c r="U15" s="65">
        <f>SUM(A:B!U15)</f>
        <v>3831077.222222222</v>
      </c>
      <c r="V15" s="11">
        <f t="shared" si="4"/>
        <v>40958106.888888888</v>
      </c>
      <c r="W15" s="73">
        <f t="shared" si="1"/>
        <v>0.18295246880592786</v>
      </c>
      <c r="X15" s="89"/>
      <c r="Y15" s="65">
        <f>SUM(A:B!Y15)</f>
        <v>3080783.9699999997</v>
      </c>
      <c r="Z15" s="65">
        <f>SUM(A:B!Z15)</f>
        <v>2973366.35</v>
      </c>
      <c r="AA15" s="65">
        <f>SUM(A:B!AA15)</f>
        <v>3369026.87</v>
      </c>
      <c r="AB15" s="65">
        <f>SUM(A:B!AB15)</f>
        <v>3257493.6300000004</v>
      </c>
      <c r="AC15" s="65">
        <f>SUM(A:B!AC15)</f>
        <v>3620816.11</v>
      </c>
      <c r="AD15" s="65">
        <f>SUM(A:B!AD15)</f>
        <v>3359822.1</v>
      </c>
      <c r="AE15" s="65">
        <f>SUM(A:B!AE15)</f>
        <v>3242504.0300000003</v>
      </c>
      <c r="AF15" s="65">
        <f>SUM(A:B!AF15)</f>
        <v>3553874.72</v>
      </c>
      <c r="AG15" s="65">
        <f>SUM(A:B!AG15)</f>
        <v>3889819.1799999997</v>
      </c>
      <c r="AH15" s="65">
        <f>SUM(A:B!AH15)</f>
        <v>4056448.62</v>
      </c>
      <c r="AI15" s="65">
        <f>SUM(A:B!AI15)</f>
        <v>3961212.97</v>
      </c>
      <c r="AJ15" s="65">
        <f>SUM(A:B!AJ15)</f>
        <v>3911332.07</v>
      </c>
      <c r="AK15" s="65">
        <f>SUM(A:B!AK15)</f>
        <v>42276500.619999997</v>
      </c>
      <c r="AL15" s="73">
        <f t="shared" si="3"/>
        <v>0.16860648672820611</v>
      </c>
      <c r="AM15" s="14">
        <f t="shared" si="6"/>
        <v>3.2188834671671884E-2</v>
      </c>
      <c r="AN15" s="89"/>
      <c r="AO15" s="245">
        <v>347166290.67748713</v>
      </c>
      <c r="AP15" s="73">
        <v>7.8765269247630498E-2</v>
      </c>
      <c r="AQ15" s="179">
        <v>0.2474508883647073</v>
      </c>
    </row>
    <row r="16" spans="1:43" ht="15" customHeight="1" outlineLevel="1">
      <c r="A16" s="37" t="s">
        <v>110</v>
      </c>
      <c r="B16" s="39"/>
      <c r="C16" s="39" t="s">
        <v>119</v>
      </c>
      <c r="D16" s="37" t="s">
        <v>120</v>
      </c>
      <c r="E16" s="195"/>
      <c r="F16" s="37"/>
      <c r="G16" s="37"/>
      <c r="H16" s="37"/>
      <c r="I16" s="170" t="s">
        <v>5</v>
      </c>
      <c r="J16" s="65">
        <f>SUM(A:B!J16)</f>
        <v>111034</v>
      </c>
      <c r="K16" s="65">
        <f>SUM(A:B!K16)</f>
        <v>101129</v>
      </c>
      <c r="L16" s="65">
        <f>SUM(A:B!L16)</f>
        <v>122898</v>
      </c>
      <c r="M16" s="65">
        <f>SUM(A:B!M16)</f>
        <v>146759</v>
      </c>
      <c r="N16" s="65">
        <f>SUM(A:B!N16)</f>
        <v>171893</v>
      </c>
      <c r="O16" s="65">
        <f>SUM(A:B!O16)</f>
        <v>138211</v>
      </c>
      <c r="P16" s="65">
        <f>SUM(A:B!P16)</f>
        <v>152522</v>
      </c>
      <c r="Q16" s="65">
        <f>SUM(A:B!Q16)</f>
        <v>127651</v>
      </c>
      <c r="R16" s="65">
        <f>SUM(A:B!R16)</f>
        <v>123662</v>
      </c>
      <c r="S16" s="65">
        <f>SUM(A:B!S16)</f>
        <v>138375</v>
      </c>
      <c r="T16" s="65">
        <f>SUM(A:B!T16)</f>
        <v>129896</v>
      </c>
      <c r="U16" s="65">
        <f>SUM(A:B!U16)</f>
        <v>130644.33333333333</v>
      </c>
      <c r="V16" s="11">
        <f t="shared" si="4"/>
        <v>1594674.3333333333</v>
      </c>
      <c r="W16" s="73">
        <f t="shared" si="1"/>
        <v>7.1231223409870597E-3</v>
      </c>
      <c r="X16" s="89"/>
      <c r="Y16" s="65">
        <f>SUM(A:B!Y16)</f>
        <v>123989.76999999999</v>
      </c>
      <c r="Z16" s="65">
        <f>SUM(A:B!Z16)</f>
        <v>112877.18</v>
      </c>
      <c r="AA16" s="65">
        <f>SUM(A:B!AA16)</f>
        <v>135732.69999999998</v>
      </c>
      <c r="AB16" s="65">
        <f>SUM(A:B!AB16)</f>
        <v>162121.04999999999</v>
      </c>
      <c r="AC16" s="65">
        <f>SUM(A:B!AC16)</f>
        <v>194885.41999999998</v>
      </c>
      <c r="AD16" s="65">
        <f>SUM(A:B!AD16)</f>
        <v>158787.20000000001</v>
      </c>
      <c r="AE16" s="65">
        <f>SUM(A:B!AE16)</f>
        <v>166769.72999999998</v>
      </c>
      <c r="AF16" s="65">
        <f>SUM(A:B!AF16)</f>
        <v>140998.07999999999</v>
      </c>
      <c r="AG16" s="65">
        <f>SUM(A:B!AG16)</f>
        <v>135892.01999999999</v>
      </c>
      <c r="AH16" s="65">
        <f>SUM(A:B!AH16)</f>
        <v>127415.1</v>
      </c>
      <c r="AI16" s="65">
        <f>SUM(A:B!AI16)</f>
        <v>123791.58</v>
      </c>
      <c r="AJ16" s="65">
        <f>SUM(A:B!AJ16)</f>
        <v>122233.35999999999</v>
      </c>
      <c r="AK16" s="65">
        <f>SUM(A:B!AK16)</f>
        <v>1705493.19</v>
      </c>
      <c r="AL16" s="73">
        <f t="shared" si="3"/>
        <v>6.8018215956299954E-3</v>
      </c>
      <c r="AM16" s="14">
        <f t="shared" si="6"/>
        <v>6.9493096082523076E-2</v>
      </c>
      <c r="AN16" s="89"/>
      <c r="AO16" s="245">
        <v>501237842.52485126</v>
      </c>
      <c r="AP16" s="73">
        <v>0.11372110335518677</v>
      </c>
      <c r="AQ16" s="179">
        <v>0.29638109069493579</v>
      </c>
    </row>
    <row r="17" spans="1:43" ht="15" customHeight="1" outlineLevel="1">
      <c r="A17" s="37" t="s">
        <v>110</v>
      </c>
      <c r="B17" s="39"/>
      <c r="C17" s="39" t="s">
        <v>121</v>
      </c>
      <c r="D17" s="37"/>
      <c r="E17" s="195"/>
      <c r="F17" s="37"/>
      <c r="G17" s="37"/>
      <c r="H17" s="37"/>
      <c r="I17" s="174" t="s">
        <v>122</v>
      </c>
      <c r="J17" s="65">
        <f>SUM(A:B!J17)</f>
        <v>0</v>
      </c>
      <c r="K17" s="65">
        <f>SUM(A:B!K17)</f>
        <v>451</v>
      </c>
      <c r="L17" s="65">
        <f>SUM(A:B!L17)</f>
        <v>0</v>
      </c>
      <c r="M17" s="65">
        <f>SUM(A:B!M17)</f>
        <v>863</v>
      </c>
      <c r="N17" s="65">
        <f>SUM(A:B!N17)</f>
        <v>0</v>
      </c>
      <c r="O17" s="65">
        <f>SUM(A:B!O17)</f>
        <v>0</v>
      </c>
      <c r="P17" s="65">
        <f>SUM(A:B!P17)</f>
        <v>1786</v>
      </c>
      <c r="Q17" s="65">
        <f>SUM(A:B!Q17)</f>
        <v>0</v>
      </c>
      <c r="R17" s="65">
        <f>SUM(A:B!R17)</f>
        <v>0</v>
      </c>
      <c r="S17" s="65">
        <f>SUM(A:B!S17)</f>
        <v>308</v>
      </c>
      <c r="T17" s="65">
        <f>SUM(A:B!T17)</f>
        <v>102.66666666666667</v>
      </c>
      <c r="U17" s="65">
        <f>SUM(A:B!U17)</f>
        <v>136.88888888888889</v>
      </c>
      <c r="V17" s="11">
        <f t="shared" si="4"/>
        <v>3647.5555555555552</v>
      </c>
      <c r="W17" s="73">
        <f t="shared" si="1"/>
        <v>1.6292972128960863E-5</v>
      </c>
      <c r="X17" s="89"/>
      <c r="Y17" s="65">
        <f>SUM(A:B!Y17)</f>
        <v>0</v>
      </c>
      <c r="Z17" s="65">
        <f>SUM(A:B!Z17)</f>
        <v>0</v>
      </c>
      <c r="AA17" s="65">
        <f>SUM(A:B!AA17)</f>
        <v>0</v>
      </c>
      <c r="AB17" s="65">
        <f>SUM(A:B!AB17)</f>
        <v>0</v>
      </c>
      <c r="AC17" s="65">
        <f>SUM(A:B!AC17)</f>
        <v>0</v>
      </c>
      <c r="AD17" s="65">
        <f>SUM(A:B!AD17)</f>
        <v>0</v>
      </c>
      <c r="AE17" s="65">
        <f>SUM(A:B!AE17)</f>
        <v>0</v>
      </c>
      <c r="AF17" s="65">
        <f>SUM(A:B!AF17)</f>
        <v>0</v>
      </c>
      <c r="AG17" s="65">
        <f>SUM(A:B!AG17)</f>
        <v>0</v>
      </c>
      <c r="AH17" s="65">
        <f>SUM(A:B!AH17)</f>
        <v>0</v>
      </c>
      <c r="AI17" s="65">
        <f>SUM(A:B!AI17)</f>
        <v>0</v>
      </c>
      <c r="AJ17" s="65">
        <f>SUM(A:B!AJ17)</f>
        <v>0</v>
      </c>
      <c r="AK17" s="65">
        <f>SUM(A:B!AK17)</f>
        <v>0</v>
      </c>
      <c r="AL17" s="73">
        <f t="shared" si="3"/>
        <v>0</v>
      </c>
      <c r="AM17" s="14">
        <f t="shared" si="6"/>
        <v>-1</v>
      </c>
      <c r="AN17" s="89"/>
      <c r="AO17" s="245">
        <v>0</v>
      </c>
      <c r="AP17" s="73">
        <v>0</v>
      </c>
      <c r="AQ17" s="179">
        <v>-1</v>
      </c>
    </row>
    <row r="18" spans="1:43" ht="15" customHeight="1" outlineLevel="1">
      <c r="A18" s="37" t="s">
        <v>110</v>
      </c>
      <c r="B18" s="39"/>
      <c r="C18" s="39" t="s">
        <v>123</v>
      </c>
      <c r="D18" s="37"/>
      <c r="E18" s="195"/>
      <c r="F18" s="37"/>
      <c r="G18" s="37"/>
      <c r="H18" s="37"/>
      <c r="I18" s="175" t="s">
        <v>124</v>
      </c>
      <c r="J18" s="65">
        <f>SUM(A:B!J18)</f>
        <v>10118</v>
      </c>
      <c r="K18" s="65">
        <f>SUM(A:B!K18)</f>
        <v>11513</v>
      </c>
      <c r="L18" s="65">
        <f>SUM(A:B!L18)</f>
        <v>5892</v>
      </c>
      <c r="M18" s="65">
        <f>SUM(A:B!M18)</f>
        <v>235</v>
      </c>
      <c r="N18" s="65">
        <f>SUM(A:B!N18)</f>
        <v>5571</v>
      </c>
      <c r="O18" s="65">
        <f>SUM(A:B!O18)</f>
        <v>4098</v>
      </c>
      <c r="P18" s="65">
        <f>SUM(A:B!P18)</f>
        <v>6579</v>
      </c>
      <c r="Q18" s="65">
        <f>SUM(A:B!Q18)</f>
        <v>0</v>
      </c>
      <c r="R18" s="65">
        <f>SUM(A:B!R18)</f>
        <v>0</v>
      </c>
      <c r="S18" s="65">
        <f>SUM(A:B!S18)</f>
        <v>14509</v>
      </c>
      <c r="T18" s="65">
        <f>SUM(A:B!T18)</f>
        <v>4836.333333333333</v>
      </c>
      <c r="U18" s="65">
        <f>SUM(A:B!U18)</f>
        <v>6448.4444444444443</v>
      </c>
      <c r="V18" s="11">
        <f t="shared" si="4"/>
        <v>69799.777777777781</v>
      </c>
      <c r="W18" s="73">
        <f t="shared" si="1"/>
        <v>3.1178300552787123E-4</v>
      </c>
      <c r="X18" s="89"/>
      <c r="Y18" s="65">
        <f>SUM(A:B!Y18)</f>
        <v>0</v>
      </c>
      <c r="Z18" s="65">
        <f>SUM(A:B!Z18)</f>
        <v>0</v>
      </c>
      <c r="AA18" s="65">
        <f>SUM(A:B!AA18)</f>
        <v>0</v>
      </c>
      <c r="AB18" s="65">
        <f>SUM(A:B!AB18)</f>
        <v>0</v>
      </c>
      <c r="AC18" s="65">
        <f>SUM(A:B!AC18)</f>
        <v>0</v>
      </c>
      <c r="AD18" s="65">
        <f>SUM(A:B!AD18)</f>
        <v>0</v>
      </c>
      <c r="AE18" s="65">
        <f>SUM(A:B!AE18)</f>
        <v>0</v>
      </c>
      <c r="AF18" s="65">
        <f>SUM(A:B!AF18)</f>
        <v>0</v>
      </c>
      <c r="AG18" s="65">
        <f>SUM(A:B!AG18)</f>
        <v>0</v>
      </c>
      <c r="AH18" s="65">
        <f>SUM(A:B!AH18)</f>
        <v>0</v>
      </c>
      <c r="AI18" s="65">
        <f>SUM(A:B!AI18)</f>
        <v>0</v>
      </c>
      <c r="AJ18" s="65">
        <f>SUM(A:B!AJ18)</f>
        <v>0</v>
      </c>
      <c r="AK18" s="65">
        <f>SUM(A:B!AK18)</f>
        <v>0</v>
      </c>
      <c r="AL18" s="73">
        <f t="shared" si="3"/>
        <v>0</v>
      </c>
      <c r="AM18" s="14">
        <f t="shared" si="6"/>
        <v>-1</v>
      </c>
      <c r="AN18" s="89"/>
      <c r="AO18" s="245">
        <v>0</v>
      </c>
      <c r="AP18" s="73">
        <v>0</v>
      </c>
      <c r="AQ18" s="179">
        <v>-1</v>
      </c>
    </row>
    <row r="19" spans="1:43" ht="15" customHeight="1" outlineLevel="1">
      <c r="A19" s="37" t="s">
        <v>110</v>
      </c>
      <c r="B19" s="39"/>
      <c r="C19" s="39" t="s">
        <v>125</v>
      </c>
      <c r="D19" s="37"/>
      <c r="E19" s="195"/>
      <c r="F19" s="37"/>
      <c r="G19" s="37"/>
      <c r="H19" s="37"/>
      <c r="I19" s="170" t="s">
        <v>126</v>
      </c>
      <c r="J19" s="65">
        <f>SUM(A:B!J19)</f>
        <v>-2264</v>
      </c>
      <c r="K19" s="65">
        <f>SUM(A:B!K19)</f>
        <v>0</v>
      </c>
      <c r="L19" s="65">
        <f>SUM(A:B!L19)</f>
        <v>203</v>
      </c>
      <c r="M19" s="65">
        <f>SUM(A:B!M19)</f>
        <v>0</v>
      </c>
      <c r="N19" s="65">
        <f>SUM(A:B!N19)</f>
        <v>0</v>
      </c>
      <c r="O19" s="65">
        <f>SUM(A:B!O19)</f>
        <v>1796</v>
      </c>
      <c r="P19" s="65">
        <f>SUM(A:B!P19)</f>
        <v>0</v>
      </c>
      <c r="Q19" s="65">
        <f>SUM(A:B!Q19)</f>
        <v>0</v>
      </c>
      <c r="R19" s="65">
        <f>SUM(A:B!R19)</f>
        <v>4772</v>
      </c>
      <c r="S19" s="65">
        <f>SUM(A:B!S19)</f>
        <v>0</v>
      </c>
      <c r="T19" s="65">
        <f>SUM(A:B!T19)</f>
        <v>1590.6666666666667</v>
      </c>
      <c r="U19" s="65">
        <f>SUM(A:B!U19)</f>
        <v>2120.8888888888891</v>
      </c>
      <c r="V19" s="11">
        <f t="shared" si="4"/>
        <v>8218.5555555555566</v>
      </c>
      <c r="W19" s="73">
        <f t="shared" si="1"/>
        <v>3.6710803870563186E-5</v>
      </c>
      <c r="X19" s="89"/>
      <c r="Y19" s="65">
        <f>SUM(A:B!Y19)</f>
        <v>0</v>
      </c>
      <c r="Z19" s="65">
        <f>SUM(A:B!Z19)</f>
        <v>0</v>
      </c>
      <c r="AA19" s="65">
        <f>SUM(A:B!AA19)</f>
        <v>0</v>
      </c>
      <c r="AB19" s="65">
        <f>SUM(A:B!AB19)</f>
        <v>0</v>
      </c>
      <c r="AC19" s="65">
        <f>SUM(A:B!AC19)</f>
        <v>0</v>
      </c>
      <c r="AD19" s="65">
        <f>SUM(A:B!AD19)</f>
        <v>0</v>
      </c>
      <c r="AE19" s="65">
        <f>SUM(A:B!AE19)</f>
        <v>0</v>
      </c>
      <c r="AF19" s="65">
        <f>SUM(A:B!AF19)</f>
        <v>0</v>
      </c>
      <c r="AG19" s="65">
        <f>SUM(A:B!AG19)</f>
        <v>0</v>
      </c>
      <c r="AH19" s="65">
        <f>SUM(A:B!AH19)</f>
        <v>0</v>
      </c>
      <c r="AI19" s="65">
        <f>SUM(A:B!AI19)</f>
        <v>0</v>
      </c>
      <c r="AJ19" s="65">
        <f>SUM(A:B!AJ19)</f>
        <v>0</v>
      </c>
      <c r="AK19" s="65">
        <f>SUM(A:B!AK19)</f>
        <v>0</v>
      </c>
      <c r="AL19" s="73">
        <f t="shared" si="3"/>
        <v>0</v>
      </c>
      <c r="AM19" s="14">
        <f t="shared" si="6"/>
        <v>-1</v>
      </c>
      <c r="AN19" s="89"/>
      <c r="AO19" s="245">
        <v>0</v>
      </c>
      <c r="AP19" s="73">
        <v>0</v>
      </c>
      <c r="AQ19" s="179">
        <v>-1</v>
      </c>
    </row>
    <row r="20" spans="1:43" ht="15" customHeight="1" outlineLevel="1">
      <c r="A20" s="37" t="s">
        <v>110</v>
      </c>
      <c r="B20" s="39"/>
      <c r="C20" s="39" t="s">
        <v>127</v>
      </c>
      <c r="D20" s="37" t="s">
        <v>128</v>
      </c>
      <c r="E20" s="195"/>
      <c r="F20" s="37"/>
      <c r="G20" s="37"/>
      <c r="H20" s="37"/>
      <c r="I20" s="170" t="s">
        <v>129</v>
      </c>
      <c r="J20" s="65">
        <f>SUM(A:B!J20)</f>
        <v>-1655</v>
      </c>
      <c r="K20" s="65">
        <f>SUM(A:B!K20)</f>
        <v>-16260</v>
      </c>
      <c r="L20" s="65">
        <f>SUM(A:B!L20)</f>
        <v>-47534</v>
      </c>
      <c r="M20" s="65">
        <f>SUM(A:B!M20)</f>
        <v>-80019</v>
      </c>
      <c r="N20" s="65">
        <f>SUM(A:B!N20)</f>
        <v>-101412</v>
      </c>
      <c r="O20" s="65">
        <f>SUM(A:B!O20)</f>
        <v>-102362</v>
      </c>
      <c r="P20" s="65">
        <f>SUM(A:B!P20)</f>
        <v>-41438</v>
      </c>
      <c r="Q20" s="65">
        <f>SUM(A:B!Q20)</f>
        <v>-73785</v>
      </c>
      <c r="R20" s="65">
        <f>SUM(A:B!R20)</f>
        <v>-64971</v>
      </c>
      <c r="S20" s="65">
        <f>SUM(A:B!S20)</f>
        <v>-85384</v>
      </c>
      <c r="T20" s="65">
        <f>SUM(A:B!T20)</f>
        <v>-74713.333333333328</v>
      </c>
      <c r="U20" s="65">
        <f>SUM(A:B!U20)</f>
        <v>-75022.777777777781</v>
      </c>
      <c r="V20" s="11">
        <f t="shared" si="4"/>
        <v>-764556.11111111112</v>
      </c>
      <c r="W20" s="73">
        <f t="shared" si="1"/>
        <v>-3.4151341136907623E-3</v>
      </c>
      <c r="X20" s="89"/>
      <c r="Y20" s="65">
        <f>SUM(A:B!Y20)</f>
        <v>0</v>
      </c>
      <c r="Z20" s="65">
        <f>SUM(A:B!Z20)</f>
        <v>0</v>
      </c>
      <c r="AA20" s="65">
        <f>SUM(A:B!AA20)</f>
        <v>0</v>
      </c>
      <c r="AB20" s="65">
        <f>SUM(A:B!AB20)</f>
        <v>0</v>
      </c>
      <c r="AC20" s="65">
        <f>SUM(A:B!AC20)</f>
        <v>0</v>
      </c>
      <c r="AD20" s="65">
        <f>SUM(A:B!AD20)</f>
        <v>0</v>
      </c>
      <c r="AE20" s="65">
        <f>SUM(A:B!AE20)</f>
        <v>0</v>
      </c>
      <c r="AF20" s="65">
        <f>SUM(A:B!AF20)</f>
        <v>0</v>
      </c>
      <c r="AG20" s="65">
        <f>SUM(A:B!AG20)</f>
        <v>0</v>
      </c>
      <c r="AH20" s="65">
        <f>SUM(A:B!AH20)</f>
        <v>0</v>
      </c>
      <c r="AI20" s="65">
        <f>SUM(A:B!AI20)</f>
        <v>0</v>
      </c>
      <c r="AJ20" s="65">
        <f>SUM(A:B!AJ20)</f>
        <v>0</v>
      </c>
      <c r="AK20" s="65">
        <f>SUM(A:B!AK20)</f>
        <v>0</v>
      </c>
      <c r="AL20" s="73">
        <f t="shared" si="3"/>
        <v>0</v>
      </c>
      <c r="AM20" s="14">
        <f t="shared" si="6"/>
        <v>-1</v>
      </c>
      <c r="AN20" s="89"/>
      <c r="AO20" s="245">
        <v>0</v>
      </c>
      <c r="AP20" s="73">
        <v>0</v>
      </c>
      <c r="AQ20" s="179">
        <v>-1</v>
      </c>
    </row>
    <row r="21" spans="1:43" ht="15" customHeight="1" outlineLevel="1">
      <c r="A21" s="37" t="s">
        <v>110</v>
      </c>
      <c r="B21" s="39"/>
      <c r="C21" s="39" t="s">
        <v>130</v>
      </c>
      <c r="D21" s="37"/>
      <c r="E21" s="195"/>
      <c r="F21" s="37"/>
      <c r="G21" s="37"/>
      <c r="H21" s="37"/>
      <c r="I21" s="170" t="s">
        <v>131</v>
      </c>
      <c r="J21" s="65">
        <f>SUM(A:B!J21)</f>
        <v>15107</v>
      </c>
      <c r="K21" s="65">
        <f>SUM(A:B!K21)</f>
        <v>4291</v>
      </c>
      <c r="L21" s="65">
        <f>SUM(A:B!L21)</f>
        <v>-4238</v>
      </c>
      <c r="M21" s="65">
        <f>SUM(A:B!M21)</f>
        <v>-6859</v>
      </c>
      <c r="N21" s="65">
        <f>SUM(A:B!N21)</f>
        <v>-21701</v>
      </c>
      <c r="O21" s="65">
        <f>SUM(A:B!O21)</f>
        <v>-91077</v>
      </c>
      <c r="P21" s="65">
        <f>SUM(A:B!P21)</f>
        <v>77691</v>
      </c>
      <c r="Q21" s="65">
        <f>SUM(A:B!Q21)</f>
        <v>-5176</v>
      </c>
      <c r="R21" s="65">
        <f>SUM(A:B!R21)</f>
        <v>-20498</v>
      </c>
      <c r="S21" s="65">
        <f>SUM(A:B!S21)</f>
        <v>-9262</v>
      </c>
      <c r="T21" s="65">
        <f>SUM(A:B!T21)</f>
        <v>-11645.333333333334</v>
      </c>
      <c r="U21" s="65">
        <f>SUM(A:B!U21)</f>
        <v>-13801.777777777777</v>
      </c>
      <c r="V21" s="11">
        <f t="shared" si="4"/>
        <v>-87169.111111111109</v>
      </c>
      <c r="W21" s="73">
        <f t="shared" si="1"/>
        <v>-3.8936868163021306E-4</v>
      </c>
      <c r="X21" s="89"/>
      <c r="Y21" s="65">
        <f>SUM(A:B!Y21)</f>
        <v>0</v>
      </c>
      <c r="Z21" s="65">
        <f>SUM(A:B!Z21)</f>
        <v>0</v>
      </c>
      <c r="AA21" s="65">
        <f>SUM(A:B!AA21)</f>
        <v>0</v>
      </c>
      <c r="AB21" s="65">
        <f>SUM(A:B!AB21)</f>
        <v>0</v>
      </c>
      <c r="AC21" s="65">
        <f>SUM(A:B!AC21)</f>
        <v>0</v>
      </c>
      <c r="AD21" s="65">
        <f>SUM(A:B!AD21)</f>
        <v>0</v>
      </c>
      <c r="AE21" s="65">
        <f>SUM(A:B!AE21)</f>
        <v>0</v>
      </c>
      <c r="AF21" s="65">
        <f>SUM(A:B!AF21)</f>
        <v>0</v>
      </c>
      <c r="AG21" s="65">
        <f>SUM(A:B!AG21)</f>
        <v>0</v>
      </c>
      <c r="AH21" s="65">
        <f>SUM(A:B!AH21)</f>
        <v>0</v>
      </c>
      <c r="AI21" s="65">
        <f>SUM(A:B!AI21)</f>
        <v>0</v>
      </c>
      <c r="AJ21" s="65">
        <f>SUM(A:B!AJ21)</f>
        <v>0</v>
      </c>
      <c r="AK21" s="65">
        <f>SUM(A:B!AK21)</f>
        <v>0</v>
      </c>
      <c r="AL21" s="73">
        <f t="shared" si="3"/>
        <v>0</v>
      </c>
      <c r="AM21" s="14">
        <f t="shared" si="6"/>
        <v>-1</v>
      </c>
      <c r="AN21" s="89"/>
      <c r="AO21" s="245">
        <v>0</v>
      </c>
      <c r="AP21" s="73">
        <v>0</v>
      </c>
      <c r="AQ21" s="179">
        <v>-1</v>
      </c>
    </row>
    <row r="22" spans="1:43" ht="15" customHeight="1" outlineLevel="1">
      <c r="A22" s="37" t="s">
        <v>110</v>
      </c>
      <c r="B22" s="39"/>
      <c r="C22" s="39" t="s">
        <v>132</v>
      </c>
      <c r="D22" s="37"/>
      <c r="E22" s="195"/>
      <c r="F22" s="37"/>
      <c r="G22" s="37"/>
      <c r="H22" s="37"/>
      <c r="I22" s="170" t="s">
        <v>133</v>
      </c>
      <c r="J22" s="65">
        <f>SUM(A:B!J22)</f>
        <v>0</v>
      </c>
      <c r="K22" s="65">
        <f>SUM(A:B!K22)</f>
        <v>-1925</v>
      </c>
      <c r="L22" s="65">
        <f>SUM(A:B!L22)</f>
        <v>-2961</v>
      </c>
      <c r="M22" s="65">
        <f>SUM(A:B!M22)</f>
        <v>-232</v>
      </c>
      <c r="N22" s="65">
        <f>SUM(A:B!N22)</f>
        <v>-4780</v>
      </c>
      <c r="O22" s="65">
        <f>SUM(A:B!O22)</f>
        <v>0</v>
      </c>
      <c r="P22" s="65">
        <f>SUM(A:B!P22)</f>
        <v>-2453</v>
      </c>
      <c r="Q22" s="65">
        <f>SUM(A:B!Q22)</f>
        <v>-1311</v>
      </c>
      <c r="R22" s="65">
        <f>SUM(A:B!R22)</f>
        <v>0</v>
      </c>
      <c r="S22" s="65">
        <f>SUM(A:B!S22)</f>
        <v>-4724</v>
      </c>
      <c r="T22" s="65">
        <f>SUM(A:B!T22)</f>
        <v>-2011.6666666666667</v>
      </c>
      <c r="U22" s="65">
        <f>SUM(A:B!U22)</f>
        <v>-2245.2222222222222</v>
      </c>
      <c r="V22" s="11">
        <f t="shared" si="4"/>
        <v>-22642.888888888891</v>
      </c>
      <c r="W22" s="73">
        <f t="shared" si="1"/>
        <v>-1.0114169666968499E-4</v>
      </c>
      <c r="X22" s="89"/>
      <c r="Y22" s="65">
        <f>SUM(A:B!Y22)</f>
        <v>0</v>
      </c>
      <c r="Z22" s="65">
        <f>SUM(A:B!Z22)</f>
        <v>0</v>
      </c>
      <c r="AA22" s="65">
        <f>SUM(A:B!AA22)</f>
        <v>0</v>
      </c>
      <c r="AB22" s="65">
        <f>SUM(A:B!AB22)</f>
        <v>0</v>
      </c>
      <c r="AC22" s="65">
        <f>SUM(A:B!AC22)</f>
        <v>0</v>
      </c>
      <c r="AD22" s="65">
        <f>SUM(A:B!AD22)</f>
        <v>0</v>
      </c>
      <c r="AE22" s="65">
        <f>SUM(A:B!AE22)</f>
        <v>0</v>
      </c>
      <c r="AF22" s="65">
        <f>SUM(A:B!AF22)</f>
        <v>0</v>
      </c>
      <c r="AG22" s="65">
        <f>SUM(A:B!AG22)</f>
        <v>0</v>
      </c>
      <c r="AH22" s="65">
        <f>SUM(A:B!AH22)</f>
        <v>0</v>
      </c>
      <c r="AI22" s="65">
        <f>SUM(A:B!AI22)</f>
        <v>0</v>
      </c>
      <c r="AJ22" s="65">
        <f>SUM(A:B!AJ22)</f>
        <v>0</v>
      </c>
      <c r="AK22" s="65">
        <f>SUM(A:B!AK22)</f>
        <v>0</v>
      </c>
      <c r="AL22" s="73">
        <f t="shared" si="3"/>
        <v>0</v>
      </c>
      <c r="AM22" s="14">
        <f t="shared" si="6"/>
        <v>-1</v>
      </c>
      <c r="AN22" s="89"/>
      <c r="AO22" s="245">
        <v>0</v>
      </c>
      <c r="AP22" s="73">
        <v>0</v>
      </c>
      <c r="AQ22" s="179">
        <v>-1</v>
      </c>
    </row>
    <row r="23" spans="1:43" ht="15" customHeight="1" outlineLevel="1">
      <c r="A23" s="37" t="s">
        <v>110</v>
      </c>
      <c r="B23" s="39"/>
      <c r="C23" s="39" t="s">
        <v>134</v>
      </c>
      <c r="D23" s="37"/>
      <c r="E23" s="195"/>
      <c r="F23" s="37"/>
      <c r="G23" s="37"/>
      <c r="H23" s="37"/>
      <c r="I23" s="174" t="s">
        <v>135</v>
      </c>
      <c r="J23" s="65">
        <f>SUM(A:B!J23)</f>
        <v>0</v>
      </c>
      <c r="K23" s="65">
        <f>SUM(A:B!K23)</f>
        <v>0</v>
      </c>
      <c r="L23" s="65">
        <f>SUM(A:B!L23)</f>
        <v>26670</v>
      </c>
      <c r="M23" s="65">
        <f>SUM(A:B!M23)</f>
        <v>-26670</v>
      </c>
      <c r="N23" s="65">
        <f>SUM(A:B!N23)</f>
        <v>0</v>
      </c>
      <c r="O23" s="65">
        <f>SUM(A:B!O23)</f>
        <v>0</v>
      </c>
      <c r="P23" s="65">
        <f>SUM(A:B!P23)</f>
        <v>0</v>
      </c>
      <c r="Q23" s="65">
        <f>SUM(A:B!Q23)</f>
        <v>0</v>
      </c>
      <c r="R23" s="65">
        <f>SUM(A:B!R23)</f>
        <v>0</v>
      </c>
      <c r="S23" s="65">
        <f>SUM(A:B!S23)</f>
        <v>0</v>
      </c>
      <c r="T23" s="65">
        <f>SUM(A:B!T23)</f>
        <v>0</v>
      </c>
      <c r="U23" s="65">
        <f>SUM(A:B!U23)</f>
        <v>0</v>
      </c>
      <c r="V23" s="11">
        <f t="shared" si="4"/>
        <v>0</v>
      </c>
      <c r="W23" s="73">
        <f t="shared" si="1"/>
        <v>0</v>
      </c>
      <c r="X23" s="89"/>
      <c r="Y23" s="65">
        <f>SUM(A:B!Y23)</f>
        <v>0</v>
      </c>
      <c r="Z23" s="65">
        <f>SUM(A:B!Z23)</f>
        <v>0</v>
      </c>
      <c r="AA23" s="65">
        <f>SUM(A:B!AA23)</f>
        <v>0</v>
      </c>
      <c r="AB23" s="65">
        <f>SUM(A:B!AB23)</f>
        <v>0</v>
      </c>
      <c r="AC23" s="65">
        <f>SUM(A:B!AC23)</f>
        <v>0</v>
      </c>
      <c r="AD23" s="65">
        <f>SUM(A:B!AD23)</f>
        <v>0</v>
      </c>
      <c r="AE23" s="65">
        <f>SUM(A:B!AE23)</f>
        <v>0</v>
      </c>
      <c r="AF23" s="65">
        <f>SUM(A:B!AF23)</f>
        <v>0</v>
      </c>
      <c r="AG23" s="65">
        <f>SUM(A:B!AG23)</f>
        <v>0</v>
      </c>
      <c r="AH23" s="65">
        <f>SUM(A:B!AH23)</f>
        <v>0</v>
      </c>
      <c r="AI23" s="65">
        <f>SUM(A:B!AI23)</f>
        <v>0</v>
      </c>
      <c r="AJ23" s="65">
        <f>SUM(A:B!AJ23)</f>
        <v>0</v>
      </c>
      <c r="AK23" s="65">
        <f>SUM(A:B!AK23)</f>
        <v>0</v>
      </c>
      <c r="AL23" s="73">
        <f t="shared" si="3"/>
        <v>0</v>
      </c>
      <c r="AM23" s="14">
        <f t="shared" si="6"/>
        <v>0</v>
      </c>
      <c r="AN23" s="89"/>
      <c r="AO23" s="245">
        <v>0</v>
      </c>
      <c r="AP23" s="73">
        <v>0</v>
      </c>
      <c r="AQ23" s="179">
        <v>-1</v>
      </c>
    </row>
    <row r="24" spans="1:43" ht="15" customHeight="1" outlineLevel="1">
      <c r="A24" s="37" t="s">
        <v>110</v>
      </c>
      <c r="B24" s="39"/>
      <c r="C24" s="39" t="s">
        <v>136</v>
      </c>
      <c r="D24" s="37"/>
      <c r="E24" s="195"/>
      <c r="F24" s="37"/>
      <c r="G24" s="37"/>
      <c r="H24" s="37"/>
      <c r="I24" s="175" t="s">
        <v>137</v>
      </c>
      <c r="J24" s="65">
        <f>SUM(A:B!J24)</f>
        <v>0</v>
      </c>
      <c r="K24" s="65">
        <f>SUM(A:B!K24)</f>
        <v>0</v>
      </c>
      <c r="L24" s="65">
        <f>SUM(A:B!L24)</f>
        <v>6840</v>
      </c>
      <c r="M24" s="65">
        <f>SUM(A:B!M24)</f>
        <v>-6840</v>
      </c>
      <c r="N24" s="65">
        <f>SUM(A:B!N24)</f>
        <v>0</v>
      </c>
      <c r="O24" s="65">
        <f>SUM(A:B!O24)</f>
        <v>0</v>
      </c>
      <c r="P24" s="65">
        <f>SUM(A:B!P24)</f>
        <v>0</v>
      </c>
      <c r="Q24" s="65">
        <f>SUM(A:B!Q24)</f>
        <v>0</v>
      </c>
      <c r="R24" s="65">
        <f>SUM(A:B!R24)</f>
        <v>0</v>
      </c>
      <c r="S24" s="65">
        <f>SUM(A:B!S24)</f>
        <v>0</v>
      </c>
      <c r="T24" s="65">
        <f>SUM(A:B!T24)</f>
        <v>0</v>
      </c>
      <c r="U24" s="65">
        <f>SUM(A:B!U24)</f>
        <v>0</v>
      </c>
      <c r="V24" s="11">
        <f t="shared" si="4"/>
        <v>0</v>
      </c>
      <c r="W24" s="73">
        <f t="shared" si="1"/>
        <v>0</v>
      </c>
      <c r="X24" s="89"/>
      <c r="Y24" s="65">
        <f>SUM(A:B!Y24)</f>
        <v>0</v>
      </c>
      <c r="Z24" s="65">
        <f>SUM(A:B!Z24)</f>
        <v>0</v>
      </c>
      <c r="AA24" s="65">
        <f>SUM(A:B!AA24)</f>
        <v>0</v>
      </c>
      <c r="AB24" s="65">
        <f>SUM(A:B!AB24)</f>
        <v>0</v>
      </c>
      <c r="AC24" s="65">
        <f>SUM(A:B!AC24)</f>
        <v>0</v>
      </c>
      <c r="AD24" s="65">
        <f>SUM(A:B!AD24)</f>
        <v>0</v>
      </c>
      <c r="AE24" s="65">
        <f>SUM(A:B!AE24)</f>
        <v>0</v>
      </c>
      <c r="AF24" s="65">
        <f>SUM(A:B!AF24)</f>
        <v>0</v>
      </c>
      <c r="AG24" s="65">
        <f>SUM(A:B!AG24)</f>
        <v>0</v>
      </c>
      <c r="AH24" s="65">
        <f>SUM(A:B!AH24)</f>
        <v>0</v>
      </c>
      <c r="AI24" s="65">
        <f>SUM(A:B!AI24)</f>
        <v>0</v>
      </c>
      <c r="AJ24" s="65">
        <f>SUM(A:B!AJ24)</f>
        <v>0</v>
      </c>
      <c r="AK24" s="65">
        <f>SUM(A:B!AK24)</f>
        <v>0</v>
      </c>
      <c r="AL24" s="73">
        <f t="shared" si="3"/>
        <v>0</v>
      </c>
      <c r="AM24" s="14">
        <f t="shared" si="6"/>
        <v>0</v>
      </c>
      <c r="AN24" s="89"/>
      <c r="AO24" s="245">
        <v>0</v>
      </c>
      <c r="AP24" s="73">
        <v>0</v>
      </c>
      <c r="AQ24" s="179">
        <v>-1</v>
      </c>
    </row>
    <row r="25" spans="1:43" ht="15" customHeight="1" outlineLevel="1">
      <c r="A25" s="37" t="s">
        <v>110</v>
      </c>
      <c r="B25" s="39"/>
      <c r="C25" s="39" t="s">
        <v>138</v>
      </c>
      <c r="D25" s="37" t="s">
        <v>103</v>
      </c>
      <c r="E25" s="195"/>
      <c r="F25" s="37"/>
      <c r="G25" s="37"/>
      <c r="H25" s="37"/>
      <c r="I25" s="174" t="s">
        <v>139</v>
      </c>
      <c r="J25" s="65">
        <f>SUM(A:B!J25)</f>
        <v>0</v>
      </c>
      <c r="K25" s="65">
        <f>SUM(A:B!K25)</f>
        <v>0</v>
      </c>
      <c r="L25" s="65">
        <f>SUM(A:B!L25)</f>
        <v>0</v>
      </c>
      <c r="M25" s="65">
        <f>SUM(A:B!M25)</f>
        <v>1204</v>
      </c>
      <c r="N25" s="65">
        <f>SUM(A:B!N25)</f>
        <v>2511</v>
      </c>
      <c r="O25" s="65">
        <f>SUM(A:B!O25)</f>
        <v>0</v>
      </c>
      <c r="P25" s="65">
        <f>SUM(A:B!P25)</f>
        <v>2415</v>
      </c>
      <c r="Q25" s="65">
        <f>SUM(A:B!Q25)</f>
        <v>0</v>
      </c>
      <c r="R25" s="65">
        <f>SUM(A:B!R25)</f>
        <v>4705</v>
      </c>
      <c r="S25" s="65">
        <f>SUM(A:B!S25)</f>
        <v>5962</v>
      </c>
      <c r="T25" s="65">
        <f>SUM(A:B!T25)</f>
        <v>3555.666666666667</v>
      </c>
      <c r="U25" s="65">
        <f>SUM(A:B!U25)</f>
        <v>4740.8888888888896</v>
      </c>
      <c r="V25" s="11">
        <f t="shared" si="4"/>
        <v>25093.555555555558</v>
      </c>
      <c r="W25" s="73">
        <f t="shared" si="1"/>
        <v>1.1208838222093274E-4</v>
      </c>
      <c r="X25" s="89"/>
      <c r="Y25" s="65">
        <f>SUM(A:B!Y25)</f>
        <v>0</v>
      </c>
      <c r="Z25" s="65">
        <f>SUM(A:B!Z25)</f>
        <v>0</v>
      </c>
      <c r="AA25" s="65">
        <f>SUM(A:B!AA25)</f>
        <v>0</v>
      </c>
      <c r="AB25" s="65">
        <f>SUM(A:B!AB25)</f>
        <v>0</v>
      </c>
      <c r="AC25" s="65">
        <f>SUM(A:B!AC25)</f>
        <v>0</v>
      </c>
      <c r="AD25" s="65">
        <f>SUM(A:B!AD25)</f>
        <v>0</v>
      </c>
      <c r="AE25" s="65">
        <f>SUM(A:B!AE25)</f>
        <v>0</v>
      </c>
      <c r="AF25" s="65">
        <f>SUM(A:B!AF25)</f>
        <v>0</v>
      </c>
      <c r="AG25" s="65">
        <f>SUM(A:B!AG25)</f>
        <v>0</v>
      </c>
      <c r="AH25" s="65">
        <f>SUM(A:B!AH25)</f>
        <v>0</v>
      </c>
      <c r="AI25" s="65">
        <f>SUM(A:B!AI25)</f>
        <v>0</v>
      </c>
      <c r="AJ25" s="65">
        <f>SUM(A:B!AJ25)</f>
        <v>0</v>
      </c>
      <c r="AK25" s="65">
        <f>SUM(A:B!AK25)</f>
        <v>0</v>
      </c>
      <c r="AL25" s="73">
        <f t="shared" si="3"/>
        <v>0</v>
      </c>
      <c r="AM25" s="14">
        <f t="shared" si="6"/>
        <v>-1</v>
      </c>
      <c r="AN25" s="89"/>
      <c r="AO25" s="245">
        <v>-577841992.85085654</v>
      </c>
      <c r="AP25" s="73">
        <v>-0.13110109296805803</v>
      </c>
      <c r="AQ25" s="179">
        <v>6.6558615712661195E-2</v>
      </c>
    </row>
    <row r="26" spans="1:43" ht="15" customHeight="1" outlineLevel="1">
      <c r="A26" s="37"/>
      <c r="B26" s="39"/>
      <c r="C26" s="39"/>
      <c r="D26" s="37"/>
      <c r="E26" s="195"/>
      <c r="F26" s="37"/>
      <c r="G26" s="37"/>
      <c r="H26" s="37"/>
      <c r="I26" s="175" t="s">
        <v>140</v>
      </c>
      <c r="J26" s="65">
        <f>SUM(A:B!J26)</f>
        <v>0</v>
      </c>
      <c r="K26" s="65">
        <f>SUM(A:B!K26)</f>
        <v>0</v>
      </c>
      <c r="L26" s="65">
        <f>SUM(A:B!L26)</f>
        <v>0</v>
      </c>
      <c r="M26" s="65">
        <f>SUM(A:B!M26)</f>
        <v>0</v>
      </c>
      <c r="N26" s="65">
        <f>SUM(A:B!N26)</f>
        <v>1209</v>
      </c>
      <c r="O26" s="65">
        <f>SUM(A:B!O26)</f>
        <v>0</v>
      </c>
      <c r="P26" s="65">
        <f>SUM(A:B!P26)</f>
        <v>0</v>
      </c>
      <c r="Q26" s="65">
        <f>SUM(A:B!Q26)</f>
        <v>0</v>
      </c>
      <c r="R26" s="65">
        <f>SUM(A:B!R26)</f>
        <v>2382</v>
      </c>
      <c r="S26" s="65">
        <f>SUM(A:B!S26)</f>
        <v>2424</v>
      </c>
      <c r="T26" s="65">
        <f>SUM(A:B!T26)</f>
        <v>1602</v>
      </c>
      <c r="U26" s="65">
        <f>SUM(A:B!U26)</f>
        <v>2136</v>
      </c>
      <c r="V26" s="11">
        <f t="shared" si="4"/>
        <v>9753</v>
      </c>
      <c r="W26" s="73">
        <f t="shared" si="1"/>
        <v>4.3564890171920244E-5</v>
      </c>
      <c r="X26" s="89"/>
      <c r="Y26" s="65">
        <f>SUM(A:B!Y26)</f>
        <v>0</v>
      </c>
      <c r="Z26" s="65">
        <f>SUM(A:B!Z26)</f>
        <v>0</v>
      </c>
      <c r="AA26" s="65">
        <f>SUM(A:B!AA26)</f>
        <v>0</v>
      </c>
      <c r="AB26" s="65">
        <f>SUM(A:B!AB26)</f>
        <v>0</v>
      </c>
      <c r="AC26" s="65">
        <f>SUM(A:B!AC26)</f>
        <v>0</v>
      </c>
      <c r="AD26" s="65">
        <f>SUM(A:B!AD26)</f>
        <v>0</v>
      </c>
      <c r="AE26" s="65">
        <f>SUM(A:B!AE26)</f>
        <v>0</v>
      </c>
      <c r="AF26" s="65">
        <f>SUM(A:B!AF26)</f>
        <v>0</v>
      </c>
      <c r="AG26" s="65">
        <f>SUM(A:B!AG26)</f>
        <v>0</v>
      </c>
      <c r="AH26" s="65">
        <f>SUM(A:B!AH26)</f>
        <v>0</v>
      </c>
      <c r="AI26" s="65">
        <f>SUM(A:B!AI26)</f>
        <v>0</v>
      </c>
      <c r="AJ26" s="65">
        <f>SUM(A:B!AJ26)</f>
        <v>0</v>
      </c>
      <c r="AK26" s="65">
        <f>SUM(A:B!AK26)</f>
        <v>0</v>
      </c>
      <c r="AL26" s="73">
        <f t="shared" si="3"/>
        <v>0</v>
      </c>
      <c r="AM26" s="14">
        <f t="shared" si="6"/>
        <v>-1</v>
      </c>
      <c r="AN26" s="89"/>
      <c r="AO26" s="245">
        <v>-36957482.517364532</v>
      </c>
      <c r="AP26" s="73">
        <v>-8.3849329251239526E-3</v>
      </c>
      <c r="AQ26" s="179">
        <v>6.4257394686814795E-2</v>
      </c>
    </row>
    <row r="27" spans="1:43" ht="15" customHeight="1" outlineLevel="1">
      <c r="A27" s="37"/>
      <c r="B27" s="39"/>
      <c r="C27" s="39"/>
      <c r="D27" s="37"/>
      <c r="E27" s="195"/>
      <c r="F27" s="37"/>
      <c r="G27" s="37"/>
      <c r="H27" s="37"/>
      <c r="I27" s="170" t="s">
        <v>136</v>
      </c>
      <c r="J27" s="65">
        <f>SUM(A:B!J27)</f>
        <v>0</v>
      </c>
      <c r="K27" s="65">
        <f>SUM(A:B!K27)</f>
        <v>0</v>
      </c>
      <c r="L27" s="65">
        <f>SUM(A:B!L27)</f>
        <v>0</v>
      </c>
      <c r="M27" s="65">
        <f>SUM(A:B!M27)</f>
        <v>0</v>
      </c>
      <c r="N27" s="65">
        <f>SUM(A:B!N27)</f>
        <v>0</v>
      </c>
      <c r="O27" s="65">
        <f>SUM(A:B!O27)</f>
        <v>0</v>
      </c>
      <c r="P27" s="65">
        <f>SUM(A:B!P27)</f>
        <v>0</v>
      </c>
      <c r="Q27" s="65">
        <f>SUM(A:B!Q27)</f>
        <v>0</v>
      </c>
      <c r="R27" s="65">
        <f>SUM(A:B!R27)</f>
        <v>0</v>
      </c>
      <c r="S27" s="65">
        <f>SUM(A:B!S27)</f>
        <v>0</v>
      </c>
      <c r="T27" s="65">
        <f>SUM(A:B!T27)</f>
        <v>0</v>
      </c>
      <c r="U27" s="65">
        <f>SUM(A:B!U27)</f>
        <v>0</v>
      </c>
      <c r="V27" s="11">
        <f t="shared" si="4"/>
        <v>0</v>
      </c>
      <c r="W27" s="73">
        <f t="shared" si="1"/>
        <v>0</v>
      </c>
      <c r="X27" s="89"/>
      <c r="Y27" s="65">
        <f>SUM(A:B!Y27)</f>
        <v>0</v>
      </c>
      <c r="Z27" s="65">
        <f>SUM(A:B!Z27)</f>
        <v>0</v>
      </c>
      <c r="AA27" s="65">
        <f>SUM(A:B!AA27)</f>
        <v>0</v>
      </c>
      <c r="AB27" s="65">
        <f>SUM(A:B!AB27)</f>
        <v>0</v>
      </c>
      <c r="AC27" s="65">
        <f>SUM(A:B!AC27)</f>
        <v>0</v>
      </c>
      <c r="AD27" s="65">
        <f>SUM(A:B!AD27)</f>
        <v>0</v>
      </c>
      <c r="AE27" s="65">
        <f>SUM(A:B!AE27)</f>
        <v>0</v>
      </c>
      <c r="AF27" s="65">
        <f>SUM(A:B!AF27)</f>
        <v>0</v>
      </c>
      <c r="AG27" s="65">
        <f>SUM(A:B!AG27)</f>
        <v>0</v>
      </c>
      <c r="AH27" s="65">
        <f>SUM(A:B!AH27)</f>
        <v>0</v>
      </c>
      <c r="AI27" s="65">
        <f>SUM(A:B!AI27)</f>
        <v>0</v>
      </c>
      <c r="AJ27" s="65">
        <f>SUM(A:B!AJ27)</f>
        <v>0</v>
      </c>
      <c r="AK27" s="65">
        <f>SUM(A:B!AK27)</f>
        <v>0</v>
      </c>
      <c r="AL27" s="73">
        <f t="shared" si="3"/>
        <v>0</v>
      </c>
      <c r="AM27" s="14">
        <f t="shared" si="6"/>
        <v>0</v>
      </c>
      <c r="AN27" s="89"/>
      <c r="AO27" s="245">
        <v>0</v>
      </c>
      <c r="AP27" s="73">
        <v>0</v>
      </c>
      <c r="AQ27" s="179">
        <v>-1</v>
      </c>
    </row>
    <row r="28" spans="1:43" ht="15.75">
      <c r="I28" s="174" t="s">
        <v>141</v>
      </c>
      <c r="J28" s="65">
        <f>SUM(A:B!J28)</f>
        <v>0</v>
      </c>
      <c r="K28" s="65">
        <f>SUM(A:B!K28)</f>
        <v>0</v>
      </c>
      <c r="L28" s="65">
        <f>SUM(A:B!L28)</f>
        <v>0</v>
      </c>
      <c r="M28" s="65">
        <f>SUM(A:B!M28)</f>
        <v>0</v>
      </c>
      <c r="N28" s="65">
        <f>SUM(A:B!N28)</f>
        <v>0</v>
      </c>
      <c r="O28" s="65">
        <f>SUM(A:B!O28)</f>
        <v>0</v>
      </c>
      <c r="P28" s="65">
        <f>SUM(A:B!P28)</f>
        <v>0</v>
      </c>
      <c r="Q28" s="65">
        <f>SUM(A:B!Q28)</f>
        <v>0</v>
      </c>
      <c r="R28" s="65">
        <f>SUM(A:B!R28)</f>
        <v>0</v>
      </c>
      <c r="S28" s="65">
        <f>SUM(A:B!S28)</f>
        <v>0</v>
      </c>
      <c r="T28" s="65">
        <f>SUM(A:B!T28)</f>
        <v>0</v>
      </c>
      <c r="U28" s="65">
        <f>SUM(A:B!U28)</f>
        <v>0</v>
      </c>
      <c r="V28" s="11">
        <f t="shared" si="4"/>
        <v>0</v>
      </c>
      <c r="W28" s="73">
        <f t="shared" si="1"/>
        <v>0</v>
      </c>
      <c r="X28" s="89"/>
      <c r="Y28" s="65">
        <f>SUM(A:B!Y28)</f>
        <v>0</v>
      </c>
      <c r="Z28" s="65">
        <f>SUM(A:B!Z28)</f>
        <v>0</v>
      </c>
      <c r="AA28" s="65">
        <f>SUM(A:B!AA28)</f>
        <v>0</v>
      </c>
      <c r="AB28" s="65">
        <f>SUM(A:B!AB28)</f>
        <v>0</v>
      </c>
      <c r="AC28" s="65">
        <f>SUM(A:B!AC28)</f>
        <v>0</v>
      </c>
      <c r="AD28" s="65">
        <f>SUM(A:B!AD28)</f>
        <v>0</v>
      </c>
      <c r="AE28" s="65">
        <f>SUM(A:B!AE28)</f>
        <v>0</v>
      </c>
      <c r="AF28" s="65">
        <f>SUM(A:B!AF28)</f>
        <v>0</v>
      </c>
      <c r="AG28" s="65">
        <f>SUM(A:B!AG28)</f>
        <v>0</v>
      </c>
      <c r="AH28" s="65">
        <f>SUM(A:B!AH28)</f>
        <v>0</v>
      </c>
      <c r="AI28" s="65">
        <f>SUM(A:B!AI28)</f>
        <v>0</v>
      </c>
      <c r="AJ28" s="65">
        <f>SUM(A:B!AJ28)</f>
        <v>0</v>
      </c>
      <c r="AK28" s="65">
        <f>SUM(A:B!AK28)</f>
        <v>0</v>
      </c>
      <c r="AL28" s="73">
        <f t="shared" si="3"/>
        <v>0</v>
      </c>
      <c r="AM28" s="14">
        <f t="shared" si="6"/>
        <v>0</v>
      </c>
      <c r="AN28" s="89"/>
      <c r="AO28" s="247">
        <v>650744500.58932972</v>
      </c>
      <c r="AP28" s="73">
        <v>0.14764125197843475</v>
      </c>
      <c r="AQ28" s="182">
        <v>0.17255416190461581</v>
      </c>
    </row>
    <row r="29" spans="1:43" ht="15" customHeight="1" outlineLevel="1">
      <c r="I29" s="175" t="s">
        <v>142</v>
      </c>
      <c r="J29" s="65">
        <f>SUM(A:B!J29)</f>
        <v>0</v>
      </c>
      <c r="K29" s="65">
        <f>SUM(A:B!K29)</f>
        <v>0</v>
      </c>
      <c r="L29" s="65">
        <f>SUM(A:B!L29)</f>
        <v>0</v>
      </c>
      <c r="M29" s="65">
        <f>SUM(A:B!M29)</f>
        <v>0</v>
      </c>
      <c r="N29" s="65">
        <f>SUM(A:B!N29)</f>
        <v>0</v>
      </c>
      <c r="O29" s="65">
        <f>SUM(A:B!O29)</f>
        <v>0</v>
      </c>
      <c r="P29" s="65">
        <f>SUM(A:B!P29)</f>
        <v>0</v>
      </c>
      <c r="Q29" s="65">
        <f>SUM(A:B!Q29)</f>
        <v>0</v>
      </c>
      <c r="R29" s="65">
        <f>SUM(A:B!R29)</f>
        <v>0</v>
      </c>
      <c r="S29" s="65">
        <f>SUM(A:B!S29)</f>
        <v>0</v>
      </c>
      <c r="T29" s="65">
        <f>SUM(A:B!T29)</f>
        <v>0</v>
      </c>
      <c r="U29" s="65">
        <f>SUM(A:B!U29)</f>
        <v>0</v>
      </c>
      <c r="V29" s="11">
        <f t="shared" si="4"/>
        <v>0</v>
      </c>
      <c r="W29" s="73">
        <f t="shared" si="1"/>
        <v>0</v>
      </c>
      <c r="X29" s="89"/>
      <c r="Y29" s="65">
        <f>SUM(A:B!Y29)</f>
        <v>0</v>
      </c>
      <c r="Z29" s="65">
        <f>SUM(A:B!Z29)</f>
        <v>0</v>
      </c>
      <c r="AA29" s="65">
        <f>SUM(A:B!AA29)</f>
        <v>0</v>
      </c>
      <c r="AB29" s="65">
        <f>SUM(A:B!AB29)</f>
        <v>0</v>
      </c>
      <c r="AC29" s="65">
        <f>SUM(A:B!AC29)</f>
        <v>0</v>
      </c>
      <c r="AD29" s="65">
        <f>SUM(A:B!AD29)</f>
        <v>0</v>
      </c>
      <c r="AE29" s="65">
        <f>SUM(A:B!AE29)</f>
        <v>0</v>
      </c>
      <c r="AF29" s="65">
        <f>SUM(A:B!AF29)</f>
        <v>0</v>
      </c>
      <c r="AG29" s="65">
        <f>SUM(A:B!AG29)</f>
        <v>0</v>
      </c>
      <c r="AH29" s="65">
        <f>SUM(A:B!AH29)</f>
        <v>0</v>
      </c>
      <c r="AI29" s="65">
        <f>SUM(A:B!AI29)</f>
        <v>0</v>
      </c>
      <c r="AJ29" s="65">
        <f>SUM(A:B!AJ29)</f>
        <v>0</v>
      </c>
      <c r="AK29" s="65">
        <f>SUM(A:B!AK29)</f>
        <v>0</v>
      </c>
      <c r="AL29" s="73">
        <f t="shared" si="3"/>
        <v>0</v>
      </c>
      <c r="AM29" s="14">
        <f t="shared" si="6"/>
        <v>0</v>
      </c>
      <c r="AN29" s="90"/>
      <c r="AO29" s="249">
        <v>543437463.87452662</v>
      </c>
      <c r="AP29" s="74" t="e">
        <v>#REF!</v>
      </c>
      <c r="AQ29" s="183">
        <v>0.13532128173743607</v>
      </c>
    </row>
    <row r="30" spans="1:43" ht="15" customHeight="1" outlineLevel="1">
      <c r="I30" s="175" t="s">
        <v>143</v>
      </c>
      <c r="J30" s="65">
        <f>SUM(A:B!J30)</f>
        <v>5756</v>
      </c>
      <c r="K30" s="65">
        <f>SUM(A:B!K30)</f>
        <v>6248</v>
      </c>
      <c r="L30" s="65">
        <f>SUM(A:B!L30)</f>
        <v>14445</v>
      </c>
      <c r="M30" s="65">
        <f>SUM(A:B!M30)</f>
        <v>13905</v>
      </c>
      <c r="N30" s="65">
        <f>SUM(A:B!N30)</f>
        <v>16034</v>
      </c>
      <c r="O30" s="65">
        <f>SUM(A:B!O30)</f>
        <v>6728</v>
      </c>
      <c r="P30" s="65">
        <f>SUM(A:B!P30)</f>
        <v>12477</v>
      </c>
      <c r="Q30" s="65">
        <f>SUM(A:B!Q30)</f>
        <v>39639</v>
      </c>
      <c r="R30" s="65">
        <f>SUM(A:B!R30)</f>
        <v>14656</v>
      </c>
      <c r="S30" s="65">
        <f>SUM(A:B!S30)</f>
        <v>19596</v>
      </c>
      <c r="T30" s="65">
        <f>SUM(A:B!T30)</f>
        <v>24630.333333333336</v>
      </c>
      <c r="U30" s="65">
        <f>SUM(A:B!U30)</f>
        <v>19627.444444444445</v>
      </c>
      <c r="V30" s="11">
        <f t="shared" si="4"/>
        <v>193741.77777777778</v>
      </c>
      <c r="W30" s="73">
        <f t="shared" si="1"/>
        <v>8.6540954276647872E-4</v>
      </c>
      <c r="X30" s="89"/>
      <c r="Y30" s="65">
        <f>SUM(A:B!Y30)</f>
        <v>6864</v>
      </c>
      <c r="Z30" s="65">
        <f>SUM(A:B!Z30)</f>
        <v>6048</v>
      </c>
      <c r="AA30" s="65">
        <f>SUM(A:B!AA30)</f>
        <v>12240</v>
      </c>
      <c r="AB30" s="65">
        <f>SUM(A:B!AB30)</f>
        <v>11856</v>
      </c>
      <c r="AC30" s="65">
        <f>SUM(A:B!AC30)</f>
        <v>14016</v>
      </c>
      <c r="AD30" s="65">
        <f>SUM(A:B!AD30)</f>
        <v>11760</v>
      </c>
      <c r="AE30" s="65">
        <f>SUM(A:B!AE30)</f>
        <v>12672</v>
      </c>
      <c r="AF30" s="65">
        <f>SUM(A:B!AF30)</f>
        <v>13584</v>
      </c>
      <c r="AG30" s="65">
        <f>SUM(A:B!AG30)</f>
        <v>11568</v>
      </c>
      <c r="AH30" s="65">
        <f>SUM(A:B!AH30)</f>
        <v>15456</v>
      </c>
      <c r="AI30" s="65">
        <f>SUM(A:B!AI30)</f>
        <v>16224</v>
      </c>
      <c r="AJ30" s="65">
        <f>SUM(A:B!AJ30)</f>
        <v>21984</v>
      </c>
      <c r="AK30" s="65">
        <f>SUM(A:B!AK30)</f>
        <v>154272</v>
      </c>
      <c r="AL30" s="73">
        <f t="shared" si="3"/>
        <v>6.1526520736270474E-4</v>
      </c>
      <c r="AM30" s="14">
        <f t="shared" si="6"/>
        <v>-0.20372362755466045</v>
      </c>
      <c r="AN30" s="90"/>
      <c r="AO30" s="249">
        <v>42647062.426652193</v>
      </c>
      <c r="AP30" s="74" t="e">
        <v>#REF!</v>
      </c>
      <c r="AQ30" s="183">
        <v>0.48513341383897091</v>
      </c>
    </row>
    <row r="31" spans="1:43" ht="15" customHeight="1" outlineLevel="1">
      <c r="I31" s="175" t="s">
        <v>144</v>
      </c>
      <c r="J31" s="65">
        <f>SUM(A:B!J31)</f>
        <v>-169846</v>
      </c>
      <c r="K31" s="65">
        <f>SUM(A:B!K31)</f>
        <v>-167978</v>
      </c>
      <c r="L31" s="65">
        <f>SUM(A:B!L31)</f>
        <v>-186098</v>
      </c>
      <c r="M31" s="65">
        <f>SUM(A:B!M31)</f>
        <v>-197938</v>
      </c>
      <c r="N31" s="65">
        <f>SUM(A:B!N31)</f>
        <v>-216128</v>
      </c>
      <c r="O31" s="65">
        <f>SUM(A:B!O31)</f>
        <v>-198097</v>
      </c>
      <c r="P31" s="65">
        <f>SUM(A:B!P31)</f>
        <v>-210124</v>
      </c>
      <c r="Q31" s="65">
        <f>SUM(A:B!Q31)</f>
        <v>-206915</v>
      </c>
      <c r="R31" s="65">
        <f>SUM(A:B!R31)</f>
        <v>-188174</v>
      </c>
      <c r="S31" s="65">
        <f>SUM(A:B!S31)</f>
        <v>-253073</v>
      </c>
      <c r="T31" s="65">
        <f>SUM(A:B!T31)</f>
        <v>-216054</v>
      </c>
      <c r="U31" s="65">
        <f>SUM(A:B!U31)</f>
        <v>-219100.33333333331</v>
      </c>
      <c r="V31" s="11">
        <f t="shared" si="4"/>
        <v>-2429525.3333333335</v>
      </c>
      <c r="W31" s="73">
        <f t="shared" si="1"/>
        <v>-1.0852251032150578E-2</v>
      </c>
      <c r="X31" s="89"/>
      <c r="Y31" s="65">
        <f>SUM(A:B!Y31)</f>
        <v>0</v>
      </c>
      <c r="Z31" s="65">
        <f>SUM(A:B!Z31)</f>
        <v>0</v>
      </c>
      <c r="AA31" s="65">
        <f>SUM(A:B!AA31)</f>
        <v>0</v>
      </c>
      <c r="AB31" s="65">
        <f>SUM(A:B!AB31)</f>
        <v>0</v>
      </c>
      <c r="AC31" s="65">
        <f>SUM(A:B!AC31)</f>
        <v>0</v>
      </c>
      <c r="AD31" s="65">
        <f>SUM(A:B!AD31)</f>
        <v>0</v>
      </c>
      <c r="AE31" s="65">
        <f>SUM(A:B!AE31)</f>
        <v>0</v>
      </c>
      <c r="AF31" s="65">
        <f>SUM(A:B!AF31)</f>
        <v>0</v>
      </c>
      <c r="AG31" s="65">
        <f>SUM(A:B!AG31)</f>
        <v>0</v>
      </c>
      <c r="AH31" s="65">
        <f>SUM(A:B!AH31)</f>
        <v>0</v>
      </c>
      <c r="AI31" s="65">
        <f>SUM(A:B!AI31)</f>
        <v>0</v>
      </c>
      <c r="AJ31" s="65">
        <f>SUM(A:B!AJ31)</f>
        <v>0</v>
      </c>
      <c r="AK31" s="65">
        <f>SUM(A:B!AK31)</f>
        <v>0</v>
      </c>
      <c r="AL31" s="73">
        <f t="shared" si="3"/>
        <v>0</v>
      </c>
      <c r="AM31" s="14">
        <f t="shared" si="6"/>
        <v>-1</v>
      </c>
      <c r="AN31" s="90"/>
      <c r="AO31" s="249">
        <v>64659974.288150027</v>
      </c>
      <c r="AP31" s="74" t="e">
        <v>#REF!</v>
      </c>
      <c r="AQ31" s="183">
        <v>0.41061113477855393</v>
      </c>
    </row>
    <row r="32" spans="1:43" ht="15" customHeight="1" outlineLevel="1">
      <c r="I32" s="175" t="s">
        <v>145</v>
      </c>
      <c r="J32" s="65">
        <f>SUM(A:B!J32)</f>
        <v>-30257</v>
      </c>
      <c r="K32" s="65">
        <f>SUM(A:B!K32)</f>
        <v>-31282</v>
      </c>
      <c r="L32" s="65">
        <f>SUM(A:B!L32)</f>
        <v>-37037</v>
      </c>
      <c r="M32" s="65">
        <f>SUM(A:B!M32)</f>
        <v>-29914</v>
      </c>
      <c r="N32" s="65">
        <f>SUM(A:B!N32)</f>
        <v>-42589</v>
      </c>
      <c r="O32" s="65">
        <f>SUM(A:B!O32)</f>
        <v>-30035</v>
      </c>
      <c r="P32" s="65">
        <f>SUM(A:B!P32)</f>
        <v>-37039</v>
      </c>
      <c r="Q32" s="65">
        <f>SUM(A:B!Q32)</f>
        <v>-37056</v>
      </c>
      <c r="R32" s="65">
        <f>SUM(A:B!R32)</f>
        <v>-43904</v>
      </c>
      <c r="S32" s="65">
        <f>SUM(A:B!S32)</f>
        <v>-42746</v>
      </c>
      <c r="T32" s="65">
        <f>SUM(A:B!T32)</f>
        <v>-41235.333333333336</v>
      </c>
      <c r="U32" s="65">
        <f>SUM(A:B!U32)</f>
        <v>-42628.444444444445</v>
      </c>
      <c r="V32" s="11">
        <f t="shared" si="4"/>
        <v>-445722.77777777775</v>
      </c>
      <c r="W32" s="73">
        <f t="shared" si="1"/>
        <v>-1.9909631765622987E-3</v>
      </c>
      <c r="X32" s="89"/>
      <c r="Y32" s="65">
        <f>SUM(A:B!Y32)</f>
        <v>0</v>
      </c>
      <c r="Z32" s="65">
        <f>SUM(A:B!Z32)</f>
        <v>0</v>
      </c>
      <c r="AA32" s="65">
        <f>SUM(A:B!AA32)</f>
        <v>0</v>
      </c>
      <c r="AB32" s="65">
        <f>SUM(A:B!AB32)</f>
        <v>0</v>
      </c>
      <c r="AC32" s="65">
        <f>SUM(A:B!AC32)</f>
        <v>0</v>
      </c>
      <c r="AD32" s="65">
        <f>SUM(A:B!AD32)</f>
        <v>0</v>
      </c>
      <c r="AE32" s="65">
        <f>SUM(A:B!AE32)</f>
        <v>0</v>
      </c>
      <c r="AF32" s="65">
        <f>SUM(A:B!AF32)</f>
        <v>0</v>
      </c>
      <c r="AG32" s="65">
        <f>SUM(A:B!AG32)</f>
        <v>0</v>
      </c>
      <c r="AH32" s="65">
        <f>SUM(A:B!AH32)</f>
        <v>0</v>
      </c>
      <c r="AI32" s="65">
        <f>SUM(A:B!AI32)</f>
        <v>0</v>
      </c>
      <c r="AJ32" s="65">
        <f>SUM(A:B!AJ32)</f>
        <v>0</v>
      </c>
      <c r="AK32" s="65">
        <f>SUM(A:B!AK32)</f>
        <v>0</v>
      </c>
      <c r="AL32" s="73">
        <f t="shared" si="3"/>
        <v>0</v>
      </c>
      <c r="AM32" s="14">
        <f t="shared" si="6"/>
        <v>-1</v>
      </c>
      <c r="AN32" s="90"/>
      <c r="AO32" s="249">
        <v>0</v>
      </c>
      <c r="AP32" s="74" t="e">
        <v>#REF!</v>
      </c>
      <c r="AQ32" s="183">
        <v>-1</v>
      </c>
    </row>
    <row r="33" spans="1:43">
      <c r="I33" s="175" t="s">
        <v>146</v>
      </c>
      <c r="J33" s="65">
        <f>SUM(A:B!J33)</f>
        <v>-3485</v>
      </c>
      <c r="K33" s="65">
        <f>SUM(A:B!K33)</f>
        <v>0</v>
      </c>
      <c r="L33" s="65">
        <f>SUM(A:B!L33)</f>
        <v>-2310</v>
      </c>
      <c r="M33" s="65">
        <f>SUM(A:B!M33)</f>
        <v>0</v>
      </c>
      <c r="N33" s="65">
        <f>SUM(A:B!N33)</f>
        <v>-2310</v>
      </c>
      <c r="O33" s="65">
        <f>SUM(A:B!O33)</f>
        <v>-4642</v>
      </c>
      <c r="P33" s="65">
        <f>SUM(A:B!P33)</f>
        <v>0</v>
      </c>
      <c r="Q33" s="65">
        <f>SUM(A:B!Q33)</f>
        <v>0</v>
      </c>
      <c r="R33" s="65">
        <f>SUM(A:B!R33)</f>
        <v>0</v>
      </c>
      <c r="S33" s="65">
        <f>SUM(A:B!S33)</f>
        <v>-4626</v>
      </c>
      <c r="T33" s="65">
        <f>SUM(A:B!T33)</f>
        <v>-1542</v>
      </c>
      <c r="U33" s="65">
        <f>SUM(A:B!U33)</f>
        <v>-2056</v>
      </c>
      <c r="V33" s="11">
        <f t="shared" si="4"/>
        <v>-20971</v>
      </c>
      <c r="W33" s="73">
        <f t="shared" si="1"/>
        <v>-9.3673670849517005E-5</v>
      </c>
      <c r="X33" s="89"/>
      <c r="Y33" s="65">
        <f>SUM(A:B!Y33)</f>
        <v>0</v>
      </c>
      <c r="Z33" s="65">
        <f>SUM(A:B!Z33)</f>
        <v>0</v>
      </c>
      <c r="AA33" s="65">
        <f>SUM(A:B!AA33)</f>
        <v>0</v>
      </c>
      <c r="AB33" s="65">
        <f>SUM(A:B!AB33)</f>
        <v>0</v>
      </c>
      <c r="AC33" s="65">
        <f>SUM(A:B!AC33)</f>
        <v>0</v>
      </c>
      <c r="AD33" s="65">
        <f>SUM(A:B!AD33)</f>
        <v>0</v>
      </c>
      <c r="AE33" s="65">
        <f>SUM(A:B!AE33)</f>
        <v>0</v>
      </c>
      <c r="AF33" s="65">
        <f>SUM(A:B!AF33)</f>
        <v>0</v>
      </c>
      <c r="AG33" s="65">
        <f>SUM(A:B!AG33)</f>
        <v>0</v>
      </c>
      <c r="AH33" s="65">
        <f>SUM(A:B!AH33)</f>
        <v>0</v>
      </c>
      <c r="AI33" s="65">
        <f>SUM(A:B!AI33)</f>
        <v>0</v>
      </c>
      <c r="AJ33" s="65">
        <f>SUM(A:B!AJ33)</f>
        <v>0</v>
      </c>
      <c r="AK33" s="65">
        <f>SUM(A:B!AK33)</f>
        <v>0</v>
      </c>
      <c r="AL33" s="73">
        <f t="shared" si="3"/>
        <v>0</v>
      </c>
      <c r="AM33" s="14">
        <f t="shared" si="6"/>
        <v>-1</v>
      </c>
      <c r="AN33" s="90"/>
      <c r="AO33" s="251">
        <v>245936244.80767727</v>
      </c>
      <c r="AP33" s="180"/>
      <c r="AQ33" s="238">
        <v>0.13595410459666168</v>
      </c>
    </row>
    <row r="34" spans="1:43" ht="15" customHeight="1" outlineLevel="1">
      <c r="I34" s="36" t="s">
        <v>147</v>
      </c>
      <c r="J34" s="35">
        <f t="shared" ref="J34:V34" si="9">J6-J13</f>
        <v>1086481</v>
      </c>
      <c r="K34" s="35">
        <f t="shared" si="9"/>
        <v>1172394</v>
      </c>
      <c r="L34" s="35">
        <f t="shared" si="9"/>
        <v>1513835</v>
      </c>
      <c r="M34" s="35">
        <f t="shared" si="9"/>
        <v>1602934</v>
      </c>
      <c r="N34" s="35">
        <f t="shared" si="9"/>
        <v>1748688</v>
      </c>
      <c r="O34" s="35">
        <f t="shared" si="9"/>
        <v>1765808</v>
      </c>
      <c r="P34" s="35">
        <f t="shared" si="9"/>
        <v>1408449</v>
      </c>
      <c r="Q34" s="35">
        <f t="shared" si="9"/>
        <v>1480274</v>
      </c>
      <c r="R34" s="35">
        <f t="shared" si="9"/>
        <v>1589685</v>
      </c>
      <c r="S34" s="35">
        <f t="shared" si="9"/>
        <v>1709730</v>
      </c>
      <c r="T34" s="35">
        <f t="shared" si="9"/>
        <v>1593229.6666666642</v>
      </c>
      <c r="U34" s="35">
        <f t="shared" si="9"/>
        <v>1630881.5555555597</v>
      </c>
      <c r="V34" s="35">
        <f t="shared" si="9"/>
        <v>18302389.222222179</v>
      </c>
      <c r="W34" s="73">
        <f t="shared" si="1"/>
        <v>8.1753468302045107E-2</v>
      </c>
      <c r="X34" s="89"/>
      <c r="Y34" s="35">
        <f t="shared" ref="Y34:AK34" si="10">Y6-Y13</f>
        <v>1685659.5280745327</v>
      </c>
      <c r="Z34" s="35">
        <f t="shared" si="10"/>
        <v>1442426.0116887707</v>
      </c>
      <c r="AA34" s="35">
        <f t="shared" si="10"/>
        <v>1965910.8593494743</v>
      </c>
      <c r="AB34" s="35">
        <f t="shared" si="10"/>
        <v>1708121.0777231157</v>
      </c>
      <c r="AC34" s="35">
        <f t="shared" si="10"/>
        <v>2074145.806944415</v>
      </c>
      <c r="AD34" s="35">
        <f t="shared" si="10"/>
        <v>1868457.3218296729</v>
      </c>
      <c r="AE34" s="35">
        <f t="shared" si="10"/>
        <v>1787126.3777440786</v>
      </c>
      <c r="AF34" s="35">
        <f t="shared" si="10"/>
        <v>1869482.9902027026</v>
      </c>
      <c r="AG34" s="35">
        <f t="shared" si="10"/>
        <v>2022530.9830231555</v>
      </c>
      <c r="AH34" s="35">
        <f t="shared" si="10"/>
        <v>2189314.6390536353</v>
      </c>
      <c r="AI34" s="35">
        <f t="shared" si="10"/>
        <v>2028158.1597575173</v>
      </c>
      <c r="AJ34" s="35">
        <f t="shared" si="10"/>
        <v>2021172.1450806186</v>
      </c>
      <c r="AK34" s="35">
        <f t="shared" si="10"/>
        <v>22662505.900471687</v>
      </c>
      <c r="AL34" s="73">
        <f t="shared" si="3"/>
        <v>9.0382255964868749E-2</v>
      </c>
      <c r="AM34" s="34">
        <f t="shared" si="6"/>
        <v>0.23822663944637301</v>
      </c>
      <c r="AN34" s="90"/>
      <c r="AO34" s="248">
        <v>201847663.03813493</v>
      </c>
      <c r="AP34" s="73">
        <v>4.5795303153361937E-2</v>
      </c>
      <c r="AQ34" s="239">
        <v>0.11498404798752948</v>
      </c>
    </row>
    <row r="35" spans="1:43" ht="15" customHeight="1" outlineLevel="1">
      <c r="I35" s="31" t="s">
        <v>148</v>
      </c>
      <c r="J35" s="30">
        <f>SUM(A:B!J35)</f>
        <v>1001085</v>
      </c>
      <c r="K35" s="30">
        <f>SUM(A:B!K35)</f>
        <v>1097495</v>
      </c>
      <c r="L35" s="30">
        <f>SUM(A:B!L35)</f>
        <v>1401632</v>
      </c>
      <c r="M35" s="30">
        <f>SUM(A:B!M35)</f>
        <v>1479528</v>
      </c>
      <c r="N35" s="30">
        <f>SUM(A:B!N35)</f>
        <v>1551893</v>
      </c>
      <c r="O35" s="30">
        <f>SUM(A:B!O35)</f>
        <v>1507543</v>
      </c>
      <c r="P35" s="30">
        <f>SUM(A:B!P35)</f>
        <v>1399383</v>
      </c>
      <c r="Q35" s="30">
        <f>SUM(A:B!Q35)</f>
        <v>1423247</v>
      </c>
      <c r="R35" s="30">
        <f>SUM(A:B!R35)</f>
        <v>1462071</v>
      </c>
      <c r="S35" s="30">
        <f>SUM(A:B!S35)</f>
        <v>1627412</v>
      </c>
      <c r="T35" s="30">
        <f>SUM(A:B!T35)</f>
        <v>1510612</v>
      </c>
      <c r="U35" s="30">
        <f>SUM(A:B!U35)</f>
        <v>1533365</v>
      </c>
      <c r="V35" s="32">
        <f t="shared" ref="V35:V42" si="11">SUM(J35:U35)</f>
        <v>16995266</v>
      </c>
      <c r="W35" s="74">
        <f>V35/V$39</f>
        <v>-810.41752896857565</v>
      </c>
      <c r="X35" s="90"/>
      <c r="Y35" s="30">
        <f>SUM(A:B!Y35)</f>
        <v>1319638.298074533</v>
      </c>
      <c r="Z35" s="30">
        <f>SUM(A:B!Z35)</f>
        <v>1099189.3016887712</v>
      </c>
      <c r="AA35" s="30">
        <f>SUM(A:B!AA35)</f>
        <v>1550720.4293494746</v>
      </c>
      <c r="AB35" s="30">
        <f>SUM(A:B!AB35)</f>
        <v>1327424.3277231138</v>
      </c>
      <c r="AC35" s="30">
        <f>SUM(A:B!AC35)</f>
        <v>1620445.886944416</v>
      </c>
      <c r="AD35" s="30">
        <f>SUM(A:B!AD35)</f>
        <v>1486340.2218296777</v>
      </c>
      <c r="AE35" s="30">
        <f>SUM(A:B!AE35)</f>
        <v>1402949.1277440765</v>
      </c>
      <c r="AF35" s="30">
        <f>SUM(A:B!AF35)</f>
        <v>1433617.2302027009</v>
      </c>
      <c r="AG35" s="30">
        <f>SUM(A:B!AG35)</f>
        <v>1548843.593023157</v>
      </c>
      <c r="AH35" s="30">
        <f>SUM(A:B!AH35)</f>
        <v>1703584.4290536325</v>
      </c>
      <c r="AI35" s="30">
        <f>SUM(A:B!AI35)</f>
        <v>1567762.0797575125</v>
      </c>
      <c r="AJ35" s="30">
        <f>SUM(A:B!AJ35)</f>
        <v>1561605.4450806158</v>
      </c>
      <c r="AK35" s="30">
        <f t="shared" ref="AK35:AK42" si="12">SUM(Y35:AJ35)</f>
        <v>17622120.370471682</v>
      </c>
      <c r="AL35" s="74" t="e">
        <f>AK35/AK$39</f>
        <v>#DIV/0!</v>
      </c>
      <c r="AM35" s="29">
        <f>IFERROR(AK35/V35-1,0)</f>
        <v>3.6884057623557176E-2</v>
      </c>
      <c r="AN35" s="90"/>
      <c r="AO35" s="248">
        <v>17513400.102549024</v>
      </c>
      <c r="AP35" s="73">
        <v>3.9734493571561705E-3</v>
      </c>
      <c r="AQ35" s="239">
        <v>0.21609610089949771</v>
      </c>
    </row>
    <row r="36" spans="1:43" ht="15" customHeight="1" outlineLevel="1">
      <c r="I36" s="31" t="s">
        <v>149</v>
      </c>
      <c r="J36" s="30">
        <f>SUM(A:B!J36)</f>
        <v>270882</v>
      </c>
      <c r="K36" s="30">
        <f>SUM(A:B!K36)</f>
        <v>262355</v>
      </c>
      <c r="L36" s="30">
        <f>SUM(A:B!L36)</f>
        <v>319414</v>
      </c>
      <c r="M36" s="30">
        <f>SUM(A:B!M36)</f>
        <v>332510</v>
      </c>
      <c r="N36" s="30">
        <f>SUM(A:B!N36)</f>
        <v>427513</v>
      </c>
      <c r="O36" s="30">
        <f>SUM(A:B!O36)</f>
        <v>460370</v>
      </c>
      <c r="P36" s="30">
        <f>SUM(A:B!P36)</f>
        <v>237976</v>
      </c>
      <c r="Q36" s="30">
        <f>SUM(A:B!Q36)</f>
        <v>314082</v>
      </c>
      <c r="R36" s="30">
        <f>SUM(A:B!R36)</f>
        <v>352151</v>
      </c>
      <c r="S36" s="30">
        <f>SUM(A:B!S36)</f>
        <v>356507</v>
      </c>
      <c r="T36" s="30">
        <f>SUM(A:B!T36)</f>
        <v>343988.66666666669</v>
      </c>
      <c r="U36" s="30">
        <f>SUM(A:B!U36)</f>
        <v>350882.22222222225</v>
      </c>
      <c r="V36" s="32">
        <f t="shared" si="11"/>
        <v>4028630.888888889</v>
      </c>
      <c r="W36" s="74">
        <f>V36/V$39</f>
        <v>-192.10485379280382</v>
      </c>
      <c r="X36" s="90"/>
      <c r="Y36" s="30">
        <f>SUM(A:B!Y36)</f>
        <v>354333.45</v>
      </c>
      <c r="Z36" s="30">
        <f>SUM(A:B!Z36)</f>
        <v>333183.18999999994</v>
      </c>
      <c r="AA36" s="30">
        <f>SUM(A:B!AA36)</f>
        <v>400038.42999999993</v>
      </c>
      <c r="AB36" s="30">
        <f>SUM(A:B!AB36)</f>
        <v>363447.05</v>
      </c>
      <c r="AC36" s="30">
        <f>SUM(A:B!AC36)</f>
        <v>432928.68999999994</v>
      </c>
      <c r="AD36" s="30">
        <f>SUM(A:B!AD36)</f>
        <v>368281.30000000005</v>
      </c>
      <c r="AE36" s="30">
        <f>SUM(A:B!AE36)</f>
        <v>367117.93</v>
      </c>
      <c r="AF36" s="30">
        <f>SUM(A:B!AF36)</f>
        <v>422464.64</v>
      </c>
      <c r="AG36" s="30">
        <f>SUM(A:B!AG36)</f>
        <v>460060.76000000007</v>
      </c>
      <c r="AH36" s="30">
        <f>SUM(A:B!AH36)</f>
        <v>472043.46000000008</v>
      </c>
      <c r="AI36" s="30">
        <f>SUM(A:B!AI36)</f>
        <v>446561.31</v>
      </c>
      <c r="AJ36" s="30">
        <f>SUM(A:B!AJ36)</f>
        <v>444298.50999999995</v>
      </c>
      <c r="AK36" s="30">
        <f t="shared" si="12"/>
        <v>4864758.72</v>
      </c>
      <c r="AL36" s="74" t="e">
        <f>AK36/AK$39</f>
        <v>#DIV/0!</v>
      </c>
      <c r="AM36" s="29">
        <f>IFERROR(AK36/V36-1,0)</f>
        <v>0.20754639831044885</v>
      </c>
      <c r="AN36" s="90"/>
      <c r="AO36" s="248">
        <v>26575181.666993298</v>
      </c>
      <c r="AP36" s="73">
        <v>6.0293910886929317E-3</v>
      </c>
      <c r="AQ36" s="240">
        <v>0.26135798506195496</v>
      </c>
    </row>
    <row r="37" spans="1:43">
      <c r="I37" s="31" t="s">
        <v>150</v>
      </c>
      <c r="J37" s="30">
        <f>SUM(A:B!J37)</f>
        <v>14035</v>
      </c>
      <c r="K37" s="30">
        <f>SUM(A:B!K37)</f>
        <v>9009</v>
      </c>
      <c r="L37" s="30">
        <f>SUM(A:B!L37)</f>
        <v>12996</v>
      </c>
      <c r="M37" s="30">
        <f>SUM(A:B!M37)</f>
        <v>11131</v>
      </c>
      <c r="N37" s="30">
        <f>SUM(A:B!N37)</f>
        <v>24319</v>
      </c>
      <c r="O37" s="30">
        <f>SUM(A:B!O37)</f>
        <v>16600</v>
      </c>
      <c r="P37" s="30">
        <f>SUM(A:B!P37)</f>
        <v>12364</v>
      </c>
      <c r="Q37" s="30">
        <f>SUM(A:B!Q37)</f>
        <v>4315</v>
      </c>
      <c r="R37" s="30">
        <f>SUM(A:B!R37)</f>
        <v>3291</v>
      </c>
      <c r="S37" s="30">
        <f>SUM(A:B!S37)</f>
        <v>20147</v>
      </c>
      <c r="T37" s="30">
        <f>SUM(A:B!T37)</f>
        <v>11934</v>
      </c>
      <c r="U37" s="30">
        <f>SUM(A:B!U37)</f>
        <v>11790.666666666666</v>
      </c>
      <c r="V37" s="32">
        <f t="shared" si="11"/>
        <v>151931.66666666666</v>
      </c>
      <c r="W37" s="74">
        <f>V37/V$39</f>
        <v>-7.2448460572536675</v>
      </c>
      <c r="X37" s="90"/>
      <c r="Y37" s="30">
        <f>SUM(A:B!Y37)</f>
        <v>9971.7800000000007</v>
      </c>
      <c r="Z37" s="30">
        <f>SUM(A:B!Z37)</f>
        <v>8541.52</v>
      </c>
      <c r="AA37" s="30">
        <f>SUM(A:B!AA37)</f>
        <v>12092</v>
      </c>
      <c r="AB37" s="30">
        <f>SUM(A:B!AB37)</f>
        <v>14285.7</v>
      </c>
      <c r="AC37" s="30">
        <f>SUM(A:B!AC37)</f>
        <v>17267.23</v>
      </c>
      <c r="AD37" s="30">
        <f>SUM(A:B!AD37)</f>
        <v>10895.800000000001</v>
      </c>
      <c r="AE37" s="30">
        <f>SUM(A:B!AE37)</f>
        <v>13891.32</v>
      </c>
      <c r="AF37" s="30">
        <f>SUM(A:B!AF37)</f>
        <v>10005.120000000001</v>
      </c>
      <c r="AG37" s="30">
        <f>SUM(A:B!AG37)</f>
        <v>10734.630000000001</v>
      </c>
      <c r="AH37" s="30">
        <f>SUM(A:B!AH37)</f>
        <v>9822.75</v>
      </c>
      <c r="AI37" s="30">
        <f>SUM(A:B!AI37)</f>
        <v>9778.77</v>
      </c>
      <c r="AJ37" s="30">
        <f>SUM(A:B!AJ37)</f>
        <v>9772.19</v>
      </c>
      <c r="AK37" s="30">
        <f t="shared" si="12"/>
        <v>137058.81</v>
      </c>
      <c r="AL37" s="74" t="e">
        <f>AK37/AK$39</f>
        <v>#DIV/0!</v>
      </c>
      <c r="AM37" s="29">
        <f>IFERROR(AK37/V37-1,0)</f>
        <v>-9.7891749580403475E-2</v>
      </c>
      <c r="AN37" s="90"/>
      <c r="AO37" s="251">
        <v>2.645988602038766</v>
      </c>
      <c r="AP37" s="74"/>
      <c r="AQ37" s="16">
        <v>2.9597448259182535E-2</v>
      </c>
    </row>
    <row r="38" spans="1:43" ht="15" customHeight="1" outlineLevel="1">
      <c r="I38" s="31" t="s">
        <v>151</v>
      </c>
      <c r="J38" s="30">
        <f>SUM(A:B!J38)</f>
        <v>4066</v>
      </c>
      <c r="K38" s="30">
        <f>SUM(A:B!K38)</f>
        <v>2794</v>
      </c>
      <c r="L38" s="30">
        <f>SUM(A:B!L38)</f>
        <v>5238</v>
      </c>
      <c r="M38" s="30">
        <f>SUM(A:B!M38)</f>
        <v>7617</v>
      </c>
      <c r="N38" s="30">
        <f>SUM(A:B!N38)</f>
        <v>5989</v>
      </c>
      <c r="O38" s="30">
        <f>SUM(A:B!O38)</f>
        <v>14066</v>
      </c>
      <c r="P38" s="30">
        <f>SUM(A:B!P38)</f>
        <v>5887</v>
      </c>
      <c r="Q38" s="30">
        <f>SUM(A:B!Q38)</f>
        <v>-17400</v>
      </c>
      <c r="R38" s="30">
        <f>SUM(A:B!R38)</f>
        <v>4251</v>
      </c>
      <c r="S38" s="30">
        <f>SUM(A:B!S38)</f>
        <v>6108</v>
      </c>
      <c r="T38" s="30">
        <f>SUM(A:B!T38)</f>
        <v>-1325</v>
      </c>
      <c r="U38" s="30">
        <f>SUM(A:B!U38)</f>
        <v>3011.3333333333335</v>
      </c>
      <c r="V38" s="32">
        <f t="shared" si="11"/>
        <v>40302.333333333336</v>
      </c>
      <c r="W38" s="74">
        <f t="shared" ref="W38:W46" si="13">V38/V$39</f>
        <v>-1.9218126619299669</v>
      </c>
      <c r="X38" s="90"/>
      <c r="Y38" s="30">
        <f>SUM(A:B!Y38)</f>
        <v>0</v>
      </c>
      <c r="Z38" s="30">
        <f>SUM(A:B!Z38)</f>
        <v>0</v>
      </c>
      <c r="AA38" s="30">
        <f>SUM(A:B!AA38)</f>
        <v>0</v>
      </c>
      <c r="AB38" s="30">
        <f>SUM(A:B!AB38)</f>
        <v>0</v>
      </c>
      <c r="AC38" s="30">
        <f>SUM(A:B!AC38)</f>
        <v>0</v>
      </c>
      <c r="AD38" s="30">
        <f>SUM(A:B!AD38)</f>
        <v>0</v>
      </c>
      <c r="AE38" s="30">
        <f>SUM(A:B!AE38)</f>
        <v>0</v>
      </c>
      <c r="AF38" s="30">
        <f>SUM(A:B!AF38)</f>
        <v>0</v>
      </c>
      <c r="AG38" s="30">
        <f>SUM(A:B!AG38)</f>
        <v>0</v>
      </c>
      <c r="AH38" s="30">
        <f>SUM(A:B!AH38)</f>
        <v>0</v>
      </c>
      <c r="AI38" s="30">
        <f>SUM(A:B!AI38)</f>
        <v>0</v>
      </c>
      <c r="AJ38" s="30">
        <f>SUM(A:B!AJ38)</f>
        <v>0</v>
      </c>
      <c r="AK38" s="30">
        <f t="shared" si="12"/>
        <v>0</v>
      </c>
      <c r="AL38" s="74" t="e">
        <f t="shared" ref="AL38:AL46" si="14">AK38/AK$39</f>
        <v>#DIV/0!</v>
      </c>
      <c r="AM38" s="29">
        <f>IFERROR(AK38/V38-1,0)</f>
        <v>-1</v>
      </c>
      <c r="AN38" s="90"/>
      <c r="AO38" s="248">
        <v>2.6923148660475484</v>
      </c>
      <c r="AP38" s="74">
        <v>6.1083380218108546E-10</v>
      </c>
      <c r="AQ38" s="29">
        <v>3.6930089944017697E-2</v>
      </c>
    </row>
    <row r="39" spans="1:43" ht="15" customHeight="1" outlineLevel="1">
      <c r="I39" s="18" t="s">
        <v>152</v>
      </c>
      <c r="J39" s="33">
        <f>SUM(A:B!J33)</f>
        <v>-3485</v>
      </c>
      <c r="K39" s="33">
        <f>SUM(A:B!K33)</f>
        <v>0</v>
      </c>
      <c r="L39" s="33">
        <f>SUM(A:B!L33)</f>
        <v>-2310</v>
      </c>
      <c r="M39" s="33">
        <f>SUM(A:B!M33)</f>
        <v>0</v>
      </c>
      <c r="N39" s="33">
        <f>SUM(A:B!N33)</f>
        <v>-2310</v>
      </c>
      <c r="O39" s="33">
        <f>SUM(A:B!O33)</f>
        <v>-4642</v>
      </c>
      <c r="P39" s="33">
        <f>SUM(A:B!P33)</f>
        <v>0</v>
      </c>
      <c r="Q39" s="33">
        <f>SUM(A:B!Q33)</f>
        <v>0</v>
      </c>
      <c r="R39" s="33">
        <f>SUM(A:B!R33)</f>
        <v>0</v>
      </c>
      <c r="S39" s="33">
        <f>SUM(A:B!S33)</f>
        <v>-4626</v>
      </c>
      <c r="T39" s="33">
        <f>SUM(A:B!T33)</f>
        <v>-1542</v>
      </c>
      <c r="U39" s="33">
        <f>SUM(A:B!U33)</f>
        <v>-2056</v>
      </c>
      <c r="V39" s="33">
        <f t="shared" si="11"/>
        <v>-20971</v>
      </c>
      <c r="W39" s="74">
        <f t="shared" si="13"/>
        <v>1</v>
      </c>
      <c r="X39" s="90"/>
      <c r="Y39" s="33">
        <f>SUM(A:B!Y33)</f>
        <v>0</v>
      </c>
      <c r="Z39" s="33">
        <f>SUM(A:B!Z33)</f>
        <v>0</v>
      </c>
      <c r="AA39" s="33">
        <f>SUM(A:B!AA33)</f>
        <v>0</v>
      </c>
      <c r="AB39" s="33">
        <f>SUM(A:B!AB33)</f>
        <v>0</v>
      </c>
      <c r="AC39" s="33">
        <f>SUM(A:B!AC33)</f>
        <v>0</v>
      </c>
      <c r="AD39" s="33">
        <f>SUM(A:B!AD33)</f>
        <v>0</v>
      </c>
      <c r="AE39" s="33">
        <f>SUM(A:B!AE33)</f>
        <v>0</v>
      </c>
      <c r="AF39" s="33">
        <f>SUM(A:B!AF33)</f>
        <v>0</v>
      </c>
      <c r="AG39" s="33">
        <f>SUM(A:B!AG33)</f>
        <v>0</v>
      </c>
      <c r="AH39" s="33">
        <f>SUM(A:B!AH33)</f>
        <v>0</v>
      </c>
      <c r="AI39" s="33">
        <f>SUM(A:B!AI33)</f>
        <v>0</v>
      </c>
      <c r="AJ39" s="33">
        <f>SUM(A:B!AJ33)</f>
        <v>0</v>
      </c>
      <c r="AK39" s="33">
        <f t="shared" si="12"/>
        <v>0</v>
      </c>
      <c r="AL39" s="74" t="e">
        <f t="shared" si="14"/>
        <v>#DIV/0!</v>
      </c>
      <c r="AM39" s="16">
        <f>IFERROR(AK39/V39-1,0)</f>
        <v>-1</v>
      </c>
      <c r="AN39" s="90"/>
      <c r="AO39" s="248">
        <v>2.4351103827317369</v>
      </c>
      <c r="AP39" s="74">
        <v>5.5247911474719595E-10</v>
      </c>
      <c r="AQ39" s="29">
        <v>0.11346523163001843</v>
      </c>
    </row>
    <row r="40" spans="1:43" ht="15" customHeight="1" outlineLevel="1">
      <c r="I40" s="31" t="s">
        <v>153</v>
      </c>
      <c r="J40" s="30">
        <f>SUM(A:B!J40)</f>
        <v>652504</v>
      </c>
      <c r="K40" s="30">
        <f>SUM(A:B!K40)</f>
        <v>579451</v>
      </c>
      <c r="L40" s="30">
        <f>SUM(A:B!L40)</f>
        <v>706034</v>
      </c>
      <c r="M40" s="30">
        <f>SUM(A:B!M40)</f>
        <v>653794</v>
      </c>
      <c r="N40" s="30">
        <f>SUM(A:B!N40)</f>
        <v>753315</v>
      </c>
      <c r="O40" s="30">
        <f>SUM(A:B!O40)</f>
        <v>741483</v>
      </c>
      <c r="P40" s="30">
        <f>SUM(A:B!P40)</f>
        <v>707921</v>
      </c>
      <c r="Q40" s="30">
        <f>SUM(A:B!Q40)</f>
        <v>715486</v>
      </c>
      <c r="R40" s="30">
        <f>SUM(A:B!R40)</f>
        <v>746800</v>
      </c>
      <c r="S40" s="30">
        <f>SUM(A:B!S40)</f>
        <v>797450</v>
      </c>
      <c r="T40" s="30">
        <f>SUM(A:B!T40)</f>
        <v>790299</v>
      </c>
      <c r="U40" s="30">
        <f>SUM(A:B!U40)</f>
        <v>782396</v>
      </c>
      <c r="V40" s="32">
        <f t="shared" si="11"/>
        <v>8626933</v>
      </c>
      <c r="W40" s="74">
        <f t="shared" si="13"/>
        <v>-411.37442182060943</v>
      </c>
      <c r="X40" s="90"/>
      <c r="Y40" s="30">
        <f>SUM(A:B!Y40)</f>
        <v>710418.29939173604</v>
      </c>
      <c r="Z40" s="30">
        <f>SUM(A:B!Z40)</f>
        <v>635498.29939173616</v>
      </c>
      <c r="AA40" s="30">
        <f>SUM(A:B!AA40)</f>
        <v>763448.29939173604</v>
      </c>
      <c r="AB40" s="30">
        <f>SUM(A:B!AB40)</f>
        <v>732477.29939173604</v>
      </c>
      <c r="AC40" s="30">
        <f>SUM(A:B!AC40)</f>
        <v>821532.29939173604</v>
      </c>
      <c r="AD40" s="30">
        <f>SUM(A:B!AD40)</f>
        <v>807702.29939173604</v>
      </c>
      <c r="AE40" s="30">
        <f>SUM(A:B!AE40)</f>
        <v>774024.29939173604</v>
      </c>
      <c r="AF40" s="30">
        <f>SUM(A:B!AF40)</f>
        <v>773496.29939173604</v>
      </c>
      <c r="AG40" s="30">
        <f>SUM(A:B!AG40)</f>
        <v>814813.29939173604</v>
      </c>
      <c r="AH40" s="30">
        <f>SUM(A:B!AH40)</f>
        <v>879867.29939173604</v>
      </c>
      <c r="AI40" s="30">
        <f>SUM(A:B!AI40)</f>
        <v>857607.29939173604</v>
      </c>
      <c r="AJ40" s="30">
        <f>SUM(A:B!AJ40)</f>
        <v>847993.29939173604</v>
      </c>
      <c r="AK40" s="32">
        <f t="shared" si="12"/>
        <v>9418878.5927008335</v>
      </c>
      <c r="AL40" s="74" t="e">
        <f t="shared" si="14"/>
        <v>#DIV/0!</v>
      </c>
      <c r="AM40" s="29">
        <f t="shared" si="6"/>
        <v>9.1799205198514144E-2</v>
      </c>
      <c r="AN40" s="90"/>
      <c r="AO40" s="248">
        <v>2.4330962285935565</v>
      </c>
      <c r="AP40" s="74">
        <v>5.520221424049492E-10</v>
      </c>
      <c r="AQ40" s="29">
        <v>0.1130793900210143</v>
      </c>
    </row>
    <row r="41" spans="1:43">
      <c r="I41" s="31" t="s">
        <v>154</v>
      </c>
      <c r="J41" s="30">
        <f>SUM(A:B!J41)</f>
        <v>147578</v>
      </c>
      <c r="K41" s="30">
        <f>SUM(A:B!K41)</f>
        <v>142154</v>
      </c>
      <c r="L41" s="30">
        <f>SUM(A:B!L41)</f>
        <v>160901</v>
      </c>
      <c r="M41" s="30">
        <f>SUM(A:B!M41)</f>
        <v>151568</v>
      </c>
      <c r="N41" s="30">
        <f>SUM(A:B!N41)</f>
        <v>172299</v>
      </c>
      <c r="O41" s="30">
        <f>SUM(A:B!O41)</f>
        <v>158797</v>
      </c>
      <c r="P41" s="30">
        <f>SUM(A:B!P41)</f>
        <v>153571</v>
      </c>
      <c r="Q41" s="30">
        <f>SUM(A:B!Q41)</f>
        <v>166736</v>
      </c>
      <c r="R41" s="30">
        <f>SUM(A:B!R41)</f>
        <v>184888</v>
      </c>
      <c r="S41" s="30">
        <f>SUM(A:B!S41)</f>
        <v>190545</v>
      </c>
      <c r="T41" s="30">
        <f>SUM(A:B!T41)</f>
        <v>187819</v>
      </c>
      <c r="U41" s="30">
        <f>SUM(A:B!U41)</f>
        <v>185941</v>
      </c>
      <c r="V41" s="32">
        <f t="shared" si="11"/>
        <v>2002797</v>
      </c>
      <c r="W41" s="74">
        <f t="shared" si="13"/>
        <v>-95.503171045729815</v>
      </c>
      <c r="X41" s="90"/>
      <c r="Y41" s="30">
        <f>SUM(A:B!Y41)</f>
        <v>150531</v>
      </c>
      <c r="Z41" s="30">
        <f>SUM(A:B!Z41)</f>
        <v>144897</v>
      </c>
      <c r="AA41" s="30">
        <f>SUM(A:B!AA41)</f>
        <v>165165</v>
      </c>
      <c r="AB41" s="30">
        <f>SUM(A:B!AB41)</f>
        <v>158674</v>
      </c>
      <c r="AC41" s="30">
        <f>SUM(A:B!AC41)</f>
        <v>177640</v>
      </c>
      <c r="AD41" s="30">
        <f>SUM(A:B!AD41)</f>
        <v>163370</v>
      </c>
      <c r="AE41" s="30">
        <f>SUM(A:B!AE41)</f>
        <v>158178</v>
      </c>
      <c r="AF41" s="30">
        <f>SUM(A:B!AF41)</f>
        <v>174248</v>
      </c>
      <c r="AG41" s="30">
        <f>SUM(A:B!AG41)</f>
        <v>190617</v>
      </c>
      <c r="AH41" s="30">
        <f>SUM(A:B!AH41)</f>
        <v>198444</v>
      </c>
      <c r="AI41" s="30">
        <f>SUM(A:B!AI41)</f>
        <v>193154</v>
      </c>
      <c r="AJ41" s="30">
        <f>SUM(A:B!AJ41)</f>
        <v>190869</v>
      </c>
      <c r="AK41" s="32">
        <f t="shared" si="12"/>
        <v>2065787</v>
      </c>
      <c r="AL41" s="74" t="e">
        <f t="shared" si="14"/>
        <v>#DIV/0!</v>
      </c>
      <c r="AM41" s="29">
        <f t="shared" si="6"/>
        <v>3.1451015754467404E-2</v>
      </c>
      <c r="AN41" s="89"/>
      <c r="AO41" s="3"/>
      <c r="AP41" s="75"/>
      <c r="AQ41" s="13"/>
    </row>
    <row r="42" spans="1:43">
      <c r="A42" s="21"/>
      <c r="B42" s="21"/>
      <c r="C42" s="21"/>
      <c r="D42" s="21"/>
      <c r="E42" s="191" t="s">
        <v>111</v>
      </c>
      <c r="I42" s="31" t="s">
        <v>155</v>
      </c>
      <c r="J42" s="30">
        <f>SUM(A:B!J42)</f>
        <v>5372</v>
      </c>
      <c r="K42" s="30">
        <f>SUM(A:B!K42)</f>
        <v>4872</v>
      </c>
      <c r="L42" s="30">
        <f>SUM(A:B!L42)</f>
        <v>5890</v>
      </c>
      <c r="M42" s="30">
        <f>SUM(A:B!M42)</f>
        <v>7047</v>
      </c>
      <c r="N42" s="30">
        <f>SUM(A:B!N42)</f>
        <v>8416</v>
      </c>
      <c r="O42" s="30">
        <f>SUM(A:B!O42)</f>
        <v>6746</v>
      </c>
      <c r="P42" s="30">
        <f>SUM(A:B!P42)</f>
        <v>7174</v>
      </c>
      <c r="Q42" s="30">
        <f>SUM(A:B!Q42)</f>
        <v>6006</v>
      </c>
      <c r="R42" s="30">
        <f>SUM(A:B!R42)</f>
        <v>5818</v>
      </c>
      <c r="S42" s="30">
        <f>SUM(A:B!S42)</f>
        <v>6588</v>
      </c>
      <c r="T42" s="30">
        <f>SUM(A:B!T42)</f>
        <v>5312</v>
      </c>
      <c r="U42" s="30">
        <f>SUM(A:B!U42)</f>
        <v>5259</v>
      </c>
      <c r="V42" s="32">
        <f t="shared" si="11"/>
        <v>74500</v>
      </c>
      <c r="W42" s="74">
        <f t="shared" si="13"/>
        <v>-3.5525249153593057</v>
      </c>
      <c r="X42" s="90"/>
      <c r="Y42" s="30">
        <f>SUM(A:B!Y42)</f>
        <v>5479</v>
      </c>
      <c r="Z42" s="30">
        <f>SUM(A:B!Z42)</f>
        <v>4966</v>
      </c>
      <c r="AA42" s="30">
        <f>SUM(A:B!AA42)</f>
        <v>6046</v>
      </c>
      <c r="AB42" s="30">
        <f>SUM(A:B!AB42)</f>
        <v>7215</v>
      </c>
      <c r="AC42" s="30">
        <f>SUM(A:B!AC42)</f>
        <v>8677</v>
      </c>
      <c r="AD42" s="30">
        <f>SUM(A:B!AD42)</f>
        <v>6940</v>
      </c>
      <c r="AE42" s="30">
        <f>SUM(A:B!AE42)</f>
        <v>7389</v>
      </c>
      <c r="AF42" s="30">
        <f>SUM(A:B!AF42)</f>
        <v>6176</v>
      </c>
      <c r="AG42" s="30">
        <f>SUM(A:B!AG42)</f>
        <v>5997</v>
      </c>
      <c r="AH42" s="30">
        <f>SUM(A:B!AH42)</f>
        <v>5613</v>
      </c>
      <c r="AI42" s="30">
        <f>SUM(A:B!AI42)</f>
        <v>5463</v>
      </c>
      <c r="AJ42" s="30">
        <f>SUM(A:B!AJ42)</f>
        <v>5399</v>
      </c>
      <c r="AK42" s="32">
        <f t="shared" si="12"/>
        <v>75360</v>
      </c>
      <c r="AL42" s="74" t="e">
        <f t="shared" si="14"/>
        <v>#DIV/0!</v>
      </c>
      <c r="AM42" s="29">
        <f t="shared" si="6"/>
        <v>1.1543624161073796E-2</v>
      </c>
      <c r="AN42" s="89"/>
      <c r="AO42" s="3"/>
      <c r="AP42" s="75"/>
      <c r="AQ42" s="177"/>
    </row>
    <row r="43" spans="1:43">
      <c r="A43" s="21"/>
      <c r="B43" s="21"/>
      <c r="C43" s="21"/>
      <c r="D43" s="21"/>
      <c r="E43" s="196"/>
      <c r="F43" s="21"/>
      <c r="G43" s="21"/>
      <c r="H43" s="21"/>
      <c r="I43" s="18" t="s">
        <v>156</v>
      </c>
      <c r="J43" s="17">
        <f t="shared" ref="J43:U43" si="15">J34/J39</f>
        <v>-311.75925394548062</v>
      </c>
      <c r="K43" s="17" t="e">
        <f t="shared" si="15"/>
        <v>#DIV/0!</v>
      </c>
      <c r="L43" s="17">
        <f t="shared" si="15"/>
        <v>-655.33982683982686</v>
      </c>
      <c r="M43" s="17" t="e">
        <f t="shared" si="15"/>
        <v>#DIV/0!</v>
      </c>
      <c r="N43" s="17">
        <f t="shared" si="15"/>
        <v>-757.00779220779225</v>
      </c>
      <c r="O43" s="17">
        <f t="shared" si="15"/>
        <v>-380.39810426540282</v>
      </c>
      <c r="P43" s="17" t="e">
        <f t="shared" si="15"/>
        <v>#DIV/0!</v>
      </c>
      <c r="Q43" s="17" t="e">
        <f t="shared" si="15"/>
        <v>#DIV/0!</v>
      </c>
      <c r="R43" s="17" t="e">
        <f t="shared" si="15"/>
        <v>#DIV/0!</v>
      </c>
      <c r="S43" s="17">
        <f t="shared" si="15"/>
        <v>-369.59143968871598</v>
      </c>
      <c r="T43" s="17">
        <f t="shared" si="15"/>
        <v>-1033.2228707306513</v>
      </c>
      <c r="U43" s="17">
        <f t="shared" si="15"/>
        <v>-793.23032857760688</v>
      </c>
      <c r="V43" s="17" t="e">
        <f>AVERAGE(J43:U43)</f>
        <v>#DIV/0!</v>
      </c>
      <c r="W43" s="74" t="e">
        <f t="shared" si="13"/>
        <v>#DIV/0!</v>
      </c>
      <c r="X43" s="90"/>
      <c r="Y43" s="17" t="e">
        <f t="shared" ref="Y43:AK43" si="16">Y34/Y39</f>
        <v>#DIV/0!</v>
      </c>
      <c r="Z43" s="17" t="e">
        <f t="shared" si="16"/>
        <v>#DIV/0!</v>
      </c>
      <c r="AA43" s="17" t="e">
        <f t="shared" si="16"/>
        <v>#DIV/0!</v>
      </c>
      <c r="AB43" s="17" t="e">
        <f t="shared" si="16"/>
        <v>#DIV/0!</v>
      </c>
      <c r="AC43" s="17" t="e">
        <f t="shared" si="16"/>
        <v>#DIV/0!</v>
      </c>
      <c r="AD43" s="17" t="e">
        <f t="shared" si="16"/>
        <v>#DIV/0!</v>
      </c>
      <c r="AE43" s="17" t="e">
        <f t="shared" si="16"/>
        <v>#DIV/0!</v>
      </c>
      <c r="AF43" s="17" t="e">
        <f t="shared" si="16"/>
        <v>#DIV/0!</v>
      </c>
      <c r="AG43" s="17" t="e">
        <f t="shared" si="16"/>
        <v>#DIV/0!</v>
      </c>
      <c r="AH43" s="17" t="e">
        <f t="shared" si="16"/>
        <v>#DIV/0!</v>
      </c>
      <c r="AI43" s="17" t="e">
        <f t="shared" si="16"/>
        <v>#DIV/0!</v>
      </c>
      <c r="AJ43" s="17" t="e">
        <f t="shared" si="16"/>
        <v>#DIV/0!</v>
      </c>
      <c r="AK43" s="17" t="e">
        <f t="shared" si="16"/>
        <v>#DIV/0!</v>
      </c>
      <c r="AL43" s="74" t="e">
        <f t="shared" si="14"/>
        <v>#DIV/0!</v>
      </c>
      <c r="AM43" s="16">
        <f t="shared" si="6"/>
        <v>0</v>
      </c>
      <c r="AN43" s="89"/>
      <c r="AO43" s="3"/>
      <c r="AP43" s="75"/>
      <c r="AQ43" s="177"/>
    </row>
    <row r="44" spans="1:43">
      <c r="A44" s="12" t="s">
        <v>157</v>
      </c>
      <c r="B44" s="19" t="s">
        <v>101</v>
      </c>
      <c r="I44" s="31" t="s">
        <v>153</v>
      </c>
      <c r="J44" s="30">
        <f t="shared" ref="J44:S45" si="17">IFERROR((J7+J11-(J14+J17+J23+J25+J28))/J40,0)</f>
        <v>1.271385309515344</v>
      </c>
      <c r="K44" s="30">
        <f t="shared" si="17"/>
        <v>1.5760745947457162</v>
      </c>
      <c r="L44" s="30">
        <f t="shared" si="17"/>
        <v>1.6543112654631362</v>
      </c>
      <c r="M44" s="30">
        <f t="shared" si="17"/>
        <v>1.8378434185691517</v>
      </c>
      <c r="N44" s="30">
        <f t="shared" si="17"/>
        <v>1.6385602304480862</v>
      </c>
      <c r="O44" s="30">
        <f t="shared" si="17"/>
        <v>1.6279321306085237</v>
      </c>
      <c r="P44" s="30">
        <f t="shared" si="17"/>
        <v>1.6213984328759847</v>
      </c>
      <c r="Q44" s="30">
        <f t="shared" si="17"/>
        <v>1.5968837964684144</v>
      </c>
      <c r="R44" s="30">
        <f t="shared" si="17"/>
        <v>1.6188095875736475</v>
      </c>
      <c r="S44" s="30">
        <f t="shared" si="17"/>
        <v>1.6163458524045395</v>
      </c>
      <c r="T44" s="30">
        <v>2.34</v>
      </c>
      <c r="U44" s="30">
        <v>2.34</v>
      </c>
      <c r="V44" s="30">
        <f>AVERAGE(J44:U44)</f>
        <v>1.7282953848893789</v>
      </c>
      <c r="W44" s="74">
        <f t="shared" si="13"/>
        <v>-8.2413589475436506E-5</v>
      </c>
      <c r="X44" s="90"/>
      <c r="Y44" s="30">
        <f>IFERROR((Y7+Y11-(Y14+Y17+Y23+Y25+Y28))/Y40,0)</f>
        <v>1.8575511064458976</v>
      </c>
      <c r="Z44" s="30">
        <f t="shared" ref="Z44:AK45" si="18">IFERROR((Z7+Z11-(Z14+Z17+Z23+Z25+Z28))/Z40,0)</f>
        <v>1.7296494778048264</v>
      </c>
      <c r="AA44" s="30">
        <f t="shared" si="18"/>
        <v>2.0312055584968696</v>
      </c>
      <c r="AB44" s="30">
        <f t="shared" si="18"/>
        <v>1.8122395449325674</v>
      </c>
      <c r="AC44" s="30">
        <f t="shared" si="18"/>
        <v>1.9724676536080175</v>
      </c>
      <c r="AD44" s="30">
        <f t="shared" si="18"/>
        <v>1.8402079862209224</v>
      </c>
      <c r="AE44" s="30">
        <f t="shared" si="18"/>
        <v>1.8125388684135377</v>
      </c>
      <c r="AF44" s="30">
        <f t="shared" si="18"/>
        <v>1.8534248080179212</v>
      </c>
      <c r="AG44" s="30">
        <f t="shared" si="18"/>
        <v>1.9008570358134551</v>
      </c>
      <c r="AH44" s="30">
        <f t="shared" si="18"/>
        <v>1.9361833656408698</v>
      </c>
      <c r="AI44" s="30">
        <f t="shared" si="18"/>
        <v>1.8280652238728119</v>
      </c>
      <c r="AJ44" s="30">
        <f t="shared" si="18"/>
        <v>1.8415304061963111</v>
      </c>
      <c r="AK44" s="30">
        <f t="shared" si="18"/>
        <v>1.870936141392451</v>
      </c>
      <c r="AL44" s="74" t="e">
        <f t="shared" si="14"/>
        <v>#DIV/0!</v>
      </c>
      <c r="AM44" s="29">
        <f t="shared" si="6"/>
        <v>8.2532625933154247E-2</v>
      </c>
      <c r="AN44" s="89"/>
      <c r="AO44" s="263">
        <v>19598286.685818601</v>
      </c>
      <c r="AP44" s="72">
        <v>4.4464695134666683E-3</v>
      </c>
      <c r="AQ44" s="184">
        <v>0.32875159541404253</v>
      </c>
    </row>
    <row r="45" spans="1:43" ht="15" customHeight="1" outlineLevel="1">
      <c r="A45" s="12" t="s">
        <v>157</v>
      </c>
      <c r="B45" s="8" t="s">
        <v>101</v>
      </c>
      <c r="C45" s="19" t="s">
        <v>158</v>
      </c>
      <c r="D45" s="12"/>
      <c r="E45" s="195"/>
      <c r="F45" s="12"/>
      <c r="G45" s="12"/>
      <c r="H45" s="12"/>
      <c r="I45" s="31" t="s">
        <v>154</v>
      </c>
      <c r="J45" s="30">
        <f t="shared" si="17"/>
        <v>1.7328666874466383</v>
      </c>
      <c r="K45" s="30">
        <f t="shared" si="17"/>
        <v>1.6556903076944722</v>
      </c>
      <c r="L45" s="30">
        <f t="shared" si="17"/>
        <v>1.7286343776607975</v>
      </c>
      <c r="M45" s="30">
        <f t="shared" si="17"/>
        <v>1.9511968225482952</v>
      </c>
      <c r="N45" s="30">
        <f t="shared" si="17"/>
        <v>2.1081027748274801</v>
      </c>
      <c r="O45" s="30">
        <f t="shared" si="17"/>
        <v>2.1364320484643917</v>
      </c>
      <c r="P45" s="30">
        <f t="shared" si="17"/>
        <v>1.8143334353491218</v>
      </c>
      <c r="Q45" s="30">
        <f t="shared" si="17"/>
        <v>1.6304157470492275</v>
      </c>
      <c r="R45" s="30">
        <f t="shared" si="17"/>
        <v>1.5563368093115832</v>
      </c>
      <c r="S45" s="30">
        <f t="shared" si="17"/>
        <v>1.5980529533705949</v>
      </c>
      <c r="T45" s="30">
        <v>2.13</v>
      </c>
      <c r="U45" s="30">
        <v>2.13</v>
      </c>
      <c r="V45" s="30">
        <f>AVERAGE(J45:U45)</f>
        <v>1.8476718303102164</v>
      </c>
      <c r="W45" s="74">
        <f t="shared" si="13"/>
        <v>-8.8106043121940602E-5</v>
      </c>
      <c r="X45" s="90"/>
      <c r="Y45" s="30">
        <f>IFERROR((Y8+Y12-(Y15+Y18+Y24+Y26+Y29))/Y41,0)</f>
        <v>2.3538902285907897</v>
      </c>
      <c r="Z45" s="30">
        <f t="shared" si="18"/>
        <v>2.2994485047999609</v>
      </c>
      <c r="AA45" s="30">
        <f t="shared" si="18"/>
        <v>2.4220532800532784</v>
      </c>
      <c r="AB45" s="30">
        <f t="shared" si="18"/>
        <v>2.2905268033830359</v>
      </c>
      <c r="AC45" s="30">
        <f t="shared" si="18"/>
        <v>2.4371126435487498</v>
      </c>
      <c r="AD45" s="30">
        <f t="shared" si="18"/>
        <v>2.2542774071126876</v>
      </c>
      <c r="AE45" s="30">
        <f t="shared" si="18"/>
        <v>2.3209164991338853</v>
      </c>
      <c r="AF45" s="30">
        <f t="shared" si="18"/>
        <v>2.4245020889766318</v>
      </c>
      <c r="AG45" s="30">
        <f t="shared" si="18"/>
        <v>2.4135347844106234</v>
      </c>
      <c r="AH45" s="30">
        <f t="shared" si="18"/>
        <v>2.3787237709378966</v>
      </c>
      <c r="AI45" s="30">
        <f t="shared" si="18"/>
        <v>2.3119444070534394</v>
      </c>
      <c r="AJ45" s="30">
        <f t="shared" si="18"/>
        <v>2.3277667405393241</v>
      </c>
      <c r="AK45" s="30">
        <f>IFERROR((AK8+AK12-(AK15+AK18+AK24+AK26+AK29))/AK41,0)</f>
        <v>2.3549178690736259</v>
      </c>
      <c r="AL45" s="74" t="e">
        <f t="shared" si="14"/>
        <v>#DIV/0!</v>
      </c>
      <c r="AM45" s="29">
        <f t="shared" si="6"/>
        <v>0.27453253897270535</v>
      </c>
      <c r="AN45" s="89"/>
      <c r="AO45" s="264">
        <v>7218265.7016049754</v>
      </c>
      <c r="AP45" s="73">
        <v>1.6376838902715544E-3</v>
      </c>
      <c r="AQ45" s="184">
        <v>0.24066656726597158</v>
      </c>
    </row>
    <row r="46" spans="1:43" ht="15" customHeight="1" outlineLevel="1">
      <c r="A46" s="12" t="s">
        <v>157</v>
      </c>
      <c r="B46" s="8" t="s">
        <v>101</v>
      </c>
      <c r="I46" s="31" t="s">
        <v>155</v>
      </c>
      <c r="J46" s="30">
        <f t="shared" ref="J46:S46" si="19">IFERROR((J9-(J16+J19+J27))/J42,0)</f>
        <v>1.9638868205510052</v>
      </c>
      <c r="K46" s="30">
        <f t="shared" si="19"/>
        <v>1.4542282430213465</v>
      </c>
      <c r="L46" s="30">
        <f t="shared" si="19"/>
        <v>1.3117147707979626</v>
      </c>
      <c r="M46" s="30">
        <f t="shared" si="19"/>
        <v>1.5464736767418761</v>
      </c>
      <c r="N46" s="30">
        <f t="shared" si="19"/>
        <v>2.0471720532319391</v>
      </c>
      <c r="O46" s="30">
        <f t="shared" si="19"/>
        <v>1.7727542247257635</v>
      </c>
      <c r="P46" s="30">
        <f t="shared" si="19"/>
        <v>1.3816559799275161</v>
      </c>
      <c r="Q46" s="30">
        <f t="shared" si="19"/>
        <v>0.50016650016650022</v>
      </c>
      <c r="R46" s="30">
        <f t="shared" si="19"/>
        <v>0.56565830182193189</v>
      </c>
      <c r="S46" s="30">
        <f t="shared" si="19"/>
        <v>1.6387370977534912</v>
      </c>
      <c r="T46" s="30">
        <v>2.0499999999999998</v>
      </c>
      <c r="U46" s="30">
        <v>2.0499999999999998</v>
      </c>
      <c r="V46" s="30">
        <f>AVERAGE(J46:U46)</f>
        <v>1.5235373057282777</v>
      </c>
      <c r="W46" s="74">
        <f t="shared" si="13"/>
        <v>-7.2649721316497907E-5</v>
      </c>
      <c r="X46" s="90"/>
      <c r="Y46" s="30">
        <f>IFERROR((Y9+Y11-(Y16+Y19+Y27))/Y42,0)</f>
        <v>1.8199999999999998</v>
      </c>
      <c r="Z46" s="30">
        <f t="shared" ref="Z46:AJ46" si="20">IFERROR((Z9+Z11-(Z16+Z19+Z27))/Z42,0)</f>
        <v>1.7200000000000009</v>
      </c>
      <c r="AA46" s="30">
        <f t="shared" si="20"/>
        <v>2</v>
      </c>
      <c r="AB46" s="30">
        <f t="shared" si="20"/>
        <v>1.9800000000000015</v>
      </c>
      <c r="AC46" s="30">
        <f t="shared" si="20"/>
        <v>1.9900000000000011</v>
      </c>
      <c r="AD46" s="30">
        <f t="shared" si="20"/>
        <v>1.5699999999999983</v>
      </c>
      <c r="AE46" s="30">
        <f t="shared" si="20"/>
        <v>1.880000000000001</v>
      </c>
      <c r="AF46" s="30">
        <f t="shared" si="20"/>
        <v>1.6199999999999992</v>
      </c>
      <c r="AG46" s="30">
        <f t="shared" si="20"/>
        <v>1.7900000000000007</v>
      </c>
      <c r="AH46" s="30">
        <f t="shared" si="20"/>
        <v>1.75</v>
      </c>
      <c r="AI46" s="30">
        <f t="shared" si="20"/>
        <v>1.7900000000000007</v>
      </c>
      <c r="AJ46" s="30">
        <f t="shared" si="20"/>
        <v>1.8100000000000005</v>
      </c>
      <c r="AK46" s="30">
        <f>IFERROR((AK9+AK11-(AK16+AK19+AK27))/AK42,0)</f>
        <v>1.8187209394904467</v>
      </c>
      <c r="AL46" s="74" t="e">
        <f t="shared" si="14"/>
        <v>#DIV/0!</v>
      </c>
      <c r="AM46" s="29">
        <f t="shared" si="6"/>
        <v>0.19374887155852472</v>
      </c>
      <c r="AN46" s="89"/>
      <c r="AO46" s="264">
        <v>446400</v>
      </c>
      <c r="AP46" s="73">
        <v>1.0127946501812351E-4</v>
      </c>
      <c r="AQ46" s="184">
        <v>3.7504051588122422E-2</v>
      </c>
    </row>
    <row r="47" spans="1:43" ht="15" customHeight="1" outlineLevel="1">
      <c r="A47" s="12" t="s">
        <v>157</v>
      </c>
      <c r="B47" s="8" t="s">
        <v>101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89"/>
      <c r="AO47" s="264">
        <v>0</v>
      </c>
      <c r="AP47" s="73">
        <v>0</v>
      </c>
      <c r="AQ47" s="184">
        <v>-1</v>
      </c>
    </row>
    <row r="48" spans="1:43" ht="15" customHeight="1" outlineLevel="1">
      <c r="A48" s="12" t="s">
        <v>157</v>
      </c>
      <c r="B48" s="8" t="s">
        <v>101</v>
      </c>
      <c r="I48" s="141" t="s">
        <v>159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89"/>
      <c r="AO48" s="264">
        <v>1004640</v>
      </c>
      <c r="AP48" s="73">
        <v>2.2793324761605647E-4</v>
      </c>
      <c r="AQ48" s="184">
        <v>0.82748833208073691</v>
      </c>
    </row>
    <row r="49" spans="1:43" ht="15" customHeight="1" outlineLevel="1">
      <c r="A49" s="12" t="s">
        <v>157</v>
      </c>
      <c r="B49" s="8" t="s">
        <v>101</v>
      </c>
      <c r="C49" s="8" t="s">
        <v>160</v>
      </c>
      <c r="I49" s="141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89"/>
      <c r="AO49" s="264">
        <v>230499.09999999998</v>
      </c>
      <c r="AP49" s="73">
        <v>5.2295756127148185E-5</v>
      </c>
      <c r="AQ49" s="184">
        <v>7.2444774304313597</v>
      </c>
    </row>
    <row r="50" spans="1:43" ht="15" customHeight="1" outlineLevel="1">
      <c r="A50" s="12" t="s">
        <v>157</v>
      </c>
      <c r="B50" s="8" t="s">
        <v>101</v>
      </c>
      <c r="I50" s="169" t="s">
        <v>161</v>
      </c>
      <c r="J50" s="15">
        <f>SUM(J51:J90)</f>
        <v>122446</v>
      </c>
      <c r="K50" s="15">
        <f>SUM(K51:K90)</f>
        <v>98885</v>
      </c>
      <c r="L50" s="15">
        <f>SUM(L51:L90)</f>
        <v>89091</v>
      </c>
      <c r="M50" s="15">
        <f>SUM(M51:M90)</f>
        <v>110272</v>
      </c>
      <c r="N50" s="15">
        <f>SUM(N51:N90)</f>
        <v>232930</v>
      </c>
      <c r="O50" s="15">
        <f>SUM(O51:O90)</f>
        <v>225838</v>
      </c>
      <c r="P50" s="15">
        <f>SUM(P51:P90)</f>
        <v>226077</v>
      </c>
      <c r="Q50" s="15">
        <f>SUM(Q51:Q90)</f>
        <v>160331</v>
      </c>
      <c r="R50" s="15">
        <f>SUM(R51:R90)</f>
        <v>257800</v>
      </c>
      <c r="S50" s="15">
        <f>SUM(S51:S90)</f>
        <v>244953</v>
      </c>
      <c r="T50" s="15">
        <f>SUM(T51:T90)</f>
        <v>301406.42080000002</v>
      </c>
      <c r="U50" s="15">
        <f>SUM(U51:U90)</f>
        <v>364928.61106666666</v>
      </c>
      <c r="V50" s="15">
        <f>SUM(V51:V90)</f>
        <v>2008814.5127777779</v>
      </c>
      <c r="W50" s="72">
        <f t="shared" ref="W50:W159" si="21">V50/V$6</f>
        <v>8.9730117527861541E-3</v>
      </c>
      <c r="X50" s="89"/>
      <c r="Y50" s="15">
        <f>SUM(Y51:Y90)</f>
        <v>356952.30628424126</v>
      </c>
      <c r="Z50" s="15">
        <f>SUM(Z51:Z90)</f>
        <v>395138.34194273659</v>
      </c>
      <c r="AA50" s="15">
        <f>SUM(AA51:AA90)</f>
        <v>207799.37431901053</v>
      </c>
      <c r="AB50" s="15">
        <f>SUM(AB51:AB90)</f>
        <v>208225.41057173972</v>
      </c>
      <c r="AC50" s="15">
        <f>SUM(AC51:AC90)</f>
        <v>214119.97837716434</v>
      </c>
      <c r="AD50" s="15">
        <f>SUM(AD51:AD90)</f>
        <v>167442.55337973972</v>
      </c>
      <c r="AE50" s="15">
        <f>SUM(AE51:AE90)</f>
        <v>175479.4883571644</v>
      </c>
      <c r="AF50" s="15">
        <f>SUM(AF51:AF90)</f>
        <v>171660.09356916437</v>
      </c>
      <c r="AG50" s="15">
        <f>SUM(AG51:AG90)</f>
        <v>257785.99857173971</v>
      </c>
      <c r="AH50" s="15">
        <f>SUM(AH51:AH90)</f>
        <v>139758.55999316438</v>
      </c>
      <c r="AI50" s="15">
        <f>SUM(AI51:AI90)</f>
        <v>144805.08199573972</v>
      </c>
      <c r="AJ50" s="15">
        <f>SUM(AJ51:AJ90)</f>
        <v>228911.4331651644</v>
      </c>
      <c r="AK50" s="15">
        <f>SUM(AK51:AK90)</f>
        <v>2668078.6205267697</v>
      </c>
      <c r="AL50" s="72">
        <f t="shared" ref="AL50:AL159" si="22">AK50/AK$6</f>
        <v>1.0640789940613994E-2</v>
      </c>
      <c r="AM50" s="10">
        <f t="shared" si="6"/>
        <v>0.32818565554734325</v>
      </c>
      <c r="AN50" s="89"/>
      <c r="AO50" s="264">
        <v>0</v>
      </c>
      <c r="AP50" s="73">
        <v>0</v>
      </c>
      <c r="AQ50" s="184">
        <v>-1</v>
      </c>
    </row>
    <row r="51" spans="1:43" ht="15" customHeight="1" outlineLevel="1">
      <c r="A51" s="12" t="s">
        <v>157</v>
      </c>
      <c r="B51" s="8" t="s">
        <v>101</v>
      </c>
      <c r="I51" s="228" t="s">
        <v>162</v>
      </c>
      <c r="J51" s="65">
        <f>SUM(A:B!J51)</f>
        <v>53341</v>
      </c>
      <c r="K51" s="65">
        <f>SUM(A:B!K51)</f>
        <v>46688</v>
      </c>
      <c r="L51" s="65">
        <f>SUM(A:B!L51)</f>
        <v>44687</v>
      </c>
      <c r="M51" s="65">
        <f>SUM(A:B!M51)</f>
        <v>44765</v>
      </c>
      <c r="N51" s="65">
        <f>SUM(A:B!N51)</f>
        <v>48640</v>
      </c>
      <c r="O51" s="65">
        <f>SUM(A:B!O51)</f>
        <v>49241</v>
      </c>
      <c r="P51" s="65">
        <f>SUM(A:B!P51)</f>
        <v>49239</v>
      </c>
      <c r="Q51" s="65">
        <f>SUM(A:B!Q51)</f>
        <v>52289</v>
      </c>
      <c r="R51" s="65">
        <f>SUM(A:B!R51)</f>
        <v>46907</v>
      </c>
      <c r="S51" s="65">
        <f>SUM(A:B!S51)</f>
        <v>48948</v>
      </c>
      <c r="T51" s="65">
        <f>SUM(A:B!T51)</f>
        <v>49455.833333333336</v>
      </c>
      <c r="U51" s="65">
        <f>SUM(A:B!U51)</f>
        <v>49215.402777777774</v>
      </c>
      <c r="V51" s="11">
        <f>SUM(J51:U51)</f>
        <v>583416.23611111112</v>
      </c>
      <c r="W51" s="73">
        <f t="shared" si="21"/>
        <v>2.6060149954573613E-3</v>
      </c>
      <c r="X51" s="89"/>
      <c r="Y51" s="65">
        <f>SUM(A:B!Y51)</f>
        <v>50313.67500499999</v>
      </c>
      <c r="Z51" s="65">
        <f>SUM(A:B!Z51)</f>
        <v>50313.67500499999</v>
      </c>
      <c r="AA51" s="65">
        <f>SUM(A:B!AA51)</f>
        <v>50313.67500499999</v>
      </c>
      <c r="AB51" s="65">
        <f>SUM(A:B!AB51)</f>
        <v>50313.67500499999</v>
      </c>
      <c r="AC51" s="65">
        <f>SUM(A:B!AC51)</f>
        <v>50313.67500499999</v>
      </c>
      <c r="AD51" s="65">
        <f>SUM(A:B!AD51)</f>
        <v>50313.67500499999</v>
      </c>
      <c r="AE51" s="65">
        <f>SUM(A:B!AE51)</f>
        <v>50313.67500499999</v>
      </c>
      <c r="AF51" s="65">
        <f>SUM(A:B!AF51)</f>
        <v>50313.67500499999</v>
      </c>
      <c r="AG51" s="65">
        <f>SUM(A:B!AG51)</f>
        <v>50313.67500499999</v>
      </c>
      <c r="AH51" s="65">
        <f>SUM(A:B!AH51)</f>
        <v>50313.67500499999</v>
      </c>
      <c r="AI51" s="65">
        <f>SUM(A:B!AI51)</f>
        <v>50313.67500499999</v>
      </c>
      <c r="AJ51" s="65">
        <f>SUM(A:B!AJ51)</f>
        <v>50313.67500499999</v>
      </c>
      <c r="AK51" s="124">
        <f>SUM(Y51:AJ51)</f>
        <v>603764.10005999974</v>
      </c>
      <c r="AL51" s="73">
        <f t="shared" si="22"/>
        <v>2.4079226575241942E-3</v>
      </c>
      <c r="AM51" s="14">
        <f t="shared" si="6"/>
        <v>3.4877095784172418E-2</v>
      </c>
      <c r="AN51" s="89"/>
      <c r="AO51" s="264">
        <v>721958.48100479983</v>
      </c>
      <c r="AP51" s="73">
        <v>1.6379831702836742E-4</v>
      </c>
      <c r="AQ51" s="184">
        <v>0.22172790909472995</v>
      </c>
    </row>
    <row r="52" spans="1:43" ht="15" customHeight="1" outlineLevel="1">
      <c r="A52" s="12" t="s">
        <v>157</v>
      </c>
      <c r="B52" s="8" t="s">
        <v>101</v>
      </c>
      <c r="I52" s="228" t="s">
        <v>158</v>
      </c>
      <c r="J52" s="65">
        <f>SUM(A:B!J52)</f>
        <v>0</v>
      </c>
      <c r="K52" s="65">
        <f>SUM(A:B!K52)</f>
        <v>0</v>
      </c>
      <c r="L52" s="65">
        <f>SUM(A:B!L52)</f>
        <v>7360</v>
      </c>
      <c r="M52" s="65">
        <f>SUM(A:B!M52)</f>
        <v>7360</v>
      </c>
      <c r="N52" s="65">
        <f>SUM(A:B!N52)</f>
        <v>7360</v>
      </c>
      <c r="O52" s="65">
        <f>SUM(A:B!O52)</f>
        <v>7360</v>
      </c>
      <c r="P52" s="65">
        <f>SUM(A:B!P52)</f>
        <v>7360</v>
      </c>
      <c r="Q52" s="65">
        <f>SUM(A:B!Q52)</f>
        <v>7360</v>
      </c>
      <c r="R52" s="65">
        <f>SUM(A:B!R52)</f>
        <v>7360</v>
      </c>
      <c r="S52" s="65">
        <f>SUM(A:B!S52)</f>
        <v>7360</v>
      </c>
      <c r="T52" s="65">
        <f>SUM(A:B!T52)</f>
        <v>7360</v>
      </c>
      <c r="U52" s="65">
        <f>SUM(A:B!U52)</f>
        <v>7360</v>
      </c>
      <c r="V52" s="11">
        <f t="shared" ref="V52:V90" si="23">SUM(J52:U52)</f>
        <v>73600</v>
      </c>
      <c r="W52" s="73">
        <f t="shared" si="21"/>
        <v>3.2875791209405615E-4</v>
      </c>
      <c r="X52" s="89"/>
      <c r="Y52" s="65">
        <f>SUM(A:B!Y52)</f>
        <v>7360</v>
      </c>
      <c r="Z52" s="65">
        <f>SUM(A:B!Z52)</f>
        <v>7360</v>
      </c>
      <c r="AA52" s="65">
        <f>SUM(A:B!AA52)</f>
        <v>7360</v>
      </c>
      <c r="AB52" s="65">
        <f>SUM(A:B!AB52)</f>
        <v>7360</v>
      </c>
      <c r="AC52" s="65">
        <f>SUM(A:B!AC52)</f>
        <v>7360</v>
      </c>
      <c r="AD52" s="65">
        <f>SUM(A:B!AD52)</f>
        <v>7360</v>
      </c>
      <c r="AE52" s="65">
        <f>SUM(A:B!AE52)</f>
        <v>7360</v>
      </c>
      <c r="AF52" s="65">
        <f>SUM(A:B!AF52)</f>
        <v>7360</v>
      </c>
      <c r="AG52" s="65">
        <f>SUM(A:B!AG52)</f>
        <v>7360</v>
      </c>
      <c r="AH52" s="65">
        <f>SUM(A:B!AH52)</f>
        <v>7360</v>
      </c>
      <c r="AI52" s="65">
        <f>SUM(A:B!AI52)</f>
        <v>7360</v>
      </c>
      <c r="AJ52" s="65">
        <f>SUM(A:B!AJ52)</f>
        <v>7360</v>
      </c>
      <c r="AK52" s="124">
        <f t="shared" ref="AK52:AK90" si="24">SUM(Y52:AJ52)</f>
        <v>88320</v>
      </c>
      <c r="AL52" s="73">
        <f t="shared" si="22"/>
        <v>3.5223645972227025E-4</v>
      </c>
      <c r="AM52" s="14">
        <f t="shared" si="6"/>
        <v>0.19999999999999996</v>
      </c>
      <c r="AN52" s="89"/>
      <c r="AO52" s="264">
        <v>1101110.7686250003</v>
      </c>
      <c r="AP52" s="73">
        <v>2.4982058595885933E-4</v>
      </c>
      <c r="AQ52" s="184">
        <v>0.24826578215621686</v>
      </c>
    </row>
    <row r="53" spans="1:43" ht="15" customHeight="1" outlineLevel="1">
      <c r="A53" s="12" t="s">
        <v>157</v>
      </c>
      <c r="B53" s="8" t="s">
        <v>101</v>
      </c>
      <c r="I53" s="228" t="s">
        <v>163</v>
      </c>
      <c r="J53" s="65">
        <f>SUM(A:B!J53)</f>
        <v>0</v>
      </c>
      <c r="K53" s="65">
        <f>SUM(A:B!K53)</f>
        <v>0</v>
      </c>
      <c r="L53" s="65">
        <f>SUM(A:B!L53)</f>
        <v>0</v>
      </c>
      <c r="M53" s="65">
        <f>SUM(A:B!M53)</f>
        <v>0</v>
      </c>
      <c r="N53" s="65">
        <f>SUM(A:B!N53)</f>
        <v>0</v>
      </c>
      <c r="O53" s="65">
        <f>SUM(A:B!O53)</f>
        <v>0</v>
      </c>
      <c r="P53" s="65">
        <f>SUM(A:B!P53)</f>
        <v>0</v>
      </c>
      <c r="Q53" s="65">
        <f>SUM(A:B!Q53)</f>
        <v>0</v>
      </c>
      <c r="R53" s="65">
        <f>SUM(A:B!R53)</f>
        <v>0</v>
      </c>
      <c r="S53" s="65">
        <f>SUM(A:B!S53)</f>
        <v>0</v>
      </c>
      <c r="T53" s="65">
        <f>SUM(A:B!T53)</f>
        <v>0</v>
      </c>
      <c r="U53" s="65">
        <f>SUM(A:B!U53)</f>
        <v>0</v>
      </c>
      <c r="V53" s="11">
        <f t="shared" si="23"/>
        <v>0</v>
      </c>
      <c r="W53" s="73">
        <f t="shared" si="21"/>
        <v>0</v>
      </c>
      <c r="X53" s="89"/>
      <c r="Y53" s="65">
        <f>SUM(A:B!Y53)</f>
        <v>0</v>
      </c>
      <c r="Z53" s="65">
        <f>SUM(A:B!Z53)</f>
        <v>0</v>
      </c>
      <c r="AA53" s="65">
        <f>SUM(A:B!AA53)</f>
        <v>0</v>
      </c>
      <c r="AB53" s="65">
        <f>SUM(A:B!AB53)</f>
        <v>0</v>
      </c>
      <c r="AC53" s="65">
        <f>SUM(A:B!AC53)</f>
        <v>0</v>
      </c>
      <c r="AD53" s="65">
        <f>SUM(A:B!AD53)</f>
        <v>0</v>
      </c>
      <c r="AE53" s="65">
        <f>SUM(A:B!AE53)</f>
        <v>0</v>
      </c>
      <c r="AF53" s="65">
        <f>SUM(A:B!AF53)</f>
        <v>0</v>
      </c>
      <c r="AG53" s="65">
        <f>SUM(A:B!AG53)</f>
        <v>0</v>
      </c>
      <c r="AH53" s="65">
        <f>SUM(A:B!AH53)</f>
        <v>0</v>
      </c>
      <c r="AI53" s="65">
        <f>SUM(A:B!AI53)</f>
        <v>0</v>
      </c>
      <c r="AJ53" s="65">
        <f>SUM(A:B!AJ53)</f>
        <v>0</v>
      </c>
      <c r="AK53" s="124">
        <f t="shared" si="24"/>
        <v>0</v>
      </c>
      <c r="AL53" s="73">
        <f t="shared" si="22"/>
        <v>0</v>
      </c>
      <c r="AM53" s="14">
        <f t="shared" si="6"/>
        <v>0</v>
      </c>
      <c r="AN53" s="89"/>
      <c r="AO53" s="264">
        <v>279218.19000000006</v>
      </c>
      <c r="AP53" s="73">
        <v>6.3349168697421083E-5</v>
      </c>
      <c r="AQ53" s="184">
        <v>497.6039107142858</v>
      </c>
    </row>
    <row r="54" spans="1:43" ht="15" customHeight="1" outlineLevel="1">
      <c r="A54" s="12"/>
      <c r="I54" s="228" t="s">
        <v>164</v>
      </c>
      <c r="J54" s="65">
        <f>SUM(A:B!J54)</f>
        <v>0</v>
      </c>
      <c r="K54" s="65">
        <f>SUM(A:B!K54)</f>
        <v>0</v>
      </c>
      <c r="L54" s="65">
        <f>SUM(A:B!L54)</f>
        <v>0</v>
      </c>
      <c r="M54" s="65">
        <f>SUM(A:B!M54)</f>
        <v>0</v>
      </c>
      <c r="N54" s="65">
        <f>SUM(A:B!N54)</f>
        <v>0</v>
      </c>
      <c r="O54" s="65">
        <f>SUM(A:B!O54)</f>
        <v>0</v>
      </c>
      <c r="P54" s="65">
        <f>SUM(A:B!P54)</f>
        <v>0</v>
      </c>
      <c r="Q54" s="65">
        <f>SUM(A:B!Q54)</f>
        <v>0</v>
      </c>
      <c r="R54" s="65">
        <f>SUM(A:B!R54)</f>
        <v>188</v>
      </c>
      <c r="S54" s="65">
        <f>SUM(A:B!S54)</f>
        <v>7224</v>
      </c>
      <c r="T54" s="65">
        <f>SUM(A:B!T54)</f>
        <v>2161.833333333333</v>
      </c>
      <c r="U54" s="65">
        <f>SUM(A:B!U54)</f>
        <v>2805.2361111111113</v>
      </c>
      <c r="V54" s="11">
        <f t="shared" si="23"/>
        <v>12379.069444444443</v>
      </c>
      <c r="W54" s="73">
        <f t="shared" si="21"/>
        <v>5.5295068263897869E-5</v>
      </c>
      <c r="X54" s="89"/>
      <c r="Y54" s="65">
        <f>SUM(A:B!Y54)</f>
        <v>0</v>
      </c>
      <c r="Z54" s="65">
        <f>SUM(A:B!Z54)</f>
        <v>0</v>
      </c>
      <c r="AA54" s="65">
        <f>SUM(A:B!AA54)</f>
        <v>0</v>
      </c>
      <c r="AB54" s="65">
        <f>SUM(A:B!AB54)</f>
        <v>0</v>
      </c>
      <c r="AC54" s="65">
        <f>SUM(A:B!AC54)</f>
        <v>0</v>
      </c>
      <c r="AD54" s="65">
        <f>SUM(A:B!AD54)</f>
        <v>0</v>
      </c>
      <c r="AE54" s="65">
        <f>SUM(A:B!AE54)</f>
        <v>0</v>
      </c>
      <c r="AF54" s="65">
        <f>SUM(A:B!AF54)</f>
        <v>0</v>
      </c>
      <c r="AG54" s="65">
        <f>SUM(A:B!AG54)</f>
        <v>0</v>
      </c>
      <c r="AH54" s="65">
        <f>SUM(A:B!AH54)</f>
        <v>0</v>
      </c>
      <c r="AI54" s="65">
        <f>SUM(A:B!AI54)</f>
        <v>0</v>
      </c>
      <c r="AJ54" s="65">
        <f>SUM(A:B!AJ54)</f>
        <v>4968.4799999999996</v>
      </c>
      <c r="AK54" s="124">
        <f t="shared" si="24"/>
        <v>4968.4799999999996</v>
      </c>
      <c r="AL54" s="73">
        <f t="shared" si="22"/>
        <v>1.9815215187963147E-5</v>
      </c>
      <c r="AM54" s="14">
        <f t="shared" si="6"/>
        <v>-0.59863865193600763</v>
      </c>
      <c r="AN54" s="89"/>
      <c r="AO54" s="264">
        <v>0</v>
      </c>
      <c r="AP54" s="73">
        <v>0</v>
      </c>
      <c r="AQ54" s="184">
        <v>-1</v>
      </c>
    </row>
    <row r="55" spans="1:43" ht="15" customHeight="1" outlineLevel="1">
      <c r="A55" s="12"/>
      <c r="I55" s="228" t="s">
        <v>165</v>
      </c>
      <c r="J55" s="65">
        <f>SUM(A:B!J55)</f>
        <v>0</v>
      </c>
      <c r="K55" s="65">
        <f>SUM(A:B!K55)</f>
        <v>584</v>
      </c>
      <c r="L55" s="65">
        <f>SUM(A:B!L55)</f>
        <v>649</v>
      </c>
      <c r="M55" s="65">
        <f>SUM(A:B!M55)</f>
        <v>479</v>
      </c>
      <c r="N55" s="65">
        <f>SUM(A:B!N55)</f>
        <v>0</v>
      </c>
      <c r="O55" s="65">
        <f>SUM(A:B!O55)</f>
        <v>0</v>
      </c>
      <c r="P55" s="65">
        <f>SUM(A:B!P55)</f>
        <v>0</v>
      </c>
      <c r="Q55" s="65">
        <f>SUM(A:B!Q55)</f>
        <v>20945</v>
      </c>
      <c r="R55" s="65">
        <f>SUM(A:B!R55)</f>
        <v>0</v>
      </c>
      <c r="S55" s="65">
        <f>SUM(A:B!S55)</f>
        <v>0</v>
      </c>
      <c r="T55" s="65">
        <f>SUM(A:B!T55)</f>
        <v>0</v>
      </c>
      <c r="U55" s="65">
        <f>SUM(A:B!U55)</f>
        <v>0</v>
      </c>
      <c r="V55" s="11">
        <f t="shared" si="23"/>
        <v>22657</v>
      </c>
      <c r="W55" s="73">
        <f t="shared" si="21"/>
        <v>1.0120472845536726E-4</v>
      </c>
      <c r="X55" s="89"/>
      <c r="Y55" s="65">
        <f>SUM(A:B!Y55)</f>
        <v>47569.055599999992</v>
      </c>
      <c r="Z55" s="65">
        <f>SUM(A:B!Z55)</f>
        <v>0</v>
      </c>
      <c r="AA55" s="65">
        <f>SUM(A:B!AA55)</f>
        <v>0</v>
      </c>
      <c r="AB55" s="65">
        <f>SUM(A:B!AB55)</f>
        <v>0</v>
      </c>
      <c r="AC55" s="65">
        <f>SUM(A:B!AC55)</f>
        <v>0</v>
      </c>
      <c r="AD55" s="65">
        <f>SUM(A:B!AD55)</f>
        <v>0</v>
      </c>
      <c r="AE55" s="65">
        <f>SUM(A:B!AE55)</f>
        <v>0</v>
      </c>
      <c r="AF55" s="65">
        <f>SUM(A:B!AF55)</f>
        <v>0</v>
      </c>
      <c r="AG55" s="65">
        <f>SUM(A:B!AG55)</f>
        <v>0</v>
      </c>
      <c r="AH55" s="65">
        <f>SUM(A:B!AH55)</f>
        <v>0</v>
      </c>
      <c r="AI55" s="65">
        <f>SUM(A:B!AI55)</f>
        <v>0</v>
      </c>
      <c r="AJ55" s="65">
        <f>SUM(A:B!AJ55)</f>
        <v>0</v>
      </c>
      <c r="AK55" s="124">
        <f t="shared" si="24"/>
        <v>47569.055599999992</v>
      </c>
      <c r="AL55" s="73">
        <f t="shared" si="22"/>
        <v>1.8971417274542382E-4</v>
      </c>
      <c r="AM55" s="14">
        <f t="shared" si="6"/>
        <v>1.0995301937591027</v>
      </c>
      <c r="AN55" s="89"/>
      <c r="AO55" s="264">
        <v>0</v>
      </c>
      <c r="AP55" s="73">
        <v>0</v>
      </c>
      <c r="AQ55" s="184">
        <v>-1</v>
      </c>
    </row>
    <row r="56" spans="1:43" ht="15" customHeight="1" outlineLevel="1">
      <c r="A56" s="12"/>
      <c r="I56" s="228" t="s">
        <v>166</v>
      </c>
      <c r="J56" s="65">
        <f>SUM(A:B!J56)</f>
        <v>10725</v>
      </c>
      <c r="K56" s="65">
        <f>SUM(A:B!K56)</f>
        <v>10467</v>
      </c>
      <c r="L56" s="65">
        <f>SUM(A:B!L56)</f>
        <v>0</v>
      </c>
      <c r="M56" s="65">
        <f>SUM(A:B!M56)</f>
        <v>8802</v>
      </c>
      <c r="N56" s="65">
        <f>SUM(A:B!N56)</f>
        <v>3380</v>
      </c>
      <c r="O56" s="65">
        <f>SUM(A:B!O56)</f>
        <v>5871</v>
      </c>
      <c r="P56" s="65">
        <f>SUM(A:B!P56)</f>
        <v>3690</v>
      </c>
      <c r="Q56" s="65">
        <f>SUM(A:B!Q56)</f>
        <v>6134</v>
      </c>
      <c r="R56" s="65">
        <f>SUM(A:B!R56)</f>
        <v>5870</v>
      </c>
      <c r="S56" s="65">
        <f>SUM(A:B!S56)</f>
        <v>5877</v>
      </c>
      <c r="T56" s="65">
        <f>SUM(A:B!T56)</f>
        <v>5476.583333333333</v>
      </c>
      <c r="U56" s="65">
        <f>SUM(A:B!U56)</f>
        <v>6114.1736111111113</v>
      </c>
      <c r="V56" s="11">
        <f t="shared" si="23"/>
        <v>72406.756944444438</v>
      </c>
      <c r="W56" s="73">
        <f t="shared" si="21"/>
        <v>3.2342791079561627E-4</v>
      </c>
      <c r="X56" s="89"/>
      <c r="Y56" s="65">
        <f>SUM(A:B!Y56)</f>
        <v>6262.3549999999996</v>
      </c>
      <c r="Z56" s="65">
        <f>SUM(A:B!Z56)</f>
        <v>6262.3549999999996</v>
      </c>
      <c r="AA56" s="65">
        <f>SUM(A:B!AA56)</f>
        <v>6262.3549999999996</v>
      </c>
      <c r="AB56" s="65">
        <f>SUM(A:B!AB56)</f>
        <v>6262.3549999999996</v>
      </c>
      <c r="AC56" s="65">
        <f>SUM(A:B!AC56)</f>
        <v>6262.3549999999996</v>
      </c>
      <c r="AD56" s="65">
        <f>SUM(A:B!AD56)</f>
        <v>6262.3549999999996</v>
      </c>
      <c r="AE56" s="65">
        <f>SUM(A:B!AE56)</f>
        <v>6262.3549999999996</v>
      </c>
      <c r="AF56" s="65">
        <f>SUM(A:B!AF56)</f>
        <v>6262.3549999999996</v>
      </c>
      <c r="AG56" s="65">
        <f>SUM(A:B!AG56)</f>
        <v>6262.3549999999996</v>
      </c>
      <c r="AH56" s="65">
        <f>SUM(A:B!AH56)</f>
        <v>6262.3549999999996</v>
      </c>
      <c r="AI56" s="65">
        <f>SUM(A:B!AI56)</f>
        <v>6262.3549999999996</v>
      </c>
      <c r="AJ56" s="65">
        <f>SUM(A:B!AJ56)</f>
        <v>6262.3549999999996</v>
      </c>
      <c r="AK56" s="124">
        <f t="shared" si="24"/>
        <v>75148.25999999998</v>
      </c>
      <c r="AL56" s="73">
        <f t="shared" si="22"/>
        <v>2.9970512971794254E-4</v>
      </c>
      <c r="AM56" s="14">
        <f t="shared" si="6"/>
        <v>3.7862530670432104E-2</v>
      </c>
      <c r="AN56" s="89"/>
      <c r="AO56" s="264">
        <v>0</v>
      </c>
      <c r="AP56" s="73">
        <v>0</v>
      </c>
      <c r="AQ56" s="184">
        <v>-1</v>
      </c>
    </row>
    <row r="57" spans="1:43" ht="15" customHeight="1" outlineLevel="1">
      <c r="A57" s="12"/>
      <c r="I57" s="228" t="s">
        <v>167</v>
      </c>
      <c r="J57" s="65">
        <f>SUM(A:B!J57)</f>
        <v>5700</v>
      </c>
      <c r="K57" s="65">
        <f>SUM(A:B!K57)</f>
        <v>9600</v>
      </c>
      <c r="L57" s="65">
        <f>SUM(A:B!L57)</f>
        <v>21424</v>
      </c>
      <c r="M57" s="65">
        <f>SUM(A:B!M57)</f>
        <v>16037</v>
      </c>
      <c r="N57" s="65">
        <f>SUM(A:B!N57)</f>
        <v>55386</v>
      </c>
      <c r="O57" s="65">
        <f>SUM(A:B!O57)</f>
        <v>28776</v>
      </c>
      <c r="P57" s="65">
        <f>SUM(A:B!P57)</f>
        <v>9204</v>
      </c>
      <c r="Q57" s="65">
        <f>SUM(A:B!Q57)</f>
        <v>-114514</v>
      </c>
      <c r="R57" s="65">
        <f>SUM(A:B!R57)</f>
        <v>6713</v>
      </c>
      <c r="S57" s="65">
        <f>SUM(A:B!S57)</f>
        <v>0</v>
      </c>
      <c r="T57" s="65">
        <f>SUM(A:B!T57)</f>
        <v>60000</v>
      </c>
      <c r="U57" s="65">
        <f>SUM(A:B!U57)</f>
        <v>60000</v>
      </c>
      <c r="V57" s="11">
        <f t="shared" si="23"/>
        <v>158326</v>
      </c>
      <c r="W57" s="73">
        <f t="shared" si="21"/>
        <v>7.072136574755916E-4</v>
      </c>
      <c r="X57" s="89"/>
      <c r="Y57" s="65">
        <f>SUM(A:B!Y57)</f>
        <v>0</v>
      </c>
      <c r="Z57" s="65">
        <f>SUM(A:B!Z57)</f>
        <v>931.58999999999992</v>
      </c>
      <c r="AA57" s="65">
        <f>SUM(A:B!AA57)</f>
        <v>48753.209999999992</v>
      </c>
      <c r="AB57" s="65">
        <f>SUM(A:B!AB57)</f>
        <v>49684.799999999996</v>
      </c>
      <c r="AC57" s="65">
        <f>SUM(A:B!AC57)</f>
        <v>51754.999999999993</v>
      </c>
      <c r="AD57" s="65">
        <f>SUM(A:B!AD57)</f>
        <v>0</v>
      </c>
      <c r="AE57" s="65">
        <f>SUM(A:B!AE57)</f>
        <v>1759.6699999999998</v>
      </c>
      <c r="AF57" s="65">
        <f>SUM(A:B!AF57)</f>
        <v>1863.1799999999998</v>
      </c>
      <c r="AG57" s="65">
        <f>SUM(A:B!AG57)</f>
        <v>0</v>
      </c>
      <c r="AH57" s="65">
        <f>SUM(A:B!AH57)</f>
        <v>0</v>
      </c>
      <c r="AI57" s="65">
        <f>SUM(A:B!AI57)</f>
        <v>0</v>
      </c>
      <c r="AJ57" s="65">
        <f>SUM(A:B!AJ57)</f>
        <v>0</v>
      </c>
      <c r="AK57" s="124">
        <f t="shared" si="24"/>
        <v>154747.44999999998</v>
      </c>
      <c r="AL57" s="73">
        <f t="shared" si="22"/>
        <v>6.1716138970843552E-4</v>
      </c>
      <c r="AM57" s="14">
        <f t="shared" si="6"/>
        <v>-2.2602415269759923E-2</v>
      </c>
      <c r="AN57" s="89"/>
      <c r="AO57" s="264">
        <v>0</v>
      </c>
      <c r="AP57" s="73">
        <v>0</v>
      </c>
      <c r="AQ57" s="184">
        <v>0</v>
      </c>
    </row>
    <row r="58" spans="1:43" ht="15" customHeight="1" outlineLevel="1">
      <c r="A58" s="12"/>
      <c r="I58" s="228" t="s">
        <v>168</v>
      </c>
      <c r="J58" s="65">
        <f>SUM(A:B!J58)</f>
        <v>0</v>
      </c>
      <c r="K58" s="65">
        <f>SUM(A:B!K58)</f>
        <v>0</v>
      </c>
      <c r="L58" s="65">
        <f>SUM(A:B!L58)</f>
        <v>0</v>
      </c>
      <c r="M58" s="65">
        <f>SUM(A:B!M58)</f>
        <v>0</v>
      </c>
      <c r="N58" s="65">
        <f>SUM(A:B!N58)</f>
        <v>0</v>
      </c>
      <c r="O58" s="65">
        <f>SUM(A:B!O58)</f>
        <v>0</v>
      </c>
      <c r="P58" s="65">
        <f>SUM(A:B!P58)</f>
        <v>0</v>
      </c>
      <c r="Q58" s="65">
        <f>SUM(A:B!Q58)</f>
        <v>0</v>
      </c>
      <c r="R58" s="65">
        <f>SUM(A:B!R58)</f>
        <v>0</v>
      </c>
      <c r="S58" s="65">
        <f>SUM(A:B!S58)</f>
        <v>0</v>
      </c>
      <c r="T58" s="65">
        <f>SUM(A:B!T58)</f>
        <v>31200.000000000004</v>
      </c>
      <c r="U58" s="65">
        <f>SUM(A:B!U58)</f>
        <v>0</v>
      </c>
      <c r="V58" s="11">
        <f t="shared" si="23"/>
        <v>31200.000000000004</v>
      </c>
      <c r="W58" s="73">
        <f t="shared" si="21"/>
        <v>1.3936476708334991E-4</v>
      </c>
      <c r="X58" s="89"/>
      <c r="Y58" s="65">
        <f>SUM(A:B!Y58)</f>
        <v>1990.5769230769229</v>
      </c>
      <c r="Z58" s="65">
        <f>SUM(A:B!Z58)</f>
        <v>6369.8461538461534</v>
      </c>
      <c r="AA58" s="65">
        <f>SUM(A:B!AA58)</f>
        <v>1194.3461538461536</v>
      </c>
      <c r="AB58" s="65">
        <f>SUM(A:B!AB58)</f>
        <v>0</v>
      </c>
      <c r="AC58" s="65">
        <f>SUM(A:B!AC58)</f>
        <v>0</v>
      </c>
      <c r="AD58" s="65">
        <f>SUM(A:B!AD58)</f>
        <v>0</v>
      </c>
      <c r="AE58" s="65">
        <f>SUM(A:B!AE58)</f>
        <v>0</v>
      </c>
      <c r="AF58" s="65">
        <f>SUM(A:B!AF58)</f>
        <v>0</v>
      </c>
      <c r="AG58" s="65">
        <f>SUM(A:B!AG58)</f>
        <v>0</v>
      </c>
      <c r="AH58" s="65">
        <f>SUM(A:B!AH58)</f>
        <v>0</v>
      </c>
      <c r="AI58" s="65">
        <f>SUM(A:B!AI58)</f>
        <v>0</v>
      </c>
      <c r="AJ58" s="65">
        <f>SUM(A:B!AJ58)</f>
        <v>0</v>
      </c>
      <c r="AK58" s="124">
        <f t="shared" si="24"/>
        <v>9554.7692307692305</v>
      </c>
      <c r="AL58" s="73">
        <f t="shared" si="22"/>
        <v>3.8106183053775287E-5</v>
      </c>
      <c r="AM58" s="14">
        <f t="shared" si="6"/>
        <v>-0.69375739644970413</v>
      </c>
      <c r="AN58" s="89"/>
      <c r="AO58" s="264">
        <v>0</v>
      </c>
      <c r="AP58" s="73">
        <v>0</v>
      </c>
      <c r="AQ58" s="184">
        <v>-1</v>
      </c>
    </row>
    <row r="59" spans="1:43" ht="15" customHeight="1" outlineLevel="1">
      <c r="A59" s="12"/>
      <c r="I59" s="228" t="s">
        <v>169</v>
      </c>
      <c r="J59" s="65">
        <f>SUM(A:B!J59)</f>
        <v>0</v>
      </c>
      <c r="K59" s="65">
        <f>SUM(A:B!K59)</f>
        <v>0</v>
      </c>
      <c r="L59" s="65">
        <f>SUM(A:B!L59)</f>
        <v>0</v>
      </c>
      <c r="M59" s="65">
        <f>SUM(A:B!M59)</f>
        <v>0</v>
      </c>
      <c r="N59" s="65">
        <f>SUM(A:B!N59)</f>
        <v>0</v>
      </c>
      <c r="O59" s="65">
        <f>SUM(A:B!O59)</f>
        <v>0</v>
      </c>
      <c r="P59" s="65">
        <f>SUM(A:B!P59)</f>
        <v>0</v>
      </c>
      <c r="Q59" s="65">
        <f>SUM(A:B!Q59)</f>
        <v>0</v>
      </c>
      <c r="R59" s="65">
        <f>SUM(A:B!R59)</f>
        <v>0</v>
      </c>
      <c r="S59" s="65">
        <f>SUM(A:B!S59)</f>
        <v>0</v>
      </c>
      <c r="T59" s="65">
        <f>SUM(A:B!T59)</f>
        <v>0</v>
      </c>
      <c r="U59" s="65">
        <f>SUM(A:B!U59)</f>
        <v>0</v>
      </c>
      <c r="V59" s="11">
        <f t="shared" si="23"/>
        <v>0</v>
      </c>
      <c r="W59" s="73">
        <f t="shared" si="21"/>
        <v>0</v>
      </c>
      <c r="X59" s="89"/>
      <c r="Y59" s="65">
        <f>SUM(A:B!Y59)</f>
        <v>0</v>
      </c>
      <c r="Z59" s="65">
        <f>SUM(A:B!Z59)</f>
        <v>0</v>
      </c>
      <c r="AA59" s="65">
        <f>SUM(A:B!AA59)</f>
        <v>0</v>
      </c>
      <c r="AB59" s="65">
        <f>SUM(A:B!AB59)</f>
        <v>0</v>
      </c>
      <c r="AC59" s="65">
        <f>SUM(A:B!AC59)</f>
        <v>0</v>
      </c>
      <c r="AD59" s="65">
        <f>SUM(A:B!AD59)</f>
        <v>0</v>
      </c>
      <c r="AE59" s="65">
        <f>SUM(A:B!AE59)</f>
        <v>0</v>
      </c>
      <c r="AF59" s="65">
        <f>SUM(A:B!AF59)</f>
        <v>0</v>
      </c>
      <c r="AG59" s="65">
        <f>SUM(A:B!AG59)</f>
        <v>0</v>
      </c>
      <c r="AH59" s="65">
        <f>SUM(A:B!AH59)</f>
        <v>0</v>
      </c>
      <c r="AI59" s="65">
        <f>SUM(A:B!AI59)</f>
        <v>0</v>
      </c>
      <c r="AJ59" s="65">
        <f>SUM(A:B!AJ59)</f>
        <v>0</v>
      </c>
      <c r="AK59" s="124">
        <f t="shared" si="24"/>
        <v>0</v>
      </c>
      <c r="AL59" s="73">
        <f t="shared" si="22"/>
        <v>0</v>
      </c>
      <c r="AM59" s="14">
        <f t="shared" si="6"/>
        <v>0</v>
      </c>
      <c r="AN59" s="89"/>
      <c r="AO59" s="264">
        <v>343092</v>
      </c>
      <c r="AP59" s="73">
        <v>7.7840892051966922E-5</v>
      </c>
      <c r="AQ59" s="184">
        <v>8.4376955918243013E-2</v>
      </c>
    </row>
    <row r="60" spans="1:43" ht="15" customHeight="1" outlineLevel="1">
      <c r="A60" s="12"/>
      <c r="I60" s="228" t="s">
        <v>170</v>
      </c>
      <c r="J60" s="65">
        <f>SUM(A:B!J60)</f>
        <v>0</v>
      </c>
      <c r="K60" s="65">
        <f>SUM(A:B!K60)</f>
        <v>0</v>
      </c>
      <c r="L60" s="65">
        <f>SUM(A:B!L60)</f>
        <v>0</v>
      </c>
      <c r="M60" s="65">
        <f>SUM(A:B!M60)</f>
        <v>0</v>
      </c>
      <c r="N60" s="65">
        <f>SUM(A:B!N60)</f>
        <v>0</v>
      </c>
      <c r="O60" s="65">
        <f>SUM(A:B!O60)</f>
        <v>0</v>
      </c>
      <c r="P60" s="65">
        <f>SUM(A:B!P60)</f>
        <v>0</v>
      </c>
      <c r="Q60" s="65">
        <f>SUM(A:B!Q60)</f>
        <v>0</v>
      </c>
      <c r="R60" s="65">
        <f>SUM(A:B!R60)</f>
        <v>0</v>
      </c>
      <c r="S60" s="65">
        <f>SUM(A:B!S60)</f>
        <v>0</v>
      </c>
      <c r="T60" s="65">
        <f>SUM(A:B!T60)</f>
        <v>0</v>
      </c>
      <c r="U60" s="65">
        <f>SUM(A:B!U60)</f>
        <v>0</v>
      </c>
      <c r="V60" s="11">
        <f t="shared" si="23"/>
        <v>0</v>
      </c>
      <c r="W60" s="73">
        <f t="shared" si="21"/>
        <v>0</v>
      </c>
      <c r="X60" s="89"/>
      <c r="Y60" s="65">
        <f>SUM(A:B!Y60)</f>
        <v>0</v>
      </c>
      <c r="Z60" s="65">
        <f>SUM(A:B!Z60)</f>
        <v>0</v>
      </c>
      <c r="AA60" s="65">
        <f>SUM(A:B!AA60)</f>
        <v>0</v>
      </c>
      <c r="AB60" s="65">
        <f>SUM(A:B!AB60)</f>
        <v>0</v>
      </c>
      <c r="AC60" s="65">
        <f>SUM(A:B!AC60)</f>
        <v>0</v>
      </c>
      <c r="AD60" s="65">
        <f>SUM(A:B!AD60)</f>
        <v>0</v>
      </c>
      <c r="AE60" s="65">
        <f>SUM(A:B!AE60)</f>
        <v>0</v>
      </c>
      <c r="AF60" s="65">
        <f>SUM(A:B!AF60)</f>
        <v>0</v>
      </c>
      <c r="AG60" s="65">
        <f>SUM(A:B!AG60)</f>
        <v>0</v>
      </c>
      <c r="AH60" s="65">
        <f>SUM(A:B!AH60)</f>
        <v>0</v>
      </c>
      <c r="AI60" s="65">
        <f>SUM(A:B!AI60)</f>
        <v>0</v>
      </c>
      <c r="AJ60" s="65">
        <f>SUM(A:B!AJ60)</f>
        <v>0</v>
      </c>
      <c r="AK60" s="124">
        <f t="shared" si="24"/>
        <v>0</v>
      </c>
      <c r="AL60" s="73">
        <f t="shared" si="22"/>
        <v>0</v>
      </c>
      <c r="AM60" s="14">
        <f t="shared" si="6"/>
        <v>0</v>
      </c>
      <c r="AN60" s="89"/>
      <c r="AO60" s="264">
        <v>0</v>
      </c>
      <c r="AP60" s="73">
        <v>0</v>
      </c>
      <c r="AQ60" s="184">
        <v>0</v>
      </c>
    </row>
    <row r="61" spans="1:43" ht="15" customHeight="1" outlineLevel="1">
      <c r="A61" s="12" t="s">
        <v>157</v>
      </c>
      <c r="B61" s="8" t="s">
        <v>101</v>
      </c>
      <c r="I61" s="228" t="s">
        <v>171</v>
      </c>
      <c r="J61" s="65">
        <f>SUM(A:B!J61)</f>
        <v>0</v>
      </c>
      <c r="K61" s="65">
        <f>SUM(A:B!K61)</f>
        <v>0</v>
      </c>
      <c r="L61" s="65">
        <f>SUM(A:B!L61)</f>
        <v>0</v>
      </c>
      <c r="M61" s="65">
        <f>SUM(A:B!M61)</f>
        <v>0</v>
      </c>
      <c r="N61" s="65">
        <f>SUM(A:B!N61)</f>
        <v>0</v>
      </c>
      <c r="O61" s="65">
        <f>SUM(A:B!O61)</f>
        <v>0</v>
      </c>
      <c r="P61" s="65">
        <f>SUM(A:B!P61)</f>
        <v>0</v>
      </c>
      <c r="Q61" s="65">
        <f>SUM(A:B!Q61)</f>
        <v>0</v>
      </c>
      <c r="R61" s="65">
        <f>SUM(A:B!R61)</f>
        <v>0</v>
      </c>
      <c r="S61" s="65">
        <f>SUM(A:B!S61)</f>
        <v>0</v>
      </c>
      <c r="T61" s="65">
        <f>SUM(A:B!T61)</f>
        <v>0</v>
      </c>
      <c r="U61" s="65">
        <f>SUM(A:B!U61)</f>
        <v>0</v>
      </c>
      <c r="V61" s="11">
        <f t="shared" si="23"/>
        <v>0</v>
      </c>
      <c r="W61" s="73">
        <f t="shared" si="21"/>
        <v>0</v>
      </c>
      <c r="X61" s="89"/>
      <c r="Y61" s="65">
        <f>SUM(A:B!Y61)</f>
        <v>0</v>
      </c>
      <c r="Z61" s="65">
        <f>SUM(A:B!Z61)</f>
        <v>0</v>
      </c>
      <c r="AA61" s="65">
        <f>SUM(A:B!AA61)</f>
        <v>0</v>
      </c>
      <c r="AB61" s="65">
        <f>SUM(A:B!AB61)</f>
        <v>0</v>
      </c>
      <c r="AC61" s="65">
        <f>SUM(A:B!AC61)</f>
        <v>0</v>
      </c>
      <c r="AD61" s="65">
        <f>SUM(A:B!AD61)</f>
        <v>0</v>
      </c>
      <c r="AE61" s="65">
        <f>SUM(A:B!AE61)</f>
        <v>0</v>
      </c>
      <c r="AF61" s="65">
        <f>SUM(A:B!AF61)</f>
        <v>0</v>
      </c>
      <c r="AG61" s="65">
        <f>SUM(A:B!AG61)</f>
        <v>0</v>
      </c>
      <c r="AH61" s="65">
        <f>SUM(A:B!AH61)</f>
        <v>0</v>
      </c>
      <c r="AI61" s="65">
        <f>SUM(A:B!AI61)</f>
        <v>0</v>
      </c>
      <c r="AJ61" s="65">
        <f>SUM(A:B!AJ61)</f>
        <v>0</v>
      </c>
      <c r="AK61" s="124">
        <f t="shared" si="24"/>
        <v>0</v>
      </c>
      <c r="AL61" s="73">
        <f t="shared" si="22"/>
        <v>0</v>
      </c>
      <c r="AM61" s="14">
        <f t="shared" si="6"/>
        <v>0</v>
      </c>
      <c r="AN61" s="89"/>
      <c r="AO61" s="264">
        <v>230499.09999999998</v>
      </c>
      <c r="AP61" s="73">
        <v>5.2295756127148185E-5</v>
      </c>
      <c r="AQ61" s="184">
        <v>-5.89955448952926</v>
      </c>
    </row>
    <row r="62" spans="1:43" ht="15" customHeight="1" outlineLevel="1">
      <c r="A62" s="12" t="s">
        <v>157</v>
      </c>
      <c r="B62" s="8" t="s">
        <v>101</v>
      </c>
      <c r="I62" s="228" t="s">
        <v>172</v>
      </c>
      <c r="J62" s="65">
        <f>SUM(A:B!J62)</f>
        <v>1011</v>
      </c>
      <c r="K62" s="65">
        <f>SUM(A:B!K62)</f>
        <v>3942</v>
      </c>
      <c r="L62" s="65">
        <f>SUM(A:B!L62)</f>
        <v>2147</v>
      </c>
      <c r="M62" s="65">
        <f>SUM(A:B!M62)</f>
        <v>3660</v>
      </c>
      <c r="N62" s="65">
        <f>SUM(A:B!N62)</f>
        <v>1674</v>
      </c>
      <c r="O62" s="65">
        <f>SUM(A:B!O62)</f>
        <v>3666</v>
      </c>
      <c r="P62" s="65">
        <f>SUM(A:B!P62)</f>
        <v>14747</v>
      </c>
      <c r="Q62" s="65">
        <f>SUM(A:B!Q62)</f>
        <v>16348</v>
      </c>
      <c r="R62" s="65">
        <f>SUM(A:B!R62)</f>
        <v>3671</v>
      </c>
      <c r="S62" s="65">
        <f>SUM(A:B!S62)</f>
        <v>-27797</v>
      </c>
      <c r="T62" s="65">
        <f>SUM(A:B!T62)</f>
        <v>0</v>
      </c>
      <c r="U62" s="65">
        <f>SUM(A:B!U62)</f>
        <v>0</v>
      </c>
      <c r="V62" s="11">
        <f t="shared" si="23"/>
        <v>23069</v>
      </c>
      <c r="W62" s="73">
        <f t="shared" si="21"/>
        <v>1.0304505807198074E-4</v>
      </c>
      <c r="X62" s="89"/>
      <c r="Y62" s="65">
        <f>SUM(A:B!Y62)</f>
        <v>0</v>
      </c>
      <c r="Z62" s="65">
        <f>SUM(A:B!Z62)</f>
        <v>0</v>
      </c>
      <c r="AA62" s="65">
        <f>SUM(A:B!AA62)</f>
        <v>0</v>
      </c>
      <c r="AB62" s="65">
        <f>SUM(A:B!AB62)</f>
        <v>0</v>
      </c>
      <c r="AC62" s="65">
        <f>SUM(A:B!AC62)</f>
        <v>0</v>
      </c>
      <c r="AD62" s="65">
        <f>SUM(A:B!AD62)</f>
        <v>0</v>
      </c>
      <c r="AE62" s="65">
        <f>SUM(A:B!AE62)</f>
        <v>0</v>
      </c>
      <c r="AF62" s="65">
        <f>SUM(A:B!AF62)</f>
        <v>0</v>
      </c>
      <c r="AG62" s="65">
        <f>SUM(A:B!AG62)</f>
        <v>0</v>
      </c>
      <c r="AH62" s="65">
        <f>SUM(A:B!AH62)</f>
        <v>0</v>
      </c>
      <c r="AI62" s="65">
        <f>SUM(A:B!AI62)</f>
        <v>0</v>
      </c>
      <c r="AJ62" s="65">
        <f>SUM(A:B!AJ62)</f>
        <v>0</v>
      </c>
      <c r="AK62" s="124">
        <f t="shared" si="24"/>
        <v>0</v>
      </c>
      <c r="AL62" s="73">
        <f t="shared" si="22"/>
        <v>0</v>
      </c>
      <c r="AM62" s="14">
        <f t="shared" si="6"/>
        <v>-1</v>
      </c>
      <c r="AN62" s="89"/>
      <c r="AO62" s="264">
        <v>2418673.399999998</v>
      </c>
      <c r="AP62" s="73">
        <v>5.4874988352501266E-4</v>
      </c>
      <c r="AQ62" s="184">
        <v>0.79309425377659437</v>
      </c>
    </row>
    <row r="63" spans="1:43" ht="15" customHeight="1" outlineLevel="1">
      <c r="A63" s="12" t="s">
        <v>157</v>
      </c>
      <c r="B63" s="8" t="s">
        <v>101</v>
      </c>
      <c r="I63" s="228" t="s">
        <v>173</v>
      </c>
      <c r="J63" s="65">
        <f>SUM(A:B!J63)</f>
        <v>8187</v>
      </c>
      <c r="K63" s="65">
        <f>SUM(A:B!K63)</f>
        <v>4482</v>
      </c>
      <c r="L63" s="65">
        <f>SUM(A:B!L63)</f>
        <v>1704</v>
      </c>
      <c r="M63" s="65">
        <f>SUM(A:B!M63)</f>
        <v>5280</v>
      </c>
      <c r="N63" s="65">
        <f>SUM(A:B!N63)</f>
        <v>5966</v>
      </c>
      <c r="O63" s="65">
        <f>SUM(A:B!O63)</f>
        <v>4080</v>
      </c>
      <c r="P63" s="65">
        <f>SUM(A:B!P63)</f>
        <v>5569</v>
      </c>
      <c r="Q63" s="65">
        <f>SUM(A:B!Q63)</f>
        <v>9096</v>
      </c>
      <c r="R63" s="65">
        <f>SUM(A:B!R63)</f>
        <v>4548</v>
      </c>
      <c r="S63" s="65">
        <f>SUM(A:B!S63)</f>
        <v>4108</v>
      </c>
      <c r="T63" s="65">
        <f>SUM(A:B!T63)</f>
        <v>5973.583333333333</v>
      </c>
      <c r="U63" s="65">
        <f>SUM(A:B!U63)</f>
        <v>5367.8402777777774</v>
      </c>
      <c r="V63" s="11">
        <f t="shared" si="23"/>
        <v>64361.423611111109</v>
      </c>
      <c r="W63" s="73">
        <f t="shared" si="21"/>
        <v>2.8749085931779861E-4</v>
      </c>
      <c r="X63" s="89"/>
      <c r="Y63" s="65">
        <f>SUM(A:B!Y63)</f>
        <v>3670</v>
      </c>
      <c r="Z63" s="65">
        <f>SUM(A:B!Z63)</f>
        <v>3670</v>
      </c>
      <c r="AA63" s="65">
        <f>SUM(A:B!AA63)</f>
        <v>3670</v>
      </c>
      <c r="AB63" s="65">
        <f>SUM(A:B!AB63)</f>
        <v>3670</v>
      </c>
      <c r="AC63" s="65">
        <f>SUM(A:B!AC63)</f>
        <v>3670</v>
      </c>
      <c r="AD63" s="65">
        <f>SUM(A:B!AD63)</f>
        <v>3670</v>
      </c>
      <c r="AE63" s="65">
        <f>SUM(A:B!AE63)</f>
        <v>3670</v>
      </c>
      <c r="AF63" s="65">
        <f>SUM(A:B!AF63)</f>
        <v>3670</v>
      </c>
      <c r="AG63" s="65">
        <f>SUM(A:B!AG63)</f>
        <v>3670</v>
      </c>
      <c r="AH63" s="65">
        <f>SUM(A:B!AH63)</f>
        <v>3670</v>
      </c>
      <c r="AI63" s="65">
        <f>SUM(A:B!AI63)</f>
        <v>3670</v>
      </c>
      <c r="AJ63" s="65">
        <f>SUM(A:B!AJ63)</f>
        <v>3670</v>
      </c>
      <c r="AK63" s="124">
        <f t="shared" si="24"/>
        <v>44040</v>
      </c>
      <c r="AL63" s="73">
        <f t="shared" si="22"/>
        <v>1.7563964771477334E-4</v>
      </c>
      <c r="AM63" s="14">
        <f t="shared" si="6"/>
        <v>-0.31573918771434539</v>
      </c>
      <c r="AN63" s="89"/>
      <c r="AO63" s="264">
        <v>0</v>
      </c>
      <c r="AP63" s="73">
        <v>0</v>
      </c>
      <c r="AQ63" s="184">
        <v>0</v>
      </c>
    </row>
    <row r="64" spans="1:43" ht="15" customHeight="1" outlineLevel="1">
      <c r="A64" s="12" t="s">
        <v>157</v>
      </c>
      <c r="B64" s="8" t="s">
        <v>101</v>
      </c>
      <c r="I64" s="228" t="s">
        <v>174</v>
      </c>
      <c r="J64" s="65">
        <f>SUM(A:B!J64)</f>
        <v>0</v>
      </c>
      <c r="K64" s="65">
        <f>SUM(A:B!K64)</f>
        <v>0</v>
      </c>
      <c r="L64" s="65">
        <f>SUM(A:B!L64)</f>
        <v>0</v>
      </c>
      <c r="M64" s="65">
        <f>SUM(A:B!M64)</f>
        <v>0</v>
      </c>
      <c r="N64" s="65">
        <f>SUM(A:B!N64)</f>
        <v>0</v>
      </c>
      <c r="O64" s="65">
        <f>SUM(A:B!O64)</f>
        <v>0</v>
      </c>
      <c r="P64" s="65">
        <f>SUM(A:B!P64)</f>
        <v>0</v>
      </c>
      <c r="Q64" s="65">
        <f>SUM(A:B!Q64)</f>
        <v>0</v>
      </c>
      <c r="R64" s="65">
        <f>SUM(A:B!R64)</f>
        <v>0</v>
      </c>
      <c r="S64" s="65">
        <f>SUM(A:B!S64)</f>
        <v>0</v>
      </c>
      <c r="T64" s="65">
        <f>SUM(A:B!T64)</f>
        <v>0</v>
      </c>
      <c r="U64" s="65">
        <f>SUM(A:B!U64)</f>
        <v>0</v>
      </c>
      <c r="V64" s="11">
        <f t="shared" si="23"/>
        <v>0</v>
      </c>
      <c r="W64" s="73">
        <f t="shared" si="21"/>
        <v>0</v>
      </c>
      <c r="X64" s="89"/>
      <c r="Y64" s="65">
        <f>SUM(A:B!Y64)</f>
        <v>0</v>
      </c>
      <c r="Z64" s="65">
        <f>SUM(A:B!Z64)</f>
        <v>0</v>
      </c>
      <c r="AA64" s="65">
        <f>SUM(A:B!AA64)</f>
        <v>0</v>
      </c>
      <c r="AB64" s="65">
        <f>SUM(A:B!AB64)</f>
        <v>0</v>
      </c>
      <c r="AC64" s="65">
        <f>SUM(A:B!AC64)</f>
        <v>0</v>
      </c>
      <c r="AD64" s="65">
        <f>SUM(A:B!AD64)</f>
        <v>0</v>
      </c>
      <c r="AE64" s="65">
        <f>SUM(A:B!AE64)</f>
        <v>0</v>
      </c>
      <c r="AF64" s="65">
        <f>SUM(A:B!AF64)</f>
        <v>0</v>
      </c>
      <c r="AG64" s="65">
        <f>SUM(A:B!AG64)</f>
        <v>0</v>
      </c>
      <c r="AH64" s="65">
        <f>SUM(A:B!AH64)</f>
        <v>0</v>
      </c>
      <c r="AI64" s="65">
        <f>SUM(A:B!AI64)</f>
        <v>0</v>
      </c>
      <c r="AJ64" s="65">
        <f>SUM(A:B!AJ64)</f>
        <v>0</v>
      </c>
      <c r="AK64" s="124">
        <f t="shared" si="24"/>
        <v>0</v>
      </c>
      <c r="AL64" s="73">
        <f t="shared" si="22"/>
        <v>0</v>
      </c>
      <c r="AM64" s="14">
        <f t="shared" si="6"/>
        <v>0</v>
      </c>
      <c r="AN64" s="89"/>
      <c r="AO64" s="264">
        <v>0</v>
      </c>
      <c r="AP64" s="73">
        <v>0</v>
      </c>
      <c r="AQ64" s="184">
        <v>-1</v>
      </c>
    </row>
    <row r="65" spans="1:43" ht="15" customHeight="1" outlineLevel="1">
      <c r="A65" s="12" t="s">
        <v>157</v>
      </c>
      <c r="B65" s="8" t="s">
        <v>101</v>
      </c>
      <c r="I65" s="228" t="s">
        <v>175</v>
      </c>
      <c r="J65" s="65">
        <f>SUM(A:B!J65)</f>
        <v>0</v>
      </c>
      <c r="K65" s="65">
        <f>SUM(A:B!K65)</f>
        <v>0</v>
      </c>
      <c r="L65" s="65">
        <f>SUM(A:B!L65)</f>
        <v>0</v>
      </c>
      <c r="M65" s="65">
        <f>SUM(A:B!M65)</f>
        <v>0</v>
      </c>
      <c r="N65" s="65">
        <f>SUM(A:B!N65)</f>
        <v>0</v>
      </c>
      <c r="O65" s="65">
        <f>SUM(A:B!O65)</f>
        <v>0</v>
      </c>
      <c r="P65" s="65">
        <f>SUM(A:B!P65)</f>
        <v>0</v>
      </c>
      <c r="Q65" s="65">
        <f>SUM(A:B!Q65)</f>
        <v>0</v>
      </c>
      <c r="R65" s="65">
        <f>SUM(A:B!R65)</f>
        <v>0</v>
      </c>
      <c r="S65" s="65">
        <f>SUM(A:B!S65)</f>
        <v>0</v>
      </c>
      <c r="T65" s="65">
        <f>SUM(A:B!T65)</f>
        <v>0</v>
      </c>
      <c r="U65" s="65">
        <f>SUM(A:B!U65)</f>
        <v>0</v>
      </c>
      <c r="V65" s="11">
        <f t="shared" si="23"/>
        <v>0</v>
      </c>
      <c r="W65" s="73">
        <f t="shared" si="21"/>
        <v>0</v>
      </c>
      <c r="X65" s="89"/>
      <c r="Y65" s="65">
        <f>SUM(A:B!Y65)</f>
        <v>141601.68</v>
      </c>
      <c r="Z65" s="65">
        <f>SUM(A:B!Z65)</f>
        <v>233932.59999999998</v>
      </c>
      <c r="AA65" s="65">
        <f>SUM(A:B!AA65)</f>
        <v>0</v>
      </c>
      <c r="AB65" s="65">
        <f>SUM(A:B!AB65)</f>
        <v>0</v>
      </c>
      <c r="AC65" s="65">
        <f>SUM(A:B!AC65)</f>
        <v>0</v>
      </c>
      <c r="AD65" s="65">
        <f>SUM(A:B!AD65)</f>
        <v>0</v>
      </c>
      <c r="AE65" s="65">
        <f>SUM(A:B!AE65)</f>
        <v>0</v>
      </c>
      <c r="AF65" s="65">
        <f>SUM(A:B!AF65)</f>
        <v>0</v>
      </c>
      <c r="AG65" s="65">
        <f>SUM(A:B!AG65)</f>
        <v>0</v>
      </c>
      <c r="AH65" s="65">
        <f>SUM(A:B!AH65)</f>
        <v>0</v>
      </c>
      <c r="AI65" s="65">
        <f>SUM(A:B!AI65)</f>
        <v>0</v>
      </c>
      <c r="AJ65" s="65">
        <f>SUM(A:B!AJ65)</f>
        <v>0</v>
      </c>
      <c r="AK65" s="124">
        <f t="shared" si="24"/>
        <v>375534.27999999997</v>
      </c>
      <c r="AL65" s="73">
        <f t="shared" si="22"/>
        <v>1.4977000146235478E-3</v>
      </c>
      <c r="AM65" s="14">
        <f t="shared" si="6"/>
        <v>0</v>
      </c>
      <c r="AN65" s="89"/>
      <c r="AO65" s="264">
        <v>409356.28799999988</v>
      </c>
      <c r="AP65" s="73">
        <v>9.2874968302967924E-5</v>
      </c>
      <c r="AQ65" s="184">
        <v>0.11739717078126621</v>
      </c>
    </row>
    <row r="66" spans="1:43" ht="15" customHeight="1" outlineLevel="1">
      <c r="A66" s="12" t="s">
        <v>157</v>
      </c>
      <c r="B66" s="8" t="s">
        <v>101</v>
      </c>
      <c r="I66" s="228" t="s">
        <v>176</v>
      </c>
      <c r="J66" s="65">
        <f>SUM(A:B!J66)</f>
        <v>0</v>
      </c>
      <c r="K66" s="65">
        <f>SUM(A:B!K66)</f>
        <v>0</v>
      </c>
      <c r="L66" s="65">
        <f>SUM(A:B!L66)</f>
        <v>0</v>
      </c>
      <c r="M66" s="65">
        <f>SUM(A:B!M66)</f>
        <v>5370</v>
      </c>
      <c r="N66" s="65">
        <f>SUM(A:B!N66)</f>
        <v>90550</v>
      </c>
      <c r="O66" s="65">
        <f>SUM(A:B!O66)</f>
        <v>90550</v>
      </c>
      <c r="P66" s="65">
        <f>SUM(A:B!P66)</f>
        <v>90550</v>
      </c>
      <c r="Q66" s="65">
        <f>SUM(A:B!Q66)</f>
        <v>90550</v>
      </c>
      <c r="R66" s="65">
        <f>SUM(A:B!R66)</f>
        <v>90550</v>
      </c>
      <c r="S66" s="65">
        <f>SUM(A:B!S66)</f>
        <v>90550</v>
      </c>
      <c r="T66" s="65">
        <f>SUM(A:B!T66)</f>
        <v>90550</v>
      </c>
      <c r="U66" s="65">
        <f>SUM(A:B!U66)</f>
        <v>90550</v>
      </c>
      <c r="V66" s="11">
        <f t="shared" si="23"/>
        <v>729770</v>
      </c>
      <c r="W66" s="73">
        <f t="shared" si="21"/>
        <v>3.2597508357184697E-3</v>
      </c>
      <c r="X66" s="89"/>
      <c r="Y66" s="65">
        <f>SUM(A:B!Y66)</f>
        <v>23339.434799999999</v>
      </c>
      <c r="Z66" s="65">
        <f>SUM(A:B!Z66)</f>
        <v>23339.434799999999</v>
      </c>
      <c r="AA66" s="65">
        <f>SUM(A:B!AA66)</f>
        <v>23339.434799999999</v>
      </c>
      <c r="AB66" s="65">
        <f>SUM(A:B!AB66)</f>
        <v>23339.434799999999</v>
      </c>
      <c r="AC66" s="65">
        <f>SUM(A:B!AC66)</f>
        <v>28897.921799999996</v>
      </c>
      <c r="AD66" s="65">
        <f>SUM(A:B!AD66)</f>
        <v>28897.921799999996</v>
      </c>
      <c r="AE66" s="65">
        <f>SUM(A:B!AE66)</f>
        <v>28897.921799999996</v>
      </c>
      <c r="AF66" s="65">
        <f>SUM(A:B!AF66)</f>
        <v>28897.921799999996</v>
      </c>
      <c r="AG66" s="65">
        <f>SUM(A:B!AG66)</f>
        <v>28897.921799999996</v>
      </c>
      <c r="AH66" s="65">
        <f>SUM(A:B!AH66)</f>
        <v>28897.921799999996</v>
      </c>
      <c r="AI66" s="65">
        <f>SUM(A:B!AI66)</f>
        <v>28897.921799999996</v>
      </c>
      <c r="AJ66" s="65">
        <f>SUM(A:B!AJ66)</f>
        <v>28897.921799999996</v>
      </c>
      <c r="AK66" s="124">
        <f t="shared" si="24"/>
        <v>324541.11360000004</v>
      </c>
      <c r="AL66" s="73">
        <f t="shared" si="22"/>
        <v>1.2943298560777531E-3</v>
      </c>
      <c r="AM66" s="14">
        <f t="shared" si="6"/>
        <v>-0.55528301574468664</v>
      </c>
      <c r="AN66" s="89"/>
      <c r="AO66" s="264">
        <v>0</v>
      </c>
      <c r="AP66" s="73">
        <v>0</v>
      </c>
      <c r="AQ66" s="184">
        <v>0</v>
      </c>
    </row>
    <row r="67" spans="1:43" ht="15" customHeight="1" outlineLevel="1">
      <c r="A67" s="12" t="s">
        <v>157</v>
      </c>
      <c r="B67" s="8" t="s">
        <v>101</v>
      </c>
      <c r="I67" s="228" t="s">
        <v>177</v>
      </c>
      <c r="J67" s="65">
        <f>SUM(A:B!J67)</f>
        <v>0</v>
      </c>
      <c r="K67" s="65">
        <f>SUM(A:B!K67)</f>
        <v>0</v>
      </c>
      <c r="L67" s="65">
        <f>SUM(A:B!L67)</f>
        <v>0</v>
      </c>
      <c r="M67" s="65">
        <f>SUM(A:B!M67)</f>
        <v>0</v>
      </c>
      <c r="N67" s="65">
        <f>SUM(A:B!N67)</f>
        <v>0</v>
      </c>
      <c r="O67" s="65">
        <f>SUM(A:B!O67)</f>
        <v>0</v>
      </c>
      <c r="P67" s="65">
        <f>SUM(A:B!P67)</f>
        <v>0</v>
      </c>
      <c r="Q67" s="65">
        <f>SUM(A:B!Q67)</f>
        <v>0</v>
      </c>
      <c r="R67" s="65">
        <f>SUM(A:B!R67)</f>
        <v>0</v>
      </c>
      <c r="S67" s="65">
        <f>SUM(A:B!S67)</f>
        <v>0</v>
      </c>
      <c r="T67" s="65">
        <f>SUM(A:B!T67)</f>
        <v>0</v>
      </c>
      <c r="U67" s="65">
        <f>SUM(A:B!U67)</f>
        <v>0</v>
      </c>
      <c r="V67" s="11">
        <f t="shared" si="23"/>
        <v>0</v>
      </c>
      <c r="W67" s="73">
        <f t="shared" si="21"/>
        <v>0</v>
      </c>
      <c r="X67" s="89"/>
      <c r="Y67" s="65">
        <f>SUM(A:B!Y67)</f>
        <v>0</v>
      </c>
      <c r="Z67" s="65">
        <f>SUM(A:B!Z67)</f>
        <v>0</v>
      </c>
      <c r="AA67" s="65">
        <f>SUM(A:B!AA67)</f>
        <v>0</v>
      </c>
      <c r="AB67" s="65">
        <f>SUM(A:B!AB67)</f>
        <v>0</v>
      </c>
      <c r="AC67" s="65">
        <f>SUM(A:B!AC67)</f>
        <v>0</v>
      </c>
      <c r="AD67" s="65">
        <f>SUM(A:B!AD67)</f>
        <v>0</v>
      </c>
      <c r="AE67" s="65">
        <f>SUM(A:B!AE67)</f>
        <v>0</v>
      </c>
      <c r="AF67" s="65">
        <f>SUM(A:B!AF67)</f>
        <v>0</v>
      </c>
      <c r="AG67" s="65">
        <f>SUM(A:B!AG67)</f>
        <v>0</v>
      </c>
      <c r="AH67" s="65">
        <f>SUM(A:B!AH67)</f>
        <v>0</v>
      </c>
      <c r="AI67" s="65">
        <f>SUM(A:B!AI67)</f>
        <v>0</v>
      </c>
      <c r="AJ67" s="65">
        <f>SUM(A:B!AJ67)</f>
        <v>0</v>
      </c>
      <c r="AK67" s="124">
        <f t="shared" si="24"/>
        <v>0</v>
      </c>
      <c r="AL67" s="73">
        <f t="shared" si="22"/>
        <v>0</v>
      </c>
      <c r="AM67" s="14">
        <f t="shared" si="6"/>
        <v>0</v>
      </c>
      <c r="AN67" s="89"/>
      <c r="AO67" s="264">
        <v>167582.08860000002</v>
      </c>
      <c r="AP67" s="73">
        <v>3.8021111738413478E-5</v>
      </c>
      <c r="AQ67" s="184">
        <v>3.1923391819347335E-2</v>
      </c>
    </row>
    <row r="68" spans="1:43" ht="15" customHeight="1" outlineLevel="1">
      <c r="A68" s="12" t="s">
        <v>157</v>
      </c>
      <c r="B68" s="8" t="s">
        <v>101</v>
      </c>
      <c r="I68" s="228" t="s">
        <v>178</v>
      </c>
      <c r="J68" s="65">
        <f>SUM(A:B!J68)</f>
        <v>0</v>
      </c>
      <c r="K68" s="65">
        <f>SUM(A:B!K68)</f>
        <v>0</v>
      </c>
      <c r="L68" s="65">
        <f>SUM(A:B!L68)</f>
        <v>0</v>
      </c>
      <c r="M68" s="65">
        <f>SUM(A:B!M68)</f>
        <v>2367</v>
      </c>
      <c r="N68" s="65">
        <f>SUM(A:B!N68)</f>
        <v>5088</v>
      </c>
      <c r="O68" s="65">
        <f>SUM(A:B!O68)</f>
        <v>6068</v>
      </c>
      <c r="P68" s="65">
        <f>SUM(A:B!P68)</f>
        <v>0</v>
      </c>
      <c r="Q68" s="65">
        <f>SUM(A:B!Q68)</f>
        <v>7760</v>
      </c>
      <c r="R68" s="65">
        <f>SUM(A:B!R68)</f>
        <v>0</v>
      </c>
      <c r="S68" s="65">
        <f>SUM(A:B!S68)</f>
        <v>0</v>
      </c>
      <c r="T68" s="65">
        <f>SUM(A:B!T68)</f>
        <v>0</v>
      </c>
      <c r="U68" s="65">
        <f>SUM(A:B!U68)</f>
        <v>0</v>
      </c>
      <c r="V68" s="11">
        <f t="shared" si="23"/>
        <v>21283</v>
      </c>
      <c r="W68" s="73">
        <f t="shared" si="21"/>
        <v>9.5067318520350506E-5</v>
      </c>
      <c r="X68" s="89"/>
      <c r="Y68" s="65">
        <f>SUM(A:B!Y68)</f>
        <v>0</v>
      </c>
      <c r="Z68" s="65">
        <f>SUM(A:B!Z68)</f>
        <v>0</v>
      </c>
      <c r="AA68" s="65">
        <f>SUM(A:B!AA68)</f>
        <v>0</v>
      </c>
      <c r="AB68" s="65">
        <f>SUM(A:B!AB68)</f>
        <v>0</v>
      </c>
      <c r="AC68" s="65">
        <f>SUM(A:B!AC68)</f>
        <v>0</v>
      </c>
      <c r="AD68" s="65">
        <f>SUM(A:B!AD68)</f>
        <v>0</v>
      </c>
      <c r="AE68" s="65">
        <f>SUM(A:B!AE68)</f>
        <v>0</v>
      </c>
      <c r="AF68" s="65">
        <f>SUM(A:B!AF68)</f>
        <v>0</v>
      </c>
      <c r="AG68" s="65">
        <f>SUM(A:B!AG68)</f>
        <v>0</v>
      </c>
      <c r="AH68" s="65">
        <f>SUM(A:B!AH68)</f>
        <v>0</v>
      </c>
      <c r="AI68" s="65">
        <f>SUM(A:B!AI68)</f>
        <v>0</v>
      </c>
      <c r="AJ68" s="65">
        <f>SUM(A:B!AJ68)</f>
        <v>0</v>
      </c>
      <c r="AK68" s="124">
        <f t="shared" si="24"/>
        <v>0</v>
      </c>
      <c r="AL68" s="73">
        <f t="shared" si="22"/>
        <v>0</v>
      </c>
      <c r="AM68" s="14">
        <f t="shared" si="6"/>
        <v>-1</v>
      </c>
      <c r="AN68" s="89"/>
      <c r="AO68" s="264">
        <v>0</v>
      </c>
      <c r="AP68" s="73">
        <v>0</v>
      </c>
      <c r="AQ68" s="184">
        <v>-1</v>
      </c>
    </row>
    <row r="69" spans="1:43" ht="14.45" customHeight="1" outlineLevel="1">
      <c r="A69" s="12" t="s">
        <v>157</v>
      </c>
      <c r="B69" s="8" t="s">
        <v>101</v>
      </c>
      <c r="I69" s="228" t="s">
        <v>179</v>
      </c>
      <c r="J69" s="65">
        <f>SUM(A:B!J69)</f>
        <v>0</v>
      </c>
      <c r="K69" s="65">
        <f>SUM(A:B!K69)</f>
        <v>0</v>
      </c>
      <c r="L69" s="65">
        <f>SUM(A:B!L69)</f>
        <v>0</v>
      </c>
      <c r="M69" s="65">
        <f>SUM(A:B!M69)</f>
        <v>0</v>
      </c>
      <c r="N69" s="65">
        <f>SUM(A:B!N69)</f>
        <v>1954</v>
      </c>
      <c r="O69" s="65">
        <f>SUM(A:B!O69)</f>
        <v>4395</v>
      </c>
      <c r="P69" s="65">
        <f>SUM(A:B!P69)</f>
        <v>3906</v>
      </c>
      <c r="Q69" s="65">
        <f>SUM(A:B!Q69)</f>
        <v>3906</v>
      </c>
      <c r="R69" s="65">
        <f>SUM(A:B!R69)</f>
        <v>4884</v>
      </c>
      <c r="S69" s="65">
        <f>SUM(A:B!S69)</f>
        <v>3906</v>
      </c>
      <c r="T69" s="65">
        <f>SUM(A:B!T69)</f>
        <v>4232</v>
      </c>
      <c r="U69" s="65">
        <f>SUM(A:B!U69)</f>
        <v>4340.666666666667</v>
      </c>
      <c r="V69" s="11">
        <f t="shared" si="23"/>
        <v>31523.666666666668</v>
      </c>
      <c r="W69" s="73">
        <f t="shared" si="21"/>
        <v>1.4081052764785773E-4</v>
      </c>
      <c r="X69" s="89"/>
      <c r="Y69" s="65">
        <f>SUM(A:B!Y69)</f>
        <v>4043.1005999999998</v>
      </c>
      <c r="Z69" s="65">
        <f>SUM(A:B!Z69)</f>
        <v>4043.1005999999998</v>
      </c>
      <c r="AA69" s="65">
        <f>SUM(A:B!AA69)</f>
        <v>4043.1005999999998</v>
      </c>
      <c r="AB69" s="65">
        <f>SUM(A:B!AB69)</f>
        <v>4043.1005999999998</v>
      </c>
      <c r="AC69" s="65">
        <f>SUM(A:B!AC69)</f>
        <v>4043.1005999999998</v>
      </c>
      <c r="AD69" s="65">
        <f>SUM(A:B!AD69)</f>
        <v>4043.1005999999998</v>
      </c>
      <c r="AE69" s="65">
        <f>SUM(A:B!AE69)</f>
        <v>4043.1005999999998</v>
      </c>
      <c r="AF69" s="65">
        <f>SUM(A:B!AF69)</f>
        <v>4043.1005999999998</v>
      </c>
      <c r="AG69" s="65">
        <f>SUM(A:B!AG69)</f>
        <v>4043.1005999999998</v>
      </c>
      <c r="AH69" s="65">
        <f>SUM(A:B!AH69)</f>
        <v>4043.1005999999998</v>
      </c>
      <c r="AI69" s="65">
        <f>SUM(A:B!AI69)</f>
        <v>4043.1005999999998</v>
      </c>
      <c r="AJ69" s="65">
        <f>SUM(A:B!AJ69)</f>
        <v>4043.1005999999998</v>
      </c>
      <c r="AK69" s="124">
        <f t="shared" si="24"/>
        <v>48517.207199999983</v>
      </c>
      <c r="AL69" s="73">
        <f t="shared" si="22"/>
        <v>1.9349557631046009E-4</v>
      </c>
      <c r="AM69" s="14">
        <f t="shared" si="6"/>
        <v>0.53907245984498364</v>
      </c>
      <c r="AN69" s="89"/>
      <c r="AO69" s="264">
        <v>0</v>
      </c>
      <c r="AP69" s="73">
        <v>0</v>
      </c>
      <c r="AQ69" s="184">
        <v>-1</v>
      </c>
    </row>
    <row r="70" spans="1:43" ht="15" customHeight="1" outlineLevel="1">
      <c r="A70" s="12" t="s">
        <v>157</v>
      </c>
      <c r="B70" s="8" t="s">
        <v>101</v>
      </c>
      <c r="I70" s="228" t="s">
        <v>180</v>
      </c>
      <c r="J70" s="65">
        <f>SUM(A:B!J70)</f>
        <v>0</v>
      </c>
      <c r="K70" s="65">
        <f>SUM(A:B!K70)</f>
        <v>0</v>
      </c>
      <c r="L70" s="65">
        <f>SUM(A:B!L70)</f>
        <v>0</v>
      </c>
      <c r="M70" s="65">
        <f>SUM(A:B!M70)</f>
        <v>0</v>
      </c>
      <c r="N70" s="65">
        <f>SUM(A:B!N70)</f>
        <v>0</v>
      </c>
      <c r="O70" s="65">
        <f>SUM(A:B!O70)</f>
        <v>0</v>
      </c>
      <c r="P70" s="65">
        <f>SUM(A:B!P70)</f>
        <v>0</v>
      </c>
      <c r="Q70" s="65">
        <f>SUM(A:B!Q70)</f>
        <v>0</v>
      </c>
      <c r="R70" s="65">
        <f>SUM(A:B!R70)</f>
        <v>0</v>
      </c>
      <c r="S70" s="65">
        <f>SUM(A:B!S70)</f>
        <v>0</v>
      </c>
      <c r="T70" s="65">
        <f>SUM(A:B!T70)</f>
        <v>0</v>
      </c>
      <c r="U70" s="65">
        <f>SUM(A:B!U70)</f>
        <v>0</v>
      </c>
      <c r="V70" s="11">
        <f t="shared" si="23"/>
        <v>0</v>
      </c>
      <c r="W70" s="73">
        <f t="shared" si="21"/>
        <v>0</v>
      </c>
      <c r="X70" s="89"/>
      <c r="Y70" s="65">
        <f>SUM(A:B!Y70)</f>
        <v>0</v>
      </c>
      <c r="Z70" s="65">
        <f>SUM(A:B!Z70)</f>
        <v>0</v>
      </c>
      <c r="AA70" s="65">
        <f>SUM(A:B!AA70)</f>
        <v>0</v>
      </c>
      <c r="AB70" s="65">
        <f>SUM(A:B!AB70)</f>
        <v>0</v>
      </c>
      <c r="AC70" s="65">
        <f>SUM(A:B!AC70)</f>
        <v>0</v>
      </c>
      <c r="AD70" s="65">
        <f>SUM(A:B!AD70)</f>
        <v>0</v>
      </c>
      <c r="AE70" s="65">
        <f>SUM(A:B!AE70)</f>
        <v>0</v>
      </c>
      <c r="AF70" s="65">
        <f>SUM(A:B!AF70)</f>
        <v>0</v>
      </c>
      <c r="AG70" s="65">
        <f>SUM(A:B!AG70)</f>
        <v>0</v>
      </c>
      <c r="AH70" s="65">
        <f>SUM(A:B!AH70)</f>
        <v>0</v>
      </c>
      <c r="AI70" s="65">
        <f>SUM(A:B!AI70)</f>
        <v>0</v>
      </c>
      <c r="AJ70" s="65">
        <f>SUM(A:B!AJ70)</f>
        <v>0</v>
      </c>
      <c r="AK70" s="124">
        <f t="shared" si="24"/>
        <v>0</v>
      </c>
      <c r="AL70" s="73">
        <f t="shared" si="22"/>
        <v>0</v>
      </c>
      <c r="AM70" s="14">
        <f t="shared" si="6"/>
        <v>0</v>
      </c>
      <c r="AN70" s="89"/>
      <c r="AO70" s="264">
        <v>0</v>
      </c>
      <c r="AP70" s="73">
        <v>0</v>
      </c>
      <c r="AQ70" s="184">
        <v>-1</v>
      </c>
    </row>
    <row r="71" spans="1:43" ht="15" customHeight="1" outlineLevel="1">
      <c r="A71" s="12" t="s">
        <v>157</v>
      </c>
      <c r="B71" s="8" t="s">
        <v>101</v>
      </c>
      <c r="I71" s="228" t="s">
        <v>181</v>
      </c>
      <c r="J71" s="65">
        <f>SUM(A:B!J71)</f>
        <v>0</v>
      </c>
      <c r="K71" s="65">
        <f>SUM(A:B!K71)</f>
        <v>0</v>
      </c>
      <c r="L71" s="65">
        <f>SUM(A:B!L71)</f>
        <v>0</v>
      </c>
      <c r="M71" s="65">
        <f>SUM(A:B!M71)</f>
        <v>0</v>
      </c>
      <c r="N71" s="65">
        <f>SUM(A:B!N71)</f>
        <v>0</v>
      </c>
      <c r="O71" s="65">
        <f>SUM(A:B!O71)</f>
        <v>0</v>
      </c>
      <c r="P71" s="65">
        <f>SUM(A:B!P71)</f>
        <v>0</v>
      </c>
      <c r="Q71" s="65">
        <f>SUM(A:B!Q71)</f>
        <v>0</v>
      </c>
      <c r="R71" s="65">
        <f>SUM(A:B!R71)</f>
        <v>0</v>
      </c>
      <c r="S71" s="65">
        <f>SUM(A:B!S71)</f>
        <v>0</v>
      </c>
      <c r="T71" s="65">
        <f>SUM(A:B!T71)</f>
        <v>0</v>
      </c>
      <c r="U71" s="65">
        <f>SUM(A:B!U71)</f>
        <v>0</v>
      </c>
      <c r="V71" s="11">
        <f t="shared" si="23"/>
        <v>0</v>
      </c>
      <c r="W71" s="73">
        <f t="shared" si="21"/>
        <v>0</v>
      </c>
      <c r="X71" s="89"/>
      <c r="Y71" s="65">
        <f>SUM(A:B!Y71)</f>
        <v>2392.6293961643833</v>
      </c>
      <c r="Z71" s="65">
        <f>SUM(A:B!Z71)</f>
        <v>2161.084615890411</v>
      </c>
      <c r="AA71" s="65">
        <f>SUM(A:B!AA71)</f>
        <v>2392.6293961643833</v>
      </c>
      <c r="AB71" s="65">
        <f>SUM(A:B!AB71)</f>
        <v>2315.4478027397258</v>
      </c>
      <c r="AC71" s="65">
        <f>SUM(A:B!AC71)</f>
        <v>2392.6293961643833</v>
      </c>
      <c r="AD71" s="65">
        <f>SUM(A:B!AD71)</f>
        <v>2315.4478027397258</v>
      </c>
      <c r="AE71" s="65">
        <f>SUM(A:B!AE71)</f>
        <v>2392.6293961643833</v>
      </c>
      <c r="AF71" s="65">
        <f>SUM(A:B!AF71)</f>
        <v>2392.6293961643833</v>
      </c>
      <c r="AG71" s="65">
        <f>SUM(A:B!AG71)</f>
        <v>2315.4478027397258</v>
      </c>
      <c r="AH71" s="65">
        <f>SUM(A:B!AH71)</f>
        <v>2392.6293961643833</v>
      </c>
      <c r="AI71" s="65">
        <f>SUM(A:B!AI71)</f>
        <v>2315.4478027397258</v>
      </c>
      <c r="AJ71" s="65">
        <f>SUM(A:B!AJ71)</f>
        <v>2392.6293961643833</v>
      </c>
      <c r="AK71" s="124">
        <f t="shared" si="24"/>
        <v>28171.281599999998</v>
      </c>
      <c r="AL71" s="73">
        <f t="shared" si="22"/>
        <v>1.1235227011575105E-4</v>
      </c>
      <c r="AM71" s="14">
        <f t="shared" si="6"/>
        <v>0</v>
      </c>
      <c r="AN71" s="89"/>
      <c r="AO71" s="264">
        <v>231497.50856000005</v>
      </c>
      <c r="AP71" s="73">
        <v>5.2522275582404285E-5</v>
      </c>
      <c r="AQ71" s="184">
        <v>6.0000000000000053E-2</v>
      </c>
    </row>
    <row r="72" spans="1:43" ht="15" customHeight="1" outlineLevel="1">
      <c r="A72" s="12" t="s">
        <v>157</v>
      </c>
      <c r="B72" s="8" t="s">
        <v>101</v>
      </c>
      <c r="I72" s="228" t="s">
        <v>182</v>
      </c>
      <c r="J72" s="65">
        <f>SUM(A:B!J72)</f>
        <v>0</v>
      </c>
      <c r="K72" s="65">
        <f>SUM(A:B!K72)</f>
        <v>0</v>
      </c>
      <c r="L72" s="65">
        <f>SUM(A:B!L72)</f>
        <v>0</v>
      </c>
      <c r="M72" s="65">
        <f>SUM(A:B!M72)</f>
        <v>0</v>
      </c>
      <c r="N72" s="65">
        <f>SUM(A:B!N72)</f>
        <v>0</v>
      </c>
      <c r="O72" s="65">
        <f>SUM(A:B!O72)</f>
        <v>0</v>
      </c>
      <c r="P72" s="65">
        <f>SUM(A:B!P72)</f>
        <v>0</v>
      </c>
      <c r="Q72" s="65">
        <f>SUM(A:B!Q72)</f>
        <v>0</v>
      </c>
      <c r="R72" s="65">
        <f>SUM(A:B!R72)</f>
        <v>0</v>
      </c>
      <c r="S72" s="65">
        <f>SUM(A:B!S72)</f>
        <v>0</v>
      </c>
      <c r="T72" s="65">
        <f>SUM(A:B!T72)</f>
        <v>0</v>
      </c>
      <c r="U72" s="65">
        <f>SUM(A:B!U72)</f>
        <v>0</v>
      </c>
      <c r="V72" s="11">
        <f t="shared" si="23"/>
        <v>0</v>
      </c>
      <c r="W72" s="73">
        <f t="shared" si="21"/>
        <v>0</v>
      </c>
      <c r="X72" s="89"/>
      <c r="Y72" s="65">
        <f>SUM(A:B!Y72)</f>
        <v>0</v>
      </c>
      <c r="Z72" s="65">
        <f>SUM(A:B!Z72)</f>
        <v>0</v>
      </c>
      <c r="AA72" s="65">
        <f>SUM(A:B!AA72)</f>
        <v>0</v>
      </c>
      <c r="AB72" s="65">
        <f>SUM(A:B!AB72)</f>
        <v>0</v>
      </c>
      <c r="AC72" s="65">
        <f>SUM(A:B!AC72)</f>
        <v>0</v>
      </c>
      <c r="AD72" s="65">
        <f>SUM(A:B!AD72)</f>
        <v>0</v>
      </c>
      <c r="AE72" s="65">
        <f>SUM(A:B!AE72)</f>
        <v>0</v>
      </c>
      <c r="AF72" s="65">
        <f>SUM(A:B!AF72)</f>
        <v>0</v>
      </c>
      <c r="AG72" s="65">
        <f>SUM(A:B!AG72)</f>
        <v>0</v>
      </c>
      <c r="AH72" s="65">
        <f>SUM(A:B!AH72)</f>
        <v>0</v>
      </c>
      <c r="AI72" s="65">
        <f>SUM(A:B!AI72)</f>
        <v>0</v>
      </c>
      <c r="AJ72" s="65">
        <f>SUM(A:B!AJ72)</f>
        <v>0</v>
      </c>
      <c r="AK72" s="124">
        <f t="shared" si="24"/>
        <v>0</v>
      </c>
      <c r="AL72" s="73">
        <f t="shared" si="22"/>
        <v>0</v>
      </c>
      <c r="AM72" s="14">
        <f t="shared" si="6"/>
        <v>0</v>
      </c>
      <c r="AN72" s="89"/>
      <c r="AO72" s="264">
        <v>817328.52111382864</v>
      </c>
      <c r="AP72" s="73">
        <v>1.85435921510893E-4</v>
      </c>
      <c r="AQ72" s="184">
        <v>2.65457241988504</v>
      </c>
    </row>
    <row r="73" spans="1:43" ht="15" customHeight="1" outlineLevel="1">
      <c r="A73" s="12" t="s">
        <v>157</v>
      </c>
      <c r="B73" s="8" t="s">
        <v>101</v>
      </c>
      <c r="I73" s="228" t="s">
        <v>183</v>
      </c>
      <c r="J73" s="65">
        <f>SUM(A:B!J73)</f>
        <v>0</v>
      </c>
      <c r="K73" s="65">
        <f>SUM(A:B!K73)</f>
        <v>0</v>
      </c>
      <c r="L73" s="65">
        <f>SUM(A:B!L73)</f>
        <v>0</v>
      </c>
      <c r="M73" s="65">
        <f>SUM(A:B!M73)</f>
        <v>0</v>
      </c>
      <c r="N73" s="65">
        <f>SUM(A:B!N73)</f>
        <v>0</v>
      </c>
      <c r="O73" s="65">
        <f>SUM(A:B!O73)</f>
        <v>0</v>
      </c>
      <c r="P73" s="65">
        <f>SUM(A:B!P73)</f>
        <v>0</v>
      </c>
      <c r="Q73" s="65">
        <f>SUM(A:B!Q73)</f>
        <v>0</v>
      </c>
      <c r="R73" s="65">
        <f>SUM(A:B!R73)</f>
        <v>0</v>
      </c>
      <c r="S73" s="65">
        <f>SUM(A:B!S73)</f>
        <v>0</v>
      </c>
      <c r="T73" s="65">
        <f>SUM(A:B!T73)</f>
        <v>0</v>
      </c>
      <c r="U73" s="65">
        <f>SUM(A:B!U73)</f>
        <v>0</v>
      </c>
      <c r="V73" s="11">
        <f t="shared" si="23"/>
        <v>0</v>
      </c>
      <c r="W73" s="73">
        <f t="shared" si="21"/>
        <v>0</v>
      </c>
      <c r="X73" s="89"/>
      <c r="Y73" s="65">
        <f>SUM(A:B!Y73)</f>
        <v>0</v>
      </c>
      <c r="Z73" s="65">
        <f>SUM(A:B!Z73)</f>
        <v>0</v>
      </c>
      <c r="AA73" s="65">
        <f>SUM(A:B!AA73)</f>
        <v>0</v>
      </c>
      <c r="AB73" s="65">
        <f>SUM(A:B!AB73)</f>
        <v>0</v>
      </c>
      <c r="AC73" s="65">
        <f>SUM(A:B!AC73)</f>
        <v>0</v>
      </c>
      <c r="AD73" s="65">
        <f>SUM(A:B!AD73)</f>
        <v>0</v>
      </c>
      <c r="AE73" s="65">
        <f>SUM(A:B!AE73)</f>
        <v>0</v>
      </c>
      <c r="AF73" s="65">
        <f>SUM(A:B!AF73)</f>
        <v>0</v>
      </c>
      <c r="AG73" s="65">
        <f>SUM(A:B!AG73)</f>
        <v>0</v>
      </c>
      <c r="AH73" s="65">
        <f>SUM(A:B!AH73)</f>
        <v>0</v>
      </c>
      <c r="AI73" s="65">
        <f>SUM(A:B!AI73)</f>
        <v>0</v>
      </c>
      <c r="AJ73" s="65">
        <f>SUM(A:B!AJ73)</f>
        <v>0</v>
      </c>
      <c r="AK73" s="124">
        <f t="shared" si="24"/>
        <v>0</v>
      </c>
      <c r="AL73" s="73">
        <f t="shared" si="22"/>
        <v>0</v>
      </c>
      <c r="AM73" s="14">
        <f t="shared" si="6"/>
        <v>0</v>
      </c>
      <c r="AN73" s="89"/>
      <c r="AO73" s="264">
        <v>0</v>
      </c>
      <c r="AP73" s="73">
        <v>0</v>
      </c>
      <c r="AQ73" s="184">
        <v>0</v>
      </c>
    </row>
    <row r="74" spans="1:43" ht="15" customHeight="1" outlineLevel="1">
      <c r="A74" s="12" t="s">
        <v>157</v>
      </c>
      <c r="B74" s="8" t="s">
        <v>101</v>
      </c>
      <c r="I74" s="228" t="s">
        <v>184</v>
      </c>
      <c r="J74" s="65">
        <f>SUM(A:B!J74)</f>
        <v>0</v>
      </c>
      <c r="K74" s="65">
        <f>SUM(A:B!K74)</f>
        <v>7779</v>
      </c>
      <c r="L74" s="65">
        <f>SUM(A:B!L74)</f>
        <v>0</v>
      </c>
      <c r="M74" s="65">
        <f>SUM(A:B!M74)</f>
        <v>0</v>
      </c>
      <c r="N74" s="65">
        <f>SUM(A:B!N74)</f>
        <v>0</v>
      </c>
      <c r="O74" s="65">
        <f>SUM(A:B!O74)</f>
        <v>0</v>
      </c>
      <c r="P74" s="65">
        <f>SUM(A:B!P74)</f>
        <v>0</v>
      </c>
      <c r="Q74" s="65">
        <f>SUM(A:B!Q74)</f>
        <v>0</v>
      </c>
      <c r="R74" s="65">
        <f>SUM(A:B!R74)</f>
        <v>0</v>
      </c>
      <c r="S74" s="65">
        <f>SUM(A:B!S74)</f>
        <v>0</v>
      </c>
      <c r="T74" s="65">
        <f>SUM(A:B!T74)</f>
        <v>0</v>
      </c>
      <c r="U74" s="65">
        <f>SUM(A:B!U74)</f>
        <v>0</v>
      </c>
      <c r="V74" s="11">
        <f t="shared" si="23"/>
        <v>7779</v>
      </c>
      <c r="W74" s="73">
        <f t="shared" si="21"/>
        <v>3.4747388562223681E-5</v>
      </c>
      <c r="X74" s="89"/>
      <c r="Y74" s="65">
        <f>SUM(A:B!Y74)</f>
        <v>0</v>
      </c>
      <c r="Z74" s="65">
        <f>SUM(A:B!Z74)</f>
        <v>0</v>
      </c>
      <c r="AA74" s="65">
        <f>SUM(A:B!AA74)</f>
        <v>0</v>
      </c>
      <c r="AB74" s="65">
        <f>SUM(A:B!AB74)</f>
        <v>0</v>
      </c>
      <c r="AC74" s="65">
        <f>SUM(A:B!AC74)</f>
        <v>0</v>
      </c>
      <c r="AD74" s="65">
        <f>SUM(A:B!AD74)</f>
        <v>0</v>
      </c>
      <c r="AE74" s="65">
        <f>SUM(A:B!AE74)</f>
        <v>0</v>
      </c>
      <c r="AF74" s="65">
        <f>SUM(A:B!AF74)</f>
        <v>0</v>
      </c>
      <c r="AG74" s="65">
        <f>SUM(A:B!AG74)</f>
        <v>0</v>
      </c>
      <c r="AH74" s="65">
        <f>SUM(A:B!AH74)</f>
        <v>0</v>
      </c>
      <c r="AI74" s="65">
        <f>SUM(A:B!AI74)</f>
        <v>0</v>
      </c>
      <c r="AJ74" s="65">
        <f>SUM(A:B!AJ74)</f>
        <v>0</v>
      </c>
      <c r="AK74" s="124">
        <f t="shared" si="24"/>
        <v>0</v>
      </c>
      <c r="AL74" s="73">
        <f t="shared" si="22"/>
        <v>0</v>
      </c>
      <c r="AM74" s="14">
        <f t="shared" si="6"/>
        <v>-1</v>
      </c>
      <c r="AN74" s="89"/>
      <c r="AO74" s="264">
        <v>3050316.0983099998</v>
      </c>
      <c r="AP74" s="73">
        <v>6.9205730863128724E-4</v>
      </c>
      <c r="AQ74" s="184">
        <v>6.2999999999999945E-2</v>
      </c>
    </row>
    <row r="75" spans="1:43" ht="15" customHeight="1" outlineLevel="1">
      <c r="A75" s="12" t="s">
        <v>157</v>
      </c>
      <c r="B75" s="8" t="s">
        <v>101</v>
      </c>
      <c r="I75" s="228" t="s">
        <v>185</v>
      </c>
      <c r="J75" s="65">
        <f>SUM(A:B!J75)</f>
        <v>0</v>
      </c>
      <c r="K75" s="65">
        <f>SUM(A:B!K75)</f>
        <v>6711</v>
      </c>
      <c r="L75" s="65">
        <f>SUM(A:B!L75)</f>
        <v>2872</v>
      </c>
      <c r="M75" s="65">
        <f>SUM(A:B!M75)</f>
        <v>2892</v>
      </c>
      <c r="N75" s="65">
        <f>SUM(A:B!N75)</f>
        <v>2929</v>
      </c>
      <c r="O75" s="65">
        <f>SUM(A:B!O75)</f>
        <v>2938</v>
      </c>
      <c r="P75" s="65">
        <f>SUM(A:B!P75)</f>
        <v>3087</v>
      </c>
      <c r="Q75" s="65">
        <f>SUM(A:B!Q75)</f>
        <v>3175</v>
      </c>
      <c r="R75" s="65">
        <f>SUM(A:B!R75)</f>
        <v>3414</v>
      </c>
      <c r="S75" s="65">
        <f>SUM(A:B!S75)</f>
        <v>3488</v>
      </c>
      <c r="T75" s="65">
        <f>SUM(A:B!T75)</f>
        <v>3317.8333333333335</v>
      </c>
      <c r="U75" s="65">
        <f>SUM(A:B!U75)</f>
        <v>3371.8194444444443</v>
      </c>
      <c r="V75" s="11"/>
      <c r="W75" s="73"/>
      <c r="X75" s="89"/>
      <c r="Y75" s="65">
        <f>SUM(A:B!Y75)</f>
        <v>4192.1549999999997</v>
      </c>
      <c r="Z75" s="65">
        <f>SUM(A:B!Z75)</f>
        <v>4192.1549999999997</v>
      </c>
      <c r="AA75" s="65">
        <f>SUM(A:B!AA75)</f>
        <v>4192.1549999999997</v>
      </c>
      <c r="AB75" s="65">
        <f>SUM(A:B!AB75)</f>
        <v>4192.1549999999997</v>
      </c>
      <c r="AC75" s="65">
        <f>SUM(A:B!AC75)</f>
        <v>4192.1549999999997</v>
      </c>
      <c r="AD75" s="65">
        <f>SUM(A:B!AD75)</f>
        <v>4192.1549999999997</v>
      </c>
      <c r="AE75" s="65">
        <f>SUM(A:B!AE75)</f>
        <v>4192.1549999999997</v>
      </c>
      <c r="AF75" s="65">
        <f>SUM(A:B!AF75)</f>
        <v>4192.1549999999997</v>
      </c>
      <c r="AG75" s="65">
        <f>SUM(A:B!AG75)</f>
        <v>4192.1549999999997</v>
      </c>
      <c r="AH75" s="65">
        <f>SUM(A:B!AH75)</f>
        <v>4192.1549999999997</v>
      </c>
      <c r="AI75" s="65">
        <f>SUM(A:B!AI75)</f>
        <v>4192.1549999999997</v>
      </c>
      <c r="AJ75" s="65">
        <f>SUM(A:B!AJ75)</f>
        <v>4192.1549999999997</v>
      </c>
      <c r="AK75" s="124">
        <f t="shared" si="24"/>
        <v>50305.859999999993</v>
      </c>
      <c r="AL75" s="73">
        <f t="shared" si="22"/>
        <v>2.0062905377812686E-4</v>
      </c>
      <c r="AM75" s="14">
        <f t="shared" si="6"/>
        <v>0</v>
      </c>
      <c r="AN75" s="89"/>
      <c r="AO75" s="264">
        <v>353957.24000000022</v>
      </c>
      <c r="AP75" s="73">
        <v>8.0306003374757098E-5</v>
      </c>
      <c r="AQ75" s="184">
        <v>27.041747639732531</v>
      </c>
    </row>
    <row r="76" spans="1:43" ht="15" customHeight="1" outlineLevel="1">
      <c r="A76" s="12"/>
      <c r="I76" s="228" t="s">
        <v>186</v>
      </c>
      <c r="J76" s="65">
        <f>SUM(A:B!J76)</f>
        <v>736</v>
      </c>
      <c r="K76" s="65">
        <f>SUM(A:B!K76)</f>
        <v>515</v>
      </c>
      <c r="L76" s="65">
        <f>SUM(A:B!L76)</f>
        <v>472</v>
      </c>
      <c r="M76" s="65">
        <f>SUM(A:B!M76)</f>
        <v>5484</v>
      </c>
      <c r="N76" s="65">
        <f>SUM(A:B!N76)</f>
        <v>614</v>
      </c>
      <c r="O76" s="65">
        <f>SUM(A:B!O76)</f>
        <v>13657</v>
      </c>
      <c r="P76" s="65">
        <f>SUM(A:B!P76)</f>
        <v>21316</v>
      </c>
      <c r="Q76" s="65">
        <f>SUM(A:B!Q76)</f>
        <v>24909</v>
      </c>
      <c r="R76" s="65">
        <f>SUM(A:B!R76)</f>
        <v>694</v>
      </c>
      <c r="S76" s="65">
        <f>SUM(A:B!S76)</f>
        <v>800</v>
      </c>
      <c r="T76" s="65">
        <f>SUM(A:B!T76)</f>
        <v>8710.3333333333339</v>
      </c>
      <c r="U76" s="65">
        <f>SUM(A:B!U76)</f>
        <v>7052.7777777777783</v>
      </c>
      <c r="V76" s="11"/>
      <c r="W76" s="73"/>
      <c r="X76" s="89"/>
      <c r="Y76" s="65">
        <f>SUM(A:B!Y76)</f>
        <v>4729</v>
      </c>
      <c r="Z76" s="65">
        <f>SUM(A:B!Z76)</f>
        <v>4729</v>
      </c>
      <c r="AA76" s="65">
        <f>SUM(A:B!AA76)</f>
        <v>4729</v>
      </c>
      <c r="AB76" s="65">
        <f>SUM(A:B!AB76)</f>
        <v>4729</v>
      </c>
      <c r="AC76" s="65">
        <f>SUM(A:B!AC76)</f>
        <v>4729</v>
      </c>
      <c r="AD76" s="65">
        <f>SUM(A:B!AD76)</f>
        <v>4729</v>
      </c>
      <c r="AE76" s="65">
        <f>SUM(A:B!AE76)</f>
        <v>4729</v>
      </c>
      <c r="AF76" s="65">
        <f>SUM(A:B!AF76)</f>
        <v>4729</v>
      </c>
      <c r="AG76" s="65">
        <f>SUM(A:B!AG76)</f>
        <v>4729</v>
      </c>
      <c r="AH76" s="65">
        <f>SUM(A:B!AH76)</f>
        <v>4729</v>
      </c>
      <c r="AI76" s="65">
        <f>SUM(A:B!AI76)</f>
        <v>4729</v>
      </c>
      <c r="AJ76" s="65">
        <f>SUM(A:B!AJ76)</f>
        <v>4729</v>
      </c>
      <c r="AK76" s="124">
        <f t="shared" si="24"/>
        <v>56748</v>
      </c>
      <c r="AL76" s="73">
        <f t="shared" si="22"/>
        <v>2.2632149701448589E-4</v>
      </c>
      <c r="AM76" s="14">
        <f t="shared" si="6"/>
        <v>0</v>
      </c>
      <c r="AN76" s="89"/>
      <c r="AO76" s="264">
        <v>0</v>
      </c>
      <c r="AP76" s="73">
        <v>0</v>
      </c>
      <c r="AQ76" s="184">
        <v>0</v>
      </c>
    </row>
    <row r="77" spans="1:43" ht="15" customHeight="1" outlineLevel="1">
      <c r="A77" s="12"/>
      <c r="I77" s="228" t="s">
        <v>187</v>
      </c>
      <c r="J77" s="65">
        <f>SUM(A:B!J77)</f>
        <v>0</v>
      </c>
      <c r="K77" s="65">
        <f>SUM(A:B!K77)</f>
        <v>0</v>
      </c>
      <c r="L77" s="65">
        <f>SUM(A:B!L77)</f>
        <v>0</v>
      </c>
      <c r="M77" s="65">
        <f>SUM(A:B!M77)</f>
        <v>0</v>
      </c>
      <c r="N77" s="65">
        <f>SUM(A:B!N77)</f>
        <v>0</v>
      </c>
      <c r="O77" s="65">
        <f>SUM(A:B!O77)</f>
        <v>0</v>
      </c>
      <c r="P77" s="65">
        <f>SUM(A:B!P77)</f>
        <v>0</v>
      </c>
      <c r="Q77" s="65">
        <f>SUM(A:B!Q77)</f>
        <v>0</v>
      </c>
      <c r="R77" s="65">
        <f>SUM(A:B!R77)</f>
        <v>0</v>
      </c>
      <c r="S77" s="65">
        <f>SUM(A:B!S77)</f>
        <v>0</v>
      </c>
      <c r="T77" s="65">
        <f>SUM(A:B!T77)</f>
        <v>0</v>
      </c>
      <c r="U77" s="65">
        <f>SUM(A:B!U77)</f>
        <v>0</v>
      </c>
      <c r="V77" s="11"/>
      <c r="W77" s="73"/>
      <c r="X77" s="89"/>
      <c r="Y77" s="65">
        <f>SUM(A:B!Y77)</f>
        <v>0</v>
      </c>
      <c r="Z77" s="65">
        <f>SUM(A:B!Z77)</f>
        <v>0</v>
      </c>
      <c r="AA77" s="65">
        <f>SUM(A:B!AA77)</f>
        <v>0</v>
      </c>
      <c r="AB77" s="65">
        <f>SUM(A:B!AB77)</f>
        <v>0</v>
      </c>
      <c r="AC77" s="65">
        <f>SUM(A:B!AC77)</f>
        <v>0</v>
      </c>
      <c r="AD77" s="65">
        <f>SUM(A:B!AD77)</f>
        <v>0</v>
      </c>
      <c r="AE77" s="65">
        <f>SUM(A:B!AE77)</f>
        <v>0</v>
      </c>
      <c r="AF77" s="65">
        <f>SUM(A:B!AF77)</f>
        <v>0</v>
      </c>
      <c r="AG77" s="65">
        <f>SUM(A:B!AG77)</f>
        <v>0</v>
      </c>
      <c r="AH77" s="65">
        <f>SUM(A:B!AH77)</f>
        <v>0</v>
      </c>
      <c r="AI77" s="65">
        <f>SUM(A:B!AI77)</f>
        <v>0</v>
      </c>
      <c r="AJ77" s="65">
        <f>SUM(A:B!AJ77)</f>
        <v>0</v>
      </c>
      <c r="AK77" s="124">
        <f t="shared" si="24"/>
        <v>0</v>
      </c>
      <c r="AL77" s="73">
        <f t="shared" si="22"/>
        <v>0</v>
      </c>
      <c r="AM77" s="14">
        <f t="shared" si="6"/>
        <v>0</v>
      </c>
      <c r="AN77" s="89"/>
      <c r="AO77" s="264">
        <v>0</v>
      </c>
      <c r="AP77" s="73">
        <v>0</v>
      </c>
      <c r="AQ77" s="184">
        <v>-1</v>
      </c>
    </row>
    <row r="78" spans="1:43" ht="15" customHeight="1" outlineLevel="1">
      <c r="A78" s="12"/>
      <c r="I78" s="228" t="s">
        <v>188</v>
      </c>
      <c r="J78" s="65">
        <f>SUM(A:B!J78)</f>
        <v>34970</v>
      </c>
      <c r="K78" s="65">
        <f>SUM(A:B!K78)</f>
        <v>0</v>
      </c>
      <c r="L78" s="65">
        <f>SUM(A:B!L78)</f>
        <v>0</v>
      </c>
      <c r="M78" s="65">
        <f>SUM(A:B!M78)</f>
        <v>0</v>
      </c>
      <c r="N78" s="65">
        <f>SUM(A:B!N78)</f>
        <v>881</v>
      </c>
      <c r="O78" s="65">
        <f>SUM(A:B!O78)</f>
        <v>0</v>
      </c>
      <c r="P78" s="65">
        <f>SUM(A:B!P78)</f>
        <v>8901</v>
      </c>
      <c r="Q78" s="65">
        <f>SUM(A:B!Q78)</f>
        <v>7288</v>
      </c>
      <c r="R78" s="65">
        <f>SUM(A:B!R78)</f>
        <v>64736</v>
      </c>
      <c r="S78" s="65">
        <f>SUM(A:B!S78)</f>
        <v>5264</v>
      </c>
      <c r="T78" s="65">
        <f>SUM(A:B!T78)</f>
        <v>12924.100800000002</v>
      </c>
      <c r="U78" s="65">
        <f>SUM(A:B!U78)</f>
        <v>17232.134400000003</v>
      </c>
      <c r="V78" s="11"/>
      <c r="W78" s="73"/>
      <c r="X78" s="89"/>
      <c r="Y78" s="65">
        <f>SUM(A:B!Y78)</f>
        <v>37159.675959999993</v>
      </c>
      <c r="Z78" s="65">
        <f>SUM(A:B!Z78)</f>
        <v>29727.740767999996</v>
      </c>
      <c r="AA78" s="65">
        <f>SUM(A:B!AA78)</f>
        <v>33443.708363999998</v>
      </c>
      <c r="AB78" s="65">
        <f>SUM(A:B!AB78)</f>
        <v>32098.078364000001</v>
      </c>
      <c r="AC78" s="65">
        <f>SUM(A:B!AC78)</f>
        <v>20950.175575999998</v>
      </c>
      <c r="AD78" s="65">
        <f>SUM(A:B!AD78)</f>
        <v>23993.328171999998</v>
      </c>
      <c r="AE78" s="65">
        <f>SUM(A:B!AE78)</f>
        <v>39530.013555999998</v>
      </c>
      <c r="AF78" s="65">
        <f>SUM(A:B!AF78)</f>
        <v>28382.110767999999</v>
      </c>
      <c r="AG78" s="65">
        <f>SUM(A:B!AG78)</f>
        <v>31425.263363999999</v>
      </c>
      <c r="AH78" s="65">
        <f>SUM(A:B!AH78)</f>
        <v>6086.3051919999998</v>
      </c>
      <c r="AI78" s="65">
        <f>SUM(A:B!AI78)</f>
        <v>11147.902787999999</v>
      </c>
      <c r="AJ78" s="65">
        <f>SUM(A:B!AJ78)</f>
        <v>33443.708363999998</v>
      </c>
      <c r="AK78" s="124">
        <f t="shared" si="24"/>
        <v>327388.01123599999</v>
      </c>
      <c r="AL78" s="73">
        <f t="shared" si="22"/>
        <v>1.3056838092536625E-3</v>
      </c>
      <c r="AM78" s="14">
        <f t="shared" si="6"/>
        <v>0</v>
      </c>
      <c r="AN78" s="89"/>
      <c r="AO78" s="264">
        <v>0</v>
      </c>
      <c r="AP78" s="73">
        <v>0</v>
      </c>
      <c r="AQ78" s="184">
        <v>0</v>
      </c>
    </row>
    <row r="79" spans="1:43" ht="15" customHeight="1" outlineLevel="1">
      <c r="A79" s="12"/>
      <c r="I79" s="228" t="s">
        <v>189</v>
      </c>
      <c r="J79" s="65">
        <f>SUM(A:B!J79)</f>
        <v>0</v>
      </c>
      <c r="K79" s="65">
        <f>SUM(A:B!K79)</f>
        <v>0</v>
      </c>
      <c r="L79" s="65">
        <f>SUM(A:B!L79)</f>
        <v>0</v>
      </c>
      <c r="M79" s="65">
        <f>SUM(A:B!M79)</f>
        <v>0</v>
      </c>
      <c r="N79" s="65">
        <f>SUM(A:B!N79)</f>
        <v>732</v>
      </c>
      <c r="O79" s="65">
        <f>SUM(A:B!O79)</f>
        <v>1460</v>
      </c>
      <c r="P79" s="65">
        <f>SUM(A:B!P79)</f>
        <v>732</v>
      </c>
      <c r="Q79" s="65">
        <f>SUM(A:B!Q79)</f>
        <v>0</v>
      </c>
      <c r="R79" s="65">
        <f>SUM(A:B!R79)</f>
        <v>0</v>
      </c>
      <c r="S79" s="65">
        <f>SUM(A:B!S79)</f>
        <v>0</v>
      </c>
      <c r="T79" s="65">
        <f>SUM(A:B!T79)</f>
        <v>520</v>
      </c>
      <c r="U79" s="65">
        <f>SUM(A:B!U79)</f>
        <v>520</v>
      </c>
      <c r="V79" s="11"/>
      <c r="W79" s="73"/>
      <c r="X79" s="89"/>
      <c r="Y79" s="65">
        <f>SUM(A:B!Y79)</f>
        <v>4223.2079999999996</v>
      </c>
      <c r="Z79" s="65">
        <f>SUM(A:B!Z79)</f>
        <v>0</v>
      </c>
      <c r="AA79" s="65">
        <f>SUM(A:B!AA79)</f>
        <v>0</v>
      </c>
      <c r="AB79" s="65">
        <f>SUM(A:B!AB79)</f>
        <v>2111.6039999999998</v>
      </c>
      <c r="AC79" s="65">
        <f>SUM(A:B!AC79)</f>
        <v>3167.4059999999999</v>
      </c>
      <c r="AD79" s="65">
        <f>SUM(A:B!AD79)</f>
        <v>5279.01</v>
      </c>
      <c r="AE79" s="65">
        <f>SUM(A:B!AE79)</f>
        <v>4223.2079999999996</v>
      </c>
      <c r="AF79" s="65">
        <f>SUM(A:B!AF79)</f>
        <v>3167.4059999999999</v>
      </c>
      <c r="AG79" s="65">
        <f>SUM(A:B!AG79)</f>
        <v>5279.0099999999993</v>
      </c>
      <c r="AH79" s="65">
        <f>SUM(A:B!AH79)</f>
        <v>1055.8019999999999</v>
      </c>
      <c r="AI79" s="65">
        <f>SUM(A:B!AI79)</f>
        <v>2111.6039999999998</v>
      </c>
      <c r="AJ79" s="65">
        <f>SUM(A:B!AJ79)</f>
        <v>4223.2079999999996</v>
      </c>
      <c r="AK79" s="124">
        <f t="shared" si="24"/>
        <v>34841.466</v>
      </c>
      <c r="AL79" s="73">
        <f t="shared" si="22"/>
        <v>1.3895419650559158E-4</v>
      </c>
      <c r="AM79" s="14">
        <f t="shared" si="6"/>
        <v>0</v>
      </c>
      <c r="AN79" s="89"/>
      <c r="AO79" s="264">
        <v>0</v>
      </c>
      <c r="AP79" s="73">
        <v>0</v>
      </c>
      <c r="AQ79" s="184">
        <v>-1</v>
      </c>
    </row>
    <row r="80" spans="1:43" ht="15" customHeight="1" outlineLevel="1">
      <c r="A80" s="12"/>
      <c r="I80" s="228" t="s">
        <v>190</v>
      </c>
      <c r="J80" s="65">
        <f>SUM(A:B!J80)</f>
        <v>0</v>
      </c>
      <c r="K80" s="65">
        <f>SUM(A:B!K80)</f>
        <v>341</v>
      </c>
      <c r="L80" s="65">
        <f>SUM(A:B!L80)</f>
        <v>0</v>
      </c>
      <c r="M80" s="65">
        <f>SUM(A:B!M80)</f>
        <v>0</v>
      </c>
      <c r="N80" s="65">
        <f>SUM(A:B!N80)</f>
        <v>0</v>
      </c>
      <c r="O80" s="65">
        <f>SUM(A:B!O80)</f>
        <v>0</v>
      </c>
      <c r="P80" s="65">
        <f>SUM(A:B!P80)</f>
        <v>0</v>
      </c>
      <c r="Q80" s="65">
        <f>SUM(A:B!Q80)</f>
        <v>0</v>
      </c>
      <c r="R80" s="65">
        <f>SUM(A:B!R80)</f>
        <v>0</v>
      </c>
      <c r="S80" s="65">
        <f>SUM(A:B!S80)</f>
        <v>0</v>
      </c>
      <c r="T80" s="65">
        <f>SUM(A:B!T80)</f>
        <v>0</v>
      </c>
      <c r="U80" s="65">
        <f>SUM(A:B!U80)</f>
        <v>0</v>
      </c>
      <c r="V80" s="11"/>
      <c r="W80" s="73"/>
      <c r="X80" s="89"/>
      <c r="Y80" s="65">
        <f>SUM(A:B!Y80)</f>
        <v>0</v>
      </c>
      <c r="Z80" s="65">
        <f>SUM(A:B!Z80)</f>
        <v>0</v>
      </c>
      <c r="AA80" s="65">
        <f>SUM(A:B!AA80)</f>
        <v>0</v>
      </c>
      <c r="AB80" s="65">
        <f>SUM(A:B!AB80)</f>
        <v>0</v>
      </c>
      <c r="AC80" s="65">
        <f>SUM(A:B!AC80)</f>
        <v>0</v>
      </c>
      <c r="AD80" s="65">
        <f>SUM(A:B!AD80)</f>
        <v>0</v>
      </c>
      <c r="AE80" s="65">
        <f>SUM(A:B!AE80)</f>
        <v>0</v>
      </c>
      <c r="AF80" s="65">
        <f>SUM(A:B!AF80)</f>
        <v>0</v>
      </c>
      <c r="AG80" s="65">
        <f>SUM(A:B!AG80)</f>
        <v>0</v>
      </c>
      <c r="AH80" s="65">
        <f>SUM(A:B!AH80)</f>
        <v>0</v>
      </c>
      <c r="AI80" s="65">
        <f>SUM(A:B!AI80)</f>
        <v>0</v>
      </c>
      <c r="AJ80" s="65">
        <f>SUM(A:B!AJ80)</f>
        <v>0</v>
      </c>
      <c r="AK80" s="124">
        <f t="shared" si="24"/>
        <v>0</v>
      </c>
      <c r="AL80" s="73">
        <f t="shared" si="22"/>
        <v>0</v>
      </c>
      <c r="AM80" s="14">
        <f t="shared" si="6"/>
        <v>0</v>
      </c>
      <c r="AN80" s="89"/>
      <c r="AO80" s="264">
        <v>573892.19999999995</v>
      </c>
      <c r="AP80" s="73">
        <v>1.3020496190428748E-4</v>
      </c>
      <c r="AQ80" s="184">
        <v>0.47501310797890373</v>
      </c>
    </row>
    <row r="81" spans="1:43">
      <c r="A81" s="12" t="s">
        <v>191</v>
      </c>
      <c r="B81" s="8" t="s">
        <v>101</v>
      </c>
      <c r="E81" s="1"/>
      <c r="I81" s="228" t="s">
        <v>192</v>
      </c>
      <c r="J81" s="65">
        <f>SUM(A:B!J81)</f>
        <v>3580</v>
      </c>
      <c r="K81" s="65">
        <f>SUM(A:B!K81)</f>
        <v>3580</v>
      </c>
      <c r="L81" s="65">
        <f>SUM(A:B!L81)</f>
        <v>3580</v>
      </c>
      <c r="M81" s="65">
        <f>SUM(A:B!M81)</f>
        <v>3580</v>
      </c>
      <c r="N81" s="65">
        <f>SUM(A:B!N81)</f>
        <v>3580</v>
      </c>
      <c r="O81" s="65">
        <f>SUM(A:B!O81)</f>
        <v>3580</v>
      </c>
      <c r="P81" s="65">
        <f>SUM(A:B!P81)</f>
        <v>3580</v>
      </c>
      <c r="Q81" s="65">
        <f>SUM(A:B!Q81)</f>
        <v>14069</v>
      </c>
      <c r="R81" s="65">
        <f>SUM(A:B!R81)</f>
        <v>14069</v>
      </c>
      <c r="S81" s="65">
        <f>SUM(A:B!S81)</f>
        <v>14069</v>
      </c>
      <c r="T81" s="65">
        <f>SUM(A:B!T81)</f>
        <v>18105.759999999998</v>
      </c>
      <c r="U81" s="65">
        <f>SUM(A:B!U81)</f>
        <v>18105.759999999998</v>
      </c>
      <c r="V81" s="11"/>
      <c r="W81" s="73"/>
      <c r="X81" s="89"/>
      <c r="Y81" s="65">
        <f>SUM(A:B!Y81)</f>
        <v>18105.759999999998</v>
      </c>
      <c r="Z81" s="65">
        <f>SUM(A:B!Z81)</f>
        <v>18105.759999999998</v>
      </c>
      <c r="AA81" s="65">
        <f>SUM(A:B!AA81)</f>
        <v>18105.759999999998</v>
      </c>
      <c r="AB81" s="65">
        <f>SUM(A:B!AB81)</f>
        <v>18105.759999999998</v>
      </c>
      <c r="AC81" s="65">
        <f>SUM(A:B!AC81)</f>
        <v>18105.759999999998</v>
      </c>
      <c r="AD81" s="65">
        <f>SUM(A:B!AD81)</f>
        <v>18105.759999999998</v>
      </c>
      <c r="AE81" s="65">
        <f>SUM(A:B!AE81)</f>
        <v>18105.759999999998</v>
      </c>
      <c r="AF81" s="65">
        <f>SUM(A:B!AF81)</f>
        <v>18105.759999999998</v>
      </c>
      <c r="AG81" s="65">
        <f>SUM(A:B!AG81)</f>
        <v>18105.759999999998</v>
      </c>
      <c r="AH81" s="65">
        <f>SUM(A:B!AH81)</f>
        <v>18105.759999999998</v>
      </c>
      <c r="AI81" s="65">
        <f>SUM(A:B!AI81)</f>
        <v>18105.759999999998</v>
      </c>
      <c r="AJ81" s="65">
        <f>SUM(A:B!AJ81)</f>
        <v>18105.759999999998</v>
      </c>
      <c r="AK81" s="124">
        <f t="shared" si="24"/>
        <v>217269.12000000002</v>
      </c>
      <c r="AL81" s="73">
        <f t="shared" si="22"/>
        <v>8.6650934823112678E-4</v>
      </c>
      <c r="AM81" s="14">
        <f t="shared" si="6"/>
        <v>0</v>
      </c>
      <c r="AN81" s="89"/>
      <c r="AO81" s="263">
        <v>84376394.377056956</v>
      </c>
      <c r="AP81" s="200">
        <v>1.9143360400238649E-2</v>
      </c>
      <c r="AQ81" s="184">
        <v>0.3576927024483223</v>
      </c>
    </row>
    <row r="82" spans="1:43" ht="15" customHeight="1" outlineLevel="1">
      <c r="A82" s="12" t="s">
        <v>191</v>
      </c>
      <c r="B82" s="8" t="s">
        <v>101</v>
      </c>
      <c r="E82" s="1"/>
      <c r="I82" s="228" t="s">
        <v>193</v>
      </c>
      <c r="J82" s="65">
        <f>SUM(A:B!J82)</f>
        <v>0</v>
      </c>
      <c r="K82" s="65">
        <f>SUM(A:B!K82)</f>
        <v>0</v>
      </c>
      <c r="L82" s="65">
        <f>SUM(A:B!L82)</f>
        <v>0</v>
      </c>
      <c r="M82" s="65">
        <f>SUM(A:B!M82)</f>
        <v>0</v>
      </c>
      <c r="N82" s="65">
        <f>SUM(A:B!N82)</f>
        <v>0</v>
      </c>
      <c r="O82" s="65">
        <f>SUM(A:B!O82)</f>
        <v>0</v>
      </c>
      <c r="P82" s="65">
        <f>SUM(A:B!P82)</f>
        <v>0</v>
      </c>
      <c r="Q82" s="65">
        <f>SUM(A:B!Q82)</f>
        <v>0</v>
      </c>
      <c r="R82" s="65">
        <f>SUM(A:B!R82)</f>
        <v>0</v>
      </c>
      <c r="S82" s="65">
        <f>SUM(A:B!S82)</f>
        <v>0</v>
      </c>
      <c r="T82" s="65">
        <f>SUM(A:B!T82)</f>
        <v>0</v>
      </c>
      <c r="U82" s="65">
        <f>SUM(A:B!U82)</f>
        <v>0</v>
      </c>
      <c r="V82" s="11"/>
      <c r="W82" s="73"/>
      <c r="X82" s="89"/>
      <c r="Y82" s="65">
        <f>SUM(A:B!Y82)</f>
        <v>0</v>
      </c>
      <c r="Z82" s="65">
        <f>SUM(A:B!Z82)</f>
        <v>0</v>
      </c>
      <c r="AA82" s="65">
        <f>SUM(A:B!AA82)</f>
        <v>0</v>
      </c>
      <c r="AB82" s="65">
        <f>SUM(A:B!AB82)</f>
        <v>0</v>
      </c>
      <c r="AC82" s="65">
        <f>SUM(A:B!AC82)</f>
        <v>0</v>
      </c>
      <c r="AD82" s="65">
        <f>SUM(A:B!AD82)</f>
        <v>0</v>
      </c>
      <c r="AE82" s="65">
        <f>SUM(A:B!AE82)</f>
        <v>0</v>
      </c>
      <c r="AF82" s="65">
        <f>SUM(A:B!AF82)</f>
        <v>0</v>
      </c>
      <c r="AG82" s="65">
        <f>SUM(A:B!AG82)</f>
        <v>0</v>
      </c>
      <c r="AH82" s="65">
        <f>SUM(A:B!AH82)</f>
        <v>0</v>
      </c>
      <c r="AI82" s="65">
        <f>SUM(A:B!AI82)</f>
        <v>0</v>
      </c>
      <c r="AJ82" s="65">
        <f>SUM(A:B!AJ82)</f>
        <v>0</v>
      </c>
      <c r="AK82" s="124">
        <f t="shared" si="24"/>
        <v>0</v>
      </c>
      <c r="AL82" s="73">
        <f t="shared" si="22"/>
        <v>0</v>
      </c>
      <c r="AM82" s="14">
        <f t="shared" si="6"/>
        <v>0</v>
      </c>
      <c r="AN82" s="89"/>
      <c r="AO82" s="263">
        <v>2447479.4202739727</v>
      </c>
      <c r="AP82" s="200">
        <v>5.5528540844134193E-4</v>
      </c>
      <c r="AQ82" s="184">
        <v>0.40769364586369905</v>
      </c>
    </row>
    <row r="83" spans="1:43" ht="15" customHeight="1" outlineLevel="1">
      <c r="A83" s="12" t="s">
        <v>191</v>
      </c>
      <c r="B83" s="8" t="s">
        <v>101</v>
      </c>
      <c r="E83" s="1"/>
      <c r="I83" s="228" t="s">
        <v>194</v>
      </c>
      <c r="J83" s="65">
        <f>SUM(A:B!J83)</f>
        <v>4196</v>
      </c>
      <c r="K83" s="65">
        <f>SUM(A:B!K83)</f>
        <v>4196</v>
      </c>
      <c r="L83" s="65">
        <f>SUM(A:B!L83)</f>
        <v>4196</v>
      </c>
      <c r="M83" s="65">
        <f>SUM(A:B!M83)</f>
        <v>4196</v>
      </c>
      <c r="N83" s="65">
        <f>SUM(A:B!N83)</f>
        <v>4196</v>
      </c>
      <c r="O83" s="65">
        <f>SUM(A:B!O83)</f>
        <v>4196</v>
      </c>
      <c r="P83" s="65">
        <f>SUM(A:B!P83)</f>
        <v>4196</v>
      </c>
      <c r="Q83" s="65">
        <f>SUM(A:B!Q83)</f>
        <v>5244</v>
      </c>
      <c r="R83" s="65">
        <f>SUM(A:B!R83)</f>
        <v>4196</v>
      </c>
      <c r="S83" s="65">
        <f>SUM(A:B!S83)</f>
        <v>4196</v>
      </c>
      <c r="T83" s="65">
        <f>SUM(A:B!T83)</f>
        <v>0</v>
      </c>
      <c r="U83" s="65">
        <f>SUM(A:B!U83)</f>
        <v>0</v>
      </c>
      <c r="V83" s="11"/>
      <c r="W83" s="73"/>
      <c r="X83" s="89"/>
      <c r="Y83" s="65">
        <f>SUM(A:B!Y83)</f>
        <v>0</v>
      </c>
      <c r="Z83" s="65">
        <f>SUM(A:B!Z83)</f>
        <v>0</v>
      </c>
      <c r="AA83" s="65">
        <f>SUM(A:B!AA83)</f>
        <v>0</v>
      </c>
      <c r="AB83" s="65">
        <f>SUM(A:B!AB83)</f>
        <v>0</v>
      </c>
      <c r="AC83" s="65">
        <f>SUM(A:B!AC83)</f>
        <v>0</v>
      </c>
      <c r="AD83" s="65">
        <f>SUM(A:B!AD83)</f>
        <v>0</v>
      </c>
      <c r="AE83" s="65">
        <f>SUM(A:B!AE83)</f>
        <v>0</v>
      </c>
      <c r="AF83" s="65">
        <f>SUM(A:B!AF83)</f>
        <v>0</v>
      </c>
      <c r="AG83" s="65">
        <f>SUM(A:B!AG83)</f>
        <v>0</v>
      </c>
      <c r="AH83" s="65">
        <f>SUM(A:B!AH83)</f>
        <v>0</v>
      </c>
      <c r="AI83" s="65">
        <f>SUM(A:B!AI83)</f>
        <v>0</v>
      </c>
      <c r="AJ83" s="65">
        <f>SUM(A:B!AJ83)</f>
        <v>0</v>
      </c>
      <c r="AK83" s="124">
        <f t="shared" si="24"/>
        <v>0</v>
      </c>
      <c r="AL83" s="73">
        <f t="shared" si="22"/>
        <v>0</v>
      </c>
      <c r="AM83" s="14">
        <f t="shared" si="6"/>
        <v>0</v>
      </c>
      <c r="AN83" s="89"/>
      <c r="AO83" s="263">
        <v>9194940.3142857142</v>
      </c>
      <c r="AP83" s="200">
        <v>2.0861528582088564E-3</v>
      </c>
      <c r="AQ83" s="184">
        <v>0.397398253435989</v>
      </c>
    </row>
    <row r="84" spans="1:43" ht="15" customHeight="1" outlineLevel="1">
      <c r="A84" s="12" t="s">
        <v>191</v>
      </c>
      <c r="B84" s="8" t="s">
        <v>101</v>
      </c>
      <c r="E84" s="1"/>
      <c r="I84" s="228" t="s">
        <v>195</v>
      </c>
      <c r="J84" s="65">
        <f>SUM(A:B!J84)</f>
        <v>0</v>
      </c>
      <c r="K84" s="65">
        <f>SUM(A:B!K84)</f>
        <v>0</v>
      </c>
      <c r="L84" s="65">
        <f>SUM(A:B!L84)</f>
        <v>0</v>
      </c>
      <c r="M84" s="65">
        <f>SUM(A:B!M84)</f>
        <v>0</v>
      </c>
      <c r="N84" s="65">
        <f>SUM(A:B!N84)</f>
        <v>0</v>
      </c>
      <c r="O84" s="65">
        <f>SUM(A:B!O84)</f>
        <v>0</v>
      </c>
      <c r="P84" s="65">
        <f>SUM(A:B!P84)</f>
        <v>0</v>
      </c>
      <c r="Q84" s="65">
        <f>SUM(A:B!Q84)</f>
        <v>0</v>
      </c>
      <c r="R84" s="65">
        <f>SUM(A:B!R84)</f>
        <v>0</v>
      </c>
      <c r="S84" s="65">
        <f>SUM(A:B!S84)</f>
        <v>0</v>
      </c>
      <c r="T84" s="65">
        <f>SUM(A:B!T84)</f>
        <v>0</v>
      </c>
      <c r="U84" s="65">
        <f>SUM(A:B!U84)</f>
        <v>0</v>
      </c>
      <c r="V84" s="11"/>
      <c r="W84" s="73"/>
      <c r="X84" s="89"/>
      <c r="Y84" s="65">
        <f>SUM(A:B!Y84)</f>
        <v>0</v>
      </c>
      <c r="Z84" s="65">
        <f>SUM(A:B!Z84)</f>
        <v>0</v>
      </c>
      <c r="AA84" s="65">
        <f>SUM(A:B!AA84)</f>
        <v>0</v>
      </c>
      <c r="AB84" s="65">
        <f>SUM(A:B!AB84)</f>
        <v>0</v>
      </c>
      <c r="AC84" s="65">
        <f>SUM(A:B!AC84)</f>
        <v>0</v>
      </c>
      <c r="AD84" s="65">
        <f>SUM(A:B!AD84)</f>
        <v>0</v>
      </c>
      <c r="AE84" s="65">
        <f>SUM(A:B!AE84)</f>
        <v>0</v>
      </c>
      <c r="AF84" s="65">
        <f>SUM(A:B!AF84)</f>
        <v>0</v>
      </c>
      <c r="AG84" s="65">
        <f>SUM(A:B!AG84)</f>
        <v>0</v>
      </c>
      <c r="AH84" s="65">
        <f>SUM(A:B!AH84)</f>
        <v>0</v>
      </c>
      <c r="AI84" s="65">
        <f>SUM(A:B!AI84)</f>
        <v>0</v>
      </c>
      <c r="AJ84" s="65">
        <f>SUM(A:B!AJ84)</f>
        <v>0</v>
      </c>
      <c r="AK84" s="124">
        <f t="shared" si="24"/>
        <v>0</v>
      </c>
      <c r="AL84" s="73">
        <f t="shared" si="22"/>
        <v>0</v>
      </c>
      <c r="AM84" s="14">
        <f t="shared" si="6"/>
        <v>0</v>
      </c>
      <c r="AN84" s="89"/>
      <c r="AO84" s="263">
        <v>576608.06999999983</v>
      </c>
      <c r="AP84" s="200">
        <v>1.3082113990755531E-4</v>
      </c>
      <c r="AQ84" s="184">
        <v>0.73982375593869376</v>
      </c>
    </row>
    <row r="85" spans="1:43" ht="15" customHeight="1" outlineLevel="1">
      <c r="A85" s="12" t="s">
        <v>191</v>
      </c>
      <c r="B85" s="8" t="s">
        <v>101</v>
      </c>
      <c r="E85" s="1"/>
      <c r="I85" s="228" t="s">
        <v>196</v>
      </c>
      <c r="J85" s="65">
        <f>SUM(A:B!J85)</f>
        <v>0</v>
      </c>
      <c r="K85" s="65">
        <f>SUM(A:B!K85)</f>
        <v>0</v>
      </c>
      <c r="L85" s="65">
        <f>SUM(A:B!L85)</f>
        <v>0</v>
      </c>
      <c r="M85" s="65">
        <f>SUM(A:B!M85)</f>
        <v>0</v>
      </c>
      <c r="N85" s="65">
        <f>SUM(A:B!N85)</f>
        <v>0</v>
      </c>
      <c r="O85" s="65">
        <f>SUM(A:B!O85)</f>
        <v>0</v>
      </c>
      <c r="P85" s="65">
        <f>SUM(A:B!P85)</f>
        <v>0</v>
      </c>
      <c r="Q85" s="65">
        <f>SUM(A:B!Q85)</f>
        <v>0</v>
      </c>
      <c r="R85" s="65">
        <f>SUM(A:B!R85)</f>
        <v>0</v>
      </c>
      <c r="S85" s="65">
        <f>SUM(A:B!S85)</f>
        <v>0</v>
      </c>
      <c r="T85" s="65">
        <f>SUM(A:B!T85)</f>
        <v>0</v>
      </c>
      <c r="U85" s="65">
        <f>SUM(A:B!U85)</f>
        <v>0</v>
      </c>
      <c r="V85" s="11"/>
      <c r="W85" s="73"/>
      <c r="X85" s="89"/>
      <c r="Y85" s="65">
        <f>SUM(A:B!Y85)</f>
        <v>0</v>
      </c>
      <c r="Z85" s="65">
        <f>SUM(A:B!Z85)</f>
        <v>0</v>
      </c>
      <c r="AA85" s="65">
        <f>SUM(A:B!AA85)</f>
        <v>0</v>
      </c>
      <c r="AB85" s="65">
        <f>SUM(A:B!AB85)</f>
        <v>0</v>
      </c>
      <c r="AC85" s="65">
        <f>SUM(A:B!AC85)</f>
        <v>0</v>
      </c>
      <c r="AD85" s="65">
        <f>SUM(A:B!AD85)</f>
        <v>0</v>
      </c>
      <c r="AE85" s="65">
        <f>SUM(A:B!AE85)</f>
        <v>0</v>
      </c>
      <c r="AF85" s="65">
        <f>SUM(A:B!AF85)</f>
        <v>0</v>
      </c>
      <c r="AG85" s="65">
        <f>SUM(A:B!AG85)</f>
        <v>0</v>
      </c>
      <c r="AH85" s="65">
        <f>SUM(A:B!AH85)</f>
        <v>0</v>
      </c>
      <c r="AI85" s="65">
        <f>SUM(A:B!AI85)</f>
        <v>0</v>
      </c>
      <c r="AJ85" s="65">
        <f>SUM(A:B!AJ85)</f>
        <v>0</v>
      </c>
      <c r="AK85" s="124">
        <f t="shared" si="24"/>
        <v>0</v>
      </c>
      <c r="AL85" s="73">
        <f t="shared" si="22"/>
        <v>0</v>
      </c>
      <c r="AM85" s="14">
        <f t="shared" si="6"/>
        <v>0</v>
      </c>
      <c r="AN85" s="89"/>
      <c r="AO85" s="263">
        <v>3573319.9536000011</v>
      </c>
      <c r="AP85" s="200">
        <v>8.1071669632435935E-4</v>
      </c>
      <c r="AQ85" s="184">
        <v>0.55792510931487871</v>
      </c>
    </row>
    <row r="86" spans="1:43" ht="15" customHeight="1" outlineLevel="1">
      <c r="A86" s="12" t="s">
        <v>191</v>
      </c>
      <c r="B86" s="8" t="s">
        <v>101</v>
      </c>
      <c r="I86" s="228" t="s">
        <v>197</v>
      </c>
      <c r="J86" s="65">
        <f>SUM(A:B!J86)</f>
        <v>0</v>
      </c>
      <c r="K86" s="65">
        <f>SUM(A:B!K86)</f>
        <v>0</v>
      </c>
      <c r="L86" s="65">
        <f>SUM(A:B!L86)</f>
        <v>0</v>
      </c>
      <c r="M86" s="65">
        <f>SUM(A:B!M86)</f>
        <v>0</v>
      </c>
      <c r="N86" s="65">
        <f>SUM(A:B!N86)</f>
        <v>0</v>
      </c>
      <c r="O86" s="65">
        <f>SUM(A:B!O86)</f>
        <v>0</v>
      </c>
      <c r="P86" s="65">
        <f>SUM(A:B!P86)</f>
        <v>0</v>
      </c>
      <c r="Q86" s="65">
        <f>SUM(A:B!Q86)</f>
        <v>0</v>
      </c>
      <c r="R86" s="65">
        <f>SUM(A:B!R86)</f>
        <v>0</v>
      </c>
      <c r="S86" s="65">
        <f>SUM(A:B!S86)</f>
        <v>0</v>
      </c>
      <c r="T86" s="65">
        <f>SUM(A:B!T86)</f>
        <v>0</v>
      </c>
      <c r="U86" s="65">
        <f>SUM(A:B!U86)</f>
        <v>0</v>
      </c>
      <c r="V86" s="11">
        <f t="shared" si="23"/>
        <v>0</v>
      </c>
      <c r="W86" s="73">
        <f t="shared" si="21"/>
        <v>0</v>
      </c>
      <c r="X86" s="89"/>
      <c r="Y86" s="65">
        <f>SUM(A:B!Y86)</f>
        <v>0</v>
      </c>
      <c r="Z86" s="65">
        <f>SUM(A:B!Z86)</f>
        <v>0</v>
      </c>
      <c r="AA86" s="65">
        <f>SUM(A:B!AA86)</f>
        <v>0</v>
      </c>
      <c r="AB86" s="65">
        <f>SUM(A:B!AB86)</f>
        <v>0</v>
      </c>
      <c r="AC86" s="65">
        <f>SUM(A:B!AC86)</f>
        <v>0</v>
      </c>
      <c r="AD86" s="65">
        <f>SUM(A:B!AD86)</f>
        <v>0</v>
      </c>
      <c r="AE86" s="65">
        <f>SUM(A:B!AE86)</f>
        <v>0</v>
      </c>
      <c r="AF86" s="65">
        <f>SUM(A:B!AF86)</f>
        <v>0</v>
      </c>
      <c r="AG86" s="65">
        <f>SUM(A:B!AG86)</f>
        <v>0</v>
      </c>
      <c r="AH86" s="65">
        <f>SUM(A:B!AH86)</f>
        <v>0</v>
      </c>
      <c r="AI86" s="65">
        <f>SUM(A:B!AI86)</f>
        <v>0</v>
      </c>
      <c r="AJ86" s="65">
        <f>SUM(A:B!AJ86)</f>
        <v>0</v>
      </c>
      <c r="AK86" s="124">
        <f t="shared" si="24"/>
        <v>0</v>
      </c>
      <c r="AL86" s="73">
        <f t="shared" si="22"/>
        <v>0</v>
      </c>
      <c r="AM86" s="14">
        <f t="shared" si="6"/>
        <v>0</v>
      </c>
      <c r="AN86" s="89"/>
      <c r="AO86" s="263">
        <v>0</v>
      </c>
      <c r="AP86" s="200">
        <v>0</v>
      </c>
      <c r="AQ86" s="184">
        <v>-1</v>
      </c>
    </row>
    <row r="87" spans="1:43" ht="15" customHeight="1" outlineLevel="1">
      <c r="A87" s="12" t="s">
        <v>191</v>
      </c>
      <c r="B87" s="8" t="s">
        <v>101</v>
      </c>
      <c r="I87" s="228" t="s">
        <v>198</v>
      </c>
      <c r="J87" s="65">
        <f>SUM(A:B!J87)</f>
        <v>0</v>
      </c>
      <c r="K87" s="65">
        <f>SUM(A:B!K87)</f>
        <v>0</v>
      </c>
      <c r="L87" s="65">
        <f>SUM(A:B!L87)</f>
        <v>0</v>
      </c>
      <c r="M87" s="65">
        <f>SUM(A:B!M87)</f>
        <v>0</v>
      </c>
      <c r="N87" s="65">
        <f>SUM(A:B!N87)</f>
        <v>0</v>
      </c>
      <c r="O87" s="65">
        <f>SUM(A:B!O87)</f>
        <v>0</v>
      </c>
      <c r="P87" s="65">
        <f>SUM(A:B!P87)</f>
        <v>0</v>
      </c>
      <c r="Q87" s="65">
        <f>SUM(A:B!Q87)</f>
        <v>0</v>
      </c>
      <c r="R87" s="65">
        <f>SUM(A:B!R87)</f>
        <v>0</v>
      </c>
      <c r="S87" s="65">
        <f>SUM(A:B!S87)</f>
        <v>76960</v>
      </c>
      <c r="T87" s="65">
        <f>SUM(A:B!T87)</f>
        <v>0</v>
      </c>
      <c r="U87" s="65">
        <f>SUM(A:B!U87)</f>
        <v>0</v>
      </c>
      <c r="V87" s="11">
        <f t="shared" si="23"/>
        <v>76960</v>
      </c>
      <c r="W87" s="73">
        <f t="shared" si="21"/>
        <v>3.4376642547226307E-4</v>
      </c>
      <c r="X87" s="89"/>
      <c r="Y87" s="65">
        <f>SUM(A:B!Y87)</f>
        <v>0</v>
      </c>
      <c r="Z87" s="65">
        <f>SUM(A:B!Z87)</f>
        <v>0</v>
      </c>
      <c r="AA87" s="65">
        <f>SUM(A:B!AA87)</f>
        <v>0</v>
      </c>
      <c r="AB87" s="65">
        <f>SUM(A:B!AB87)</f>
        <v>0</v>
      </c>
      <c r="AC87" s="65">
        <f>SUM(A:B!AC87)</f>
        <v>0</v>
      </c>
      <c r="AD87" s="65">
        <f>SUM(A:B!AD87)</f>
        <v>0</v>
      </c>
      <c r="AE87" s="65">
        <f>SUM(A:B!AE87)</f>
        <v>0</v>
      </c>
      <c r="AF87" s="65">
        <f>SUM(A:B!AF87)</f>
        <v>0</v>
      </c>
      <c r="AG87" s="65">
        <f>SUM(A:B!AG87)</f>
        <v>91192.309999999983</v>
      </c>
      <c r="AH87" s="65">
        <f>SUM(A:B!AH87)</f>
        <v>0</v>
      </c>
      <c r="AI87" s="65">
        <f>SUM(A:B!AI87)</f>
        <v>0</v>
      </c>
      <c r="AJ87" s="65">
        <f>SUM(A:B!AJ87)</f>
        <v>0</v>
      </c>
      <c r="AK87" s="124">
        <f t="shared" si="24"/>
        <v>91192.309999999983</v>
      </c>
      <c r="AL87" s="73">
        <f t="shared" si="22"/>
        <v>3.6369176209574022E-4</v>
      </c>
      <c r="AM87" s="14">
        <f t="shared" si="6"/>
        <v>0.18493126299376272</v>
      </c>
      <c r="AN87" s="89"/>
      <c r="AO87" s="263">
        <v>4364566.7560000001</v>
      </c>
      <c r="AP87" s="200">
        <v>9.9023518387895797E-4</v>
      </c>
      <c r="AQ87" s="184">
        <v>0.33067474422057086</v>
      </c>
    </row>
    <row r="88" spans="1:43" ht="15" customHeight="1" outlineLevel="1">
      <c r="A88" s="12" t="s">
        <v>191</v>
      </c>
      <c r="B88" s="8" t="s">
        <v>101</v>
      </c>
      <c r="I88" s="228" t="s">
        <v>199</v>
      </c>
      <c r="J88" s="65">
        <f>SUM(A:B!J88)</f>
        <v>0</v>
      </c>
      <c r="K88" s="65">
        <f>SUM(A:B!K88)</f>
        <v>0</v>
      </c>
      <c r="L88" s="65">
        <f>SUM(A:B!L88)</f>
        <v>0</v>
      </c>
      <c r="M88" s="65">
        <f>SUM(A:B!M88)</f>
        <v>0</v>
      </c>
      <c r="N88" s="65">
        <f>SUM(A:B!N88)</f>
        <v>0</v>
      </c>
      <c r="O88" s="65">
        <f>SUM(A:B!O88)</f>
        <v>0</v>
      </c>
      <c r="P88" s="65">
        <f>SUM(A:B!P88)</f>
        <v>0</v>
      </c>
      <c r="Q88" s="65">
        <f>SUM(A:B!Q88)</f>
        <v>5772</v>
      </c>
      <c r="R88" s="65">
        <f>SUM(A:B!R88)</f>
        <v>0</v>
      </c>
      <c r="S88" s="65">
        <f>SUM(A:B!S88)</f>
        <v>0</v>
      </c>
      <c r="T88" s="65">
        <f>SUM(A:B!T88)</f>
        <v>1418.56</v>
      </c>
      <c r="U88" s="65">
        <f>SUM(A:B!U88)</f>
        <v>92892.800000000003</v>
      </c>
      <c r="V88" s="11">
        <f t="shared" si="23"/>
        <v>100083.36</v>
      </c>
      <c r="W88" s="73">
        <f t="shared" si="21"/>
        <v>4.4705429984996978E-4</v>
      </c>
      <c r="X88" s="89"/>
      <c r="Y88" s="65">
        <f>SUM(A:B!Y88)</f>
        <v>0</v>
      </c>
      <c r="Z88" s="65">
        <f>SUM(A:B!Z88)</f>
        <v>0</v>
      </c>
      <c r="AA88" s="65">
        <f>SUM(A:B!AA88)</f>
        <v>0</v>
      </c>
      <c r="AB88" s="65">
        <f>SUM(A:B!AB88)</f>
        <v>0</v>
      </c>
      <c r="AC88" s="65">
        <f>SUM(A:B!AC88)</f>
        <v>8280.7999999999993</v>
      </c>
      <c r="AD88" s="65">
        <f>SUM(A:B!AD88)</f>
        <v>8280.7999999999993</v>
      </c>
      <c r="AE88" s="65">
        <f>SUM(A:B!AE88)</f>
        <v>0</v>
      </c>
      <c r="AF88" s="65">
        <f>SUM(A:B!AF88)</f>
        <v>8280.7999999999993</v>
      </c>
      <c r="AG88" s="65">
        <f>SUM(A:B!AG88)</f>
        <v>0</v>
      </c>
      <c r="AH88" s="65">
        <f>SUM(A:B!AH88)</f>
        <v>2649.8559999999998</v>
      </c>
      <c r="AI88" s="65">
        <f>SUM(A:B!AI88)</f>
        <v>1656.1599999999999</v>
      </c>
      <c r="AJ88" s="65">
        <f>SUM(A:B!AJ88)</f>
        <v>56309.439999999995</v>
      </c>
      <c r="AK88" s="124">
        <f t="shared" si="24"/>
        <v>85457.856</v>
      </c>
      <c r="AL88" s="73">
        <f t="shared" si="22"/>
        <v>3.4082170123296617E-4</v>
      </c>
      <c r="AM88" s="14">
        <f t="shared" si="6"/>
        <v>-0.14613322334501955</v>
      </c>
      <c r="AN88" s="89"/>
      <c r="AO88" s="263">
        <v>3224251.1464999993</v>
      </c>
      <c r="AP88" s="200">
        <v>7.3151978315768662E-4</v>
      </c>
      <c r="AQ88" s="184">
        <v>0.39344091571310202</v>
      </c>
    </row>
    <row r="89" spans="1:43" ht="15" customHeight="1" outlineLevel="1">
      <c r="A89" s="12" t="s">
        <v>191</v>
      </c>
      <c r="B89" s="8" t="s">
        <v>101</v>
      </c>
      <c r="I89" s="228" t="s">
        <v>200</v>
      </c>
      <c r="J89" s="65">
        <f>SUM(A:B!J89)</f>
        <v>0</v>
      </c>
      <c r="K89" s="65">
        <f>SUM(A:B!K89)</f>
        <v>0</v>
      </c>
      <c r="L89" s="65">
        <f>SUM(A:B!L89)</f>
        <v>0</v>
      </c>
      <c r="M89" s="65">
        <f>SUM(A:B!M89)</f>
        <v>0</v>
      </c>
      <c r="N89" s="65">
        <f>SUM(A:B!N89)</f>
        <v>0</v>
      </c>
      <c r="O89" s="65">
        <f>SUM(A:B!O89)</f>
        <v>0</v>
      </c>
      <c r="P89" s="65">
        <f>SUM(A:B!P89)</f>
        <v>0</v>
      </c>
      <c r="Q89" s="65">
        <f>SUM(A:B!Q89)</f>
        <v>0</v>
      </c>
      <c r="R89" s="65">
        <f>SUM(A:B!R89)</f>
        <v>0</v>
      </c>
      <c r="S89" s="65">
        <f>SUM(A:B!S89)</f>
        <v>0</v>
      </c>
      <c r="T89" s="65">
        <f>SUM(A:B!T89)</f>
        <v>0</v>
      </c>
      <c r="U89" s="65">
        <f>SUM(A:B!U89)</f>
        <v>0</v>
      </c>
      <c r="V89" s="11">
        <f t="shared" si="23"/>
        <v>0</v>
      </c>
      <c r="W89" s="73">
        <f t="shared" si="21"/>
        <v>0</v>
      </c>
      <c r="X89" s="89"/>
      <c r="Y89" s="65">
        <f>SUM(A:B!Y89)</f>
        <v>0</v>
      </c>
      <c r="Z89" s="65">
        <f>SUM(A:B!Z89)</f>
        <v>0</v>
      </c>
      <c r="AA89" s="65">
        <f>SUM(A:B!AA89)</f>
        <v>0</v>
      </c>
      <c r="AB89" s="65">
        <f>SUM(A:B!AB89)</f>
        <v>0</v>
      </c>
      <c r="AC89" s="65">
        <f>SUM(A:B!AC89)</f>
        <v>0</v>
      </c>
      <c r="AD89" s="65">
        <f>SUM(A:B!AD89)</f>
        <v>0</v>
      </c>
      <c r="AE89" s="65">
        <f>SUM(A:B!AE89)</f>
        <v>0</v>
      </c>
      <c r="AF89" s="65">
        <f>SUM(A:B!AF89)</f>
        <v>0</v>
      </c>
      <c r="AG89" s="65">
        <f>SUM(A:B!AG89)</f>
        <v>0</v>
      </c>
      <c r="AH89" s="65">
        <f>SUM(A:B!AH89)</f>
        <v>0</v>
      </c>
      <c r="AI89" s="65">
        <f>SUM(A:B!AI89)</f>
        <v>0</v>
      </c>
      <c r="AJ89" s="65">
        <f>SUM(A:B!AJ89)</f>
        <v>0</v>
      </c>
      <c r="AK89" s="124">
        <f t="shared" si="24"/>
        <v>0</v>
      </c>
      <c r="AL89" s="73">
        <f t="shared" si="22"/>
        <v>0</v>
      </c>
      <c r="AM89" s="14">
        <f t="shared" si="6"/>
        <v>0</v>
      </c>
      <c r="AN89" s="89"/>
      <c r="AO89" s="263">
        <v>0</v>
      </c>
      <c r="AP89" s="200">
        <v>0</v>
      </c>
      <c r="AQ89" s="184">
        <v>-1</v>
      </c>
    </row>
    <row r="90" spans="1:43" ht="15" customHeight="1" outlineLevel="1">
      <c r="A90" s="12" t="s">
        <v>191</v>
      </c>
      <c r="B90" s="8" t="s">
        <v>101</v>
      </c>
      <c r="I90" s="228" t="s">
        <v>201</v>
      </c>
      <c r="J90" s="65">
        <f>SUM(A:B!J90)</f>
        <v>0</v>
      </c>
      <c r="K90" s="65">
        <f>SUM(A:B!K90)</f>
        <v>0</v>
      </c>
      <c r="L90" s="65">
        <f>SUM(A:B!L90)</f>
        <v>0</v>
      </c>
      <c r="M90" s="65">
        <f>SUM(A:B!M90)</f>
        <v>0</v>
      </c>
      <c r="N90" s="65">
        <f>SUM(A:B!N90)</f>
        <v>0</v>
      </c>
      <c r="O90" s="65">
        <f>SUM(A:B!O90)</f>
        <v>0</v>
      </c>
      <c r="P90" s="65">
        <f>SUM(A:B!P90)</f>
        <v>0</v>
      </c>
      <c r="Q90" s="65">
        <f>SUM(A:B!Q90)</f>
        <v>0</v>
      </c>
      <c r="R90" s="65">
        <f>SUM(A:B!R90)</f>
        <v>0</v>
      </c>
      <c r="S90" s="65">
        <f>SUM(A:B!S90)</f>
        <v>0</v>
      </c>
      <c r="T90" s="65">
        <f>SUM(A:B!T90)</f>
        <v>0</v>
      </c>
      <c r="U90" s="65">
        <f>SUM(A:B!U90)</f>
        <v>0</v>
      </c>
      <c r="V90" s="11">
        <f t="shared" si="23"/>
        <v>0</v>
      </c>
      <c r="W90" s="73">
        <f t="shared" si="21"/>
        <v>0</v>
      </c>
      <c r="X90" s="89"/>
      <c r="Y90" s="65">
        <f>SUM(A:B!Y90)</f>
        <v>0</v>
      </c>
      <c r="Z90" s="65">
        <f>SUM(A:B!Z90)</f>
        <v>0</v>
      </c>
      <c r="AA90" s="65">
        <f>SUM(A:B!AA90)</f>
        <v>0</v>
      </c>
      <c r="AB90" s="65">
        <f>SUM(A:B!AB90)</f>
        <v>0</v>
      </c>
      <c r="AC90" s="65">
        <f>SUM(A:B!AC90)</f>
        <v>0</v>
      </c>
      <c r="AD90" s="65">
        <f>SUM(A:B!AD90)</f>
        <v>0</v>
      </c>
      <c r="AE90" s="65">
        <f>SUM(A:B!AE90)</f>
        <v>0</v>
      </c>
      <c r="AF90" s="65">
        <f>SUM(A:B!AF90)</f>
        <v>0</v>
      </c>
      <c r="AG90" s="65">
        <f>SUM(A:B!AG90)</f>
        <v>0</v>
      </c>
      <c r="AH90" s="65">
        <f>SUM(A:B!AH90)</f>
        <v>0</v>
      </c>
      <c r="AI90" s="65">
        <f>SUM(A:B!AI90)</f>
        <v>0</v>
      </c>
      <c r="AJ90" s="65">
        <f>SUM(A:B!AJ90)</f>
        <v>0</v>
      </c>
      <c r="AK90" s="124">
        <f t="shared" si="24"/>
        <v>0</v>
      </c>
      <c r="AL90" s="73">
        <f t="shared" si="22"/>
        <v>0</v>
      </c>
      <c r="AM90" s="14">
        <f t="shared" si="6"/>
        <v>0</v>
      </c>
      <c r="AN90" s="89"/>
      <c r="AO90" s="263">
        <v>868817.625</v>
      </c>
      <c r="AP90" s="200">
        <v>1.9711779627759105E-4</v>
      </c>
      <c r="AQ90" s="184">
        <v>-0.14662722396677252</v>
      </c>
    </row>
    <row r="91" spans="1:43" ht="15" customHeight="1" outlineLevel="1">
      <c r="A91" s="12" t="s">
        <v>191</v>
      </c>
      <c r="B91" s="8" t="s">
        <v>101</v>
      </c>
      <c r="I91" s="170" t="s">
        <v>202</v>
      </c>
      <c r="J91" s="15">
        <f t="shared" ref="J91:V91" si="25">SUM(J92:J106)</f>
        <v>694293</v>
      </c>
      <c r="K91" s="15">
        <f t="shared" si="25"/>
        <v>640704</v>
      </c>
      <c r="L91" s="15">
        <f t="shared" si="25"/>
        <v>705145</v>
      </c>
      <c r="M91" s="15">
        <f t="shared" si="25"/>
        <v>609334</v>
      </c>
      <c r="N91" s="15">
        <f t="shared" si="25"/>
        <v>575107</v>
      </c>
      <c r="O91" s="15">
        <f t="shared" si="25"/>
        <v>579544</v>
      </c>
      <c r="P91" s="15">
        <f t="shared" si="25"/>
        <v>555114</v>
      </c>
      <c r="Q91" s="15">
        <f t="shared" si="25"/>
        <v>531856</v>
      </c>
      <c r="R91" s="15">
        <f t="shared" si="25"/>
        <v>620168</v>
      </c>
      <c r="S91" s="15">
        <f t="shared" si="25"/>
        <v>672173</v>
      </c>
      <c r="T91" s="15">
        <f t="shared" si="25"/>
        <v>574791.55999999982</v>
      </c>
      <c r="U91" s="15">
        <f t="shared" si="25"/>
        <v>681519.88333333342</v>
      </c>
      <c r="V91" s="15">
        <f t="shared" si="25"/>
        <v>7439749.4433333334</v>
      </c>
      <c r="W91" s="72">
        <f t="shared" si="21"/>
        <v>3.323201757463564E-2</v>
      </c>
      <c r="X91" s="89"/>
      <c r="Y91" s="15">
        <f t="shared" ref="Y91:AK91" si="26">SUM(Y92:Y106)</f>
        <v>654481.99155067583</v>
      </c>
      <c r="Z91" s="15">
        <f t="shared" si="26"/>
        <v>584894.00978564739</v>
      </c>
      <c r="AA91" s="15">
        <f t="shared" si="26"/>
        <v>635149.69929629331</v>
      </c>
      <c r="AB91" s="15">
        <f t="shared" si="26"/>
        <v>591373.42082074471</v>
      </c>
      <c r="AC91" s="15">
        <f t="shared" si="26"/>
        <v>643430.49929629324</v>
      </c>
      <c r="AD91" s="15">
        <f t="shared" si="26"/>
        <v>599654.22082074464</v>
      </c>
      <c r="AE91" s="15">
        <f t="shared" si="26"/>
        <v>608125.31732429331</v>
      </c>
      <c r="AF91" s="15">
        <f t="shared" si="26"/>
        <v>616406.11732429336</v>
      </c>
      <c r="AG91" s="15">
        <f t="shared" si="26"/>
        <v>709590.11279274465</v>
      </c>
      <c r="AH91" s="15">
        <f t="shared" si="26"/>
        <v>610775.17332429334</v>
      </c>
      <c r="AI91" s="15">
        <f t="shared" si="26"/>
        <v>620053.96279274463</v>
      </c>
      <c r="AJ91" s="15">
        <f t="shared" si="26"/>
        <v>691459.13929629326</v>
      </c>
      <c r="AK91" s="15">
        <f t="shared" si="26"/>
        <v>7565393.664425062</v>
      </c>
      <c r="AL91" s="72">
        <f t="shared" si="22"/>
        <v>3.0172186149936334E-2</v>
      </c>
      <c r="AM91" s="10">
        <f t="shared" si="6"/>
        <v>1.6888232869766373E-2</v>
      </c>
      <c r="AN91" s="89"/>
      <c r="AO91" s="263">
        <v>571078.53139726049</v>
      </c>
      <c r="AP91" s="200">
        <v>1.2956659530297983E-4</v>
      </c>
      <c r="AQ91" s="184">
        <v>0.34972761790470197</v>
      </c>
    </row>
    <row r="92" spans="1:43" ht="15" customHeight="1" outlineLevel="1">
      <c r="A92" s="12" t="s">
        <v>191</v>
      </c>
      <c r="B92" s="8" t="s">
        <v>101</v>
      </c>
      <c r="I92" s="228" t="s">
        <v>203</v>
      </c>
      <c r="J92" s="65">
        <f>SUM(A:B!J83)</f>
        <v>4196</v>
      </c>
      <c r="K92" s="65">
        <f>SUM(A:B!K83)</f>
        <v>4196</v>
      </c>
      <c r="L92" s="65">
        <f>SUM(A:B!L83)</f>
        <v>4196</v>
      </c>
      <c r="M92" s="65">
        <f>SUM(A:B!M83)</f>
        <v>4196</v>
      </c>
      <c r="N92" s="65">
        <f>SUM(A:B!N83)</f>
        <v>4196</v>
      </c>
      <c r="O92" s="65">
        <f>SUM(A:B!O83)</f>
        <v>4196</v>
      </c>
      <c r="P92" s="65">
        <f>SUM(A:B!P83)</f>
        <v>4196</v>
      </c>
      <c r="Q92" s="65">
        <f>SUM(A:B!Q83)</f>
        <v>5244</v>
      </c>
      <c r="R92" s="65">
        <f>SUM(A:B!R83)</f>
        <v>4196</v>
      </c>
      <c r="S92" s="65">
        <f>SUM(A:B!S83)</f>
        <v>4196</v>
      </c>
      <c r="T92" s="65">
        <f>SUM(A:B!T83)</f>
        <v>0</v>
      </c>
      <c r="U92" s="65">
        <f>SUM(A:B!U83)</f>
        <v>0</v>
      </c>
      <c r="V92" s="11">
        <f>SUM(J92:U92)</f>
        <v>43008</v>
      </c>
      <c r="W92" s="73">
        <f t="shared" si="21"/>
        <v>1.9210897124104847E-4</v>
      </c>
      <c r="X92" s="89"/>
      <c r="Y92" s="65">
        <f>SUM(A:B!Y83)</f>
        <v>0</v>
      </c>
      <c r="Z92" s="65">
        <f>SUM(A:B!Z83)</f>
        <v>0</v>
      </c>
      <c r="AA92" s="65">
        <f>SUM(A:B!AA83)</f>
        <v>0</v>
      </c>
      <c r="AB92" s="65">
        <f>SUM(A:B!AB83)</f>
        <v>0</v>
      </c>
      <c r="AC92" s="65">
        <f>SUM(A:B!AC83)</f>
        <v>0</v>
      </c>
      <c r="AD92" s="65">
        <f>SUM(A:B!AD83)</f>
        <v>0</v>
      </c>
      <c r="AE92" s="65">
        <f>SUM(A:B!AE83)</f>
        <v>0</v>
      </c>
      <c r="AF92" s="65">
        <f>SUM(A:B!AF83)</f>
        <v>0</v>
      </c>
      <c r="AG92" s="65">
        <f>SUM(A:B!AG83)</f>
        <v>0</v>
      </c>
      <c r="AH92" s="65">
        <f>SUM(A:B!AH83)</f>
        <v>0</v>
      </c>
      <c r="AI92" s="65">
        <f>SUM(A:B!AI83)</f>
        <v>0</v>
      </c>
      <c r="AJ92" s="65">
        <f>SUM(A:B!AJ83)</f>
        <v>0</v>
      </c>
      <c r="AK92" s="65">
        <f t="shared" ref="AK92:AK150" si="27">SUM(Y92:AJ92)</f>
        <v>0</v>
      </c>
      <c r="AL92" s="73">
        <f t="shared" si="22"/>
        <v>0</v>
      </c>
      <c r="AM92" s="14">
        <f t="shared" si="6"/>
        <v>-1</v>
      </c>
      <c r="AN92" s="89"/>
      <c r="AO92" s="263">
        <v>0</v>
      </c>
      <c r="AP92" s="200">
        <v>0</v>
      </c>
      <c r="AQ92" s="184">
        <v>-1</v>
      </c>
    </row>
    <row r="93" spans="1:43" ht="15" customHeight="1" outlineLevel="1">
      <c r="A93" s="12" t="s">
        <v>191</v>
      </c>
      <c r="B93" s="8" t="s">
        <v>101</v>
      </c>
      <c r="I93" s="228" t="s">
        <v>204</v>
      </c>
      <c r="J93" s="65">
        <f>SUM(A:B!J84)</f>
        <v>0</v>
      </c>
      <c r="K93" s="65">
        <f>SUM(A:B!K84)</f>
        <v>0</v>
      </c>
      <c r="L93" s="65">
        <f>SUM(A:B!L84)</f>
        <v>0</v>
      </c>
      <c r="M93" s="65">
        <f>SUM(A:B!M84)</f>
        <v>0</v>
      </c>
      <c r="N93" s="65">
        <f>SUM(A:B!N84)</f>
        <v>0</v>
      </c>
      <c r="O93" s="65">
        <f>SUM(A:B!O84)</f>
        <v>0</v>
      </c>
      <c r="P93" s="65">
        <f>SUM(A:B!P84)</f>
        <v>0</v>
      </c>
      <c r="Q93" s="65">
        <f>SUM(A:B!Q84)</f>
        <v>0</v>
      </c>
      <c r="R93" s="65">
        <f>SUM(A:B!R84)</f>
        <v>0</v>
      </c>
      <c r="S93" s="65">
        <f>SUM(A:B!S84)</f>
        <v>0</v>
      </c>
      <c r="T93" s="65">
        <f>SUM(A:B!T84)</f>
        <v>0</v>
      </c>
      <c r="U93" s="65">
        <f>SUM(A:B!U84)</f>
        <v>0</v>
      </c>
      <c r="V93" s="11">
        <f t="shared" ref="V93:V106" si="28">SUM(J93:U93)</f>
        <v>0</v>
      </c>
      <c r="W93" s="73">
        <f t="shared" si="21"/>
        <v>0</v>
      </c>
      <c r="X93" s="89"/>
      <c r="Y93" s="65">
        <f>SUM(A:B!Y84)</f>
        <v>0</v>
      </c>
      <c r="Z93" s="65">
        <f>SUM(A:B!Z84)</f>
        <v>0</v>
      </c>
      <c r="AA93" s="65">
        <f>SUM(A:B!AA84)</f>
        <v>0</v>
      </c>
      <c r="AB93" s="65">
        <f>SUM(A:B!AB84)</f>
        <v>0</v>
      </c>
      <c r="AC93" s="65">
        <f>SUM(A:B!AC84)</f>
        <v>0</v>
      </c>
      <c r="AD93" s="65">
        <f>SUM(A:B!AD84)</f>
        <v>0</v>
      </c>
      <c r="AE93" s="65">
        <f>SUM(A:B!AE84)</f>
        <v>0</v>
      </c>
      <c r="AF93" s="65">
        <f>SUM(A:B!AF84)</f>
        <v>0</v>
      </c>
      <c r="AG93" s="65">
        <f>SUM(A:B!AG84)</f>
        <v>0</v>
      </c>
      <c r="AH93" s="65">
        <f>SUM(A:B!AH84)</f>
        <v>0</v>
      </c>
      <c r="AI93" s="65">
        <f>SUM(A:B!AI84)</f>
        <v>0</v>
      </c>
      <c r="AJ93" s="65">
        <f>SUM(A:B!AJ84)</f>
        <v>0</v>
      </c>
      <c r="AK93" s="65">
        <f t="shared" si="27"/>
        <v>0</v>
      </c>
      <c r="AL93" s="73">
        <f t="shared" si="22"/>
        <v>0</v>
      </c>
      <c r="AM93" s="14">
        <f t="shared" si="6"/>
        <v>0</v>
      </c>
      <c r="AN93" s="89"/>
      <c r="AO93" s="263">
        <v>0</v>
      </c>
      <c r="AP93" s="200">
        <v>0</v>
      </c>
      <c r="AQ93" s="184">
        <v>0</v>
      </c>
    </row>
    <row r="94" spans="1:43" ht="15" customHeight="1" outlineLevel="1">
      <c r="A94" s="12" t="s">
        <v>191</v>
      </c>
      <c r="B94" s="8" t="s">
        <v>101</v>
      </c>
      <c r="I94" s="228" t="s">
        <v>205</v>
      </c>
      <c r="J94" s="65">
        <f>SUM(A:B!J85)</f>
        <v>0</v>
      </c>
      <c r="K94" s="65">
        <f>SUM(A:B!K85)</f>
        <v>0</v>
      </c>
      <c r="L94" s="65">
        <f>SUM(A:B!L85)</f>
        <v>0</v>
      </c>
      <c r="M94" s="65">
        <f>SUM(A:B!M85)</f>
        <v>0</v>
      </c>
      <c r="N94" s="65">
        <f>SUM(A:B!N85)</f>
        <v>0</v>
      </c>
      <c r="O94" s="65">
        <f>SUM(A:B!O85)</f>
        <v>0</v>
      </c>
      <c r="P94" s="65">
        <f>SUM(A:B!P85)</f>
        <v>0</v>
      </c>
      <c r="Q94" s="65">
        <f>SUM(A:B!Q85)</f>
        <v>0</v>
      </c>
      <c r="R94" s="65">
        <f>SUM(A:B!R85)</f>
        <v>0</v>
      </c>
      <c r="S94" s="65">
        <f>SUM(A:B!S85)</f>
        <v>0</v>
      </c>
      <c r="T94" s="65">
        <f>SUM(A:B!T85)</f>
        <v>0</v>
      </c>
      <c r="U94" s="65">
        <f>SUM(A:B!U85)</f>
        <v>0</v>
      </c>
      <c r="V94" s="11">
        <f t="shared" si="28"/>
        <v>0</v>
      </c>
      <c r="W94" s="73">
        <f t="shared" si="21"/>
        <v>0</v>
      </c>
      <c r="X94" s="89"/>
      <c r="Y94" s="65">
        <f>SUM(A:B!Y85)</f>
        <v>0</v>
      </c>
      <c r="Z94" s="65">
        <f>SUM(A:B!Z85)</f>
        <v>0</v>
      </c>
      <c r="AA94" s="65">
        <f>SUM(A:B!AA85)</f>
        <v>0</v>
      </c>
      <c r="AB94" s="65">
        <f>SUM(A:B!AB85)</f>
        <v>0</v>
      </c>
      <c r="AC94" s="65">
        <f>SUM(A:B!AC85)</f>
        <v>0</v>
      </c>
      <c r="AD94" s="65">
        <f>SUM(A:B!AD85)</f>
        <v>0</v>
      </c>
      <c r="AE94" s="65">
        <f>SUM(A:B!AE85)</f>
        <v>0</v>
      </c>
      <c r="AF94" s="65">
        <f>SUM(A:B!AF85)</f>
        <v>0</v>
      </c>
      <c r="AG94" s="65">
        <f>SUM(A:B!AG85)</f>
        <v>0</v>
      </c>
      <c r="AH94" s="65">
        <f>SUM(A:B!AH85)</f>
        <v>0</v>
      </c>
      <c r="AI94" s="65">
        <f>SUM(A:B!AI85)</f>
        <v>0</v>
      </c>
      <c r="AJ94" s="65">
        <f>SUM(A:B!AJ85)</f>
        <v>0</v>
      </c>
      <c r="AK94" s="65">
        <f t="shared" si="27"/>
        <v>0</v>
      </c>
      <c r="AL94" s="73">
        <f t="shared" si="22"/>
        <v>0</v>
      </c>
      <c r="AM94" s="14">
        <f t="shared" si="6"/>
        <v>0</v>
      </c>
      <c r="AN94" s="89"/>
      <c r="AO94" s="263">
        <v>59555332.559999987</v>
      </c>
      <c r="AP94" s="200">
        <v>1.3511944938739317E-2</v>
      </c>
      <c r="AQ94" s="184">
        <v>0.50787991782567876</v>
      </c>
    </row>
    <row r="95" spans="1:43" ht="15" customHeight="1" outlineLevel="1">
      <c r="A95" s="12" t="s">
        <v>191</v>
      </c>
      <c r="B95" s="8" t="s">
        <v>101</v>
      </c>
      <c r="I95" s="228" t="s">
        <v>206</v>
      </c>
      <c r="J95" s="65">
        <f>SUM(A:B!J86)</f>
        <v>0</v>
      </c>
      <c r="K95" s="65">
        <f>SUM(A:B!K86)</f>
        <v>0</v>
      </c>
      <c r="L95" s="65">
        <f>SUM(A:B!L86)</f>
        <v>0</v>
      </c>
      <c r="M95" s="65">
        <f>SUM(A:B!M86)</f>
        <v>0</v>
      </c>
      <c r="N95" s="65">
        <f>SUM(A:B!N86)</f>
        <v>0</v>
      </c>
      <c r="O95" s="65">
        <f>SUM(A:B!O86)</f>
        <v>0</v>
      </c>
      <c r="P95" s="65">
        <f>SUM(A:B!P86)</f>
        <v>0</v>
      </c>
      <c r="Q95" s="65">
        <f>SUM(A:B!Q86)</f>
        <v>0</v>
      </c>
      <c r="R95" s="65">
        <f>SUM(A:B!R86)</f>
        <v>0</v>
      </c>
      <c r="S95" s="65">
        <f>SUM(A:B!S86)</f>
        <v>0</v>
      </c>
      <c r="T95" s="65">
        <f>SUM(A:B!T86)</f>
        <v>0</v>
      </c>
      <c r="U95" s="65">
        <f>SUM(A:B!U86)</f>
        <v>0</v>
      </c>
      <c r="V95" s="11">
        <f t="shared" si="28"/>
        <v>0</v>
      </c>
      <c r="W95" s="73">
        <f t="shared" si="21"/>
        <v>0</v>
      </c>
      <c r="X95" s="89"/>
      <c r="Y95" s="65">
        <f>SUM(A:B!Y86)</f>
        <v>0</v>
      </c>
      <c r="Z95" s="65">
        <f>SUM(A:B!Z86)</f>
        <v>0</v>
      </c>
      <c r="AA95" s="65">
        <f>SUM(A:B!AA86)</f>
        <v>0</v>
      </c>
      <c r="AB95" s="65">
        <f>SUM(A:B!AB86)</f>
        <v>0</v>
      </c>
      <c r="AC95" s="65">
        <f>SUM(A:B!AC86)</f>
        <v>0</v>
      </c>
      <c r="AD95" s="65">
        <f>SUM(A:B!AD86)</f>
        <v>0</v>
      </c>
      <c r="AE95" s="65">
        <f>SUM(A:B!AE86)</f>
        <v>0</v>
      </c>
      <c r="AF95" s="65">
        <f>SUM(A:B!AF86)</f>
        <v>0</v>
      </c>
      <c r="AG95" s="65">
        <f>SUM(A:B!AG86)</f>
        <v>0</v>
      </c>
      <c r="AH95" s="65">
        <f>SUM(A:B!AH86)</f>
        <v>0</v>
      </c>
      <c r="AI95" s="65">
        <f>SUM(A:B!AI86)</f>
        <v>0</v>
      </c>
      <c r="AJ95" s="65">
        <f>SUM(A:B!AJ86)</f>
        <v>0</v>
      </c>
      <c r="AK95" s="65">
        <f t="shared" si="27"/>
        <v>0</v>
      </c>
      <c r="AL95" s="73">
        <f t="shared" si="22"/>
        <v>0</v>
      </c>
      <c r="AM95" s="14">
        <f t="shared" ref="AM95:AM159" si="29">IFERROR(AK95/V95-1,0)</f>
        <v>0</v>
      </c>
      <c r="AN95" s="89"/>
      <c r="AO95" s="263">
        <v>0</v>
      </c>
      <c r="AP95" s="200">
        <v>0</v>
      </c>
      <c r="AQ95" s="184">
        <v>-1</v>
      </c>
    </row>
    <row r="96" spans="1:43" ht="15" customHeight="1" outlineLevel="1">
      <c r="A96" s="12" t="s">
        <v>191</v>
      </c>
      <c r="B96" s="8" t="s">
        <v>101</v>
      </c>
      <c r="I96" s="228" t="s">
        <v>207</v>
      </c>
      <c r="J96" s="65">
        <f>SUM(A:B!J87)</f>
        <v>0</v>
      </c>
      <c r="K96" s="65">
        <f>SUM(A:B!K87)</f>
        <v>0</v>
      </c>
      <c r="L96" s="65">
        <f>SUM(A:B!L87)</f>
        <v>0</v>
      </c>
      <c r="M96" s="65">
        <f>SUM(A:B!M87)</f>
        <v>0</v>
      </c>
      <c r="N96" s="65">
        <f>SUM(A:B!N87)</f>
        <v>0</v>
      </c>
      <c r="O96" s="65">
        <f>SUM(A:B!O87)</f>
        <v>0</v>
      </c>
      <c r="P96" s="65">
        <f>SUM(A:B!P87)</f>
        <v>0</v>
      </c>
      <c r="Q96" s="65">
        <f>SUM(A:B!Q87)</f>
        <v>0</v>
      </c>
      <c r="R96" s="65">
        <f>SUM(A:B!R87)</f>
        <v>0</v>
      </c>
      <c r="S96" s="65">
        <f>SUM(A:B!S87)</f>
        <v>76960</v>
      </c>
      <c r="T96" s="65">
        <f>SUM(A:B!T87)</f>
        <v>0</v>
      </c>
      <c r="U96" s="65">
        <f>SUM(A:B!U87)</f>
        <v>0</v>
      </c>
      <c r="V96" s="11">
        <f t="shared" si="28"/>
        <v>76960</v>
      </c>
      <c r="W96" s="73">
        <f t="shared" si="21"/>
        <v>3.4376642547226307E-4</v>
      </c>
      <c r="X96" s="89"/>
      <c r="Y96" s="65">
        <f>SUM(A:B!Y87)</f>
        <v>0</v>
      </c>
      <c r="Z96" s="65">
        <f>SUM(A:B!Z87)</f>
        <v>0</v>
      </c>
      <c r="AA96" s="65">
        <f>SUM(A:B!AA87)</f>
        <v>0</v>
      </c>
      <c r="AB96" s="65">
        <f>SUM(A:B!AB87)</f>
        <v>0</v>
      </c>
      <c r="AC96" s="65">
        <f>SUM(A:B!AC87)</f>
        <v>0</v>
      </c>
      <c r="AD96" s="65">
        <f>SUM(A:B!AD87)</f>
        <v>0</v>
      </c>
      <c r="AE96" s="65">
        <f>SUM(A:B!AE87)</f>
        <v>0</v>
      </c>
      <c r="AF96" s="65">
        <f>SUM(A:B!AF87)</f>
        <v>0</v>
      </c>
      <c r="AG96" s="65">
        <f>SUM(A:B!AG87)</f>
        <v>91192.309999999983</v>
      </c>
      <c r="AH96" s="65">
        <f>SUM(A:B!AH87)</f>
        <v>0</v>
      </c>
      <c r="AI96" s="65">
        <f>SUM(A:B!AI87)</f>
        <v>0</v>
      </c>
      <c r="AJ96" s="65">
        <f>SUM(A:B!AJ87)</f>
        <v>0</v>
      </c>
      <c r="AK96" s="65">
        <f t="shared" si="27"/>
        <v>91192.309999999983</v>
      </c>
      <c r="AL96" s="73">
        <f t="shared" si="22"/>
        <v>3.6369176209574022E-4</v>
      </c>
      <c r="AM96" s="14">
        <f t="shared" si="29"/>
        <v>0.18493126299376272</v>
      </c>
      <c r="AN96" s="89"/>
      <c r="AO96" s="263">
        <v>0</v>
      </c>
      <c r="AP96" s="200">
        <v>0</v>
      </c>
      <c r="AQ96" s="184">
        <v>-1</v>
      </c>
    </row>
    <row r="97" spans="1:43">
      <c r="A97" s="12" t="s">
        <v>208</v>
      </c>
      <c r="B97" s="8" t="s">
        <v>101</v>
      </c>
      <c r="I97" s="228" t="s">
        <v>209</v>
      </c>
      <c r="J97" s="65">
        <f>SUM(A:B!J88)</f>
        <v>0</v>
      </c>
      <c r="K97" s="65">
        <f>SUM(A:B!K88)</f>
        <v>0</v>
      </c>
      <c r="L97" s="65">
        <f>SUM(A:B!L88)</f>
        <v>0</v>
      </c>
      <c r="M97" s="65">
        <f>SUM(A:B!M88)</f>
        <v>0</v>
      </c>
      <c r="N97" s="65">
        <f>SUM(A:B!N88)</f>
        <v>0</v>
      </c>
      <c r="O97" s="65">
        <f>SUM(A:B!O88)</f>
        <v>0</v>
      </c>
      <c r="P97" s="65">
        <f>SUM(A:B!P88)</f>
        <v>0</v>
      </c>
      <c r="Q97" s="65">
        <f>SUM(A:B!Q88)</f>
        <v>5772</v>
      </c>
      <c r="R97" s="65">
        <f>SUM(A:B!R88)</f>
        <v>0</v>
      </c>
      <c r="S97" s="65">
        <f>SUM(A:B!S88)</f>
        <v>0</v>
      </c>
      <c r="T97" s="65">
        <f>SUM(A:B!T88)</f>
        <v>1418.56</v>
      </c>
      <c r="U97" s="65">
        <f>SUM(A:B!U88)</f>
        <v>92892.800000000003</v>
      </c>
      <c r="V97" s="11">
        <f t="shared" si="28"/>
        <v>100083.36</v>
      </c>
      <c r="W97" s="73">
        <f t="shared" si="21"/>
        <v>4.4705429984996978E-4</v>
      </c>
      <c r="X97" s="89"/>
      <c r="Y97" s="65">
        <f>SUM(A:B!Y88)</f>
        <v>0</v>
      </c>
      <c r="Z97" s="65">
        <f>SUM(A:B!Z88)</f>
        <v>0</v>
      </c>
      <c r="AA97" s="65">
        <f>SUM(A:B!AA88)</f>
        <v>0</v>
      </c>
      <c r="AB97" s="65">
        <f>SUM(A:B!AB88)</f>
        <v>0</v>
      </c>
      <c r="AC97" s="65">
        <f>SUM(A:B!AC88)</f>
        <v>8280.7999999999993</v>
      </c>
      <c r="AD97" s="65">
        <f>SUM(A:B!AD88)</f>
        <v>8280.7999999999993</v>
      </c>
      <c r="AE97" s="65">
        <f>SUM(A:B!AE88)</f>
        <v>0</v>
      </c>
      <c r="AF97" s="65">
        <f>SUM(A:B!AF88)</f>
        <v>8280.7999999999993</v>
      </c>
      <c r="AG97" s="65">
        <f>SUM(A:B!AG88)</f>
        <v>0</v>
      </c>
      <c r="AH97" s="65">
        <f>SUM(A:B!AH88)</f>
        <v>2649.8559999999998</v>
      </c>
      <c r="AI97" s="65">
        <f>SUM(A:B!AI88)</f>
        <v>1656.1599999999999</v>
      </c>
      <c r="AJ97" s="65">
        <f>SUM(A:B!AJ88)</f>
        <v>56309.439999999995</v>
      </c>
      <c r="AK97" s="65">
        <f t="shared" si="27"/>
        <v>85457.856</v>
      </c>
      <c r="AL97" s="73">
        <f t="shared" si="22"/>
        <v>3.4082170123296617E-4</v>
      </c>
      <c r="AM97" s="14">
        <f t="shared" si="29"/>
        <v>-0.14613322334501955</v>
      </c>
      <c r="AN97" s="89"/>
      <c r="AO97" s="263">
        <v>15763374.583692413</v>
      </c>
      <c r="AP97" s="200">
        <v>3.5764026539351545E-3</v>
      </c>
      <c r="AQ97" s="184">
        <v>0.17030664789238292</v>
      </c>
    </row>
    <row r="98" spans="1:43" ht="15" customHeight="1" outlineLevel="1">
      <c r="A98" s="12" t="s">
        <v>208</v>
      </c>
      <c r="B98" s="8" t="s">
        <v>101</v>
      </c>
      <c r="I98" s="228" t="s">
        <v>210</v>
      </c>
      <c r="J98" s="65">
        <f>SUM(A:B!J89)</f>
        <v>0</v>
      </c>
      <c r="K98" s="65">
        <f>SUM(A:B!K89)</f>
        <v>0</v>
      </c>
      <c r="L98" s="65">
        <f>SUM(A:B!L89)</f>
        <v>0</v>
      </c>
      <c r="M98" s="65">
        <f>SUM(A:B!M89)</f>
        <v>0</v>
      </c>
      <c r="N98" s="65">
        <f>SUM(A:B!N89)</f>
        <v>0</v>
      </c>
      <c r="O98" s="65">
        <f>SUM(A:B!O89)</f>
        <v>0</v>
      </c>
      <c r="P98" s="65">
        <f>SUM(A:B!P89)</f>
        <v>0</v>
      </c>
      <c r="Q98" s="65">
        <f>SUM(A:B!Q89)</f>
        <v>0</v>
      </c>
      <c r="R98" s="65">
        <f>SUM(A:B!R89)</f>
        <v>0</v>
      </c>
      <c r="S98" s="65">
        <f>SUM(A:B!S89)</f>
        <v>0</v>
      </c>
      <c r="T98" s="65">
        <f>SUM(A:B!T89)</f>
        <v>0</v>
      </c>
      <c r="U98" s="65">
        <f>SUM(A:B!U89)</f>
        <v>0</v>
      </c>
      <c r="V98" s="11">
        <f t="shared" si="28"/>
        <v>0</v>
      </c>
      <c r="W98" s="73">
        <f t="shared" si="21"/>
        <v>0</v>
      </c>
      <c r="X98" s="89"/>
      <c r="Y98" s="65">
        <f>SUM(A:B!Y89)</f>
        <v>0</v>
      </c>
      <c r="Z98" s="65">
        <f>SUM(A:B!Z89)</f>
        <v>0</v>
      </c>
      <c r="AA98" s="65">
        <f>SUM(A:B!AA89)</f>
        <v>0</v>
      </c>
      <c r="AB98" s="65">
        <f>SUM(A:B!AB89)</f>
        <v>0</v>
      </c>
      <c r="AC98" s="65">
        <f>SUM(A:B!AC89)</f>
        <v>0</v>
      </c>
      <c r="AD98" s="65">
        <f>SUM(A:B!AD89)</f>
        <v>0</v>
      </c>
      <c r="AE98" s="65">
        <f>SUM(A:B!AE89)</f>
        <v>0</v>
      </c>
      <c r="AF98" s="65">
        <f>SUM(A:B!AF89)</f>
        <v>0</v>
      </c>
      <c r="AG98" s="65">
        <f>SUM(A:B!AG89)</f>
        <v>0</v>
      </c>
      <c r="AH98" s="65">
        <f>SUM(A:B!AH89)</f>
        <v>0</v>
      </c>
      <c r="AI98" s="65">
        <f>SUM(A:B!AI89)</f>
        <v>0</v>
      </c>
      <c r="AJ98" s="65">
        <f>SUM(A:B!AJ89)</f>
        <v>0</v>
      </c>
      <c r="AK98" s="65">
        <f t="shared" si="27"/>
        <v>0</v>
      </c>
      <c r="AL98" s="73">
        <f t="shared" si="22"/>
        <v>0</v>
      </c>
      <c r="AM98" s="14">
        <f t="shared" si="29"/>
        <v>0</v>
      </c>
      <c r="AN98" s="89"/>
      <c r="AO98" s="263">
        <v>3588441.5412978469</v>
      </c>
      <c r="AP98" s="73">
        <v>8.1414749003462473E-4</v>
      </c>
      <c r="AQ98" s="184">
        <v>0.51951629344672323</v>
      </c>
    </row>
    <row r="99" spans="1:43" ht="15" customHeight="1" outlineLevel="1">
      <c r="A99" s="12" t="s">
        <v>208</v>
      </c>
      <c r="B99" s="8" t="s">
        <v>101</v>
      </c>
      <c r="I99" s="228" t="s">
        <v>211</v>
      </c>
      <c r="J99" s="65">
        <f>SUM(A:B!J90)</f>
        <v>0</v>
      </c>
      <c r="K99" s="65">
        <f>SUM(A:B!K90)</f>
        <v>0</v>
      </c>
      <c r="L99" s="65">
        <f>SUM(A:B!L90)</f>
        <v>0</v>
      </c>
      <c r="M99" s="65">
        <f>SUM(A:B!M90)</f>
        <v>0</v>
      </c>
      <c r="N99" s="65">
        <f>SUM(A:B!N90)</f>
        <v>0</v>
      </c>
      <c r="O99" s="65">
        <f>SUM(A:B!O90)</f>
        <v>0</v>
      </c>
      <c r="P99" s="65">
        <f>SUM(A:B!P90)</f>
        <v>0</v>
      </c>
      <c r="Q99" s="65">
        <f>SUM(A:B!Q90)</f>
        <v>0</v>
      </c>
      <c r="R99" s="65">
        <f>SUM(A:B!R90)</f>
        <v>0</v>
      </c>
      <c r="S99" s="65">
        <f>SUM(A:B!S90)</f>
        <v>0</v>
      </c>
      <c r="T99" s="65">
        <f>SUM(A:B!T90)</f>
        <v>0</v>
      </c>
      <c r="U99" s="65">
        <f>SUM(A:B!U90)</f>
        <v>0</v>
      </c>
      <c r="V99" s="11">
        <f t="shared" si="28"/>
        <v>0</v>
      </c>
      <c r="W99" s="73">
        <f t="shared" si="21"/>
        <v>0</v>
      </c>
      <c r="X99" s="89"/>
      <c r="Y99" s="65">
        <f>SUM(A:B!Y90)</f>
        <v>0</v>
      </c>
      <c r="Z99" s="65">
        <f>SUM(A:B!Z90)</f>
        <v>0</v>
      </c>
      <c r="AA99" s="65">
        <f>SUM(A:B!AA90)</f>
        <v>0</v>
      </c>
      <c r="AB99" s="65">
        <f>SUM(A:B!AB90)</f>
        <v>0</v>
      </c>
      <c r="AC99" s="65">
        <f>SUM(A:B!AC90)</f>
        <v>0</v>
      </c>
      <c r="AD99" s="65">
        <f>SUM(A:B!AD90)</f>
        <v>0</v>
      </c>
      <c r="AE99" s="65">
        <f>SUM(A:B!AE90)</f>
        <v>0</v>
      </c>
      <c r="AF99" s="65">
        <f>SUM(A:B!AF90)</f>
        <v>0</v>
      </c>
      <c r="AG99" s="65">
        <f>SUM(A:B!AG90)</f>
        <v>0</v>
      </c>
      <c r="AH99" s="65">
        <f>SUM(A:B!AH90)</f>
        <v>0</v>
      </c>
      <c r="AI99" s="65">
        <f>SUM(A:B!AI90)</f>
        <v>0</v>
      </c>
      <c r="AJ99" s="65">
        <f>SUM(A:B!AJ90)</f>
        <v>0</v>
      </c>
      <c r="AK99" s="65">
        <f t="shared" si="27"/>
        <v>0</v>
      </c>
      <c r="AL99" s="73">
        <f t="shared" si="22"/>
        <v>0</v>
      </c>
      <c r="AM99" s="14">
        <f t="shared" si="29"/>
        <v>0</v>
      </c>
      <c r="AN99" s="89"/>
      <c r="AO99" s="263">
        <v>4178733.4633328668</v>
      </c>
      <c r="AP99" s="73">
        <v>9.4807322943477415E-4</v>
      </c>
      <c r="AQ99" s="184">
        <v>0.81448847435825922</v>
      </c>
    </row>
    <row r="100" spans="1:43" ht="15" customHeight="1" outlineLevel="1">
      <c r="A100" s="12" t="s">
        <v>208</v>
      </c>
      <c r="B100" s="8" t="s">
        <v>101</v>
      </c>
      <c r="I100" s="228" t="s">
        <v>212</v>
      </c>
      <c r="J100" s="65">
        <f>SUM(A:B!J91)</f>
        <v>572627</v>
      </c>
      <c r="K100" s="65">
        <f>SUM(A:B!K91)</f>
        <v>519516</v>
      </c>
      <c r="L100" s="65">
        <f>SUM(A:B!L91)</f>
        <v>569185</v>
      </c>
      <c r="M100" s="65">
        <f>SUM(A:B!M91)</f>
        <v>487941</v>
      </c>
      <c r="N100" s="65">
        <f>SUM(A:B!N91)</f>
        <v>447884</v>
      </c>
      <c r="O100" s="65">
        <f>SUM(A:B!O91)</f>
        <v>469573</v>
      </c>
      <c r="P100" s="65">
        <f>SUM(A:B!P91)</f>
        <v>447601</v>
      </c>
      <c r="Q100" s="65">
        <f>SUM(A:B!Q91)</f>
        <v>432809</v>
      </c>
      <c r="R100" s="65">
        <f>SUM(A:B!R91)</f>
        <v>490473</v>
      </c>
      <c r="S100" s="65">
        <f>SUM(A:B!S91)</f>
        <v>473907</v>
      </c>
      <c r="T100" s="65">
        <f>SUM(A:B!T91)</f>
        <v>464380.58333333331</v>
      </c>
      <c r="U100" s="65">
        <f>SUM(A:B!U91)</f>
        <v>473356.42361111112</v>
      </c>
      <c r="V100" s="11">
        <f t="shared" si="28"/>
        <v>5849253.006944444</v>
      </c>
      <c r="W100" s="73">
        <f t="shared" si="21"/>
        <v>2.6127557145012706E-2</v>
      </c>
      <c r="X100" s="89"/>
      <c r="Y100" s="65">
        <f>SUM(A:B!Y91)</f>
        <v>528532.22999348002</v>
      </c>
      <c r="Z100" s="65">
        <f>SUM(A:B!Z91)</f>
        <v>466133.45309607714</v>
      </c>
      <c r="AA100" s="65">
        <f>SUM(A:B!AA91)</f>
        <v>509870.56015889149</v>
      </c>
      <c r="AB100" s="65">
        <f>SUM(A:B!AB91)</f>
        <v>481779.33348528674</v>
      </c>
      <c r="AC100" s="65">
        <f>SUM(A:B!AC91)</f>
        <v>509870.56015889149</v>
      </c>
      <c r="AD100" s="65">
        <f>SUM(A:B!AD91)</f>
        <v>481779.33348528674</v>
      </c>
      <c r="AE100" s="65">
        <f>SUM(A:B!AE91)</f>
        <v>496358.36917289149</v>
      </c>
      <c r="AF100" s="65">
        <f>SUM(A:B!AF91)</f>
        <v>496358.36917289149</v>
      </c>
      <c r="AG100" s="65">
        <f>SUM(A:B!AG91)</f>
        <v>495291.52447128674</v>
      </c>
      <c r="AH100" s="65">
        <f>SUM(A:B!AH91)</f>
        <v>496358.36917289149</v>
      </c>
      <c r="AI100" s="65">
        <f>SUM(A:B!AI91)</f>
        <v>495291.52447128674</v>
      </c>
      <c r="AJ100" s="65">
        <f>SUM(A:B!AJ91)</f>
        <v>509870.56015889149</v>
      </c>
      <c r="AK100" s="65">
        <f t="shared" si="27"/>
        <v>5967494.1869980535</v>
      </c>
      <c r="AL100" s="73">
        <f t="shared" si="22"/>
        <v>2.3799468136791461E-2</v>
      </c>
      <c r="AM100" s="14">
        <f t="shared" si="29"/>
        <v>2.0214748774455282E-2</v>
      </c>
      <c r="AN100" s="89"/>
      <c r="AO100" s="263">
        <v>7940461.2533137016</v>
      </c>
      <c r="AP100" s="73">
        <v>1.8015359940249782E-3</v>
      </c>
      <c r="AQ100" s="184">
        <v>0.20347278525287282</v>
      </c>
    </row>
    <row r="101" spans="1:43" ht="15" customHeight="1" outlineLevel="1">
      <c r="A101" s="12" t="s">
        <v>208</v>
      </c>
      <c r="B101" s="8" t="s">
        <v>101</v>
      </c>
      <c r="I101" s="228" t="s">
        <v>213</v>
      </c>
      <c r="J101" s="65">
        <f>SUM(A:B!J92)</f>
        <v>16736</v>
      </c>
      <c r="K101" s="65">
        <f>SUM(A:B!K92)</f>
        <v>14901</v>
      </c>
      <c r="L101" s="65">
        <f>SUM(A:B!L92)</f>
        <v>16005</v>
      </c>
      <c r="M101" s="65">
        <f>SUM(A:B!M92)</f>
        <v>13919</v>
      </c>
      <c r="N101" s="65">
        <f>SUM(A:B!N92)</f>
        <v>12304</v>
      </c>
      <c r="O101" s="65">
        <f>SUM(A:B!O92)</f>
        <v>13178</v>
      </c>
      <c r="P101" s="65">
        <f>SUM(A:B!P92)</f>
        <v>12860</v>
      </c>
      <c r="Q101" s="65">
        <f>SUM(A:B!Q92)</f>
        <v>13080</v>
      </c>
      <c r="R101" s="65">
        <f>SUM(A:B!R92)</f>
        <v>13298</v>
      </c>
      <c r="S101" s="65">
        <f>SUM(A:B!S92)</f>
        <v>13610</v>
      </c>
      <c r="T101" s="65">
        <f>SUM(A:B!T92)</f>
        <v>13538.25</v>
      </c>
      <c r="U101" s="65">
        <f>SUM(A:B!U92)</f>
        <v>13333.895833333334</v>
      </c>
      <c r="V101" s="11">
        <f t="shared" si="28"/>
        <v>166763.14583333334</v>
      </c>
      <c r="W101" s="73">
        <f t="shared" si="21"/>
        <v>7.4490086465221837E-4</v>
      </c>
      <c r="X101" s="89"/>
      <c r="Y101" s="65">
        <f>SUM(A:B!Y92)</f>
        <v>15059.300885136985</v>
      </c>
      <c r="Z101" s="65">
        <f>SUM(A:B!Z92)</f>
        <v>12956.895466027399</v>
      </c>
      <c r="AA101" s="65">
        <f>SUM(A:B!AA92)</f>
        <v>14345.134265958903</v>
      </c>
      <c r="AB101" s="65">
        <f>SUM(A:B!AB92)</f>
        <v>13882.387999315069</v>
      </c>
      <c r="AC101" s="65">
        <f>SUM(A:B!AC92)</f>
        <v>14345.134265958903</v>
      </c>
      <c r="AD101" s="65">
        <f>SUM(A:B!AD92)</f>
        <v>13882.387999315069</v>
      </c>
      <c r="AE101" s="65">
        <f>SUM(A:B!AE92)</f>
        <v>14345.134265958903</v>
      </c>
      <c r="AF101" s="65">
        <f>SUM(A:B!AF92)</f>
        <v>14345.134265958903</v>
      </c>
      <c r="AG101" s="65">
        <f>SUM(A:B!AG92)</f>
        <v>13882.387999315069</v>
      </c>
      <c r="AH101" s="65">
        <f>SUM(A:B!AH92)</f>
        <v>14345.134265958903</v>
      </c>
      <c r="AI101" s="65">
        <f>SUM(A:B!AI92)</f>
        <v>13882.387999315069</v>
      </c>
      <c r="AJ101" s="65">
        <f>SUM(A:B!AJ92)</f>
        <v>14345.134265958903</v>
      </c>
      <c r="AK101" s="65">
        <f t="shared" si="27"/>
        <v>169616.5539441781</v>
      </c>
      <c r="AL101" s="73">
        <f t="shared" si="22"/>
        <v>6.7646212037577864E-4</v>
      </c>
      <c r="AM101" s="14">
        <f t="shared" si="29"/>
        <v>1.7110543799026878E-2</v>
      </c>
      <c r="AN101" s="89"/>
      <c r="AO101" s="263">
        <v>55738.325748000025</v>
      </c>
      <c r="AP101" s="73">
        <v>1.2645940440778095E-5</v>
      </c>
      <c r="AQ101" s="184">
        <v>-0.97474398818965813</v>
      </c>
    </row>
    <row r="102" spans="1:43">
      <c r="A102" s="12" t="s">
        <v>214</v>
      </c>
      <c r="B102" s="8" t="s">
        <v>101</v>
      </c>
      <c r="C102" s="8" t="s">
        <v>91</v>
      </c>
      <c r="I102" s="228" t="s">
        <v>215</v>
      </c>
      <c r="J102" s="65">
        <f>SUM(A:B!J93)</f>
        <v>19800</v>
      </c>
      <c r="K102" s="65">
        <f>SUM(A:B!K93)</f>
        <v>29407</v>
      </c>
      <c r="L102" s="65">
        <f>SUM(A:B!L93)</f>
        <v>37315</v>
      </c>
      <c r="M102" s="65">
        <f>SUM(A:B!M93)</f>
        <v>53806</v>
      </c>
      <c r="N102" s="65">
        <f>SUM(A:B!N93)</f>
        <v>53059</v>
      </c>
      <c r="O102" s="65">
        <f>SUM(A:B!O93)</f>
        <v>41042</v>
      </c>
      <c r="P102" s="65">
        <f>SUM(A:B!P93)</f>
        <v>40487</v>
      </c>
      <c r="Q102" s="65">
        <f>SUM(A:B!Q93)</f>
        <v>29123</v>
      </c>
      <c r="R102" s="65">
        <f>SUM(A:B!R93)</f>
        <v>45725</v>
      </c>
      <c r="S102" s="65">
        <f>SUM(A:B!S93)</f>
        <v>55018</v>
      </c>
      <c r="T102" s="65">
        <f>SUM(A:B!T93)</f>
        <v>41949.583333333328</v>
      </c>
      <c r="U102" s="65">
        <f>SUM(A:B!U93)</f>
        <v>46787.006944444445</v>
      </c>
      <c r="V102" s="11">
        <f t="shared" si="28"/>
        <v>493518.59027777775</v>
      </c>
      <c r="W102" s="73">
        <f t="shared" si="21"/>
        <v>2.2044584418386436E-3</v>
      </c>
      <c r="X102" s="89"/>
      <c r="Y102" s="65">
        <f>SUM(A:B!Y93)</f>
        <v>44408.26285714285</v>
      </c>
      <c r="Z102" s="65">
        <f>SUM(A:B!Z93)</f>
        <v>44408.26285714285</v>
      </c>
      <c r="AA102" s="65">
        <f>SUM(A:B!AA93)</f>
        <v>44408.26285714285</v>
      </c>
      <c r="AB102" s="65">
        <f>SUM(A:B!AB93)</f>
        <v>44408.26285714285</v>
      </c>
      <c r="AC102" s="65">
        <f>SUM(A:B!AC93)</f>
        <v>44408.26285714285</v>
      </c>
      <c r="AD102" s="65">
        <f>SUM(A:B!AD93)</f>
        <v>44408.26285714285</v>
      </c>
      <c r="AE102" s="65">
        <f>SUM(A:B!AE93)</f>
        <v>44408.26285714285</v>
      </c>
      <c r="AF102" s="65">
        <f>SUM(A:B!AF93)</f>
        <v>44408.26285714285</v>
      </c>
      <c r="AG102" s="65">
        <f>SUM(A:B!AG93)</f>
        <v>44408.26285714285</v>
      </c>
      <c r="AH102" s="65">
        <f>SUM(A:B!AH93)</f>
        <v>44408.26285714285</v>
      </c>
      <c r="AI102" s="65">
        <f>SUM(A:B!AI93)</f>
        <v>44408.26285714285</v>
      </c>
      <c r="AJ102" s="65">
        <f>SUM(A:B!AJ93)</f>
        <v>44408.26285714285</v>
      </c>
      <c r="AK102" s="65">
        <f t="shared" si="27"/>
        <v>532899.15428571415</v>
      </c>
      <c r="AL102" s="73">
        <f t="shared" si="22"/>
        <v>2.1253001754369546E-3</v>
      </c>
      <c r="AM102" s="14">
        <f t="shared" si="29"/>
        <v>7.9795502709981037E-2</v>
      </c>
      <c r="AN102" s="89"/>
      <c r="AO102" s="263">
        <v>17625022.109925203</v>
      </c>
      <c r="AP102" s="72">
        <v>3.9987742164556963E-3</v>
      </c>
      <c r="AQ102" s="184">
        <v>0.23759561984138577</v>
      </c>
    </row>
    <row r="103" spans="1:43" ht="15" customHeight="1" outlineLevel="1">
      <c r="A103" s="12" t="s">
        <v>214</v>
      </c>
      <c r="B103" s="8" t="s">
        <v>101</v>
      </c>
      <c r="I103" s="228" t="s">
        <v>216</v>
      </c>
      <c r="J103" s="65">
        <f>SUM(A:B!J94)</f>
        <v>18040</v>
      </c>
      <c r="K103" s="65">
        <f>SUM(A:B!K94)</f>
        <v>17183</v>
      </c>
      <c r="L103" s="65">
        <f>SUM(A:B!L94)</f>
        <v>18339</v>
      </c>
      <c r="M103" s="65">
        <f>SUM(A:B!M94)</f>
        <v>0</v>
      </c>
      <c r="N103" s="65">
        <f>SUM(A:B!N94)</f>
        <v>12287</v>
      </c>
      <c r="O103" s="65">
        <f>SUM(A:B!O94)</f>
        <v>0</v>
      </c>
      <c r="P103" s="65">
        <f>SUM(A:B!P94)</f>
        <v>1156</v>
      </c>
      <c r="Q103" s="65">
        <f>SUM(A:B!Q94)</f>
        <v>0</v>
      </c>
      <c r="R103" s="65">
        <f>SUM(A:B!R94)</f>
        <v>13685</v>
      </c>
      <c r="S103" s="65">
        <f>SUM(A:B!S94)</f>
        <v>0</v>
      </c>
      <c r="T103" s="65">
        <f>SUM(A:B!T94)</f>
        <v>4087.75</v>
      </c>
      <c r="U103" s="65">
        <f>SUM(A:B!U94)</f>
        <v>5331.8541666666661</v>
      </c>
      <c r="V103" s="11">
        <f t="shared" si="28"/>
        <v>90109.604166666672</v>
      </c>
      <c r="W103" s="73">
        <f t="shared" si="21"/>
        <v>4.0250333322629347E-4</v>
      </c>
      <c r="X103" s="89"/>
      <c r="Y103" s="65">
        <f>SUM(A:B!Y94)</f>
        <v>14184.889866000001</v>
      </c>
      <c r="Z103" s="65">
        <f>SUM(A:B!Z94)</f>
        <v>13512.190986000001</v>
      </c>
      <c r="AA103" s="65">
        <f>SUM(A:B!AA94)</f>
        <v>13512.190986000001</v>
      </c>
      <c r="AB103" s="65">
        <f>SUM(A:B!AB94)</f>
        <v>0</v>
      </c>
      <c r="AC103" s="65">
        <f>SUM(A:B!AC94)</f>
        <v>13512.190986000001</v>
      </c>
      <c r="AD103" s="65">
        <f>SUM(A:B!AD94)</f>
        <v>0</v>
      </c>
      <c r="AE103" s="65">
        <f>SUM(A:B!AE94)</f>
        <v>0</v>
      </c>
      <c r="AF103" s="65">
        <f>SUM(A:B!AF94)</f>
        <v>0</v>
      </c>
      <c r="AG103" s="65">
        <f>SUM(A:B!AG94)</f>
        <v>13512.190986000001</v>
      </c>
      <c r="AH103" s="65">
        <f>SUM(A:B!AH94)</f>
        <v>0</v>
      </c>
      <c r="AI103" s="65">
        <f>SUM(A:B!AI94)</f>
        <v>13512.190986000001</v>
      </c>
      <c r="AJ103" s="65">
        <f>SUM(A:B!AJ94)</f>
        <v>13512.190986000001</v>
      </c>
      <c r="AK103" s="65">
        <f t="shared" si="27"/>
        <v>95258.035782000006</v>
      </c>
      <c r="AL103" s="73">
        <f t="shared" si="22"/>
        <v>3.7990662685630688E-4</v>
      </c>
      <c r="AM103" s="14">
        <f t="shared" si="29"/>
        <v>5.7135215085517332E-2</v>
      </c>
      <c r="AN103" s="89"/>
      <c r="AO103" s="263">
        <v>637846.60381705395</v>
      </c>
      <c r="AP103" s="73">
        <v>1.4471497042611604E-4</v>
      </c>
      <c r="AQ103" s="179">
        <v>0.26748238072284236</v>
      </c>
    </row>
    <row r="104" spans="1:43" ht="15" customHeight="1" outlineLevel="1">
      <c r="A104" s="12"/>
      <c r="I104" s="228" t="s">
        <v>217</v>
      </c>
      <c r="J104" s="65">
        <f>SUM(A:B!J95)</f>
        <v>23352</v>
      </c>
      <c r="K104" s="65">
        <f>SUM(A:B!K95)</f>
        <v>20698</v>
      </c>
      <c r="L104" s="65">
        <f>SUM(A:B!L95)</f>
        <v>22415</v>
      </c>
      <c r="M104" s="65">
        <f>SUM(A:B!M95)</f>
        <v>18589</v>
      </c>
      <c r="N104" s="65">
        <f>SUM(A:B!N95)</f>
        <v>16779</v>
      </c>
      <c r="O104" s="65">
        <f>SUM(A:B!O95)</f>
        <v>18822</v>
      </c>
      <c r="P104" s="65">
        <f>SUM(A:B!P95)</f>
        <v>17503</v>
      </c>
      <c r="Q104" s="65">
        <f>SUM(A:B!Q95)</f>
        <v>17969</v>
      </c>
      <c r="R104" s="65">
        <f>SUM(A:B!R95)</f>
        <v>18803</v>
      </c>
      <c r="S104" s="65">
        <f>SUM(A:B!S95)</f>
        <v>18417</v>
      </c>
      <c r="T104" s="65">
        <f>SUM(A:B!T95)</f>
        <v>18628.416666666664</v>
      </c>
      <c r="U104" s="65">
        <f>SUM(A:B!U95)</f>
        <v>18420.909722222223</v>
      </c>
      <c r="V104" s="11">
        <f t="shared" si="28"/>
        <v>230396.32638888888</v>
      </c>
      <c r="W104" s="73">
        <f t="shared" si="21"/>
        <v>1.0291387937194538E-3</v>
      </c>
      <c r="X104" s="89"/>
      <c r="Y104" s="65">
        <f>SUM(A:B!Y95)</f>
        <v>20227.652948916002</v>
      </c>
      <c r="Z104" s="65">
        <f>SUM(A:B!Z95)</f>
        <v>18917.0673804</v>
      </c>
      <c r="AA104" s="65">
        <f>SUM(A:B!AA95)</f>
        <v>20943.896028299998</v>
      </c>
      <c r="AB104" s="65">
        <f>SUM(A:B!AB95)</f>
        <v>20268.286478999999</v>
      </c>
      <c r="AC104" s="65">
        <f>SUM(A:B!AC95)</f>
        <v>20943.896028299998</v>
      </c>
      <c r="AD104" s="65">
        <f>SUM(A:B!AD95)</f>
        <v>20268.286478999999</v>
      </c>
      <c r="AE104" s="65">
        <f>SUM(A:B!AE95)</f>
        <v>20943.896028299998</v>
      </c>
      <c r="AF104" s="65">
        <f>SUM(A:B!AF95)</f>
        <v>20943.896028299998</v>
      </c>
      <c r="AG104" s="65">
        <f>SUM(A:B!AG95)</f>
        <v>20268.286478999999</v>
      </c>
      <c r="AH104" s="65">
        <f>SUM(A:B!AH95)</f>
        <v>20943.896028299998</v>
      </c>
      <c r="AI104" s="65">
        <f>SUM(A:B!AI95)</f>
        <v>20268.286478999999</v>
      </c>
      <c r="AJ104" s="65">
        <f>SUM(A:B!AJ95)</f>
        <v>20943.896028299998</v>
      </c>
      <c r="AK104" s="65">
        <f t="shared" si="27"/>
        <v>245881.24241511596</v>
      </c>
      <c r="AL104" s="73">
        <f t="shared" si="22"/>
        <v>9.8061977287606161E-4</v>
      </c>
      <c r="AM104" s="14">
        <f t="shared" si="29"/>
        <v>6.7209908547282593E-2</v>
      </c>
      <c r="AN104" s="89"/>
      <c r="AO104" s="263">
        <v>0</v>
      </c>
      <c r="AP104" s="73">
        <v>0</v>
      </c>
      <c r="AQ104" s="179">
        <v>0</v>
      </c>
    </row>
    <row r="105" spans="1:43" ht="15" customHeight="1" outlineLevel="1">
      <c r="A105" s="12"/>
      <c r="I105" s="228" t="s">
        <v>218</v>
      </c>
      <c r="J105" s="65">
        <f>SUM(A:B!J96)</f>
        <v>0</v>
      </c>
      <c r="K105" s="65">
        <f>SUM(A:B!K96)</f>
        <v>0</v>
      </c>
      <c r="L105" s="65">
        <f>SUM(A:B!L96)</f>
        <v>0</v>
      </c>
      <c r="M105" s="65">
        <f>SUM(A:B!M96)</f>
        <v>0</v>
      </c>
      <c r="N105" s="65">
        <f>SUM(A:B!N96)</f>
        <v>0</v>
      </c>
      <c r="O105" s="65">
        <f>SUM(A:B!O96)</f>
        <v>0</v>
      </c>
      <c r="P105" s="65">
        <f>SUM(A:B!P96)</f>
        <v>0</v>
      </c>
      <c r="Q105" s="65">
        <f>SUM(A:B!Q96)</f>
        <v>0</v>
      </c>
      <c r="R105" s="65">
        <f>SUM(A:B!R96)</f>
        <v>0</v>
      </c>
      <c r="S105" s="65">
        <f>SUM(A:B!S96)</f>
        <v>0</v>
      </c>
      <c r="T105" s="65">
        <f>SUM(A:B!T96)</f>
        <v>0</v>
      </c>
      <c r="U105" s="65">
        <f>SUM(A:B!U96)</f>
        <v>0</v>
      </c>
      <c r="V105" s="11">
        <f t="shared" si="28"/>
        <v>0</v>
      </c>
      <c r="W105" s="73">
        <f t="shared" si="21"/>
        <v>0</v>
      </c>
      <c r="X105" s="89"/>
      <c r="Y105" s="65">
        <f>SUM(A:B!Y96)</f>
        <v>0</v>
      </c>
      <c r="Z105" s="65">
        <f>SUM(A:B!Z96)</f>
        <v>0</v>
      </c>
      <c r="AA105" s="65">
        <f>SUM(A:B!AA96)</f>
        <v>0</v>
      </c>
      <c r="AB105" s="65">
        <f>SUM(A:B!AB96)</f>
        <v>0</v>
      </c>
      <c r="AC105" s="65">
        <f>SUM(A:B!AC96)</f>
        <v>0</v>
      </c>
      <c r="AD105" s="65">
        <f>SUM(A:B!AD96)</f>
        <v>0</v>
      </c>
      <c r="AE105" s="65">
        <f>SUM(A:B!AE96)</f>
        <v>0</v>
      </c>
      <c r="AF105" s="65">
        <f>SUM(A:B!AF96)</f>
        <v>0</v>
      </c>
      <c r="AG105" s="65">
        <f>SUM(A:B!AG96)</f>
        <v>0</v>
      </c>
      <c r="AH105" s="65">
        <f>SUM(A:B!AH96)</f>
        <v>0</v>
      </c>
      <c r="AI105" s="65">
        <f>SUM(A:B!AI96)</f>
        <v>0</v>
      </c>
      <c r="AJ105" s="65">
        <f>SUM(A:B!AJ96)</f>
        <v>0</v>
      </c>
      <c r="AK105" s="65">
        <f t="shared" si="27"/>
        <v>0</v>
      </c>
      <c r="AL105" s="73">
        <f t="shared" si="22"/>
        <v>0</v>
      </c>
      <c r="AM105" s="14">
        <f t="shared" si="29"/>
        <v>0</v>
      </c>
      <c r="AN105" s="89"/>
      <c r="AO105" s="263">
        <v>454161.92000000004</v>
      </c>
      <c r="AP105" s="73">
        <v>1.0304049347939922E-4</v>
      </c>
      <c r="AQ105" s="179">
        <v>1.6023190199516395</v>
      </c>
    </row>
    <row r="106" spans="1:43" ht="15" customHeight="1" outlineLevel="1">
      <c r="A106" s="12"/>
      <c r="I106" s="228" t="s">
        <v>219</v>
      </c>
      <c r="J106" s="65">
        <f>SUM(A:B!J97)</f>
        <v>39542</v>
      </c>
      <c r="K106" s="65">
        <f>SUM(A:B!K97)</f>
        <v>34803</v>
      </c>
      <c r="L106" s="65">
        <f>SUM(A:B!L97)</f>
        <v>37690</v>
      </c>
      <c r="M106" s="65">
        <f>SUM(A:B!M97)</f>
        <v>30883</v>
      </c>
      <c r="N106" s="65">
        <f>SUM(A:B!N97)</f>
        <v>28598</v>
      </c>
      <c r="O106" s="65">
        <f>SUM(A:B!O97)</f>
        <v>32733</v>
      </c>
      <c r="P106" s="65">
        <f>SUM(A:B!P97)</f>
        <v>31311</v>
      </c>
      <c r="Q106" s="65">
        <f>SUM(A:B!Q97)</f>
        <v>27859</v>
      </c>
      <c r="R106" s="65">
        <f>SUM(A:B!R97)</f>
        <v>33988</v>
      </c>
      <c r="S106" s="65">
        <f>SUM(A:B!S97)</f>
        <v>30065</v>
      </c>
      <c r="T106" s="65">
        <f>SUM(A:B!T97)</f>
        <v>30788.416666666668</v>
      </c>
      <c r="U106" s="65">
        <f>SUM(A:B!U97)</f>
        <v>31396.993055555555</v>
      </c>
      <c r="V106" s="11">
        <f t="shared" si="28"/>
        <v>389657.40972222225</v>
      </c>
      <c r="W106" s="73">
        <f t="shared" si="21"/>
        <v>1.7405292996230432E-3</v>
      </c>
      <c r="X106" s="89"/>
      <c r="Y106" s="65">
        <f>SUM(A:B!Y97)</f>
        <v>32069.655000000002</v>
      </c>
      <c r="Z106" s="65">
        <f>SUM(A:B!Z97)</f>
        <v>28966.139999999996</v>
      </c>
      <c r="AA106" s="65">
        <f>SUM(A:B!AA97)</f>
        <v>32069.655000000002</v>
      </c>
      <c r="AB106" s="65">
        <f>SUM(A:B!AB97)</f>
        <v>31035.15</v>
      </c>
      <c r="AC106" s="65">
        <f>SUM(A:B!AC97)</f>
        <v>32069.655000000002</v>
      </c>
      <c r="AD106" s="65">
        <f>SUM(A:B!AD97)</f>
        <v>31035.15</v>
      </c>
      <c r="AE106" s="65">
        <f>SUM(A:B!AE97)</f>
        <v>32069.655000000002</v>
      </c>
      <c r="AF106" s="65">
        <f>SUM(A:B!AF97)</f>
        <v>32069.655000000002</v>
      </c>
      <c r="AG106" s="65">
        <f>SUM(A:B!AG97)</f>
        <v>31035.15</v>
      </c>
      <c r="AH106" s="65">
        <f>SUM(A:B!AH97)</f>
        <v>32069.655000000002</v>
      </c>
      <c r="AI106" s="65">
        <f>SUM(A:B!AI97)</f>
        <v>31035.15</v>
      </c>
      <c r="AJ106" s="65">
        <f>SUM(A:B!AJ97)</f>
        <v>32069.655000000002</v>
      </c>
      <c r="AK106" s="65">
        <f t="shared" si="27"/>
        <v>377594.32500000007</v>
      </c>
      <c r="AL106" s="73">
        <f t="shared" si="22"/>
        <v>1.5059158542710639E-3</v>
      </c>
      <c r="AM106" s="14">
        <f t="shared" si="29"/>
        <v>-3.0958181267030649E-2</v>
      </c>
      <c r="AN106" s="89"/>
      <c r="AO106" s="263">
        <v>219200</v>
      </c>
      <c r="AP106" s="73">
        <v>4.9732210421085738E-5</v>
      </c>
      <c r="AQ106" s="179">
        <v>-0.52535328050607744</v>
      </c>
    </row>
    <row r="107" spans="1:43" ht="15" customHeight="1" outlineLevel="1">
      <c r="A107" s="12"/>
      <c r="I107" s="170" t="s">
        <v>220</v>
      </c>
      <c r="J107" s="15">
        <f>SUM(J108:J111)</f>
        <v>14433</v>
      </c>
      <c r="K107" s="15">
        <f t="shared" ref="K107:U107" si="30">SUM(K108:K111)</f>
        <v>11715</v>
      </c>
      <c r="L107" s="15">
        <f t="shared" si="30"/>
        <v>12178</v>
      </c>
      <c r="M107" s="15">
        <f t="shared" si="30"/>
        <v>19497</v>
      </c>
      <c r="N107" s="15">
        <f t="shared" si="30"/>
        <v>9469</v>
      </c>
      <c r="O107" s="15">
        <f t="shared" si="30"/>
        <v>10596</v>
      </c>
      <c r="P107" s="15">
        <f t="shared" si="30"/>
        <v>10777</v>
      </c>
      <c r="Q107" s="15">
        <f t="shared" si="30"/>
        <v>10273</v>
      </c>
      <c r="R107" s="15">
        <f t="shared" si="30"/>
        <v>10557</v>
      </c>
      <c r="S107" s="15">
        <f t="shared" si="30"/>
        <v>11247</v>
      </c>
      <c r="T107" s="15">
        <f t="shared" si="30"/>
        <v>10789.833333333332</v>
      </c>
      <c r="U107" s="15">
        <f t="shared" si="30"/>
        <v>10800.152777777777</v>
      </c>
      <c r="V107" s="15">
        <f>SUM(V108:V111)</f>
        <v>142331.98611111112</v>
      </c>
      <c r="W107" s="72">
        <f t="shared" si="21"/>
        <v>6.3577128502838439E-4</v>
      </c>
      <c r="X107" s="89"/>
      <c r="Y107" s="15">
        <f t="shared" ref="Y107:AJ107" si="31">SUM(Y108:Y111)</f>
        <v>11521.171231284246</v>
      </c>
      <c r="Z107" s="15">
        <f t="shared" si="31"/>
        <v>9852.5480665068499</v>
      </c>
      <c r="AA107" s="15">
        <f t="shared" si="31"/>
        <v>10908.178216489727</v>
      </c>
      <c r="AB107" s="15">
        <f t="shared" si="31"/>
        <v>10556.301499828769</v>
      </c>
      <c r="AC107" s="15">
        <f t="shared" si="31"/>
        <v>10908.178216489727</v>
      </c>
      <c r="AD107" s="15">
        <f t="shared" si="31"/>
        <v>10556.301499828769</v>
      </c>
      <c r="AE107" s="15">
        <f t="shared" si="31"/>
        <v>10908.178216489727</v>
      </c>
      <c r="AF107" s="15">
        <f t="shared" si="31"/>
        <v>10908.178216489727</v>
      </c>
      <c r="AG107" s="15">
        <f t="shared" si="31"/>
        <v>10556.301499828769</v>
      </c>
      <c r="AH107" s="15">
        <f t="shared" si="31"/>
        <v>10908.178216489727</v>
      </c>
      <c r="AI107" s="15">
        <f t="shared" si="31"/>
        <v>10556.301499828769</v>
      </c>
      <c r="AJ107" s="15">
        <f t="shared" si="31"/>
        <v>10908.178216489727</v>
      </c>
      <c r="AK107" s="15">
        <f>SUM(AK108:AK111)</f>
        <v>129047.99459604453</v>
      </c>
      <c r="AL107" s="72">
        <f t="shared" si="22"/>
        <v>5.1466721864548682E-4</v>
      </c>
      <c r="AM107" s="10">
        <f t="shared" si="29"/>
        <v>-9.333103456236802E-2</v>
      </c>
      <c r="AN107" s="89"/>
      <c r="AO107" s="263">
        <v>969924.8000000004</v>
      </c>
      <c r="AP107" s="73">
        <v>2.2005704491893029E-4</v>
      </c>
      <c r="AQ107" s="179">
        <v>1.428785047059733</v>
      </c>
    </row>
    <row r="108" spans="1:43" ht="15" customHeight="1" outlineLevel="1">
      <c r="A108" s="12"/>
      <c r="I108" s="139" t="s">
        <v>221</v>
      </c>
      <c r="J108" s="65">
        <f>SUM(A:B!J99)</f>
        <v>0</v>
      </c>
      <c r="K108" s="65">
        <f>SUM(A:B!K99)</f>
        <v>0</v>
      </c>
      <c r="L108" s="65">
        <f>SUM(A:B!L99)</f>
        <v>0</v>
      </c>
      <c r="M108" s="65">
        <f>SUM(A:B!M99)</f>
        <v>0</v>
      </c>
      <c r="N108" s="65">
        <f>SUM(A:B!N99)</f>
        <v>0</v>
      </c>
      <c r="O108" s="65">
        <f>SUM(A:B!O99)</f>
        <v>0</v>
      </c>
      <c r="P108" s="65">
        <f>SUM(A:B!P99)</f>
        <v>0</v>
      </c>
      <c r="Q108" s="65">
        <f>SUM(A:B!Q99)</f>
        <v>0</v>
      </c>
      <c r="R108" s="65">
        <f>SUM(A:B!R99)</f>
        <v>0</v>
      </c>
      <c r="S108" s="65">
        <f>SUM(A:B!S99)</f>
        <v>0</v>
      </c>
      <c r="T108" s="65">
        <f>SUM(A:B!T99)</f>
        <v>0</v>
      </c>
      <c r="U108" s="65">
        <f>SUM(A:B!U99)</f>
        <v>0</v>
      </c>
      <c r="V108" s="11">
        <f>SUM(J108:U108)</f>
        <v>0</v>
      </c>
      <c r="W108" s="73">
        <f t="shared" si="21"/>
        <v>0</v>
      </c>
      <c r="X108" s="89"/>
      <c r="Y108" s="65">
        <f>SUM(A:B!Y99)</f>
        <v>0</v>
      </c>
      <c r="Z108" s="65">
        <f>SUM(A:B!Z99)</f>
        <v>0</v>
      </c>
      <c r="AA108" s="65">
        <f>SUM(A:B!AA99)</f>
        <v>0</v>
      </c>
      <c r="AB108" s="65">
        <f>SUM(A:B!AB99)</f>
        <v>0</v>
      </c>
      <c r="AC108" s="65">
        <f>SUM(A:B!AC99)</f>
        <v>0</v>
      </c>
      <c r="AD108" s="65">
        <f>SUM(A:B!AD99)</f>
        <v>0</v>
      </c>
      <c r="AE108" s="65">
        <f>SUM(A:B!AE99)</f>
        <v>0</v>
      </c>
      <c r="AF108" s="65">
        <f>SUM(A:B!AF99)</f>
        <v>0</v>
      </c>
      <c r="AG108" s="65">
        <f>SUM(A:B!AG99)</f>
        <v>0</v>
      </c>
      <c r="AH108" s="65">
        <f>SUM(A:B!AH99)</f>
        <v>0</v>
      </c>
      <c r="AI108" s="65">
        <f>SUM(A:B!AI99)</f>
        <v>0</v>
      </c>
      <c r="AJ108" s="65">
        <f>SUM(A:B!AJ99)</f>
        <v>0</v>
      </c>
      <c r="AK108" s="65">
        <f t="shared" si="27"/>
        <v>0</v>
      </c>
      <c r="AL108" s="73">
        <f t="shared" si="22"/>
        <v>0</v>
      </c>
      <c r="AM108" s="14">
        <f t="shared" si="29"/>
        <v>0</v>
      </c>
      <c r="AN108" s="89"/>
      <c r="AO108" s="263">
        <v>6357928.7861081455</v>
      </c>
      <c r="AP108" s="73">
        <v>1.442490201792922E-3</v>
      </c>
      <c r="AQ108" s="179">
        <v>6.5101549491867416E-2</v>
      </c>
    </row>
    <row r="109" spans="1:43" ht="15" customHeight="1" outlineLevel="1">
      <c r="A109" s="12"/>
      <c r="I109" s="139" t="s">
        <v>222</v>
      </c>
      <c r="J109" s="65">
        <f>SUM(A:B!J100)</f>
        <v>11011</v>
      </c>
      <c r="K109" s="65">
        <f>SUM(A:B!K100)</f>
        <v>8661</v>
      </c>
      <c r="L109" s="65">
        <f>SUM(A:B!L100)</f>
        <v>8845</v>
      </c>
      <c r="M109" s="65">
        <f>SUM(A:B!M100)</f>
        <v>7195</v>
      </c>
      <c r="N109" s="65">
        <f>SUM(A:B!N100)</f>
        <v>6909</v>
      </c>
      <c r="O109" s="65">
        <f>SUM(A:B!O100)</f>
        <v>7713</v>
      </c>
      <c r="P109" s="65">
        <f>SUM(A:B!P100)</f>
        <v>8121</v>
      </c>
      <c r="Q109" s="65">
        <f>SUM(A:B!Q100)</f>
        <v>7589</v>
      </c>
      <c r="R109" s="65">
        <f>SUM(A:B!R100)</f>
        <v>7811</v>
      </c>
      <c r="S109" s="65">
        <f>SUM(A:B!S100)</f>
        <v>8323</v>
      </c>
      <c r="T109" s="65">
        <f>SUM(A:B!T100)</f>
        <v>7969.1666666666661</v>
      </c>
      <c r="U109" s="65">
        <f>SUM(A:B!U100)</f>
        <v>8005.2638888888887</v>
      </c>
      <c r="V109" s="11">
        <f>SUM(J109:U109)</f>
        <v>98152.430555555562</v>
      </c>
      <c r="W109" s="73">
        <f t="shared" si="21"/>
        <v>4.3842918663588708E-4</v>
      </c>
      <c r="X109" s="89"/>
      <c r="Y109" s="65">
        <f>SUM(A:B!Y100)</f>
        <v>7756.3460099999993</v>
      </c>
      <c r="Z109" s="65">
        <f>SUM(A:B!Z100)</f>
        <v>6613.3241999999991</v>
      </c>
      <c r="AA109" s="65">
        <f>SUM(A:B!AA100)</f>
        <v>7321.8946500000002</v>
      </c>
      <c r="AB109" s="65">
        <f>SUM(A:B!AB100)</f>
        <v>7085.7045000000007</v>
      </c>
      <c r="AC109" s="65">
        <f>SUM(A:B!AC100)</f>
        <v>7321.8946500000002</v>
      </c>
      <c r="AD109" s="65">
        <f>SUM(A:B!AD100)</f>
        <v>7085.7045000000007</v>
      </c>
      <c r="AE109" s="65">
        <f>SUM(A:B!AE100)</f>
        <v>7321.8946500000002</v>
      </c>
      <c r="AF109" s="65">
        <f>SUM(A:B!AF100)</f>
        <v>7321.8946500000002</v>
      </c>
      <c r="AG109" s="65">
        <f>SUM(A:B!AG100)</f>
        <v>7085.7045000000007</v>
      </c>
      <c r="AH109" s="65">
        <f>SUM(A:B!AH100)</f>
        <v>7321.8946500000002</v>
      </c>
      <c r="AI109" s="65">
        <f>SUM(A:B!AI100)</f>
        <v>7085.7045000000007</v>
      </c>
      <c r="AJ109" s="65">
        <f>SUM(A:B!AJ100)</f>
        <v>7321.8946500000002</v>
      </c>
      <c r="AK109" s="65">
        <f t="shared" si="27"/>
        <v>86643.856110000008</v>
      </c>
      <c r="AL109" s="73">
        <f t="shared" si="22"/>
        <v>3.455516885515421E-4</v>
      </c>
      <c r="AM109" s="14">
        <f t="shared" si="29"/>
        <v>-0.11725205764559798</v>
      </c>
      <c r="AN109" s="89"/>
      <c r="AO109" s="263">
        <v>148572</v>
      </c>
      <c r="AP109" s="73">
        <v>3.3708092913693202E-5</v>
      </c>
      <c r="AQ109" s="179">
        <v>0.63588436984560759</v>
      </c>
    </row>
    <row r="110" spans="1:43" ht="15" customHeight="1" outlineLevel="1">
      <c r="A110" s="12"/>
      <c r="I110" s="139" t="s">
        <v>223</v>
      </c>
      <c r="J110" s="65">
        <f>SUM(A:B!J101)</f>
        <v>3422</v>
      </c>
      <c r="K110" s="65">
        <f>SUM(A:B!K101)</f>
        <v>3054</v>
      </c>
      <c r="L110" s="65">
        <f>SUM(A:B!L101)</f>
        <v>3333</v>
      </c>
      <c r="M110" s="65">
        <f>SUM(A:B!M101)</f>
        <v>2908</v>
      </c>
      <c r="N110" s="65">
        <f>SUM(A:B!N101)</f>
        <v>2560</v>
      </c>
      <c r="O110" s="65">
        <f>SUM(A:B!O101)</f>
        <v>2702</v>
      </c>
      <c r="P110" s="65">
        <f>SUM(A:B!P101)</f>
        <v>2656</v>
      </c>
      <c r="Q110" s="65">
        <f>SUM(A:B!Q101)</f>
        <v>2684</v>
      </c>
      <c r="R110" s="65">
        <f>SUM(A:B!R101)</f>
        <v>2746</v>
      </c>
      <c r="S110" s="65">
        <f>SUM(A:B!S101)</f>
        <v>2924</v>
      </c>
      <c r="T110" s="65">
        <f>SUM(A:B!T101)</f>
        <v>2820.6666666666665</v>
      </c>
      <c r="U110" s="65">
        <f>SUM(A:B!U101)</f>
        <v>2794.8888888888887</v>
      </c>
      <c r="V110" s="11">
        <f>SUM(J110:U110)</f>
        <v>34604.555555555555</v>
      </c>
      <c r="W110" s="73">
        <f t="shared" si="21"/>
        <v>1.5457230208406543E-4</v>
      </c>
      <c r="X110" s="89"/>
      <c r="Y110" s="65">
        <f>SUM(A:B!Y101)</f>
        <v>3764.8252212842463</v>
      </c>
      <c r="Z110" s="65">
        <f>SUM(A:B!Z101)</f>
        <v>3239.2238665068498</v>
      </c>
      <c r="AA110" s="65">
        <f>SUM(A:B!AA101)</f>
        <v>3586.2835664897257</v>
      </c>
      <c r="AB110" s="65">
        <f>SUM(A:B!AB101)</f>
        <v>3470.5969998287674</v>
      </c>
      <c r="AC110" s="65">
        <f>SUM(A:B!AC101)</f>
        <v>3586.2835664897257</v>
      </c>
      <c r="AD110" s="65">
        <f>SUM(A:B!AD101)</f>
        <v>3470.5969998287674</v>
      </c>
      <c r="AE110" s="65">
        <f>SUM(A:B!AE101)</f>
        <v>3586.2835664897257</v>
      </c>
      <c r="AF110" s="65">
        <f>SUM(A:B!AF101)</f>
        <v>3586.2835664897257</v>
      </c>
      <c r="AG110" s="65">
        <f>SUM(A:B!AG101)</f>
        <v>3470.5969998287674</v>
      </c>
      <c r="AH110" s="65">
        <f>SUM(A:B!AH101)</f>
        <v>3586.2835664897257</v>
      </c>
      <c r="AI110" s="65">
        <f>SUM(A:B!AI101)</f>
        <v>3470.5969998287674</v>
      </c>
      <c r="AJ110" s="65">
        <f>SUM(A:B!AJ101)</f>
        <v>3586.2835664897257</v>
      </c>
      <c r="AK110" s="65">
        <f t="shared" si="27"/>
        <v>42404.138486044525</v>
      </c>
      <c r="AL110" s="73">
        <f t="shared" si="22"/>
        <v>1.6911553009394466E-4</v>
      </c>
      <c r="AM110" s="14">
        <f t="shared" si="29"/>
        <v>0.22539179611676285</v>
      </c>
      <c r="AN110" s="89"/>
      <c r="AO110" s="263">
        <v>104000</v>
      </c>
      <c r="AP110" s="73">
        <v>2.3595574287376446E-5</v>
      </c>
      <c r="AQ110" s="179">
        <v>0.32690278816724239</v>
      </c>
    </row>
    <row r="111" spans="1:43" ht="15" customHeight="1" outlineLevel="1">
      <c r="A111" s="12"/>
      <c r="I111" s="139" t="s">
        <v>224</v>
      </c>
      <c r="J111" s="65">
        <f>SUM(A:B!J102)</f>
        <v>0</v>
      </c>
      <c r="K111" s="65">
        <f>SUM(A:B!K102)</f>
        <v>0</v>
      </c>
      <c r="L111" s="65">
        <f>SUM(A:B!L102)</f>
        <v>0</v>
      </c>
      <c r="M111" s="65">
        <f>SUM(A:B!M102)</f>
        <v>9394</v>
      </c>
      <c r="N111" s="65">
        <f>SUM(A:B!N102)</f>
        <v>0</v>
      </c>
      <c r="O111" s="65">
        <f>SUM(A:B!O102)</f>
        <v>181</v>
      </c>
      <c r="P111" s="65">
        <f>SUM(A:B!P102)</f>
        <v>0</v>
      </c>
      <c r="Q111" s="65">
        <f>SUM(A:B!Q102)</f>
        <v>0</v>
      </c>
      <c r="R111" s="65">
        <f>SUM(A:B!R102)</f>
        <v>0</v>
      </c>
      <c r="S111" s="65">
        <f>SUM(A:B!S102)</f>
        <v>0</v>
      </c>
      <c r="T111" s="65">
        <f>SUM(A:B!T102)</f>
        <v>0</v>
      </c>
      <c r="U111" s="65">
        <f>SUM(A:B!U102)</f>
        <v>0</v>
      </c>
      <c r="V111" s="11">
        <f>SUM(J111:U111)</f>
        <v>9575</v>
      </c>
      <c r="W111" s="73">
        <f t="shared" si="21"/>
        <v>4.2769796308431904E-5</v>
      </c>
      <c r="X111" s="89"/>
      <c r="Y111" s="65">
        <f>SUM(A:B!Y102)</f>
        <v>0</v>
      </c>
      <c r="Z111" s="65">
        <f>SUM(A:B!Z102)</f>
        <v>0</v>
      </c>
      <c r="AA111" s="65">
        <f>SUM(A:B!AA102)</f>
        <v>0</v>
      </c>
      <c r="AB111" s="65">
        <f>SUM(A:B!AB102)</f>
        <v>0</v>
      </c>
      <c r="AC111" s="65">
        <f>SUM(A:B!AC102)</f>
        <v>0</v>
      </c>
      <c r="AD111" s="65">
        <f>SUM(A:B!AD102)</f>
        <v>0</v>
      </c>
      <c r="AE111" s="65">
        <f>SUM(A:B!AE102)</f>
        <v>0</v>
      </c>
      <c r="AF111" s="65">
        <f>SUM(A:B!AF102)</f>
        <v>0</v>
      </c>
      <c r="AG111" s="65">
        <f>SUM(A:B!AG102)</f>
        <v>0</v>
      </c>
      <c r="AH111" s="65">
        <f>SUM(A:B!AH102)</f>
        <v>0</v>
      </c>
      <c r="AI111" s="65">
        <f>SUM(A:B!AI102)</f>
        <v>0</v>
      </c>
      <c r="AJ111" s="65">
        <f>SUM(A:B!AJ102)</f>
        <v>0</v>
      </c>
      <c r="AK111" s="65">
        <f t="shared" si="27"/>
        <v>0</v>
      </c>
      <c r="AL111" s="73">
        <f t="shared" si="22"/>
        <v>0</v>
      </c>
      <c r="AM111" s="14">
        <f t="shared" si="29"/>
        <v>-1</v>
      </c>
      <c r="AN111" s="89"/>
      <c r="AO111" s="263">
        <v>392000</v>
      </c>
      <c r="AP111" s="73">
        <v>8.8937164621649678E-5</v>
      </c>
      <c r="AQ111" s="179">
        <v>0.69513513513513514</v>
      </c>
    </row>
    <row r="112" spans="1:43" ht="15" customHeight="1" outlineLevel="1">
      <c r="A112" s="12"/>
      <c r="I112" s="170" t="s">
        <v>225</v>
      </c>
      <c r="J112" s="15">
        <f>SUM(J113:J147)</f>
        <v>219879</v>
      </c>
      <c r="K112" s="15">
        <f>SUM(K113:K147)</f>
        <v>217122</v>
      </c>
      <c r="L112" s="15">
        <f>SUM(L113:L147)</f>
        <v>134955</v>
      </c>
      <c r="M112" s="15">
        <f>SUM(M113:M147)</f>
        <v>214746</v>
      </c>
      <c r="N112" s="15">
        <f>SUM(N113:N147)</f>
        <v>82379</v>
      </c>
      <c r="O112" s="15">
        <f>SUM(O113:O147)</f>
        <v>21000</v>
      </c>
      <c r="P112" s="15">
        <f>SUM(P113:P147)</f>
        <v>192597</v>
      </c>
      <c r="Q112" s="15">
        <f>SUM(Q113:Q147)</f>
        <v>26743</v>
      </c>
      <c r="R112" s="15">
        <f>SUM(R113:R147)</f>
        <v>206614</v>
      </c>
      <c r="S112" s="15">
        <f>SUM(S113:S147)</f>
        <v>191732</v>
      </c>
      <c r="T112" s="15">
        <f>SUM(T113:T147)</f>
        <v>116446.31999999999</v>
      </c>
      <c r="U112" s="15">
        <f>SUM(U113:U147)</f>
        <v>153296.32000000001</v>
      </c>
      <c r="V112" s="15">
        <f>SUM(V113:V147)</f>
        <v>8934258.6400000006</v>
      </c>
      <c r="W112" s="72">
        <f t="shared" si="21"/>
        <v>3.9907720334166875E-2</v>
      </c>
      <c r="X112" s="89"/>
      <c r="Y112" s="15">
        <f>SUM(Y113:Y147)</f>
        <v>250533.08919999999</v>
      </c>
      <c r="Z112" s="15">
        <f>SUM(Z113:Z147)</f>
        <v>132759.66019999998</v>
      </c>
      <c r="AA112" s="15">
        <f>SUM(AA113:AA147)</f>
        <v>131149.04460000002</v>
      </c>
      <c r="AB112" s="15">
        <f>SUM(AB113:AB147)</f>
        <v>530391.25499999989</v>
      </c>
      <c r="AC112" s="15">
        <f>SUM(AC113:AC147)</f>
        <v>140522.91019999998</v>
      </c>
      <c r="AD112" s="15">
        <f>SUM(AD113:AD147)</f>
        <v>90680.774999999994</v>
      </c>
      <c r="AE112" s="15">
        <f>SUM(AE113:AE147)</f>
        <v>164847.34</v>
      </c>
      <c r="AF112" s="15">
        <f>SUM(AF113:AF147)</f>
        <v>132397.37520000001</v>
      </c>
      <c r="AG112" s="15">
        <f>SUM(AG113:AG147)</f>
        <v>200556.63999999996</v>
      </c>
      <c r="AH112" s="15">
        <f>SUM(AH113:AH147)</f>
        <v>93941.34</v>
      </c>
      <c r="AI112" s="15">
        <f>SUM(AI113:AI147)</f>
        <v>109107.62519999999</v>
      </c>
      <c r="AJ112" s="15">
        <f>SUM(AJ113:AJ147)</f>
        <v>103153.73</v>
      </c>
      <c r="AK112" s="15">
        <f>SUM(AK113:AK147)</f>
        <v>2080040.7846000001</v>
      </c>
      <c r="AL112" s="72">
        <f t="shared" si="22"/>
        <v>8.29558652678258E-3</v>
      </c>
      <c r="AM112" s="10">
        <f t="shared" si="29"/>
        <v>-0.76718372856508221</v>
      </c>
      <c r="AN112" s="89"/>
      <c r="AO112" s="263">
        <v>350000</v>
      </c>
      <c r="AP112" s="73">
        <v>7.9408182697901495E-5</v>
      </c>
      <c r="AQ112" s="179">
        <v>2.5566936975387677</v>
      </c>
    </row>
    <row r="113" spans="1:43" ht="15" customHeight="1" outlineLevel="1">
      <c r="A113" s="12"/>
      <c r="I113" s="229" t="s">
        <v>226</v>
      </c>
      <c r="J113" s="65">
        <f>SUM(A:B!J113)</f>
        <v>0</v>
      </c>
      <c r="K113" s="65">
        <f>SUM(A:B!K113)</f>
        <v>29144</v>
      </c>
      <c r="L113" s="65">
        <f>SUM(A:B!L113)</f>
        <v>35382</v>
      </c>
      <c r="M113" s="65">
        <f>SUM(A:B!M113)</f>
        <v>56496</v>
      </c>
      <c r="N113" s="65">
        <f>SUM(A:B!N113)</f>
        <v>8000</v>
      </c>
      <c r="O113" s="65">
        <f>SUM(A:B!O113)</f>
        <v>9000</v>
      </c>
      <c r="P113" s="65">
        <f>SUM(A:B!P113)</f>
        <v>7400</v>
      </c>
      <c r="Q113" s="65">
        <f>SUM(A:B!Q113)</f>
        <v>500</v>
      </c>
      <c r="R113" s="65">
        <f>SUM(A:B!R113)</f>
        <v>96630</v>
      </c>
      <c r="S113" s="65">
        <f>SUM(A:B!S113)</f>
        <v>0</v>
      </c>
      <c r="T113" s="65">
        <f>SUM(A:B!T113)</f>
        <v>3184.48</v>
      </c>
      <c r="U113" s="65">
        <f>SUM(A:B!U113)</f>
        <v>3184.48</v>
      </c>
      <c r="V113" s="11">
        <f>SUM(J113:U113)</f>
        <v>248920.96000000002</v>
      </c>
      <c r="W113" s="73">
        <f t="shared" si="21"/>
        <v>1.1118849875821749E-3</v>
      </c>
      <c r="X113" s="89"/>
      <c r="Y113" s="65">
        <f>SUM(A:B!Y113)</f>
        <v>11534.04</v>
      </c>
      <c r="Z113" s="65">
        <f>SUM(A:B!Z113)</f>
        <v>14134.04</v>
      </c>
      <c r="AA113" s="65">
        <f>SUM(A:B!AA113)</f>
        <v>14134.04</v>
      </c>
      <c r="AB113" s="65">
        <f>SUM(A:B!AB113)</f>
        <v>14134.04</v>
      </c>
      <c r="AC113" s="65">
        <f>SUM(A:B!AC113)</f>
        <v>14134.04</v>
      </c>
      <c r="AD113" s="65">
        <f>SUM(A:B!AD113)</f>
        <v>14134.04</v>
      </c>
      <c r="AE113" s="65">
        <f>SUM(A:B!AE113)</f>
        <v>14134.04</v>
      </c>
      <c r="AF113" s="65">
        <f>SUM(A:B!AF113)</f>
        <v>14134.04</v>
      </c>
      <c r="AG113" s="65">
        <f>SUM(A:B!AG113)</f>
        <v>14134.04</v>
      </c>
      <c r="AH113" s="65">
        <f>SUM(A:B!AH113)</f>
        <v>14134.04</v>
      </c>
      <c r="AI113" s="65">
        <f>SUM(A:B!AI113)</f>
        <v>14134.04</v>
      </c>
      <c r="AJ113" s="65">
        <f>SUM(A:B!AJ113)</f>
        <v>14134.04</v>
      </c>
      <c r="AK113" s="124">
        <f t="shared" si="27"/>
        <v>167008.48000000007</v>
      </c>
      <c r="AL113" s="73">
        <f t="shared" si="22"/>
        <v>6.6606064015848731E-4</v>
      </c>
      <c r="AM113" s="14">
        <f t="shared" si="29"/>
        <v>-0.32907023980624184</v>
      </c>
      <c r="AN113" s="89"/>
      <c r="AO113" s="263"/>
      <c r="AP113" s="73">
        <v>3.8932697574171135E-5</v>
      </c>
      <c r="AQ113" s="179">
        <v>38.897698209718669</v>
      </c>
    </row>
    <row r="114" spans="1:43" ht="15" customHeight="1" outlineLevel="1">
      <c r="A114" s="12"/>
      <c r="I114" s="228" t="s">
        <v>227</v>
      </c>
      <c r="J114" s="65">
        <f>SUM(A:B!J114)</f>
        <v>0</v>
      </c>
      <c r="K114" s="65">
        <f>SUM(A:B!K114)</f>
        <v>0</v>
      </c>
      <c r="L114" s="65">
        <f>SUM(A:B!L114)</f>
        <v>0</v>
      </c>
      <c r="M114" s="65">
        <f>SUM(A:B!M114)</f>
        <v>0</v>
      </c>
      <c r="N114" s="65">
        <f>SUM(A:B!N114)</f>
        <v>0</v>
      </c>
      <c r="O114" s="65">
        <f>SUM(A:B!O114)</f>
        <v>0</v>
      </c>
      <c r="P114" s="65">
        <f>SUM(A:B!P114)</f>
        <v>0</v>
      </c>
      <c r="Q114" s="65">
        <f>SUM(A:B!Q114)</f>
        <v>0</v>
      </c>
      <c r="R114" s="65">
        <f>SUM(A:B!R114)</f>
        <v>0</v>
      </c>
      <c r="S114" s="65">
        <f>SUM(A:B!S114)</f>
        <v>0</v>
      </c>
      <c r="T114" s="65">
        <f>SUM(A:B!T114)</f>
        <v>0</v>
      </c>
      <c r="U114" s="65">
        <f>SUM(A:B!U114)</f>
        <v>0</v>
      </c>
      <c r="V114" s="11">
        <f t="shared" ref="V114:V147" si="32">SUM(J114:U114)</f>
        <v>0</v>
      </c>
      <c r="W114" s="73">
        <f t="shared" si="21"/>
        <v>0</v>
      </c>
      <c r="X114" s="89"/>
      <c r="Y114" s="65">
        <f>SUM(A:B!Y114)</f>
        <v>0</v>
      </c>
      <c r="Z114" s="65">
        <f>SUM(A:B!Z114)</f>
        <v>0</v>
      </c>
      <c r="AA114" s="65">
        <f>SUM(A:B!AA114)</f>
        <v>0</v>
      </c>
      <c r="AB114" s="65">
        <f>SUM(A:B!AB114)</f>
        <v>0</v>
      </c>
      <c r="AC114" s="65">
        <f>SUM(A:B!AC114)</f>
        <v>0</v>
      </c>
      <c r="AD114" s="65">
        <f>SUM(A:B!AD114)</f>
        <v>0</v>
      </c>
      <c r="AE114" s="65">
        <f>SUM(A:B!AE114)</f>
        <v>0</v>
      </c>
      <c r="AF114" s="65">
        <f>SUM(A:B!AF114)</f>
        <v>0</v>
      </c>
      <c r="AG114" s="65">
        <f>SUM(A:B!AG114)</f>
        <v>0</v>
      </c>
      <c r="AH114" s="65">
        <f>SUM(A:B!AH114)</f>
        <v>0</v>
      </c>
      <c r="AI114" s="65">
        <f>SUM(A:B!AI114)</f>
        <v>0</v>
      </c>
      <c r="AJ114" s="65">
        <f>SUM(A:B!AJ114)</f>
        <v>0</v>
      </c>
      <c r="AK114" s="124">
        <f t="shared" si="27"/>
        <v>0</v>
      </c>
      <c r="AL114" s="73">
        <f t="shared" si="22"/>
        <v>0</v>
      </c>
      <c r="AM114" s="14">
        <f t="shared" si="29"/>
        <v>0</v>
      </c>
      <c r="AN114" s="89"/>
      <c r="AO114" s="263">
        <v>294000</v>
      </c>
      <c r="AP114" s="73">
        <v>6.6702873466237259E-5</v>
      </c>
      <c r="AQ114" s="179">
        <v>8.848703560107829E-2</v>
      </c>
    </row>
    <row r="115" spans="1:43" ht="15" customHeight="1" outlineLevel="1">
      <c r="A115" s="12"/>
      <c r="I115" s="228" t="s">
        <v>228</v>
      </c>
      <c r="J115" s="65">
        <f>SUM(A:B!J115)</f>
        <v>0</v>
      </c>
      <c r="K115" s="65">
        <f>SUM(A:B!K115)</f>
        <v>0</v>
      </c>
      <c r="L115" s="65">
        <f>SUM(A:B!L115)</f>
        <v>0</v>
      </c>
      <c r="M115" s="65">
        <f>SUM(A:B!M115)</f>
        <v>0</v>
      </c>
      <c r="N115" s="65">
        <f>SUM(A:B!N115)</f>
        <v>0</v>
      </c>
      <c r="O115" s="65">
        <f>SUM(A:B!O115)</f>
        <v>0</v>
      </c>
      <c r="P115" s="65">
        <f>SUM(A:B!P115)</f>
        <v>0</v>
      </c>
      <c r="Q115" s="65">
        <f>SUM(A:B!Q115)</f>
        <v>0</v>
      </c>
      <c r="R115" s="65">
        <f>SUM(A:B!R115)</f>
        <v>0</v>
      </c>
      <c r="S115" s="65">
        <f>SUM(A:B!S115)</f>
        <v>0</v>
      </c>
      <c r="T115" s="65">
        <f>SUM(A:B!T115)</f>
        <v>0</v>
      </c>
      <c r="U115" s="65">
        <f>SUM(A:B!U115)</f>
        <v>0</v>
      </c>
      <c r="V115" s="11">
        <f t="shared" si="32"/>
        <v>0</v>
      </c>
      <c r="W115" s="73">
        <f t="shared" si="21"/>
        <v>0</v>
      </c>
      <c r="X115" s="89"/>
      <c r="Y115" s="65">
        <f>SUM(A:B!Y115)</f>
        <v>0</v>
      </c>
      <c r="Z115" s="65">
        <f>SUM(A:B!Z115)</f>
        <v>0</v>
      </c>
      <c r="AA115" s="65">
        <f>SUM(A:B!AA115)</f>
        <v>0</v>
      </c>
      <c r="AB115" s="65">
        <f>SUM(A:B!AB115)</f>
        <v>0</v>
      </c>
      <c r="AC115" s="65">
        <f>SUM(A:B!AC115)</f>
        <v>0</v>
      </c>
      <c r="AD115" s="65">
        <f>SUM(A:B!AD115)</f>
        <v>0</v>
      </c>
      <c r="AE115" s="65">
        <f>SUM(A:B!AE115)</f>
        <v>0</v>
      </c>
      <c r="AF115" s="65">
        <f>SUM(A:B!AF115)</f>
        <v>0</v>
      </c>
      <c r="AG115" s="65">
        <f>SUM(A:B!AG115)</f>
        <v>0</v>
      </c>
      <c r="AH115" s="65">
        <f>SUM(A:B!AH115)</f>
        <v>0</v>
      </c>
      <c r="AI115" s="65">
        <f>SUM(A:B!AI115)</f>
        <v>0</v>
      </c>
      <c r="AJ115" s="65">
        <f>SUM(A:B!AJ115)</f>
        <v>0</v>
      </c>
      <c r="AK115" s="124">
        <f t="shared" si="27"/>
        <v>0</v>
      </c>
      <c r="AL115" s="73">
        <f t="shared" si="22"/>
        <v>0</v>
      </c>
      <c r="AM115" s="14">
        <f t="shared" si="29"/>
        <v>0</v>
      </c>
      <c r="AN115" s="89"/>
      <c r="AO115" s="263">
        <v>1661514</v>
      </c>
      <c r="AP115" s="73">
        <v>3.76965163620346E-4</v>
      </c>
      <c r="AQ115" s="179">
        <v>0.34097747273678158</v>
      </c>
    </row>
    <row r="116" spans="1:43" ht="15" customHeight="1" outlineLevel="1">
      <c r="A116" s="12"/>
      <c r="I116" s="228" t="s">
        <v>229</v>
      </c>
      <c r="J116" s="65">
        <f>SUM(A:B!J116)</f>
        <v>0</v>
      </c>
      <c r="K116" s="65">
        <f>SUM(A:B!K116)</f>
        <v>0</v>
      </c>
      <c r="L116" s="65">
        <f>SUM(A:B!L116)</f>
        <v>0</v>
      </c>
      <c r="M116" s="65">
        <f>SUM(A:B!M116)</f>
        <v>0</v>
      </c>
      <c r="N116" s="65">
        <f>SUM(A:B!N116)</f>
        <v>0</v>
      </c>
      <c r="O116" s="65">
        <f>SUM(A:B!O116)</f>
        <v>0</v>
      </c>
      <c r="P116" s="65">
        <f>SUM(A:B!P116)</f>
        <v>0</v>
      </c>
      <c r="Q116" s="65">
        <f>SUM(A:B!Q116)</f>
        <v>0</v>
      </c>
      <c r="R116" s="65">
        <f>SUM(A:B!R116)</f>
        <v>0</v>
      </c>
      <c r="S116" s="65">
        <f>SUM(A:B!S116)</f>
        <v>0</v>
      </c>
      <c r="T116" s="65">
        <f>SUM(A:B!T116)</f>
        <v>0</v>
      </c>
      <c r="U116" s="65">
        <f>SUM(A:B!U116)</f>
        <v>0</v>
      </c>
      <c r="V116" s="11">
        <f t="shared" si="32"/>
        <v>0</v>
      </c>
      <c r="W116" s="73">
        <f t="shared" si="21"/>
        <v>0</v>
      </c>
      <c r="X116" s="89"/>
      <c r="Y116" s="65">
        <f>SUM(A:B!Y116)</f>
        <v>4657.95</v>
      </c>
      <c r="Z116" s="65">
        <f>SUM(A:B!Z116)</f>
        <v>0</v>
      </c>
      <c r="AA116" s="65">
        <f>SUM(A:B!AA116)</f>
        <v>0</v>
      </c>
      <c r="AB116" s="65">
        <f>SUM(A:B!AB116)</f>
        <v>439710.48</v>
      </c>
      <c r="AC116" s="65">
        <f>SUM(A:B!AC116)</f>
        <v>0</v>
      </c>
      <c r="AD116" s="65">
        <f>SUM(A:B!AD116)</f>
        <v>0</v>
      </c>
      <c r="AE116" s="65">
        <f>SUM(A:B!AE116)</f>
        <v>0</v>
      </c>
      <c r="AF116" s="65">
        <f>SUM(A:B!AF116)</f>
        <v>0</v>
      </c>
      <c r="AG116" s="65">
        <f>SUM(A:B!AG116)</f>
        <v>0</v>
      </c>
      <c r="AH116" s="65">
        <f>SUM(A:B!AH116)</f>
        <v>0</v>
      </c>
      <c r="AI116" s="65">
        <f>SUM(A:B!AI116)</f>
        <v>0</v>
      </c>
      <c r="AJ116" s="65">
        <f>SUM(A:B!AJ116)</f>
        <v>0</v>
      </c>
      <c r="AK116" s="124">
        <f t="shared" si="27"/>
        <v>444368.43</v>
      </c>
      <c r="AL116" s="73">
        <f t="shared" si="22"/>
        <v>1.7722233083734542E-3</v>
      </c>
      <c r="AM116" s="14">
        <f t="shared" si="29"/>
        <v>0</v>
      </c>
      <c r="AN116" s="89"/>
      <c r="AO116" s="263">
        <v>0</v>
      </c>
      <c r="AP116" s="73">
        <v>0</v>
      </c>
      <c r="AQ116" s="179">
        <v>0</v>
      </c>
    </row>
    <row r="117" spans="1:43" ht="15" customHeight="1" outlineLevel="1">
      <c r="A117" s="12"/>
      <c r="I117" s="228" t="s">
        <v>230</v>
      </c>
      <c r="J117" s="65">
        <f>SUM(A:B!J117)</f>
        <v>0</v>
      </c>
      <c r="K117" s="65">
        <f>SUM(A:B!K117)</f>
        <v>9000</v>
      </c>
      <c r="L117" s="65">
        <f>SUM(A:B!L117)</f>
        <v>0</v>
      </c>
      <c r="M117" s="65">
        <f>SUM(A:B!M117)</f>
        <v>60000</v>
      </c>
      <c r="N117" s="65">
        <f>SUM(A:B!N117)</f>
        <v>0</v>
      </c>
      <c r="O117" s="65">
        <f>SUM(A:B!O117)</f>
        <v>0</v>
      </c>
      <c r="P117" s="65">
        <f>SUM(A:B!P117)</f>
        <v>0</v>
      </c>
      <c r="Q117" s="65">
        <f>SUM(A:B!Q117)</f>
        <v>0</v>
      </c>
      <c r="R117" s="65">
        <f>SUM(A:B!R117)</f>
        <v>0</v>
      </c>
      <c r="S117" s="65">
        <f>SUM(A:B!S117)</f>
        <v>37600</v>
      </c>
      <c r="T117" s="65">
        <f>SUM(A:B!T117)</f>
        <v>0</v>
      </c>
      <c r="U117" s="65">
        <f>SUM(A:B!U117)</f>
        <v>0</v>
      </c>
      <c r="V117" s="11">
        <f t="shared" si="32"/>
        <v>106600</v>
      </c>
      <c r="W117" s="73">
        <f t="shared" si="21"/>
        <v>4.7616295420144548E-4</v>
      </c>
      <c r="X117" s="89"/>
      <c r="Y117" s="65">
        <f>SUM(A:B!Y117)</f>
        <v>0</v>
      </c>
      <c r="Z117" s="65">
        <f>SUM(A:B!Z117)</f>
        <v>0</v>
      </c>
      <c r="AA117" s="65">
        <f>SUM(A:B!AA117)</f>
        <v>0</v>
      </c>
      <c r="AB117" s="65">
        <f>SUM(A:B!AB117)</f>
        <v>0</v>
      </c>
      <c r="AC117" s="65">
        <f>SUM(A:B!AC117)</f>
        <v>0</v>
      </c>
      <c r="AD117" s="65">
        <f>SUM(A:B!AD117)</f>
        <v>0</v>
      </c>
      <c r="AE117" s="65">
        <f>SUM(A:B!AE117)</f>
        <v>0</v>
      </c>
      <c r="AF117" s="65">
        <f>SUM(A:B!AF117)</f>
        <v>0</v>
      </c>
      <c r="AG117" s="65">
        <f>SUM(A:B!AG117)</f>
        <v>99369.599999999991</v>
      </c>
      <c r="AH117" s="65">
        <f>SUM(A:B!AH117)</f>
        <v>0</v>
      </c>
      <c r="AI117" s="65">
        <f>SUM(A:B!AI117)</f>
        <v>0</v>
      </c>
      <c r="AJ117" s="65">
        <f>SUM(A:B!AJ117)</f>
        <v>0</v>
      </c>
      <c r="AK117" s="124">
        <f t="shared" si="27"/>
        <v>99369.599999999991</v>
      </c>
      <c r="AL117" s="73">
        <f t="shared" si="22"/>
        <v>3.9630430375926296E-4</v>
      </c>
      <c r="AM117" s="14">
        <f t="shared" si="29"/>
        <v>-6.7827392120075158E-2</v>
      </c>
      <c r="AN117" s="89"/>
      <c r="AO117" s="263">
        <v>140000</v>
      </c>
      <c r="AP117" s="73">
        <v>3.1763273079160596E-5</v>
      </c>
      <c r="AQ117" s="179">
        <v>0.75</v>
      </c>
    </row>
    <row r="118" spans="1:43" ht="15" customHeight="1" outlineLevel="1">
      <c r="A118" s="12" t="s">
        <v>214</v>
      </c>
      <c r="B118" s="8" t="s">
        <v>101</v>
      </c>
      <c r="I118" s="228" t="s">
        <v>231</v>
      </c>
      <c r="J118" s="65">
        <f>SUM(A:B!J118)</f>
        <v>0</v>
      </c>
      <c r="K118" s="65">
        <f>SUM(A:B!K118)</f>
        <v>0</v>
      </c>
      <c r="L118" s="65">
        <f>SUM(A:B!L118)</f>
        <v>0</v>
      </c>
      <c r="M118" s="65">
        <f>SUM(A:B!M118)</f>
        <v>0</v>
      </c>
      <c r="N118" s="65">
        <f>SUM(A:B!N118)</f>
        <v>0</v>
      </c>
      <c r="O118" s="65">
        <f>SUM(A:B!O118)</f>
        <v>0</v>
      </c>
      <c r="P118" s="65">
        <f>SUM(A:B!P118)</f>
        <v>0</v>
      </c>
      <c r="Q118" s="65">
        <f>SUM(A:B!Q118)</f>
        <v>0</v>
      </c>
      <c r="R118" s="65">
        <f>SUM(A:B!R118)</f>
        <v>0</v>
      </c>
      <c r="S118" s="65">
        <f>SUM(A:B!S118)</f>
        <v>0</v>
      </c>
      <c r="T118" s="65">
        <f>SUM(A:B!T118)</f>
        <v>0</v>
      </c>
      <c r="U118" s="65">
        <f>SUM(A:B!U118)</f>
        <v>0</v>
      </c>
      <c r="V118" s="11">
        <v>5969317</v>
      </c>
      <c r="W118" s="73">
        <f t="shared" si="21"/>
        <v>2.6663861325374391E-2</v>
      </c>
      <c r="X118" s="89"/>
      <c r="Y118" s="65">
        <f>SUM(A:B!Y118)</f>
        <v>0</v>
      </c>
      <c r="Z118" s="65">
        <f>SUM(A:B!Z118)</f>
        <v>0</v>
      </c>
      <c r="AA118" s="65">
        <f>SUM(A:B!AA118)</f>
        <v>0</v>
      </c>
      <c r="AB118" s="65">
        <f>SUM(A:B!AB118)</f>
        <v>0</v>
      </c>
      <c r="AC118" s="65">
        <f>SUM(A:B!AC118)</f>
        <v>0</v>
      </c>
      <c r="AD118" s="65">
        <f>SUM(A:B!AD118)</f>
        <v>0</v>
      </c>
      <c r="AE118" s="65">
        <f>SUM(A:B!AE118)</f>
        <v>0</v>
      </c>
      <c r="AF118" s="65">
        <f>SUM(A:B!AF118)</f>
        <v>0</v>
      </c>
      <c r="AG118" s="65">
        <f>SUM(A:B!AG118)</f>
        <v>0</v>
      </c>
      <c r="AH118" s="65">
        <f>SUM(A:B!AH118)</f>
        <v>0</v>
      </c>
      <c r="AI118" s="65">
        <f>SUM(A:B!AI118)</f>
        <v>0</v>
      </c>
      <c r="AJ118" s="65">
        <f>SUM(A:B!AJ118)</f>
        <v>0</v>
      </c>
      <c r="AK118" s="124">
        <f t="shared" si="27"/>
        <v>0</v>
      </c>
      <c r="AL118" s="73">
        <f t="shared" si="22"/>
        <v>0</v>
      </c>
      <c r="AM118" s="14">
        <f t="shared" si="29"/>
        <v>-1</v>
      </c>
      <c r="AN118" s="89"/>
      <c r="AO118" s="263">
        <v>132120</v>
      </c>
      <c r="AP118" s="73">
        <v>2.9975454565847847E-5</v>
      </c>
      <c r="AQ118" s="179">
        <v>0</v>
      </c>
    </row>
    <row r="119" spans="1:43" ht="15" customHeight="1" outlineLevel="1">
      <c r="A119" s="12"/>
      <c r="I119" s="228" t="s">
        <v>232</v>
      </c>
      <c r="J119" s="65">
        <f>SUM(A:B!J119)</f>
        <v>150752</v>
      </c>
      <c r="K119" s="65">
        <f>SUM(A:B!K119)</f>
        <v>0</v>
      </c>
      <c r="L119" s="65">
        <f>SUM(A:B!L119)</f>
        <v>0</v>
      </c>
      <c r="M119" s="65">
        <f>SUM(A:B!M119)</f>
        <v>0</v>
      </c>
      <c r="N119" s="65">
        <f>SUM(A:B!N119)</f>
        <v>0</v>
      </c>
      <c r="O119" s="65">
        <f>SUM(A:B!O119)</f>
        <v>0</v>
      </c>
      <c r="P119" s="65">
        <f>SUM(A:B!P119)</f>
        <v>0</v>
      </c>
      <c r="Q119" s="65">
        <f>SUM(A:B!Q119)</f>
        <v>0</v>
      </c>
      <c r="R119" s="65">
        <f>SUM(A:B!R119)</f>
        <v>0</v>
      </c>
      <c r="S119" s="65">
        <f>SUM(A:B!S119)</f>
        <v>0</v>
      </c>
      <c r="T119" s="65">
        <f>SUM(A:B!T119)</f>
        <v>0</v>
      </c>
      <c r="U119" s="65">
        <f>SUM(A:B!U119)</f>
        <v>0</v>
      </c>
      <c r="V119" s="11">
        <f t="shared" si="32"/>
        <v>150752</v>
      </c>
      <c r="W119" s="73">
        <f>V119/V$6</f>
        <v>6.7338196690221684E-4</v>
      </c>
      <c r="X119" s="89"/>
      <c r="Y119" s="65">
        <f>SUM(A:B!Y119)</f>
        <v>149356.64919999999</v>
      </c>
      <c r="Z119" s="65">
        <f>SUM(A:B!Z119)</f>
        <v>0</v>
      </c>
      <c r="AA119" s="65">
        <f>SUM(A:B!AA119)</f>
        <v>0</v>
      </c>
      <c r="AB119" s="65">
        <f>SUM(A:B!AB119)</f>
        <v>0</v>
      </c>
      <c r="AC119" s="65">
        <f>SUM(A:B!AC119)</f>
        <v>0</v>
      </c>
      <c r="AD119" s="65">
        <f>SUM(A:B!AD119)</f>
        <v>0</v>
      </c>
      <c r="AE119" s="65">
        <f>SUM(A:B!AE119)</f>
        <v>0</v>
      </c>
      <c r="AF119" s="65">
        <f>SUM(A:B!AF119)</f>
        <v>0</v>
      </c>
      <c r="AG119" s="65">
        <f>SUM(A:B!AG119)</f>
        <v>0</v>
      </c>
      <c r="AH119" s="65">
        <f>SUM(A:B!AH119)</f>
        <v>0</v>
      </c>
      <c r="AI119" s="65">
        <f>SUM(A:B!AI119)</f>
        <v>0</v>
      </c>
      <c r="AJ119" s="65">
        <f>SUM(A:B!AJ119)</f>
        <v>0</v>
      </c>
      <c r="AK119" s="124">
        <f t="shared" si="27"/>
        <v>149356.64919999999</v>
      </c>
      <c r="AL119" s="73">
        <f>AK119/AK$6</f>
        <v>5.9566188122949556E-4</v>
      </c>
      <c r="AM119" s="14">
        <f>IFERROR(AK119/V119-1,0)</f>
        <v>-9.2559355763108808E-3</v>
      </c>
      <c r="AN119" s="89"/>
      <c r="AO119" s="263">
        <v>124400</v>
      </c>
      <c r="AP119" s="73">
        <v>2.8223936936054132E-5</v>
      </c>
      <c r="AQ119" s="179">
        <v>1.7310422801129519</v>
      </c>
    </row>
    <row r="120" spans="1:43" ht="15" customHeight="1" outlineLevel="1">
      <c r="A120" s="12"/>
      <c r="I120" s="228" t="s">
        <v>233</v>
      </c>
      <c r="J120" s="65">
        <f>SUM(A:B!J120)</f>
        <v>0</v>
      </c>
      <c r="K120" s="65">
        <f>SUM(A:B!K120)</f>
        <v>0</v>
      </c>
      <c r="L120" s="65">
        <f>SUM(A:B!L120)</f>
        <v>0</v>
      </c>
      <c r="M120" s="65">
        <f>SUM(A:B!M120)</f>
        <v>0</v>
      </c>
      <c r="N120" s="65">
        <f>SUM(A:B!N120)</f>
        <v>0</v>
      </c>
      <c r="O120" s="65">
        <f>SUM(A:B!O120)</f>
        <v>0</v>
      </c>
      <c r="P120" s="65">
        <f>SUM(A:B!P120)</f>
        <v>0</v>
      </c>
      <c r="Q120" s="65">
        <f>SUM(A:B!Q120)</f>
        <v>0</v>
      </c>
      <c r="R120" s="65">
        <f>SUM(A:B!R120)</f>
        <v>0</v>
      </c>
      <c r="S120" s="65">
        <f>SUM(A:B!S120)</f>
        <v>0</v>
      </c>
      <c r="T120" s="65">
        <f>SUM(A:B!T120)</f>
        <v>0</v>
      </c>
      <c r="U120" s="65">
        <f>SUM(A:B!U120)</f>
        <v>0</v>
      </c>
      <c r="V120" s="11">
        <f t="shared" si="32"/>
        <v>0</v>
      </c>
      <c r="W120" s="73">
        <f t="shared" ref="W120:W136" si="33">V120/V$6</f>
        <v>0</v>
      </c>
      <c r="X120" s="89"/>
      <c r="Y120" s="65">
        <f>SUM(A:B!Y120)</f>
        <v>0</v>
      </c>
      <c r="Z120" s="65">
        <f>SUM(A:B!Z120)</f>
        <v>0</v>
      </c>
      <c r="AA120" s="65">
        <f>SUM(A:B!AA120)</f>
        <v>0</v>
      </c>
      <c r="AB120" s="65">
        <f>SUM(A:B!AB120)</f>
        <v>0</v>
      </c>
      <c r="AC120" s="65">
        <f>SUM(A:B!AC120)</f>
        <v>0</v>
      </c>
      <c r="AD120" s="65">
        <f>SUM(A:B!AD120)</f>
        <v>0</v>
      </c>
      <c r="AE120" s="65">
        <f>SUM(A:B!AE120)</f>
        <v>0</v>
      </c>
      <c r="AF120" s="65">
        <f>SUM(A:B!AF120)</f>
        <v>0</v>
      </c>
      <c r="AG120" s="65">
        <f>SUM(A:B!AG120)</f>
        <v>0</v>
      </c>
      <c r="AH120" s="65">
        <f>SUM(A:B!AH120)</f>
        <v>0</v>
      </c>
      <c r="AI120" s="65">
        <f>SUM(A:B!AI120)</f>
        <v>0</v>
      </c>
      <c r="AJ120" s="65">
        <f>SUM(A:B!AJ120)</f>
        <v>0</v>
      </c>
      <c r="AK120" s="124">
        <f t="shared" si="27"/>
        <v>0</v>
      </c>
      <c r="AL120" s="73">
        <f t="shared" ref="AL120:AL138" si="34">AK120/AK$6</f>
        <v>0</v>
      </c>
      <c r="AM120" s="14">
        <f t="shared" ref="AM120:AM138" si="35">IFERROR(AK120/V120-1,0)</f>
        <v>0</v>
      </c>
      <c r="AN120" s="89"/>
      <c r="AO120" s="263">
        <v>0</v>
      </c>
      <c r="AP120" s="73">
        <v>0</v>
      </c>
      <c r="AQ120" s="179">
        <v>0</v>
      </c>
    </row>
    <row r="121" spans="1:43" ht="15" customHeight="1" outlineLevel="1">
      <c r="A121" s="12"/>
      <c r="I121" s="228" t="s">
        <v>234</v>
      </c>
      <c r="J121" s="65">
        <f>SUM(A:B!J121)</f>
        <v>33200</v>
      </c>
      <c r="K121" s="65">
        <f>SUM(A:B!K121)</f>
        <v>0</v>
      </c>
      <c r="L121" s="65">
        <f>SUM(A:B!L121)</f>
        <v>0</v>
      </c>
      <c r="M121" s="65">
        <f>SUM(A:B!M121)</f>
        <v>0</v>
      </c>
      <c r="N121" s="65">
        <f>SUM(A:B!N121)</f>
        <v>0</v>
      </c>
      <c r="O121" s="65">
        <f>SUM(A:B!O121)</f>
        <v>0</v>
      </c>
      <c r="P121" s="65">
        <f>SUM(A:B!P121)</f>
        <v>0</v>
      </c>
      <c r="Q121" s="65">
        <f>SUM(A:B!Q121)</f>
        <v>0</v>
      </c>
      <c r="R121" s="65">
        <f>SUM(A:B!R121)</f>
        <v>0</v>
      </c>
      <c r="S121" s="65">
        <f>SUM(A:B!S121)</f>
        <v>0</v>
      </c>
      <c r="T121" s="65">
        <f>SUM(A:B!T121)</f>
        <v>0</v>
      </c>
      <c r="U121" s="65">
        <f>SUM(A:B!U121)</f>
        <v>0</v>
      </c>
      <c r="V121" s="11">
        <f t="shared" si="32"/>
        <v>33200</v>
      </c>
      <c r="W121" s="73">
        <f t="shared" si="33"/>
        <v>1.4829840599894924E-4</v>
      </c>
      <c r="X121" s="89"/>
      <c r="Y121" s="65">
        <f>SUM(A:B!Y121)</f>
        <v>0</v>
      </c>
      <c r="Z121" s="65">
        <f>SUM(A:B!Z121)</f>
        <v>0</v>
      </c>
      <c r="AA121" s="65">
        <f>SUM(A:B!AA121)</f>
        <v>0</v>
      </c>
      <c r="AB121" s="65">
        <f>SUM(A:B!AB121)</f>
        <v>0</v>
      </c>
      <c r="AC121" s="65">
        <f>SUM(A:B!AC121)</f>
        <v>31052.999999999996</v>
      </c>
      <c r="AD121" s="65">
        <f>SUM(A:B!AD121)</f>
        <v>0</v>
      </c>
      <c r="AE121" s="65">
        <f>SUM(A:B!AE121)</f>
        <v>0</v>
      </c>
      <c r="AF121" s="65">
        <f>SUM(A:B!AF121)</f>
        <v>0</v>
      </c>
      <c r="AG121" s="65">
        <f>SUM(A:B!AG121)</f>
        <v>0</v>
      </c>
      <c r="AH121" s="65">
        <f>SUM(A:B!AH121)</f>
        <v>0</v>
      </c>
      <c r="AI121" s="65">
        <f>SUM(A:B!AI121)</f>
        <v>0</v>
      </c>
      <c r="AJ121" s="65">
        <f>SUM(A:B!AJ121)</f>
        <v>0</v>
      </c>
      <c r="AK121" s="124">
        <f t="shared" si="27"/>
        <v>31052.999999999996</v>
      </c>
      <c r="AL121" s="73">
        <f t="shared" si="34"/>
        <v>1.2384509492476968E-4</v>
      </c>
      <c r="AM121" s="14">
        <f t="shared" si="35"/>
        <v>-6.4668674698795336E-2</v>
      </c>
      <c r="AN121" s="89"/>
      <c r="AO121" s="263">
        <v>611820</v>
      </c>
      <c r="AP121" s="73">
        <v>1.3881004096637169E-4</v>
      </c>
      <c r="AQ121" s="179">
        <v>0.79011509792434964</v>
      </c>
    </row>
    <row r="122" spans="1:43" ht="15" customHeight="1" outlineLevel="1">
      <c r="A122" s="12"/>
      <c r="I122" s="228" t="s">
        <v>235</v>
      </c>
      <c r="J122" s="65">
        <f>SUM(A:B!J122)</f>
        <v>0</v>
      </c>
      <c r="K122" s="65">
        <f>SUM(A:B!K122)</f>
        <v>0</v>
      </c>
      <c r="L122" s="65">
        <f>SUM(A:B!L122)</f>
        <v>0</v>
      </c>
      <c r="M122" s="65">
        <f>SUM(A:B!M122)</f>
        <v>0</v>
      </c>
      <c r="N122" s="65">
        <f>SUM(A:B!N122)</f>
        <v>34638</v>
      </c>
      <c r="O122" s="65">
        <f>SUM(A:B!O122)</f>
        <v>0</v>
      </c>
      <c r="P122" s="65">
        <f>SUM(A:B!P122)</f>
        <v>0</v>
      </c>
      <c r="Q122" s="65">
        <f>SUM(A:B!Q122)</f>
        <v>0</v>
      </c>
      <c r="R122" s="65">
        <f>SUM(A:B!R122)</f>
        <v>0</v>
      </c>
      <c r="S122" s="65">
        <f>SUM(A:B!S122)</f>
        <v>28400</v>
      </c>
      <c r="T122" s="65">
        <f>SUM(A:B!T122)</f>
        <v>0</v>
      </c>
      <c r="U122" s="65">
        <f>SUM(A:B!U122)</f>
        <v>0</v>
      </c>
      <c r="V122" s="11">
        <f t="shared" si="32"/>
        <v>63038</v>
      </c>
      <c r="W122" s="73">
        <f t="shared" si="33"/>
        <v>2.8157936498077597E-4</v>
      </c>
      <c r="X122" s="89"/>
      <c r="Y122" s="65">
        <f>SUM(A:B!Y122)</f>
        <v>0</v>
      </c>
      <c r="Z122" s="65">
        <f>SUM(A:B!Z122)</f>
        <v>0</v>
      </c>
      <c r="AA122" s="65">
        <f>SUM(A:B!AA122)</f>
        <v>0</v>
      </c>
      <c r="AB122" s="65">
        <f>SUM(A:B!AB122)</f>
        <v>0</v>
      </c>
      <c r="AC122" s="65">
        <f>SUM(A:B!AC122)</f>
        <v>0</v>
      </c>
      <c r="AD122" s="65">
        <f>SUM(A:B!AD122)</f>
        <v>0</v>
      </c>
      <c r="AE122" s="65">
        <f>SUM(A:B!AE122)</f>
        <v>0</v>
      </c>
      <c r="AF122" s="65">
        <f>SUM(A:B!AF122)</f>
        <v>0</v>
      </c>
      <c r="AG122" s="65">
        <f>SUM(A:B!AG122)</f>
        <v>0</v>
      </c>
      <c r="AH122" s="65">
        <f>SUM(A:B!AH122)</f>
        <v>0</v>
      </c>
      <c r="AI122" s="65">
        <f>SUM(A:B!AI122)</f>
        <v>0</v>
      </c>
      <c r="AJ122" s="65">
        <f>SUM(A:B!AJ122)</f>
        <v>0</v>
      </c>
      <c r="AK122" s="124">
        <f t="shared" si="27"/>
        <v>0</v>
      </c>
      <c r="AL122" s="73">
        <f t="shared" si="34"/>
        <v>0</v>
      </c>
      <c r="AM122" s="14">
        <f t="shared" si="35"/>
        <v>-1</v>
      </c>
      <c r="AN122" s="89"/>
      <c r="AO122" s="263">
        <v>446334</v>
      </c>
      <c r="AP122" s="73">
        <v>1.012644909036719E-4</v>
      </c>
      <c r="AQ122" s="179">
        <v>1.0827164957290547</v>
      </c>
    </row>
    <row r="123" spans="1:43" ht="15" customHeight="1" outlineLevel="1">
      <c r="A123" s="12"/>
      <c r="I123" s="228" t="s">
        <v>236</v>
      </c>
      <c r="J123" s="65">
        <f>SUM(A:B!J123)</f>
        <v>31927</v>
      </c>
      <c r="K123" s="65">
        <f>SUM(A:B!K123)</f>
        <v>58728</v>
      </c>
      <c r="L123" s="65">
        <f>SUM(A:B!L123)</f>
        <v>20310</v>
      </c>
      <c r="M123" s="65">
        <f>SUM(A:B!M123)</f>
        <v>9600</v>
      </c>
      <c r="N123" s="65">
        <f>SUM(A:B!N123)</f>
        <v>39041</v>
      </c>
      <c r="O123" s="65">
        <f>SUM(A:B!O123)</f>
        <v>0</v>
      </c>
      <c r="P123" s="65">
        <f>SUM(A:B!P123)</f>
        <v>5934</v>
      </c>
      <c r="Q123" s="65">
        <f>SUM(A:B!Q123)</f>
        <v>-67284</v>
      </c>
      <c r="R123" s="65">
        <f>SUM(A:B!R123)</f>
        <v>51379</v>
      </c>
      <c r="S123" s="65">
        <f>SUM(A:B!S123)</f>
        <v>32168</v>
      </c>
      <c r="T123" s="65">
        <f>SUM(A:B!T123)</f>
        <v>22121.839999999997</v>
      </c>
      <c r="U123" s="65">
        <f>SUM(A:B!U123)</f>
        <v>22121.839999999997</v>
      </c>
      <c r="V123" s="11">
        <f t="shared" si="32"/>
        <v>226046.68</v>
      </c>
      <c r="W123" s="73">
        <f t="shared" si="33"/>
        <v>1.009709708595017E-3</v>
      </c>
      <c r="X123" s="89"/>
      <c r="Y123" s="65">
        <f>SUM(A:B!Y123)</f>
        <v>20184.449999999997</v>
      </c>
      <c r="Z123" s="65">
        <f>SUM(A:B!Z123)</f>
        <v>20184.449999999997</v>
      </c>
      <c r="AA123" s="65">
        <f>SUM(A:B!AA123)</f>
        <v>20184.449999999997</v>
      </c>
      <c r="AB123" s="65">
        <f>SUM(A:B!AB123)</f>
        <v>20184.449999999997</v>
      </c>
      <c r="AC123" s="65">
        <f>SUM(A:B!AC123)</f>
        <v>20184.449999999997</v>
      </c>
      <c r="AD123" s="65">
        <f>SUM(A:B!AD123)</f>
        <v>20184.449999999997</v>
      </c>
      <c r="AE123" s="65">
        <f>SUM(A:B!AE123)</f>
        <v>20184.449999999997</v>
      </c>
      <c r="AF123" s="65">
        <f>SUM(A:B!AF123)</f>
        <v>20184.449999999997</v>
      </c>
      <c r="AG123" s="65">
        <f>SUM(A:B!AG123)</f>
        <v>20184.449999999997</v>
      </c>
      <c r="AH123" s="65">
        <f>SUM(A:B!AH123)</f>
        <v>20184.449999999997</v>
      </c>
      <c r="AI123" s="65">
        <f>SUM(A:B!AI123)</f>
        <v>20184.449999999997</v>
      </c>
      <c r="AJ123" s="65">
        <f>SUM(A:B!AJ123)</f>
        <v>20184.449999999997</v>
      </c>
      <c r="AK123" s="124">
        <f t="shared" si="27"/>
        <v>242213.40000000002</v>
      </c>
      <c r="AL123" s="73">
        <f t="shared" si="34"/>
        <v>9.6599174041320365E-4</v>
      </c>
      <c r="AM123" s="14">
        <f t="shared" si="35"/>
        <v>7.15193870575761E-2</v>
      </c>
      <c r="AN123" s="89"/>
      <c r="AO123" s="263">
        <v>0</v>
      </c>
      <c r="AP123" s="73">
        <v>0</v>
      </c>
      <c r="AQ123" s="179">
        <v>0</v>
      </c>
    </row>
    <row r="124" spans="1:43" ht="15" customHeight="1" outlineLevel="1">
      <c r="A124" s="12"/>
      <c r="I124" s="228" t="s">
        <v>237</v>
      </c>
      <c r="J124" s="65">
        <f>SUM(A:B!J124)</f>
        <v>0</v>
      </c>
      <c r="K124" s="65">
        <f>SUM(A:B!K124)</f>
        <v>4250</v>
      </c>
      <c r="L124" s="65">
        <f>SUM(A:B!L124)</f>
        <v>0</v>
      </c>
      <c r="M124" s="65">
        <f>SUM(A:B!M124)</f>
        <v>1050</v>
      </c>
      <c r="N124" s="65">
        <f>SUM(A:B!N124)</f>
        <v>700</v>
      </c>
      <c r="O124" s="65">
        <f>SUM(A:B!O124)</f>
        <v>0</v>
      </c>
      <c r="P124" s="65">
        <f>SUM(A:B!P124)</f>
        <v>0</v>
      </c>
      <c r="Q124" s="65">
        <f>SUM(A:B!Q124)</f>
        <v>2450</v>
      </c>
      <c r="R124" s="65">
        <f>SUM(A:B!R124)</f>
        <v>2450</v>
      </c>
      <c r="S124" s="65">
        <f>SUM(A:B!S124)</f>
        <v>13200</v>
      </c>
      <c r="T124" s="65">
        <f>SUM(A:B!T124)</f>
        <v>0</v>
      </c>
      <c r="U124" s="65">
        <f>SUM(A:B!U124)</f>
        <v>0</v>
      </c>
      <c r="V124" s="11">
        <f t="shared" si="32"/>
        <v>24100</v>
      </c>
      <c r="W124" s="73">
        <f t="shared" si="33"/>
        <v>1.076503489329722E-4</v>
      </c>
      <c r="X124" s="89"/>
      <c r="Y124" s="65">
        <f>SUM(A:B!Y124)</f>
        <v>0</v>
      </c>
      <c r="Z124" s="65">
        <f>SUM(A:B!Z124)</f>
        <v>362.28499999999997</v>
      </c>
      <c r="AA124" s="65">
        <f>SUM(A:B!AA124)</f>
        <v>362.28499999999997</v>
      </c>
      <c r="AB124" s="65">
        <f>SUM(A:B!AB124)</f>
        <v>362.28499999999997</v>
      </c>
      <c r="AC124" s="65">
        <f>SUM(A:B!AC124)</f>
        <v>362.28499999999997</v>
      </c>
      <c r="AD124" s="65">
        <f>SUM(A:B!AD124)</f>
        <v>362.28499999999997</v>
      </c>
      <c r="AE124" s="65">
        <f>SUM(A:B!AE124)</f>
        <v>0</v>
      </c>
      <c r="AF124" s="65">
        <f>SUM(A:B!AF124)</f>
        <v>0</v>
      </c>
      <c r="AG124" s="65">
        <f>SUM(A:B!AG124)</f>
        <v>10868.55</v>
      </c>
      <c r="AH124" s="65">
        <f>SUM(A:B!AH124)</f>
        <v>0</v>
      </c>
      <c r="AI124" s="65">
        <f>SUM(A:B!AI124)</f>
        <v>0</v>
      </c>
      <c r="AJ124" s="65">
        <f>SUM(A:B!AJ124)</f>
        <v>0</v>
      </c>
      <c r="AK124" s="124">
        <f t="shared" si="27"/>
        <v>12679.974999999999</v>
      </c>
      <c r="AL124" s="73">
        <f t="shared" si="34"/>
        <v>5.0570080427614281E-5</v>
      </c>
      <c r="AM124" s="14">
        <f t="shared" si="35"/>
        <v>-0.47385995850622409</v>
      </c>
      <c r="AN124" s="89"/>
      <c r="AO124" s="263">
        <v>41600</v>
      </c>
      <c r="AP124" s="73">
        <v>9.4382297149505782E-6</v>
      </c>
      <c r="AQ124" s="179">
        <v>-0.55219344209901577</v>
      </c>
    </row>
    <row r="125" spans="1:43" ht="15" customHeight="1" outlineLevel="1">
      <c r="A125" s="12"/>
      <c r="I125" s="228" t="s">
        <v>238</v>
      </c>
      <c r="J125" s="65">
        <f>SUM(A:B!J125)</f>
        <v>0</v>
      </c>
      <c r="K125" s="65">
        <f>SUM(A:B!K125)</f>
        <v>0</v>
      </c>
      <c r="L125" s="65">
        <f>SUM(A:B!L125)</f>
        <v>0</v>
      </c>
      <c r="M125" s="65">
        <f>SUM(A:B!M125)</f>
        <v>0</v>
      </c>
      <c r="N125" s="65">
        <f>SUM(A:B!N125)</f>
        <v>0</v>
      </c>
      <c r="O125" s="65">
        <f>SUM(A:B!O125)</f>
        <v>0</v>
      </c>
      <c r="P125" s="65">
        <f>SUM(A:B!P125)</f>
        <v>0</v>
      </c>
      <c r="Q125" s="65">
        <f>SUM(A:B!Q125)</f>
        <v>0</v>
      </c>
      <c r="R125" s="65">
        <f>SUM(A:B!R125)</f>
        <v>0</v>
      </c>
      <c r="S125" s="65">
        <f>SUM(A:B!S125)</f>
        <v>0</v>
      </c>
      <c r="T125" s="65">
        <f>SUM(A:B!T125)</f>
        <v>0</v>
      </c>
      <c r="U125" s="65">
        <f>SUM(A:B!U125)</f>
        <v>0</v>
      </c>
      <c r="V125" s="11">
        <f t="shared" si="32"/>
        <v>0</v>
      </c>
      <c r="W125" s="73">
        <f t="shared" si="33"/>
        <v>0</v>
      </c>
      <c r="X125" s="89"/>
      <c r="Y125" s="65">
        <f>SUM(A:B!Y125)</f>
        <v>0</v>
      </c>
      <c r="Z125" s="65">
        <f>SUM(A:B!Z125)</f>
        <v>0</v>
      </c>
      <c r="AA125" s="65">
        <f>SUM(A:B!AA125)</f>
        <v>14487.259599999999</v>
      </c>
      <c r="AB125" s="65">
        <f>SUM(A:B!AB125)</f>
        <v>0</v>
      </c>
      <c r="AC125" s="65">
        <f>SUM(A:B!AC125)</f>
        <v>0</v>
      </c>
      <c r="AD125" s="65">
        <f>SUM(A:B!AD125)</f>
        <v>0</v>
      </c>
      <c r="AE125" s="65">
        <f>SUM(A:B!AE125)</f>
        <v>0</v>
      </c>
      <c r="AF125" s="65">
        <f>SUM(A:B!AF125)</f>
        <v>0</v>
      </c>
      <c r="AG125" s="65">
        <f>SUM(A:B!AG125)</f>
        <v>0</v>
      </c>
      <c r="AH125" s="65">
        <f>SUM(A:B!AH125)</f>
        <v>0</v>
      </c>
      <c r="AI125" s="65">
        <f>SUM(A:B!AI125)</f>
        <v>0</v>
      </c>
      <c r="AJ125" s="65">
        <f>SUM(A:B!AJ125)</f>
        <v>0</v>
      </c>
      <c r="AK125" s="124">
        <f t="shared" si="27"/>
        <v>14487.259599999999</v>
      </c>
      <c r="AL125" s="73">
        <f t="shared" si="34"/>
        <v>5.7777864952235879E-5</v>
      </c>
      <c r="AM125" s="14">
        <f t="shared" si="35"/>
        <v>0</v>
      </c>
      <c r="AN125" s="89"/>
      <c r="AO125" s="263">
        <v>4368000</v>
      </c>
      <c r="AP125" s="73">
        <v>9.9101412006981078E-4</v>
      </c>
      <c r="AQ125" s="179">
        <v>0.18181818181818188</v>
      </c>
    </row>
    <row r="126" spans="1:43" ht="15" customHeight="1" outlineLevel="1">
      <c r="A126" s="12"/>
      <c r="I126" s="228" t="s">
        <v>239</v>
      </c>
      <c r="J126" s="65">
        <f>SUM(A:B!J126)</f>
        <v>0</v>
      </c>
      <c r="K126" s="65">
        <f>SUM(A:B!K126)</f>
        <v>0</v>
      </c>
      <c r="L126" s="65">
        <f>SUM(A:B!L126)</f>
        <v>0</v>
      </c>
      <c r="M126" s="65">
        <f>SUM(A:B!M126)</f>
        <v>21600</v>
      </c>
      <c r="N126" s="65">
        <f>SUM(A:B!N126)</f>
        <v>0</v>
      </c>
      <c r="O126" s="65">
        <f>SUM(A:B!O126)</f>
        <v>0</v>
      </c>
      <c r="P126" s="65">
        <f>SUM(A:B!P126)</f>
        <v>0</v>
      </c>
      <c r="Q126" s="65">
        <f>SUM(A:B!Q126)</f>
        <v>0</v>
      </c>
      <c r="R126" s="65">
        <f>SUM(A:B!R126)</f>
        <v>0</v>
      </c>
      <c r="S126" s="65">
        <f>SUM(A:B!S126)</f>
        <v>0</v>
      </c>
      <c r="T126" s="65">
        <f>SUM(A:B!T126)</f>
        <v>24750</v>
      </c>
      <c r="U126" s="65">
        <f>SUM(A:B!U126)</f>
        <v>24750</v>
      </c>
      <c r="V126" s="11">
        <f t="shared" si="32"/>
        <v>71100</v>
      </c>
      <c r="W126" s="73">
        <f t="shared" si="33"/>
        <v>3.17590863449557E-4</v>
      </c>
      <c r="X126" s="89"/>
      <c r="Y126" s="65">
        <f>SUM(A:B!Y126)</f>
        <v>0</v>
      </c>
      <c r="Z126" s="65">
        <f>SUM(A:B!Z126)</f>
        <v>23289.75</v>
      </c>
      <c r="AA126" s="65">
        <f>SUM(A:B!AA126)</f>
        <v>0</v>
      </c>
      <c r="AB126" s="65">
        <f>SUM(A:B!AB126)</f>
        <v>0</v>
      </c>
      <c r="AC126" s="65">
        <f>SUM(A:B!AC126)</f>
        <v>0</v>
      </c>
      <c r="AD126" s="65">
        <f>SUM(A:B!AD126)</f>
        <v>0</v>
      </c>
      <c r="AE126" s="65">
        <f>SUM(A:B!AE126)</f>
        <v>0</v>
      </c>
      <c r="AF126" s="65">
        <f>SUM(A:B!AF126)</f>
        <v>23289.75</v>
      </c>
      <c r="AG126" s="65">
        <f>SUM(A:B!AG126)</f>
        <v>0</v>
      </c>
      <c r="AH126" s="65">
        <f>SUM(A:B!AH126)</f>
        <v>0</v>
      </c>
      <c r="AI126" s="65">
        <f>SUM(A:B!AI126)</f>
        <v>0</v>
      </c>
      <c r="AJ126" s="65">
        <f>SUM(A:B!AJ126)</f>
        <v>0</v>
      </c>
      <c r="AK126" s="124">
        <f t="shared" si="27"/>
        <v>46579.5</v>
      </c>
      <c r="AL126" s="73">
        <f t="shared" si="34"/>
        <v>1.8576764238715452E-4</v>
      </c>
      <c r="AM126" s="14">
        <f t="shared" si="35"/>
        <v>-0.34487341772151903</v>
      </c>
      <c r="AN126" s="89"/>
      <c r="AO126" s="263">
        <v>171600</v>
      </c>
      <c r="AP126" s="73"/>
      <c r="AQ126" s="179"/>
    </row>
    <row r="127" spans="1:43">
      <c r="A127" s="12" t="s">
        <v>240</v>
      </c>
      <c r="B127" s="8" t="s">
        <v>101</v>
      </c>
      <c r="I127" s="228" t="s">
        <v>241</v>
      </c>
      <c r="J127" s="65">
        <f>SUM(A:B!J127)</f>
        <v>0</v>
      </c>
      <c r="K127" s="65">
        <f>SUM(A:B!K127)</f>
        <v>0</v>
      </c>
      <c r="L127" s="65">
        <f>SUM(A:B!L127)</f>
        <v>0</v>
      </c>
      <c r="M127" s="65">
        <f>SUM(A:B!M127)</f>
        <v>0</v>
      </c>
      <c r="N127" s="65">
        <f>SUM(A:B!N127)</f>
        <v>0</v>
      </c>
      <c r="O127" s="65">
        <f>SUM(A:B!O127)</f>
        <v>0</v>
      </c>
      <c r="P127" s="65">
        <f>SUM(A:B!P127)</f>
        <v>0</v>
      </c>
      <c r="Q127" s="65">
        <f>SUM(A:B!Q127)</f>
        <v>0</v>
      </c>
      <c r="R127" s="65">
        <f>SUM(A:B!R127)</f>
        <v>0</v>
      </c>
      <c r="S127" s="65">
        <f>SUM(A:B!S127)</f>
        <v>0</v>
      </c>
      <c r="T127" s="65">
        <f>SUM(A:B!T127)</f>
        <v>0</v>
      </c>
      <c r="U127" s="65">
        <f>SUM(A:B!U127)</f>
        <v>8320</v>
      </c>
      <c r="V127" s="11">
        <f t="shared" si="32"/>
        <v>8320</v>
      </c>
      <c r="W127" s="73">
        <f t="shared" si="33"/>
        <v>3.7163937888893308E-5</v>
      </c>
      <c r="X127" s="89"/>
      <c r="Y127" s="65">
        <f>SUM(A:B!Y127)</f>
        <v>0</v>
      </c>
      <c r="Z127" s="65">
        <f>SUM(A:B!Z127)</f>
        <v>0</v>
      </c>
      <c r="AA127" s="65">
        <f>SUM(A:B!AA127)</f>
        <v>0</v>
      </c>
      <c r="AB127" s="65">
        <f>SUM(A:B!AB127)</f>
        <v>0</v>
      </c>
      <c r="AC127" s="65">
        <f>SUM(A:B!AC127)</f>
        <v>0</v>
      </c>
      <c r="AD127" s="65">
        <f>SUM(A:B!AD127)</f>
        <v>0</v>
      </c>
      <c r="AE127" s="65">
        <f>SUM(A:B!AE127)</f>
        <v>0</v>
      </c>
      <c r="AF127" s="65">
        <f>SUM(A:B!AF127)</f>
        <v>0</v>
      </c>
      <c r="AG127" s="65">
        <f>SUM(A:B!AG127)</f>
        <v>0</v>
      </c>
      <c r="AH127" s="65">
        <f>SUM(A:B!AH127)</f>
        <v>0</v>
      </c>
      <c r="AI127" s="65">
        <f>SUM(A:B!AI127)</f>
        <v>0</v>
      </c>
      <c r="AJ127" s="65">
        <f>SUM(A:B!AJ127)</f>
        <v>0</v>
      </c>
      <c r="AK127" s="124">
        <f t="shared" si="27"/>
        <v>0</v>
      </c>
      <c r="AL127" s="73">
        <f t="shared" si="34"/>
        <v>0</v>
      </c>
      <c r="AM127" s="14">
        <f t="shared" si="35"/>
        <v>-1</v>
      </c>
      <c r="AN127" s="89"/>
      <c r="AO127" s="263">
        <v>51402018.044294111</v>
      </c>
      <c r="AP127" s="72">
        <v>1.1662116685434674E-2</v>
      </c>
      <c r="AQ127" s="178">
        <v>0.16970042696209497</v>
      </c>
    </row>
    <row r="128" spans="1:43" ht="15" customHeight="1" outlineLevel="1">
      <c r="A128" s="12" t="s">
        <v>240</v>
      </c>
      <c r="B128" s="8" t="s">
        <v>101</v>
      </c>
      <c r="I128" s="228" t="s">
        <v>242</v>
      </c>
      <c r="J128" s="65">
        <f>SUM(A:B!J128)</f>
        <v>0</v>
      </c>
      <c r="K128" s="65">
        <f>SUM(A:B!K128)</f>
        <v>0</v>
      </c>
      <c r="L128" s="65">
        <f>SUM(A:B!L128)</f>
        <v>0</v>
      </c>
      <c r="M128" s="65">
        <f>SUM(A:B!M128)</f>
        <v>0</v>
      </c>
      <c r="N128" s="65">
        <f>SUM(A:B!N128)</f>
        <v>0</v>
      </c>
      <c r="O128" s="65">
        <f>SUM(A:B!O128)</f>
        <v>0</v>
      </c>
      <c r="P128" s="65">
        <f>SUM(A:B!P128)</f>
        <v>0</v>
      </c>
      <c r="Q128" s="65">
        <f>SUM(A:B!Q128)</f>
        <v>0</v>
      </c>
      <c r="R128" s="65">
        <f>SUM(A:B!R128)</f>
        <v>0</v>
      </c>
      <c r="S128" s="65">
        <f>SUM(A:B!S128)</f>
        <v>0</v>
      </c>
      <c r="T128" s="65">
        <f>SUM(A:B!T128)</f>
        <v>0</v>
      </c>
      <c r="U128" s="65">
        <f>SUM(A:B!U128)</f>
        <v>0</v>
      </c>
      <c r="V128" s="11">
        <f t="shared" si="32"/>
        <v>0</v>
      </c>
      <c r="W128" s="73">
        <f t="shared" si="33"/>
        <v>0</v>
      </c>
      <c r="X128" s="89"/>
      <c r="Y128" s="65">
        <f>SUM(A:B!Y128)</f>
        <v>0</v>
      </c>
      <c r="Z128" s="65">
        <f>SUM(A:B!Z128)</f>
        <v>0</v>
      </c>
      <c r="AA128" s="65">
        <f>SUM(A:B!AA128)</f>
        <v>0</v>
      </c>
      <c r="AB128" s="65">
        <f>SUM(A:B!AB128)</f>
        <v>0</v>
      </c>
      <c r="AC128" s="65">
        <f>SUM(A:B!AC128)</f>
        <v>0</v>
      </c>
      <c r="AD128" s="65">
        <f>SUM(A:B!AD128)</f>
        <v>0</v>
      </c>
      <c r="AE128" s="65">
        <f>SUM(A:B!AE128)</f>
        <v>0</v>
      </c>
      <c r="AF128" s="65">
        <f>SUM(A:B!AF128)</f>
        <v>0</v>
      </c>
      <c r="AG128" s="65">
        <f>SUM(A:B!AG128)</f>
        <v>0</v>
      </c>
      <c r="AH128" s="65">
        <f>SUM(A:B!AH128)</f>
        <v>0</v>
      </c>
      <c r="AI128" s="65">
        <f>SUM(A:B!AI128)</f>
        <v>0</v>
      </c>
      <c r="AJ128" s="65">
        <f>SUM(A:B!AJ128)</f>
        <v>0</v>
      </c>
      <c r="AK128" s="124">
        <f t="shared" si="27"/>
        <v>0</v>
      </c>
      <c r="AL128" s="73">
        <f t="shared" si="34"/>
        <v>0</v>
      </c>
      <c r="AM128" s="14">
        <f t="shared" si="35"/>
        <v>0</v>
      </c>
      <c r="AN128" s="89"/>
      <c r="AO128" s="245">
        <v>37006963.036800012</v>
      </c>
      <c r="AP128" s="73">
        <v>8.396159091202008E-3</v>
      </c>
      <c r="AQ128" s="179">
        <v>0.15845156326110899</v>
      </c>
    </row>
    <row r="129" spans="1:43" ht="15" customHeight="1" outlineLevel="1">
      <c r="A129" s="12" t="s">
        <v>240</v>
      </c>
      <c r="B129" s="8" t="s">
        <v>101</v>
      </c>
      <c r="I129" s="228" t="s">
        <v>243</v>
      </c>
      <c r="J129" s="65">
        <f>SUM(A:B!J129)</f>
        <v>0</v>
      </c>
      <c r="K129" s="65">
        <f>SUM(A:B!K129)</f>
        <v>0</v>
      </c>
      <c r="L129" s="65">
        <f>SUM(A:B!L129)</f>
        <v>0</v>
      </c>
      <c r="M129" s="65">
        <f>SUM(A:B!M129)</f>
        <v>0</v>
      </c>
      <c r="N129" s="65">
        <f>SUM(A:B!N129)</f>
        <v>0</v>
      </c>
      <c r="O129" s="65">
        <f>SUM(A:B!O129)</f>
        <v>0</v>
      </c>
      <c r="P129" s="65">
        <f>SUM(A:B!P129)</f>
        <v>0</v>
      </c>
      <c r="Q129" s="65">
        <f>SUM(A:B!Q129)</f>
        <v>0</v>
      </c>
      <c r="R129" s="65">
        <f>SUM(A:B!R129)</f>
        <v>0</v>
      </c>
      <c r="S129" s="65">
        <f>SUM(A:B!S129)</f>
        <v>0</v>
      </c>
      <c r="T129" s="65">
        <f>SUM(A:B!T129)</f>
        <v>0</v>
      </c>
      <c r="U129" s="65">
        <f>SUM(A:B!U129)</f>
        <v>0</v>
      </c>
      <c r="V129" s="11">
        <f t="shared" si="32"/>
        <v>0</v>
      </c>
      <c r="W129" s="73">
        <f t="shared" si="33"/>
        <v>0</v>
      </c>
      <c r="X129" s="89"/>
      <c r="Y129" s="65">
        <f>SUM(A:B!Y129)</f>
        <v>0</v>
      </c>
      <c r="Z129" s="65">
        <f>SUM(A:B!Z129)</f>
        <v>0</v>
      </c>
      <c r="AA129" s="65">
        <f>SUM(A:B!AA129)</f>
        <v>0</v>
      </c>
      <c r="AB129" s="65">
        <f>SUM(A:B!AB129)</f>
        <v>0</v>
      </c>
      <c r="AC129" s="65">
        <f>SUM(A:B!AC129)</f>
        <v>0</v>
      </c>
      <c r="AD129" s="65">
        <f>SUM(A:B!AD129)</f>
        <v>0</v>
      </c>
      <c r="AE129" s="65">
        <f>SUM(A:B!AE129)</f>
        <v>0</v>
      </c>
      <c r="AF129" s="65">
        <f>SUM(A:B!AF129)</f>
        <v>0</v>
      </c>
      <c r="AG129" s="65">
        <f>SUM(A:B!AG129)</f>
        <v>0</v>
      </c>
      <c r="AH129" s="65">
        <f>SUM(A:B!AH129)</f>
        <v>0</v>
      </c>
      <c r="AI129" s="65">
        <f>SUM(A:B!AI129)</f>
        <v>0</v>
      </c>
      <c r="AJ129" s="65">
        <f>SUM(A:B!AJ129)</f>
        <v>0</v>
      </c>
      <c r="AK129" s="124">
        <f t="shared" si="27"/>
        <v>0</v>
      </c>
      <c r="AL129" s="73">
        <f t="shared" si="34"/>
        <v>0</v>
      </c>
      <c r="AM129" s="14">
        <f t="shared" si="35"/>
        <v>0</v>
      </c>
      <c r="AN129" s="89"/>
      <c r="AO129" s="245">
        <v>4695373.8</v>
      </c>
      <c r="AP129" s="73">
        <v>1.0652888587009714E-3</v>
      </c>
      <c r="AQ129" s="179">
        <v>0.4048777563247099</v>
      </c>
    </row>
    <row r="130" spans="1:43" ht="15" customHeight="1" outlineLevel="1">
      <c r="A130" s="12" t="s">
        <v>240</v>
      </c>
      <c r="B130" s="8" t="s">
        <v>101</v>
      </c>
      <c r="I130" s="228" t="s">
        <v>244</v>
      </c>
      <c r="J130" s="65">
        <f>SUM(A:B!J130)</f>
        <v>0</v>
      </c>
      <c r="K130" s="65">
        <f>SUM(A:B!K130)</f>
        <v>0</v>
      </c>
      <c r="L130" s="65">
        <f>SUM(A:B!L130)</f>
        <v>0</v>
      </c>
      <c r="M130" s="65">
        <f>SUM(A:B!M130)</f>
        <v>0</v>
      </c>
      <c r="N130" s="65">
        <f>SUM(A:B!N130)</f>
        <v>0</v>
      </c>
      <c r="O130" s="65">
        <f>SUM(A:B!O130)</f>
        <v>0</v>
      </c>
      <c r="P130" s="65">
        <f>SUM(A:B!P130)</f>
        <v>0</v>
      </c>
      <c r="Q130" s="65">
        <f>SUM(A:B!Q130)</f>
        <v>0</v>
      </c>
      <c r="R130" s="65">
        <f>SUM(A:B!R130)</f>
        <v>0</v>
      </c>
      <c r="S130" s="65">
        <f>SUM(A:B!S130)</f>
        <v>0</v>
      </c>
      <c r="T130" s="65">
        <f>SUM(A:B!T130)</f>
        <v>0</v>
      </c>
      <c r="U130" s="65">
        <f>SUM(A:B!U130)</f>
        <v>0</v>
      </c>
      <c r="V130" s="11">
        <f t="shared" si="32"/>
        <v>0</v>
      </c>
      <c r="W130" s="73">
        <f t="shared" si="33"/>
        <v>0</v>
      </c>
      <c r="X130" s="89"/>
      <c r="Y130" s="65">
        <f>SUM(A:B!Y130)</f>
        <v>0</v>
      </c>
      <c r="Z130" s="65">
        <f>SUM(A:B!Z130)</f>
        <v>0</v>
      </c>
      <c r="AA130" s="65">
        <f>SUM(A:B!AA130)</f>
        <v>0</v>
      </c>
      <c r="AB130" s="65">
        <f>SUM(A:B!AB130)</f>
        <v>0</v>
      </c>
      <c r="AC130" s="65">
        <f>SUM(A:B!AC130)</f>
        <v>0</v>
      </c>
      <c r="AD130" s="65">
        <f>SUM(A:B!AD130)</f>
        <v>0</v>
      </c>
      <c r="AE130" s="65">
        <f>SUM(A:B!AE130)</f>
        <v>0</v>
      </c>
      <c r="AF130" s="65">
        <f>SUM(A:B!AF130)</f>
        <v>0</v>
      </c>
      <c r="AG130" s="65">
        <f>SUM(A:B!AG130)</f>
        <v>0</v>
      </c>
      <c r="AH130" s="65">
        <f>SUM(A:B!AH130)</f>
        <v>0</v>
      </c>
      <c r="AI130" s="65">
        <f>SUM(A:B!AI130)</f>
        <v>0</v>
      </c>
      <c r="AJ130" s="65">
        <f>SUM(A:B!AJ130)</f>
        <v>0</v>
      </c>
      <c r="AK130" s="124">
        <f t="shared" si="27"/>
        <v>0</v>
      </c>
      <c r="AL130" s="73">
        <f t="shared" si="34"/>
        <v>0</v>
      </c>
      <c r="AM130" s="14">
        <f t="shared" si="35"/>
        <v>0</v>
      </c>
      <c r="AN130" s="89"/>
      <c r="AO130" s="245">
        <v>0</v>
      </c>
      <c r="AP130" s="73">
        <v>0</v>
      </c>
      <c r="AQ130" s="179">
        <v>-1</v>
      </c>
    </row>
    <row r="131" spans="1:43" ht="15" customHeight="1" outlineLevel="1">
      <c r="A131" s="12" t="s">
        <v>240</v>
      </c>
      <c r="B131" s="8" t="s">
        <v>101</v>
      </c>
      <c r="I131" s="228" t="s">
        <v>245</v>
      </c>
      <c r="J131" s="65">
        <f>SUM(A:B!J131)</f>
        <v>0</v>
      </c>
      <c r="K131" s="65">
        <f>SUM(A:B!K131)</f>
        <v>0</v>
      </c>
      <c r="L131" s="65">
        <f>SUM(A:B!L131)</f>
        <v>0</v>
      </c>
      <c r="M131" s="65">
        <f>SUM(A:B!M131)</f>
        <v>0</v>
      </c>
      <c r="N131" s="65">
        <f>SUM(A:B!N131)</f>
        <v>0</v>
      </c>
      <c r="O131" s="65">
        <f>SUM(A:B!O131)</f>
        <v>0</v>
      </c>
      <c r="P131" s="65">
        <f>SUM(A:B!P131)</f>
        <v>0</v>
      </c>
      <c r="Q131" s="65">
        <f>SUM(A:B!Q131)</f>
        <v>0</v>
      </c>
      <c r="R131" s="65">
        <f>SUM(A:B!R131)</f>
        <v>0</v>
      </c>
      <c r="S131" s="65">
        <f>SUM(A:B!S131)</f>
        <v>0</v>
      </c>
      <c r="T131" s="65">
        <f>SUM(A:B!T131)</f>
        <v>0</v>
      </c>
      <c r="U131" s="65">
        <f>SUM(A:B!U131)</f>
        <v>0</v>
      </c>
      <c r="V131" s="11">
        <f t="shared" si="32"/>
        <v>0</v>
      </c>
      <c r="W131" s="73">
        <f t="shared" si="33"/>
        <v>0</v>
      </c>
      <c r="X131" s="89"/>
      <c r="Y131" s="65">
        <f>SUM(A:B!Y131)</f>
        <v>0</v>
      </c>
      <c r="Z131" s="65">
        <f>SUM(A:B!Z131)</f>
        <v>0</v>
      </c>
      <c r="AA131" s="65">
        <f>SUM(A:B!AA131)</f>
        <v>0</v>
      </c>
      <c r="AB131" s="65">
        <f>SUM(A:B!AB131)</f>
        <v>0</v>
      </c>
      <c r="AC131" s="65">
        <f>SUM(A:B!AC131)</f>
        <v>0</v>
      </c>
      <c r="AD131" s="65">
        <f>SUM(A:B!AD131)</f>
        <v>0</v>
      </c>
      <c r="AE131" s="65">
        <f>SUM(A:B!AE131)</f>
        <v>0</v>
      </c>
      <c r="AF131" s="65">
        <f>SUM(A:B!AF131)</f>
        <v>0</v>
      </c>
      <c r="AG131" s="65">
        <f>SUM(A:B!AG131)</f>
        <v>0</v>
      </c>
      <c r="AH131" s="65">
        <f>SUM(A:B!AH131)</f>
        <v>0</v>
      </c>
      <c r="AI131" s="65">
        <f>SUM(A:B!AI131)</f>
        <v>0</v>
      </c>
      <c r="AJ131" s="65">
        <f>SUM(A:B!AJ131)</f>
        <v>0</v>
      </c>
      <c r="AK131" s="124">
        <f t="shared" si="27"/>
        <v>0</v>
      </c>
      <c r="AL131" s="73">
        <f t="shared" si="34"/>
        <v>0</v>
      </c>
      <c r="AM131" s="14">
        <f t="shared" si="35"/>
        <v>0</v>
      </c>
      <c r="AN131" s="89"/>
      <c r="AO131" s="245">
        <v>4213666.1773903519</v>
      </c>
      <c r="AP131" s="73">
        <v>9.5599878183480372E-4</v>
      </c>
      <c r="AQ131" s="179">
        <v>0.23707781903318303</v>
      </c>
    </row>
    <row r="132" spans="1:43" ht="15" customHeight="1" outlineLevel="1">
      <c r="A132" s="12" t="s">
        <v>240</v>
      </c>
      <c r="B132" s="8" t="s">
        <v>101</v>
      </c>
      <c r="C132" s="19" t="s">
        <v>246</v>
      </c>
      <c r="D132" s="12"/>
      <c r="F132" s="12"/>
      <c r="G132" s="12"/>
      <c r="H132" s="12"/>
      <c r="I132" s="228" t="s">
        <v>247</v>
      </c>
      <c r="J132" s="65">
        <f>SUM(A:B!J132)</f>
        <v>0</v>
      </c>
      <c r="K132" s="65">
        <f>SUM(A:B!K132)</f>
        <v>0</v>
      </c>
      <c r="L132" s="65">
        <f>SUM(A:B!L132)</f>
        <v>0</v>
      </c>
      <c r="M132" s="65">
        <f>SUM(A:B!M132)</f>
        <v>0</v>
      </c>
      <c r="N132" s="65">
        <f>SUM(A:B!N132)</f>
        <v>0</v>
      </c>
      <c r="O132" s="65">
        <f>SUM(A:B!O132)</f>
        <v>0</v>
      </c>
      <c r="P132" s="65">
        <f>SUM(A:B!P132)</f>
        <v>0</v>
      </c>
      <c r="Q132" s="65">
        <f>SUM(A:B!Q132)</f>
        <v>0</v>
      </c>
      <c r="R132" s="65">
        <f>SUM(A:B!R132)</f>
        <v>0</v>
      </c>
      <c r="S132" s="65">
        <f>SUM(A:B!S132)</f>
        <v>0</v>
      </c>
      <c r="T132" s="65">
        <f>SUM(A:B!T132)</f>
        <v>0</v>
      </c>
      <c r="U132" s="65">
        <f>SUM(A:B!U132)</f>
        <v>0</v>
      </c>
      <c r="V132" s="11">
        <f t="shared" si="32"/>
        <v>0</v>
      </c>
      <c r="W132" s="73">
        <f t="shared" si="33"/>
        <v>0</v>
      </c>
      <c r="X132" s="89"/>
      <c r="Y132" s="65">
        <f>SUM(A:B!Y132)</f>
        <v>0</v>
      </c>
      <c r="Z132" s="65">
        <f>SUM(A:B!Z132)</f>
        <v>0</v>
      </c>
      <c r="AA132" s="65">
        <f>SUM(A:B!AA132)</f>
        <v>0</v>
      </c>
      <c r="AB132" s="65">
        <f>SUM(A:B!AB132)</f>
        <v>0</v>
      </c>
      <c r="AC132" s="65">
        <f>SUM(A:B!AC132)</f>
        <v>0</v>
      </c>
      <c r="AD132" s="65">
        <f>SUM(A:B!AD132)</f>
        <v>0</v>
      </c>
      <c r="AE132" s="65">
        <f>SUM(A:B!AE132)</f>
        <v>0</v>
      </c>
      <c r="AF132" s="65">
        <f>SUM(A:B!AF132)</f>
        <v>0</v>
      </c>
      <c r="AG132" s="65">
        <f>SUM(A:B!AG132)</f>
        <v>0</v>
      </c>
      <c r="AH132" s="65">
        <f>SUM(A:B!AH132)</f>
        <v>0</v>
      </c>
      <c r="AI132" s="65">
        <f>SUM(A:B!AI132)</f>
        <v>0</v>
      </c>
      <c r="AJ132" s="65">
        <f>SUM(A:B!AJ132)</f>
        <v>0</v>
      </c>
      <c r="AK132" s="124">
        <f t="shared" si="27"/>
        <v>0</v>
      </c>
      <c r="AL132" s="73">
        <f t="shared" si="34"/>
        <v>0</v>
      </c>
      <c r="AM132" s="14">
        <f t="shared" si="35"/>
        <v>0</v>
      </c>
      <c r="AN132" s="89"/>
      <c r="AO132" s="245">
        <v>4690368.087704001</v>
      </c>
      <c r="AP132" s="73">
        <v>1.0641531600823033E-3</v>
      </c>
      <c r="AQ132" s="179">
        <v>4.3773186195591007E-2</v>
      </c>
    </row>
    <row r="133" spans="1:43" ht="15" customHeight="1" outlineLevel="1">
      <c r="A133" s="12" t="s">
        <v>240</v>
      </c>
      <c r="B133" s="8" t="s">
        <v>101</v>
      </c>
      <c r="E133" s="195"/>
      <c r="I133" s="228" t="s">
        <v>248</v>
      </c>
      <c r="J133" s="65">
        <f>SUM(A:B!J133)</f>
        <v>0</v>
      </c>
      <c r="K133" s="65">
        <f>SUM(A:B!K133)</f>
        <v>0</v>
      </c>
      <c r="L133" s="65">
        <f>SUM(A:B!L133)</f>
        <v>11263</v>
      </c>
      <c r="M133" s="65">
        <f>SUM(A:B!M133)</f>
        <v>0</v>
      </c>
      <c r="N133" s="65">
        <f>SUM(A:B!N133)</f>
        <v>0</v>
      </c>
      <c r="O133" s="65">
        <f>SUM(A:B!O133)</f>
        <v>0</v>
      </c>
      <c r="P133" s="65">
        <f>SUM(A:B!P133)</f>
        <v>0</v>
      </c>
      <c r="Q133" s="65">
        <f>SUM(A:B!Q133)</f>
        <v>0</v>
      </c>
      <c r="R133" s="65">
        <f>SUM(A:B!R133)</f>
        <v>0</v>
      </c>
      <c r="S133" s="65">
        <f>SUM(A:B!S133)</f>
        <v>0</v>
      </c>
      <c r="T133" s="65">
        <f>SUM(A:B!T133)</f>
        <v>2590</v>
      </c>
      <c r="U133" s="65">
        <f>SUM(A:B!U133)</f>
        <v>1480</v>
      </c>
      <c r="V133" s="11">
        <f t="shared" si="32"/>
        <v>15333</v>
      </c>
      <c r="W133" s="73">
        <f t="shared" si="33"/>
        <v>6.8489742746442436E-5</v>
      </c>
      <c r="X133" s="89"/>
      <c r="Y133" s="65">
        <f>SUM(A:B!Y133)</f>
        <v>8800</v>
      </c>
      <c r="Z133" s="65">
        <f>SUM(A:B!Z133)</f>
        <v>0</v>
      </c>
      <c r="AA133" s="65">
        <f>SUM(A:B!AA133)</f>
        <v>0</v>
      </c>
      <c r="AB133" s="65">
        <f>SUM(A:B!AB133)</f>
        <v>0</v>
      </c>
      <c r="AC133" s="65">
        <f>SUM(A:B!AC133)</f>
        <v>0</v>
      </c>
      <c r="AD133" s="65">
        <f>SUM(A:B!AD133)</f>
        <v>0</v>
      </c>
      <c r="AE133" s="65">
        <f>SUM(A:B!AE133)</f>
        <v>8800</v>
      </c>
      <c r="AF133" s="65">
        <f>SUM(A:B!AF133)</f>
        <v>0</v>
      </c>
      <c r="AG133" s="65">
        <f>SUM(A:B!AG133)</f>
        <v>0</v>
      </c>
      <c r="AH133" s="65">
        <f>SUM(A:B!AH133)</f>
        <v>0</v>
      </c>
      <c r="AI133" s="65">
        <f>SUM(A:B!AI133)</f>
        <v>0</v>
      </c>
      <c r="AJ133" s="65">
        <f>SUM(A:B!AJ133)</f>
        <v>0</v>
      </c>
      <c r="AK133" s="124">
        <f t="shared" si="27"/>
        <v>17600</v>
      </c>
      <c r="AL133" s="73">
        <f t="shared" si="34"/>
        <v>7.0192048133061103E-5</v>
      </c>
      <c r="AM133" s="14">
        <f t="shared" si="35"/>
        <v>0.14785104024000528</v>
      </c>
      <c r="AN133" s="89"/>
      <c r="AO133" s="245">
        <v>795646.94239975966</v>
      </c>
      <c r="AP133" s="73">
        <v>1.8051679361459093E-4</v>
      </c>
      <c r="AQ133" s="179">
        <v>0.10667184899991256</v>
      </c>
    </row>
    <row r="134" spans="1:43" ht="15" customHeight="1" outlineLevel="1">
      <c r="A134" s="12"/>
      <c r="I134" s="228" t="s">
        <v>249</v>
      </c>
      <c r="J134" s="65">
        <f>SUM(A:B!J134)</f>
        <v>0</v>
      </c>
      <c r="K134" s="65">
        <f>SUM(A:B!K134)</f>
        <v>0</v>
      </c>
      <c r="L134" s="65">
        <f>SUM(A:B!L134)</f>
        <v>0</v>
      </c>
      <c r="M134" s="65">
        <f>SUM(A:B!M134)</f>
        <v>0</v>
      </c>
      <c r="N134" s="65">
        <f>SUM(A:B!N134)</f>
        <v>0</v>
      </c>
      <c r="O134" s="65">
        <f>SUM(A:B!O134)</f>
        <v>0</v>
      </c>
      <c r="P134" s="65">
        <f>SUM(A:B!P134)</f>
        <v>0</v>
      </c>
      <c r="Q134" s="65">
        <f>SUM(A:B!Q134)</f>
        <v>0</v>
      </c>
      <c r="R134" s="65">
        <f>SUM(A:B!R134)</f>
        <v>0</v>
      </c>
      <c r="S134" s="65">
        <f>SUM(A:B!S134)</f>
        <v>0</v>
      </c>
      <c r="T134" s="65">
        <f>SUM(A:B!T134)</f>
        <v>0</v>
      </c>
      <c r="U134" s="65">
        <f>SUM(A:B!U134)</f>
        <v>0</v>
      </c>
      <c r="V134" s="11">
        <f t="shared" si="32"/>
        <v>0</v>
      </c>
      <c r="W134" s="73">
        <f t="shared" si="33"/>
        <v>0</v>
      </c>
      <c r="X134" s="89"/>
      <c r="Y134" s="65">
        <f>SUM(A:B!Y134)</f>
        <v>0</v>
      </c>
      <c r="Z134" s="65">
        <f>SUM(A:B!Z134)</f>
        <v>0</v>
      </c>
      <c r="AA134" s="65">
        <f>SUM(A:B!AA134)</f>
        <v>0</v>
      </c>
      <c r="AB134" s="65">
        <f>SUM(A:B!AB134)</f>
        <v>0</v>
      </c>
      <c r="AC134" s="65">
        <f>SUM(A:B!AC134)</f>
        <v>0</v>
      </c>
      <c r="AD134" s="65">
        <f>SUM(A:B!AD134)</f>
        <v>0</v>
      </c>
      <c r="AE134" s="65">
        <f>SUM(A:B!AE134)</f>
        <v>0</v>
      </c>
      <c r="AF134" s="65">
        <f>SUM(A:B!AF134)</f>
        <v>0</v>
      </c>
      <c r="AG134" s="65">
        <f>SUM(A:B!AG134)</f>
        <v>0</v>
      </c>
      <c r="AH134" s="65">
        <f>SUM(A:B!AH134)</f>
        <v>0</v>
      </c>
      <c r="AI134" s="65">
        <f>SUM(A:B!AI134)</f>
        <v>0</v>
      </c>
      <c r="AJ134" s="65">
        <f>SUM(A:B!AJ134)</f>
        <v>0</v>
      </c>
      <c r="AK134" s="124">
        <f t="shared" si="27"/>
        <v>0</v>
      </c>
      <c r="AL134" s="73">
        <f t="shared" si="34"/>
        <v>0</v>
      </c>
      <c r="AM134" s="14">
        <f t="shared" si="35"/>
        <v>0</v>
      </c>
      <c r="AN134" s="89"/>
      <c r="AO134" s="245">
        <v>1452240</v>
      </c>
      <c r="AP134" s="73">
        <v>3.294849692605728E-4</v>
      </c>
      <c r="AQ134" s="179">
        <v>0.74717581971925195</v>
      </c>
    </row>
    <row r="135" spans="1:43">
      <c r="I135" s="228" t="s">
        <v>250</v>
      </c>
      <c r="J135" s="65">
        <f>SUM(A:B!J135)</f>
        <v>0</v>
      </c>
      <c r="K135" s="65">
        <f>SUM(A:B!K135)</f>
        <v>0</v>
      </c>
      <c r="L135" s="65">
        <f>SUM(A:B!L135)</f>
        <v>0</v>
      </c>
      <c r="M135" s="65">
        <f>SUM(A:B!M135)</f>
        <v>0</v>
      </c>
      <c r="N135" s="65">
        <f>SUM(A:B!N135)</f>
        <v>0</v>
      </c>
      <c r="O135" s="65">
        <f>SUM(A:B!O135)</f>
        <v>0</v>
      </c>
      <c r="P135" s="65">
        <f>SUM(A:B!P135)</f>
        <v>0</v>
      </c>
      <c r="Q135" s="65">
        <f>SUM(A:B!Q135)</f>
        <v>23077</v>
      </c>
      <c r="R135" s="65">
        <f>SUM(A:B!R135)</f>
        <v>155</v>
      </c>
      <c r="S135" s="65">
        <f>SUM(A:B!S135)</f>
        <v>24364</v>
      </c>
      <c r="T135" s="65">
        <f>SUM(A:B!T135)</f>
        <v>0</v>
      </c>
      <c r="U135" s="65">
        <f>SUM(A:B!U135)</f>
        <v>0</v>
      </c>
      <c r="V135" s="11">
        <f t="shared" si="32"/>
        <v>47596</v>
      </c>
      <c r="W135" s="73">
        <f t="shared" si="33"/>
        <v>2.1260273891343339E-4</v>
      </c>
      <c r="X135" s="89"/>
      <c r="Y135" s="65">
        <f>SUM(A:B!Y135)</f>
        <v>0</v>
      </c>
      <c r="Z135" s="65">
        <f>SUM(A:B!Z135)</f>
        <v>0</v>
      </c>
      <c r="AA135" s="65">
        <f>SUM(A:B!AA135)</f>
        <v>0</v>
      </c>
      <c r="AB135" s="65">
        <f>SUM(A:B!AB135)</f>
        <v>0</v>
      </c>
      <c r="AC135" s="65">
        <f>SUM(A:B!AC135)</f>
        <v>0</v>
      </c>
      <c r="AD135" s="65">
        <f>SUM(A:B!AD135)</f>
        <v>0</v>
      </c>
      <c r="AE135" s="65">
        <f>SUM(A:B!AE135)</f>
        <v>62105.999999999993</v>
      </c>
      <c r="AF135" s="65">
        <f>SUM(A:B!AF135)</f>
        <v>0</v>
      </c>
      <c r="AG135" s="65">
        <f>SUM(A:B!AG135)</f>
        <v>0</v>
      </c>
      <c r="AH135" s="65">
        <f>SUM(A:B!AH135)</f>
        <v>0</v>
      </c>
      <c r="AI135" s="65">
        <f>SUM(A:B!AI135)</f>
        <v>0</v>
      </c>
      <c r="AJ135" s="65">
        <f>SUM(A:B!AJ135)</f>
        <v>0</v>
      </c>
      <c r="AK135" s="124">
        <f t="shared" si="27"/>
        <v>62105.999999999993</v>
      </c>
      <c r="AL135" s="73">
        <f t="shared" si="34"/>
        <v>2.4769018984953936E-4</v>
      </c>
      <c r="AM135" s="14">
        <f t="shared" si="35"/>
        <v>0.30485755105471024</v>
      </c>
      <c r="AN135" s="89"/>
      <c r="AO135" s="253">
        <v>188765095.8007873</v>
      </c>
      <c r="AP135" s="76">
        <v>4.2827123469530846E-2</v>
      </c>
      <c r="AQ135" s="184">
        <v>0.270703191730431</v>
      </c>
    </row>
    <row r="136" spans="1:43">
      <c r="I136" s="228" t="s">
        <v>251</v>
      </c>
      <c r="J136" s="65">
        <f>SUM(A:B!J136)</f>
        <v>0</v>
      </c>
      <c r="K136" s="65">
        <f>SUM(A:B!K136)</f>
        <v>0</v>
      </c>
      <c r="L136" s="65">
        <f>SUM(A:B!L136)</f>
        <v>0</v>
      </c>
      <c r="M136" s="65">
        <f>SUM(A:B!M136)</f>
        <v>0</v>
      </c>
      <c r="N136" s="65">
        <f>SUM(A:B!N136)</f>
        <v>0</v>
      </c>
      <c r="O136" s="65">
        <f>SUM(A:B!O136)</f>
        <v>0</v>
      </c>
      <c r="P136" s="65">
        <f>SUM(A:B!P136)</f>
        <v>0</v>
      </c>
      <c r="Q136" s="65">
        <f>SUM(A:B!Q136)</f>
        <v>0</v>
      </c>
      <c r="R136" s="65">
        <f>SUM(A:B!R136)</f>
        <v>0</v>
      </c>
      <c r="S136" s="65">
        <f>SUM(A:B!S136)</f>
        <v>0</v>
      </c>
      <c r="T136" s="65">
        <f>SUM(A:B!T136)</f>
        <v>0</v>
      </c>
      <c r="U136" s="65">
        <f>SUM(A:B!U136)</f>
        <v>0</v>
      </c>
      <c r="V136" s="11">
        <f t="shared" si="32"/>
        <v>0</v>
      </c>
      <c r="W136" s="73">
        <f t="shared" si="33"/>
        <v>0</v>
      </c>
      <c r="X136" s="89"/>
      <c r="Y136" s="65">
        <f>SUM(A:B!Y136)</f>
        <v>0</v>
      </c>
      <c r="Z136" s="65">
        <f>SUM(A:B!Z136)</f>
        <v>0</v>
      </c>
      <c r="AA136" s="65">
        <f>SUM(A:B!AA136)</f>
        <v>0</v>
      </c>
      <c r="AB136" s="65">
        <f>SUM(A:B!AB136)</f>
        <v>0</v>
      </c>
      <c r="AC136" s="65">
        <f>SUM(A:B!AC136)</f>
        <v>0</v>
      </c>
      <c r="AD136" s="65">
        <f>SUM(A:B!AD136)</f>
        <v>0</v>
      </c>
      <c r="AE136" s="65">
        <f>SUM(A:B!AE136)</f>
        <v>0</v>
      </c>
      <c r="AF136" s="65">
        <f>SUM(A:B!AF136)</f>
        <v>0</v>
      </c>
      <c r="AG136" s="65">
        <f>SUM(A:B!AG136)</f>
        <v>0</v>
      </c>
      <c r="AH136" s="65">
        <f>SUM(A:B!AH136)</f>
        <v>0</v>
      </c>
      <c r="AI136" s="65">
        <f>SUM(A:B!AI136)</f>
        <v>0</v>
      </c>
      <c r="AJ136" s="65">
        <f>SUM(A:B!AJ136)</f>
        <v>0</v>
      </c>
      <c r="AK136" s="124">
        <f t="shared" si="27"/>
        <v>0</v>
      </c>
      <c r="AL136" s="73">
        <f t="shared" si="34"/>
        <v>0</v>
      </c>
      <c r="AM136" s="14">
        <f t="shared" si="35"/>
        <v>0</v>
      </c>
      <c r="AN136" s="89"/>
      <c r="AO136" s="251">
        <v>0.76753670833838283</v>
      </c>
      <c r="AP136" s="73">
        <v>1.7413912903737211E-10</v>
      </c>
      <c r="AQ136" s="180">
        <v>0.11862194659846237</v>
      </c>
    </row>
    <row r="137" spans="1:43">
      <c r="I137" s="228" t="s">
        <v>252</v>
      </c>
      <c r="J137" s="65">
        <f>SUM(A:B!J137)</f>
        <v>0</v>
      </c>
      <c r="K137" s="65">
        <f>SUM(A:B!K137)</f>
        <v>0</v>
      </c>
      <c r="L137" s="65">
        <f>SUM(A:B!L137)</f>
        <v>0</v>
      </c>
      <c r="M137" s="65">
        <f>SUM(A:B!M137)</f>
        <v>0</v>
      </c>
      <c r="N137" s="65">
        <f>SUM(A:B!N137)</f>
        <v>0</v>
      </c>
      <c r="O137" s="65">
        <f>SUM(A:B!O137)</f>
        <v>0</v>
      </c>
      <c r="P137" s="65">
        <f>SUM(A:B!P137)</f>
        <v>0</v>
      </c>
      <c r="Q137" s="65">
        <f>SUM(A:B!Q137)</f>
        <v>0</v>
      </c>
      <c r="R137" s="65">
        <f>SUM(A:B!R137)</f>
        <v>0</v>
      </c>
      <c r="S137" s="65">
        <f>SUM(A:B!S137)</f>
        <v>0</v>
      </c>
      <c r="T137" s="65">
        <f>SUM(A:B!T137)</f>
        <v>0</v>
      </c>
      <c r="U137" s="65">
        <f>SUM(A:B!U137)</f>
        <v>0</v>
      </c>
      <c r="V137" s="11">
        <f t="shared" si="32"/>
        <v>0</v>
      </c>
      <c r="W137" s="73">
        <f>V137/V$6</f>
        <v>0</v>
      </c>
      <c r="X137" s="89"/>
      <c r="Y137" s="65">
        <f>SUM(A:B!Y137)</f>
        <v>0</v>
      </c>
      <c r="Z137" s="65">
        <f>SUM(A:B!Z137)</f>
        <v>0</v>
      </c>
      <c r="AA137" s="65">
        <f>SUM(A:B!AA137)</f>
        <v>0</v>
      </c>
      <c r="AB137" s="65">
        <f>SUM(A:B!AB137)</f>
        <v>0</v>
      </c>
      <c r="AC137" s="65">
        <f>SUM(A:B!AC137)</f>
        <v>0</v>
      </c>
      <c r="AD137" s="65">
        <f>SUM(A:B!AD137)</f>
        <v>0</v>
      </c>
      <c r="AE137" s="65">
        <f>SUM(A:B!AE137)</f>
        <v>0</v>
      </c>
      <c r="AF137" s="65">
        <f>SUM(A:B!AF137)</f>
        <v>0</v>
      </c>
      <c r="AG137" s="65">
        <f>SUM(A:B!AG137)</f>
        <v>0</v>
      </c>
      <c r="AH137" s="65">
        <f>SUM(A:B!AH137)</f>
        <v>0</v>
      </c>
      <c r="AI137" s="65">
        <f>SUM(A:B!AI137)</f>
        <v>0</v>
      </c>
      <c r="AJ137" s="65">
        <f>SUM(A:B!AJ137)</f>
        <v>0</v>
      </c>
      <c r="AK137" s="124">
        <f t="shared" si="27"/>
        <v>0</v>
      </c>
      <c r="AL137" s="73">
        <f t="shared" si="34"/>
        <v>0</v>
      </c>
      <c r="AM137" s="14">
        <f t="shared" si="35"/>
        <v>0</v>
      </c>
      <c r="AN137" s="89"/>
      <c r="AO137" s="251">
        <v>0.61706290133307728</v>
      </c>
      <c r="AP137" s="73">
        <v>1.3999955315758334E-10</v>
      </c>
      <c r="AQ137" s="180">
        <v>0.14569359669045023</v>
      </c>
    </row>
    <row r="138" spans="1:43" ht="15.75">
      <c r="I138" s="228" t="s">
        <v>253</v>
      </c>
      <c r="J138" s="65">
        <f>SUM(A:B!J138)</f>
        <v>4000</v>
      </c>
      <c r="K138" s="65">
        <f>SUM(A:B!K138)</f>
        <v>4000</v>
      </c>
      <c r="L138" s="65">
        <f>SUM(A:B!L138)</f>
        <v>0</v>
      </c>
      <c r="M138" s="65">
        <f>SUM(A:B!M138)</f>
        <v>10000</v>
      </c>
      <c r="N138" s="65">
        <f>SUM(A:B!N138)</f>
        <v>0</v>
      </c>
      <c r="O138" s="65">
        <f>SUM(A:B!O138)</f>
        <v>0</v>
      </c>
      <c r="P138" s="65">
        <f>SUM(A:B!P138)</f>
        <v>0</v>
      </c>
      <c r="Q138" s="65">
        <f>SUM(A:B!Q138)</f>
        <v>0</v>
      </c>
      <c r="R138" s="65">
        <f>SUM(A:B!R138)</f>
        <v>0</v>
      </c>
      <c r="S138" s="65">
        <f>SUM(A:B!S138)</f>
        <v>0</v>
      </c>
      <c r="T138" s="65">
        <f>SUM(A:B!T138)</f>
        <v>0</v>
      </c>
      <c r="U138" s="65">
        <f>SUM(A:B!U138)</f>
        <v>0</v>
      </c>
      <c r="V138" s="11">
        <f t="shared" si="32"/>
        <v>18000</v>
      </c>
      <c r="W138" s="73">
        <f>V138/V$6</f>
        <v>8.0402750240394176E-5</v>
      </c>
      <c r="X138" s="89"/>
      <c r="Y138" s="65">
        <f>SUM(A:B!Y138)</f>
        <v>0</v>
      </c>
      <c r="Z138" s="65">
        <f>SUM(A:B!Z138)</f>
        <v>0</v>
      </c>
      <c r="AA138" s="65">
        <f>SUM(A:B!AA138)</f>
        <v>22358.16</v>
      </c>
      <c r="AB138" s="65">
        <f>SUM(A:B!AB138)</f>
        <v>0</v>
      </c>
      <c r="AC138" s="65">
        <f>SUM(A:B!AC138)</f>
        <v>0</v>
      </c>
      <c r="AD138" s="65">
        <f>SUM(A:B!AD138)</f>
        <v>0</v>
      </c>
      <c r="AE138" s="65">
        <f>SUM(A:B!AE138)</f>
        <v>0</v>
      </c>
      <c r="AF138" s="65">
        <f>SUM(A:B!AF138)</f>
        <v>0</v>
      </c>
      <c r="AG138" s="65">
        <f>SUM(A:B!AG138)</f>
        <v>0</v>
      </c>
      <c r="AH138" s="65">
        <f>SUM(A:B!AH138)</f>
        <v>0</v>
      </c>
      <c r="AI138" s="65">
        <f>SUM(A:B!AI138)</f>
        <v>0</v>
      </c>
      <c r="AJ138" s="65">
        <f>SUM(A:B!AJ138)</f>
        <v>0</v>
      </c>
      <c r="AK138" s="124">
        <f t="shared" si="27"/>
        <v>22358.16</v>
      </c>
      <c r="AL138" s="73">
        <f t="shared" si="34"/>
        <v>8.9168468345834172E-5</v>
      </c>
      <c r="AM138" s="14">
        <f t="shared" si="35"/>
        <v>0.24211999999999989</v>
      </c>
      <c r="AN138" s="89"/>
      <c r="AO138" s="254">
        <v>461979404.78854239</v>
      </c>
      <c r="AP138" s="77">
        <v>0.1048141285089039</v>
      </c>
      <c r="AQ138" s="181">
        <v>0.13668020636276434</v>
      </c>
    </row>
    <row r="139" spans="1:43" ht="15.75">
      <c r="I139" s="228" t="s">
        <v>254</v>
      </c>
      <c r="J139" s="65">
        <f>SUM(A:B!J139)</f>
        <v>0</v>
      </c>
      <c r="K139" s="65">
        <f>SUM(A:B!K139)</f>
        <v>0</v>
      </c>
      <c r="L139" s="65">
        <f>SUM(A:B!L139)</f>
        <v>0</v>
      </c>
      <c r="M139" s="65">
        <f>SUM(A:B!M139)</f>
        <v>0</v>
      </c>
      <c r="N139" s="65">
        <f>SUM(A:B!N139)</f>
        <v>0</v>
      </c>
      <c r="O139" s="65">
        <f>SUM(A:B!O139)</f>
        <v>0</v>
      </c>
      <c r="P139" s="65">
        <f>SUM(A:B!P139)</f>
        <v>0</v>
      </c>
      <c r="Q139" s="65">
        <f>SUM(A:B!Q139)</f>
        <v>0</v>
      </c>
      <c r="R139" s="65">
        <f>SUM(A:B!R139)</f>
        <v>0</v>
      </c>
      <c r="S139" s="65">
        <f>SUM(A:B!S139)</f>
        <v>0</v>
      </c>
      <c r="T139" s="65">
        <f>SUM(A:B!T139)</f>
        <v>0</v>
      </c>
      <c r="U139" s="65">
        <f>SUM(A:B!U139)</f>
        <v>0</v>
      </c>
      <c r="V139" s="11">
        <f t="shared" si="32"/>
        <v>0</v>
      </c>
      <c r="W139" s="73">
        <f>V139/V$6</f>
        <v>0</v>
      </c>
      <c r="X139" s="89"/>
      <c r="Y139" s="65">
        <f>SUM(A:B!Y139)</f>
        <v>0</v>
      </c>
      <c r="Z139" s="65">
        <f>SUM(A:B!Z139)</f>
        <v>0</v>
      </c>
      <c r="AA139" s="65">
        <f>SUM(A:B!AA139)</f>
        <v>0</v>
      </c>
      <c r="AB139" s="65">
        <f>SUM(A:B!AB139)</f>
        <v>0</v>
      </c>
      <c r="AC139" s="65">
        <f>SUM(A:B!AC139)</f>
        <v>0</v>
      </c>
      <c r="AD139" s="65">
        <f>SUM(A:B!AD139)</f>
        <v>0</v>
      </c>
      <c r="AE139" s="65">
        <f>SUM(A:B!AE139)</f>
        <v>0</v>
      </c>
      <c r="AF139" s="65">
        <f>SUM(A:B!AF139)</f>
        <v>0</v>
      </c>
      <c r="AG139" s="65">
        <f>SUM(A:B!AG139)</f>
        <v>0</v>
      </c>
      <c r="AH139" s="65">
        <f>SUM(A:B!AH139)</f>
        <v>0</v>
      </c>
      <c r="AI139" s="65">
        <f>SUM(A:B!AI139)</f>
        <v>0</v>
      </c>
      <c r="AJ139" s="65">
        <f>SUM(A:B!AJ139)</f>
        <v>0</v>
      </c>
      <c r="AK139" s="124">
        <f t="shared" si="27"/>
        <v>0</v>
      </c>
      <c r="AL139" s="73">
        <f>AK139/AK$6</f>
        <v>0</v>
      </c>
      <c r="AM139" s="14">
        <f>IFERROR(AK139/V139-1,0)</f>
        <v>0</v>
      </c>
      <c r="AN139" s="89"/>
      <c r="AO139" s="254"/>
      <c r="AP139" s="77"/>
      <c r="AQ139" s="181"/>
    </row>
    <row r="140" spans="1:43" ht="15.75">
      <c r="I140" s="228" t="s">
        <v>255</v>
      </c>
      <c r="J140" s="65">
        <f>SUM(A:B!J140)</f>
        <v>0</v>
      </c>
      <c r="K140" s="65">
        <f>SUM(A:B!K140)</f>
        <v>0</v>
      </c>
      <c r="L140" s="65">
        <f>SUM(A:B!L140)</f>
        <v>0</v>
      </c>
      <c r="M140" s="65">
        <f>SUM(A:B!M140)</f>
        <v>0</v>
      </c>
      <c r="N140" s="65">
        <f>SUM(A:B!N140)</f>
        <v>0</v>
      </c>
      <c r="O140" s="65">
        <f>SUM(A:B!O140)</f>
        <v>0</v>
      </c>
      <c r="P140" s="65">
        <f>SUM(A:B!P140)</f>
        <v>0</v>
      </c>
      <c r="Q140" s="65">
        <f>SUM(A:B!Q140)</f>
        <v>0</v>
      </c>
      <c r="R140" s="65">
        <f>SUM(A:B!R140)</f>
        <v>0</v>
      </c>
      <c r="S140" s="65">
        <f>SUM(A:B!S140)</f>
        <v>0</v>
      </c>
      <c r="T140" s="65">
        <f>SUM(A:B!T140)</f>
        <v>0</v>
      </c>
      <c r="U140" s="65">
        <f>SUM(A:B!U140)</f>
        <v>0</v>
      </c>
      <c r="V140" s="11">
        <f t="shared" si="32"/>
        <v>0</v>
      </c>
      <c r="W140" s="73">
        <f t="shared" si="21"/>
        <v>0</v>
      </c>
      <c r="X140" s="89"/>
      <c r="Y140" s="65">
        <f>SUM(A:B!Y140)</f>
        <v>0</v>
      </c>
      <c r="Z140" s="65">
        <f>SUM(A:B!Z140)</f>
        <v>0</v>
      </c>
      <c r="AA140" s="65">
        <f>SUM(A:B!AA140)</f>
        <v>3622.8499999999995</v>
      </c>
      <c r="AB140" s="65">
        <f>SUM(A:B!AB140)</f>
        <v>0</v>
      </c>
      <c r="AC140" s="65">
        <f>SUM(A:B!AC140)</f>
        <v>0</v>
      </c>
      <c r="AD140" s="65">
        <f>SUM(A:B!AD140)</f>
        <v>0</v>
      </c>
      <c r="AE140" s="65">
        <f>SUM(A:B!AE140)</f>
        <v>3622.8499999999995</v>
      </c>
      <c r="AF140" s="65">
        <f>SUM(A:B!AF140)</f>
        <v>0</v>
      </c>
      <c r="AG140" s="65">
        <f>SUM(A:B!AG140)</f>
        <v>0</v>
      </c>
      <c r="AH140" s="65">
        <f>SUM(A:B!AH140)</f>
        <v>3622.8499999999995</v>
      </c>
      <c r="AI140" s="65">
        <f>SUM(A:B!AI140)</f>
        <v>0</v>
      </c>
      <c r="AJ140" s="65">
        <f>SUM(A:B!AJ140)</f>
        <v>0</v>
      </c>
      <c r="AK140" s="124">
        <f t="shared" si="27"/>
        <v>10868.55</v>
      </c>
      <c r="AL140" s="73">
        <f t="shared" si="22"/>
        <v>4.3345783223669385E-5</v>
      </c>
      <c r="AM140" s="14">
        <f t="shared" si="29"/>
        <v>0</v>
      </c>
      <c r="AN140" s="89"/>
      <c r="AO140" s="254"/>
      <c r="AP140" s="77"/>
      <c r="AQ140" s="181"/>
    </row>
    <row r="141" spans="1:43" ht="15.75">
      <c r="I141" s="228" t="s">
        <v>256</v>
      </c>
      <c r="J141" s="65">
        <f>SUM(A:B!J141)</f>
        <v>0</v>
      </c>
      <c r="K141" s="65">
        <f>SUM(A:B!K141)</f>
        <v>0</v>
      </c>
      <c r="L141" s="65">
        <f>SUM(A:B!L141)</f>
        <v>0</v>
      </c>
      <c r="M141" s="65">
        <f>SUM(A:B!M141)</f>
        <v>0</v>
      </c>
      <c r="N141" s="65">
        <f>SUM(A:B!N141)</f>
        <v>0</v>
      </c>
      <c r="O141" s="65">
        <f>SUM(A:B!O141)</f>
        <v>0</v>
      </c>
      <c r="P141" s="65">
        <f>SUM(A:B!P141)</f>
        <v>0</v>
      </c>
      <c r="Q141" s="65">
        <f>SUM(A:B!Q141)</f>
        <v>0</v>
      </c>
      <c r="R141" s="65">
        <f>SUM(A:B!R141)</f>
        <v>0</v>
      </c>
      <c r="S141" s="65">
        <f>SUM(A:B!S141)</f>
        <v>0</v>
      </c>
      <c r="T141" s="65">
        <f>SUM(A:B!T141)</f>
        <v>0</v>
      </c>
      <c r="U141" s="65">
        <f>SUM(A:B!U141)</f>
        <v>0</v>
      </c>
      <c r="V141" s="11">
        <f t="shared" si="32"/>
        <v>0</v>
      </c>
      <c r="W141" s="73">
        <f t="shared" si="21"/>
        <v>0</v>
      </c>
      <c r="X141" s="89"/>
      <c r="Y141" s="65">
        <f>SUM(A:B!Y141)</f>
        <v>0</v>
      </c>
      <c r="Z141" s="65">
        <f>SUM(A:B!Z141)</f>
        <v>0</v>
      </c>
      <c r="AA141" s="65">
        <f>SUM(A:B!AA141)</f>
        <v>0</v>
      </c>
      <c r="AB141" s="65">
        <f>SUM(A:B!AB141)</f>
        <v>0</v>
      </c>
      <c r="AC141" s="65">
        <f>SUM(A:B!AC141)</f>
        <v>0</v>
      </c>
      <c r="AD141" s="65">
        <f>SUM(A:B!AD141)</f>
        <v>0</v>
      </c>
      <c r="AE141" s="65">
        <f>SUM(A:B!AE141)</f>
        <v>0</v>
      </c>
      <c r="AF141" s="65">
        <f>SUM(A:B!AF141)</f>
        <v>0</v>
      </c>
      <c r="AG141" s="65">
        <f>SUM(A:B!AG141)</f>
        <v>0</v>
      </c>
      <c r="AH141" s="65">
        <f>SUM(A:B!AH141)</f>
        <v>0</v>
      </c>
      <c r="AI141" s="65">
        <f>SUM(A:B!AI141)</f>
        <v>0</v>
      </c>
      <c r="AJ141" s="65">
        <f>SUM(A:B!AJ141)</f>
        <v>0</v>
      </c>
      <c r="AK141" s="124">
        <f t="shared" si="27"/>
        <v>0</v>
      </c>
      <c r="AL141" s="73">
        <f t="shared" si="22"/>
        <v>0</v>
      </c>
      <c r="AM141" s="14">
        <f t="shared" si="29"/>
        <v>0</v>
      </c>
      <c r="AN141" s="89"/>
      <c r="AO141" s="254"/>
      <c r="AP141" s="77"/>
      <c r="AQ141" s="181"/>
    </row>
    <row r="142" spans="1:43" ht="15.75">
      <c r="I142" s="228" t="s">
        <v>257</v>
      </c>
      <c r="J142" s="65">
        <f>SUM(A:B!J142)</f>
        <v>0</v>
      </c>
      <c r="K142" s="65">
        <f>SUM(A:B!K142)</f>
        <v>0</v>
      </c>
      <c r="L142" s="65">
        <f>SUM(A:B!L142)</f>
        <v>12000</v>
      </c>
      <c r="M142" s="65">
        <f>SUM(A:B!M142)</f>
        <v>0</v>
      </c>
      <c r="N142" s="65">
        <f>SUM(A:B!N142)</f>
        <v>0</v>
      </c>
      <c r="O142" s="65">
        <f>SUM(A:B!O142)</f>
        <v>12000</v>
      </c>
      <c r="P142" s="65">
        <f>SUM(A:B!P142)</f>
        <v>0</v>
      </c>
      <c r="Q142" s="65">
        <f>SUM(A:B!Q142)</f>
        <v>12000</v>
      </c>
      <c r="R142" s="65">
        <f>SUM(A:B!R142)</f>
        <v>0</v>
      </c>
      <c r="S142" s="65">
        <f>SUM(A:B!S142)</f>
        <v>0</v>
      </c>
      <c r="T142" s="65">
        <f>SUM(A:B!T142)</f>
        <v>7800</v>
      </c>
      <c r="U142" s="65">
        <f>SUM(A:B!U142)</f>
        <v>7800</v>
      </c>
      <c r="V142" s="11">
        <v>1239032</v>
      </c>
      <c r="W142" s="73">
        <f t="shared" si="21"/>
        <v>5.5345322464364485E-3</v>
      </c>
      <c r="X142" s="89"/>
      <c r="Y142" s="65">
        <f>SUM(A:B!Y142)</f>
        <v>0</v>
      </c>
      <c r="Z142" s="65">
        <f>SUM(A:B!Z142)</f>
        <v>14905.439999999999</v>
      </c>
      <c r="AA142" s="65">
        <f>SUM(A:B!AA142)</f>
        <v>0</v>
      </c>
      <c r="AB142" s="65">
        <f>SUM(A:B!AB142)</f>
        <v>0</v>
      </c>
      <c r="AC142" s="65">
        <f>SUM(A:B!AC142)</f>
        <v>14905.439999999999</v>
      </c>
      <c r="AD142" s="65">
        <f>SUM(A:B!AD142)</f>
        <v>0</v>
      </c>
      <c r="AE142" s="65">
        <f>SUM(A:B!AE142)</f>
        <v>0</v>
      </c>
      <c r="AF142" s="65">
        <f>SUM(A:B!AF142)</f>
        <v>14905.439999999999</v>
      </c>
      <c r="AG142" s="65">
        <f>SUM(A:B!AG142)</f>
        <v>0</v>
      </c>
      <c r="AH142" s="65">
        <f>SUM(A:B!AH142)</f>
        <v>0</v>
      </c>
      <c r="AI142" s="65">
        <f>SUM(A:B!AI142)</f>
        <v>14905.439999999999</v>
      </c>
      <c r="AJ142" s="65">
        <f>SUM(A:B!AJ142)</f>
        <v>0</v>
      </c>
      <c r="AK142" s="124">
        <f t="shared" si="27"/>
        <v>59621.759999999995</v>
      </c>
      <c r="AL142" s="73">
        <f t="shared" si="22"/>
        <v>2.3778258225555778E-4</v>
      </c>
      <c r="AM142" s="14">
        <f t="shared" si="29"/>
        <v>-0.95188037112842927</v>
      </c>
      <c r="AN142" s="89"/>
      <c r="AO142" s="254"/>
      <c r="AP142" s="77"/>
      <c r="AQ142" s="181"/>
    </row>
    <row r="143" spans="1:43" ht="15.75">
      <c r="I143" s="228" t="s">
        <v>258</v>
      </c>
      <c r="J143" s="65">
        <f>SUM(A:B!J143)</f>
        <v>0</v>
      </c>
      <c r="K143" s="65">
        <f>SUM(A:B!K143)</f>
        <v>0</v>
      </c>
      <c r="L143" s="65">
        <f>SUM(A:B!L143)</f>
        <v>0</v>
      </c>
      <c r="M143" s="65">
        <f>SUM(A:B!M143)</f>
        <v>0</v>
      </c>
      <c r="N143" s="65">
        <f>SUM(A:B!N143)</f>
        <v>0</v>
      </c>
      <c r="O143" s="65">
        <f>SUM(A:B!O143)</f>
        <v>0</v>
      </c>
      <c r="P143" s="65">
        <f>SUM(A:B!P143)</f>
        <v>0</v>
      </c>
      <c r="Q143" s="65">
        <f>SUM(A:B!Q143)</f>
        <v>0</v>
      </c>
      <c r="R143" s="65">
        <f>SUM(A:B!R143)</f>
        <v>0</v>
      </c>
      <c r="S143" s="65">
        <f>SUM(A:B!S143)</f>
        <v>0</v>
      </c>
      <c r="T143" s="65">
        <f>SUM(A:B!T143)</f>
        <v>0</v>
      </c>
      <c r="U143" s="65">
        <f>SUM(A:B!U143)</f>
        <v>15080</v>
      </c>
      <c r="V143" s="11">
        <f t="shared" si="32"/>
        <v>15080</v>
      </c>
      <c r="W143" s="73">
        <f t="shared" si="21"/>
        <v>6.7359637423619113E-5</v>
      </c>
      <c r="X143" s="89"/>
      <c r="Y143" s="65">
        <f>SUM(A:B!Y143)</f>
        <v>0</v>
      </c>
      <c r="Z143" s="65">
        <f>SUM(A:B!Z143)</f>
        <v>3883.6951999999997</v>
      </c>
      <c r="AA143" s="65">
        <f>SUM(A:B!AA143)</f>
        <v>0</v>
      </c>
      <c r="AB143" s="65">
        <f>SUM(A:B!AB143)</f>
        <v>0</v>
      </c>
      <c r="AC143" s="65">
        <f>SUM(A:B!AC143)</f>
        <v>3883.6951999999997</v>
      </c>
      <c r="AD143" s="65">
        <f>SUM(A:B!AD143)</f>
        <v>0</v>
      </c>
      <c r="AE143" s="65">
        <f>SUM(A:B!AE143)</f>
        <v>0</v>
      </c>
      <c r="AF143" s="65">
        <f>SUM(A:B!AF143)</f>
        <v>3883.6951999999997</v>
      </c>
      <c r="AG143" s="65">
        <f>SUM(A:B!AG143)</f>
        <v>0</v>
      </c>
      <c r="AH143" s="65">
        <f>SUM(A:B!AH143)</f>
        <v>0</v>
      </c>
      <c r="AI143" s="65">
        <f>SUM(A:B!AI143)</f>
        <v>3883.6951999999997</v>
      </c>
      <c r="AJ143" s="65">
        <f>SUM(A:B!AJ143)</f>
        <v>0</v>
      </c>
      <c r="AK143" s="124">
        <f t="shared" si="27"/>
        <v>15534.780799999999</v>
      </c>
      <c r="AL143" s="73">
        <f t="shared" si="22"/>
        <v>6.1955572821031438E-5</v>
      </c>
      <c r="AM143" s="14">
        <f t="shared" si="29"/>
        <v>3.0157877984084758E-2</v>
      </c>
      <c r="AN143" s="89"/>
      <c r="AO143" s="254"/>
      <c r="AP143" s="77"/>
      <c r="AQ143" s="181"/>
    </row>
    <row r="144" spans="1:43" ht="15.75">
      <c r="I144" s="228" t="s">
        <v>259</v>
      </c>
      <c r="J144" s="65">
        <f>SUM(A:B!J144)</f>
        <v>0</v>
      </c>
      <c r="K144" s="65">
        <f>SUM(A:B!K144)</f>
        <v>0</v>
      </c>
      <c r="L144" s="65">
        <f>SUM(A:B!L144)</f>
        <v>0</v>
      </c>
      <c r="M144" s="65">
        <f>SUM(A:B!M144)</f>
        <v>0</v>
      </c>
      <c r="N144" s="65">
        <f>SUM(A:B!N144)</f>
        <v>0</v>
      </c>
      <c r="O144" s="65">
        <f>SUM(A:B!O144)</f>
        <v>0</v>
      </c>
      <c r="P144" s="65">
        <f>SUM(A:B!P144)</f>
        <v>0</v>
      </c>
      <c r="Q144" s="65">
        <f>SUM(A:B!Q144)</f>
        <v>0</v>
      </c>
      <c r="R144" s="65">
        <f>SUM(A:B!R144)</f>
        <v>0</v>
      </c>
      <c r="S144" s="65">
        <f>SUM(A:B!S144)</f>
        <v>0</v>
      </c>
      <c r="T144" s="65">
        <f>SUM(A:B!T144)</f>
        <v>0</v>
      </c>
      <c r="U144" s="65">
        <f>SUM(A:B!U144)</f>
        <v>0</v>
      </c>
      <c r="V144" s="11">
        <f t="shared" si="32"/>
        <v>0</v>
      </c>
      <c r="W144" s="73">
        <f t="shared" si="21"/>
        <v>0</v>
      </c>
      <c r="X144" s="89"/>
      <c r="Y144" s="65">
        <f>SUM(A:B!Y144)</f>
        <v>0</v>
      </c>
      <c r="Z144" s="65">
        <f>SUM(A:B!Z144)</f>
        <v>0</v>
      </c>
      <c r="AA144" s="65">
        <f>SUM(A:B!AA144)</f>
        <v>0</v>
      </c>
      <c r="AB144" s="65">
        <f>SUM(A:B!AB144)</f>
        <v>0</v>
      </c>
      <c r="AC144" s="65">
        <f>SUM(A:B!AC144)</f>
        <v>0</v>
      </c>
      <c r="AD144" s="65">
        <f>SUM(A:B!AD144)</f>
        <v>0</v>
      </c>
      <c r="AE144" s="65">
        <f>SUM(A:B!AE144)</f>
        <v>0</v>
      </c>
      <c r="AF144" s="65">
        <f>SUM(A:B!AF144)</f>
        <v>0</v>
      </c>
      <c r="AG144" s="65">
        <f>SUM(A:B!AG144)</f>
        <v>0</v>
      </c>
      <c r="AH144" s="65">
        <f>SUM(A:B!AH144)</f>
        <v>0</v>
      </c>
      <c r="AI144" s="65">
        <f>SUM(A:B!AI144)</f>
        <v>0</v>
      </c>
      <c r="AJ144" s="65">
        <f>SUM(A:B!AJ144)</f>
        <v>0</v>
      </c>
      <c r="AK144" s="124">
        <f t="shared" si="27"/>
        <v>0</v>
      </c>
      <c r="AL144" s="73">
        <f t="shared" si="22"/>
        <v>0</v>
      </c>
      <c r="AM144" s="14">
        <f t="shared" si="29"/>
        <v>0</v>
      </c>
      <c r="AN144" s="89"/>
      <c r="AO144" s="254"/>
      <c r="AP144" s="77"/>
      <c r="AQ144" s="181"/>
    </row>
    <row r="145" spans="9:43" ht="15.75">
      <c r="I145" s="228" t="s">
        <v>260</v>
      </c>
      <c r="J145" s="65">
        <f>SUM(A:B!J145)</f>
        <v>0</v>
      </c>
      <c r="K145" s="65">
        <f>SUM(A:B!K145)</f>
        <v>0</v>
      </c>
      <c r="L145" s="65">
        <f>SUM(A:B!L145)</f>
        <v>0</v>
      </c>
      <c r="M145" s="65">
        <f>SUM(A:B!M145)</f>
        <v>0</v>
      </c>
      <c r="N145" s="65">
        <f>SUM(A:B!N145)</f>
        <v>0</v>
      </c>
      <c r="O145" s="65">
        <f>SUM(A:B!O145)</f>
        <v>0</v>
      </c>
      <c r="P145" s="65">
        <f>SUM(A:B!P145)</f>
        <v>0</v>
      </c>
      <c r="Q145" s="65">
        <f>SUM(A:B!Q145)</f>
        <v>0</v>
      </c>
      <c r="R145" s="65">
        <f>SUM(A:B!R145)</f>
        <v>0</v>
      </c>
      <c r="S145" s="65">
        <f>SUM(A:B!S145)</f>
        <v>0</v>
      </c>
      <c r="T145" s="65">
        <f>SUM(A:B!T145)</f>
        <v>0</v>
      </c>
      <c r="U145" s="65">
        <f>SUM(A:B!U145)</f>
        <v>0</v>
      </c>
      <c r="V145" s="11">
        <f t="shared" si="32"/>
        <v>0</v>
      </c>
      <c r="W145" s="73">
        <f t="shared" si="21"/>
        <v>0</v>
      </c>
      <c r="X145" s="89"/>
      <c r="Y145" s="65">
        <f>SUM(A:B!Y145)</f>
        <v>0</v>
      </c>
      <c r="Z145" s="65">
        <f>SUM(A:B!Z145)</f>
        <v>0</v>
      </c>
      <c r="AA145" s="65">
        <f>SUM(A:B!AA145)</f>
        <v>0</v>
      </c>
      <c r="AB145" s="65">
        <f>SUM(A:B!AB145)</f>
        <v>0</v>
      </c>
      <c r="AC145" s="65">
        <f>SUM(A:B!AC145)</f>
        <v>0</v>
      </c>
      <c r="AD145" s="65">
        <f>SUM(A:B!AD145)</f>
        <v>0</v>
      </c>
      <c r="AE145" s="65">
        <f>SUM(A:B!AE145)</f>
        <v>0</v>
      </c>
      <c r="AF145" s="65">
        <f>SUM(A:B!AF145)</f>
        <v>0</v>
      </c>
      <c r="AG145" s="65">
        <f>SUM(A:B!AG145)</f>
        <v>0</v>
      </c>
      <c r="AH145" s="65">
        <f>SUM(A:B!AH145)</f>
        <v>0</v>
      </c>
      <c r="AI145" s="65">
        <f>SUM(A:B!AI145)</f>
        <v>0</v>
      </c>
      <c r="AJ145" s="65">
        <f>SUM(A:B!AJ145)</f>
        <v>0</v>
      </c>
      <c r="AK145" s="124">
        <f t="shared" si="27"/>
        <v>0</v>
      </c>
      <c r="AL145" s="73">
        <f t="shared" si="22"/>
        <v>0</v>
      </c>
      <c r="AM145" s="14">
        <f t="shared" si="29"/>
        <v>0</v>
      </c>
      <c r="AN145" s="89"/>
      <c r="AO145" s="254"/>
      <c r="AP145" s="77"/>
      <c r="AQ145" s="181"/>
    </row>
    <row r="146" spans="9:43" ht="15.75">
      <c r="I146" s="228" t="s">
        <v>261</v>
      </c>
      <c r="J146" s="65">
        <f>SUM(A:B!J146)</f>
        <v>0</v>
      </c>
      <c r="K146" s="65">
        <f>SUM(A:B!K146)</f>
        <v>0</v>
      </c>
      <c r="L146" s="65">
        <f>SUM(A:B!L146)</f>
        <v>0</v>
      </c>
      <c r="M146" s="65">
        <f>SUM(A:B!M146)</f>
        <v>0</v>
      </c>
      <c r="N146" s="65">
        <f>SUM(A:B!N146)</f>
        <v>0</v>
      </c>
      <c r="O146" s="65">
        <f>SUM(A:B!O146)</f>
        <v>0</v>
      </c>
      <c r="P146" s="65">
        <f>SUM(A:B!P146)</f>
        <v>11263</v>
      </c>
      <c r="Q146" s="65">
        <f>SUM(A:B!Q146)</f>
        <v>0</v>
      </c>
      <c r="R146" s="65">
        <f>SUM(A:B!R146)</f>
        <v>0</v>
      </c>
      <c r="S146" s="65">
        <f>SUM(A:B!S146)</f>
        <v>0</v>
      </c>
      <c r="T146" s="65">
        <f>SUM(A:B!T146)</f>
        <v>0</v>
      </c>
      <c r="U146" s="65">
        <f>SUM(A:B!U146)</f>
        <v>14560</v>
      </c>
      <c r="V146" s="11">
        <f t="shared" si="32"/>
        <v>25823</v>
      </c>
      <c r="W146" s="73">
        <f t="shared" si="21"/>
        <v>1.1534667885876104E-4</v>
      </c>
      <c r="X146" s="89"/>
      <c r="Y146" s="65">
        <f>SUM(A:B!Y146)</f>
        <v>0</v>
      </c>
      <c r="Z146" s="65">
        <f>SUM(A:B!Z146)</f>
        <v>0</v>
      </c>
      <c r="AA146" s="65">
        <f>SUM(A:B!AA146)</f>
        <v>0</v>
      </c>
      <c r="AB146" s="65">
        <f>SUM(A:B!AB146)</f>
        <v>0</v>
      </c>
      <c r="AC146" s="65">
        <f>SUM(A:B!AC146)</f>
        <v>0</v>
      </c>
      <c r="AD146" s="65">
        <f>SUM(A:B!AD146)</f>
        <v>0</v>
      </c>
      <c r="AE146" s="65">
        <f>SUM(A:B!AE146)</f>
        <v>0</v>
      </c>
      <c r="AF146" s="65">
        <f>SUM(A:B!AF146)</f>
        <v>0</v>
      </c>
      <c r="AG146" s="65">
        <f>SUM(A:B!AG146)</f>
        <v>0</v>
      </c>
      <c r="AH146" s="65">
        <f>SUM(A:B!AH146)</f>
        <v>0</v>
      </c>
      <c r="AI146" s="65">
        <f>SUM(A:B!AI146)</f>
        <v>0</v>
      </c>
      <c r="AJ146" s="65">
        <f>SUM(A:B!AJ146)</f>
        <v>12835.239999999998</v>
      </c>
      <c r="AK146" s="124">
        <f t="shared" si="27"/>
        <v>12835.239999999998</v>
      </c>
      <c r="AL146" s="73">
        <f t="shared" si="22"/>
        <v>5.1189305902238132E-5</v>
      </c>
      <c r="AM146" s="14">
        <f t="shared" si="29"/>
        <v>-0.5029531812725091</v>
      </c>
      <c r="AN146" s="89"/>
      <c r="AO146" s="254"/>
      <c r="AP146" s="77"/>
      <c r="AQ146" s="181"/>
    </row>
    <row r="147" spans="9:43" ht="15.75">
      <c r="I147" s="228" t="s">
        <v>262</v>
      </c>
      <c r="J147" s="65">
        <f>SUM(A:B!J147)</f>
        <v>0</v>
      </c>
      <c r="K147" s="65">
        <f>SUM(A:B!K147)</f>
        <v>112000</v>
      </c>
      <c r="L147" s="65">
        <f>SUM(A:B!L147)</f>
        <v>56000</v>
      </c>
      <c r="M147" s="65">
        <f>SUM(A:B!M147)</f>
        <v>56000</v>
      </c>
      <c r="N147" s="65">
        <f>SUM(A:B!N147)</f>
        <v>0</v>
      </c>
      <c r="O147" s="65">
        <f>SUM(A:B!O147)</f>
        <v>0</v>
      </c>
      <c r="P147" s="65">
        <f>SUM(A:B!P147)</f>
        <v>168000</v>
      </c>
      <c r="Q147" s="65">
        <f>SUM(A:B!Q147)</f>
        <v>56000</v>
      </c>
      <c r="R147" s="65">
        <f>SUM(A:B!R147)</f>
        <v>56000</v>
      </c>
      <c r="S147" s="65">
        <f>SUM(A:B!S147)</f>
        <v>56000</v>
      </c>
      <c r="T147" s="65">
        <f>SUM(A:B!T147)</f>
        <v>56000</v>
      </c>
      <c r="U147" s="65">
        <f>SUM(A:B!U147)</f>
        <v>56000</v>
      </c>
      <c r="V147" s="11">
        <f t="shared" si="32"/>
        <v>672000</v>
      </c>
      <c r="W147" s="73">
        <f t="shared" si="21"/>
        <v>3.0017026756413824E-3</v>
      </c>
      <c r="X147" s="89"/>
      <c r="Y147" s="65">
        <f>SUM(A:B!Y147)</f>
        <v>56000</v>
      </c>
      <c r="Z147" s="65">
        <f>SUM(A:B!Z147)</f>
        <v>56000</v>
      </c>
      <c r="AA147" s="65">
        <f>SUM(A:B!AA147)</f>
        <v>56000</v>
      </c>
      <c r="AB147" s="65">
        <f>SUM(A:B!AB147)</f>
        <v>56000</v>
      </c>
      <c r="AC147" s="65">
        <f>SUM(A:B!AC147)</f>
        <v>56000</v>
      </c>
      <c r="AD147" s="65">
        <f>SUM(A:B!AD147)</f>
        <v>56000</v>
      </c>
      <c r="AE147" s="65">
        <f>SUM(A:B!AE147)</f>
        <v>56000</v>
      </c>
      <c r="AF147" s="65">
        <f>SUM(A:B!AF147)</f>
        <v>56000</v>
      </c>
      <c r="AG147" s="65">
        <f>SUM(A:B!AG147)</f>
        <v>56000</v>
      </c>
      <c r="AH147" s="65">
        <f>SUM(A:B!AH147)</f>
        <v>56000</v>
      </c>
      <c r="AI147" s="65">
        <f>SUM(A:B!AI147)</f>
        <v>56000</v>
      </c>
      <c r="AJ147" s="65">
        <f>SUM(A:B!AJ147)</f>
        <v>56000</v>
      </c>
      <c r="AK147" s="124">
        <f t="shared" si="27"/>
        <v>672000</v>
      </c>
      <c r="AL147" s="73">
        <f t="shared" si="22"/>
        <v>2.6800600196259694E-3</v>
      </c>
      <c r="AM147" s="14">
        <f t="shared" si="29"/>
        <v>0</v>
      </c>
      <c r="AN147" s="89"/>
      <c r="AO147" s="254"/>
      <c r="AP147" s="77"/>
      <c r="AQ147" s="181"/>
    </row>
    <row r="148" spans="9:43" ht="15.75">
      <c r="I148" s="120" t="s">
        <v>263</v>
      </c>
      <c r="J148" s="15">
        <f t="shared" ref="J148:V148" si="36">SUM(J149:J154)</f>
        <v>740346</v>
      </c>
      <c r="K148" s="15">
        <f t="shared" si="36"/>
        <v>728070</v>
      </c>
      <c r="L148" s="15">
        <f t="shared" si="36"/>
        <v>734177</v>
      </c>
      <c r="M148" s="15">
        <f t="shared" si="36"/>
        <v>718120</v>
      </c>
      <c r="N148" s="15">
        <f t="shared" si="36"/>
        <v>738908</v>
      </c>
      <c r="O148" s="15">
        <f t="shared" si="36"/>
        <v>724478</v>
      </c>
      <c r="P148" s="15">
        <f t="shared" si="36"/>
        <v>744851</v>
      </c>
      <c r="Q148" s="15">
        <f t="shared" si="36"/>
        <v>719433</v>
      </c>
      <c r="R148" s="15">
        <f t="shared" si="36"/>
        <v>731218</v>
      </c>
      <c r="S148" s="15">
        <f t="shared" si="36"/>
        <v>733475</v>
      </c>
      <c r="T148" s="15">
        <f t="shared" si="36"/>
        <v>741771.26</v>
      </c>
      <c r="U148" s="15">
        <f t="shared" si="36"/>
        <v>743365.05166666664</v>
      </c>
      <c r="V148" s="15">
        <f t="shared" si="36"/>
        <v>8798212.3116666656</v>
      </c>
      <c r="W148" s="72">
        <f t="shared" si="21"/>
        <v>3.930002594760533E-2</v>
      </c>
      <c r="X148" s="89"/>
      <c r="Y148" s="15">
        <f>SUM(Y149:Y155)</f>
        <v>741703.76322333328</v>
      </c>
      <c r="Z148" s="15">
        <f t="shared" ref="Z148:AJ148" si="37">SUM(Z149:Z155)</f>
        <v>741732.02145333332</v>
      </c>
      <c r="AA148" s="15">
        <f t="shared" si="37"/>
        <v>743434.45042333333</v>
      </c>
      <c r="AB148" s="15">
        <f t="shared" si="37"/>
        <v>742927.00989999995</v>
      </c>
      <c r="AC148" s="15">
        <f t="shared" si="37"/>
        <v>745883.49702333333</v>
      </c>
      <c r="AD148" s="15">
        <f t="shared" si="37"/>
        <v>747959.66610000003</v>
      </c>
      <c r="AE148" s="15">
        <f t="shared" si="37"/>
        <v>746432.12302555551</v>
      </c>
      <c r="AF148" s="15">
        <f t="shared" si="37"/>
        <v>746917.91462407401</v>
      </c>
      <c r="AG148" s="15">
        <f t="shared" si="37"/>
        <v>746234.37576547195</v>
      </c>
      <c r="AH148" s="15">
        <f t="shared" si="37"/>
        <v>775697.1807891276</v>
      </c>
      <c r="AI148" s="15">
        <f t="shared" si="37"/>
        <v>774397.87230387318</v>
      </c>
      <c r="AJ148" s="15">
        <f t="shared" si="37"/>
        <v>775801.35882654798</v>
      </c>
      <c r="AK148" s="15">
        <f t="shared" ref="AK148" si="38">SUM(AK149:AK154)</f>
        <v>9029121.2334579844</v>
      </c>
      <c r="AL148" s="72">
        <f t="shared" si="22"/>
        <v>3.6009801830575394E-2</v>
      </c>
      <c r="AM148" s="10">
        <f t="shared" si="29"/>
        <v>2.6244981777164833E-2</v>
      </c>
      <c r="AN148" s="89"/>
      <c r="AO148" s="254"/>
      <c r="AP148" s="77"/>
      <c r="AQ148" s="181"/>
    </row>
    <row r="149" spans="9:43" ht="15.75">
      <c r="I149" t="s">
        <v>264</v>
      </c>
      <c r="J149" s="65">
        <f>SUM(A:B!J149)</f>
        <v>0</v>
      </c>
      <c r="K149" s="65">
        <f>SUM(A:B!K149)</f>
        <v>0</v>
      </c>
      <c r="L149" s="65">
        <f>SUM(A:B!L149)</f>
        <v>0</v>
      </c>
      <c r="M149" s="65">
        <f>SUM(A:B!M149)</f>
        <v>0</v>
      </c>
      <c r="N149" s="65">
        <f>SUM(A:B!N149)</f>
        <v>0</v>
      </c>
      <c r="O149" s="65">
        <f>SUM(A:B!O149)</f>
        <v>0</v>
      </c>
      <c r="P149" s="65">
        <f>SUM(A:B!P149)</f>
        <v>0</v>
      </c>
      <c r="Q149" s="65">
        <f>SUM(A:B!Q149)</f>
        <v>0</v>
      </c>
      <c r="R149" s="65">
        <f>SUM(A:B!R149)</f>
        <v>0</v>
      </c>
      <c r="S149" s="65">
        <f>SUM(A:B!S149)</f>
        <v>0</v>
      </c>
      <c r="T149" s="65">
        <f>SUM(A:B!T149)</f>
        <v>0</v>
      </c>
      <c r="U149" s="65">
        <f>SUM(A:B!U149)</f>
        <v>0</v>
      </c>
      <c r="V149" s="11">
        <f t="shared" ref="V149:V154" si="39">SUM(J149:U149)</f>
        <v>0</v>
      </c>
      <c r="W149" s="73">
        <f t="shared" si="21"/>
        <v>0</v>
      </c>
      <c r="X149" s="89"/>
      <c r="Y149" s="65">
        <f>SUM(A:B!Y149)</f>
        <v>0</v>
      </c>
      <c r="Z149" s="65">
        <f>SUM(A:B!Z149)</f>
        <v>0</v>
      </c>
      <c r="AA149" s="65">
        <f>SUM(A:B!AA149)</f>
        <v>0</v>
      </c>
      <c r="AB149" s="65">
        <f>SUM(A:B!AB149)</f>
        <v>0</v>
      </c>
      <c r="AC149" s="65">
        <f>SUM(A:B!AC149)</f>
        <v>0</v>
      </c>
      <c r="AD149" s="65">
        <f>SUM(A:B!AD149)</f>
        <v>0</v>
      </c>
      <c r="AE149" s="65">
        <f>SUM(A:B!AE149)</f>
        <v>0</v>
      </c>
      <c r="AF149" s="65">
        <f>SUM(A:B!AF149)</f>
        <v>0</v>
      </c>
      <c r="AG149" s="65">
        <f>SUM(A:B!AG149)</f>
        <v>0</v>
      </c>
      <c r="AH149" s="65">
        <f>SUM(A:B!AH149)</f>
        <v>0</v>
      </c>
      <c r="AI149" s="65">
        <f>SUM(A:B!AI149)</f>
        <v>0</v>
      </c>
      <c r="AJ149" s="65">
        <f>SUM(A:B!AJ149)</f>
        <v>0</v>
      </c>
      <c r="AK149" s="65">
        <f>SUM(A:B!AK149)</f>
        <v>0</v>
      </c>
      <c r="AL149" s="73">
        <f t="shared" si="22"/>
        <v>0</v>
      </c>
      <c r="AM149" s="14">
        <f t="shared" si="29"/>
        <v>0</v>
      </c>
      <c r="AN149" s="89"/>
      <c r="AO149" s="254"/>
      <c r="AP149" s="77"/>
      <c r="AQ149" s="181"/>
    </row>
    <row r="150" spans="9:43" ht="15.75">
      <c r="I150" s="139" t="s">
        <v>265</v>
      </c>
      <c r="J150" s="65">
        <f>SUM(A:B!J150)</f>
        <v>698438</v>
      </c>
      <c r="K150" s="65">
        <f>SUM(A:B!K150)</f>
        <v>698438</v>
      </c>
      <c r="L150" s="65">
        <f>SUM(A:B!L150)</f>
        <v>698438</v>
      </c>
      <c r="M150" s="65">
        <f>SUM(A:B!M150)</f>
        <v>698438</v>
      </c>
      <c r="N150" s="65">
        <f>SUM(A:B!N150)</f>
        <v>698438</v>
      </c>
      <c r="O150" s="65">
        <f>SUM(A:B!O150)</f>
        <v>698438</v>
      </c>
      <c r="P150" s="65">
        <f>SUM(A:B!P150)</f>
        <v>698438</v>
      </c>
      <c r="Q150" s="65">
        <f>SUM(A:B!Q150)</f>
        <v>698438</v>
      </c>
      <c r="R150" s="65">
        <f>SUM(A:B!R150)</f>
        <v>698438</v>
      </c>
      <c r="S150" s="65">
        <f>SUM(A:B!S150)</f>
        <v>698438</v>
      </c>
      <c r="T150" s="65">
        <f>SUM(A:B!T150)</f>
        <v>711512.76</v>
      </c>
      <c r="U150" s="65">
        <f>SUM(A:B!U150)</f>
        <v>711512.76</v>
      </c>
      <c r="V150" s="11">
        <f t="shared" si="39"/>
        <v>8407405.5199999996</v>
      </c>
      <c r="W150" s="73">
        <f t="shared" si="21"/>
        <v>3.7554362566348407E-2</v>
      </c>
      <c r="X150" s="89"/>
      <c r="Y150" s="65">
        <f>SUM(A:B!Y150)</f>
        <v>711512.76</v>
      </c>
      <c r="Z150" s="65">
        <f>SUM(A:B!Z150)</f>
        <v>711512.76</v>
      </c>
      <c r="AA150" s="65">
        <f>SUM(A:B!AA150)</f>
        <v>711512.76</v>
      </c>
      <c r="AB150" s="65">
        <f>SUM(A:B!AB150)</f>
        <v>711512.76</v>
      </c>
      <c r="AC150" s="65">
        <f>SUM(A:B!AC150)</f>
        <v>711512.76</v>
      </c>
      <c r="AD150" s="65">
        <f>SUM(A:B!AD150)</f>
        <v>711512.76</v>
      </c>
      <c r="AE150" s="65">
        <f>SUM(A:B!AE150)</f>
        <v>711512.76</v>
      </c>
      <c r="AF150" s="65">
        <f>SUM(A:B!AF150)</f>
        <v>711512.76</v>
      </c>
      <c r="AG150" s="65">
        <f>SUM(A:B!AG150)</f>
        <v>711512.76</v>
      </c>
      <c r="AH150" s="65">
        <f>SUM(A:B!AH150)</f>
        <v>739973.27040000004</v>
      </c>
      <c r="AI150" s="65">
        <f>SUM(A:B!AI150)</f>
        <v>739973.27040000004</v>
      </c>
      <c r="AJ150" s="65">
        <f>SUM(A:B!AJ150)</f>
        <v>739973.27040000004</v>
      </c>
      <c r="AK150" s="65">
        <f>SUM(A:B!AK150)</f>
        <v>8623534.6512000002</v>
      </c>
      <c r="AL150" s="73">
        <f t="shared" si="22"/>
        <v>3.4392247688304019E-2</v>
      </c>
      <c r="AM150" s="14">
        <f t="shared" si="29"/>
        <v>2.5706994944618922E-2</v>
      </c>
      <c r="AN150" s="89"/>
      <c r="AO150" s="254"/>
      <c r="AP150" s="77"/>
      <c r="AQ150" s="181"/>
    </row>
    <row r="151" spans="9:43" ht="15.75">
      <c r="I151" s="139" t="s">
        <v>266</v>
      </c>
      <c r="J151" s="65">
        <f>SUM(A:B!J151)</f>
        <v>0</v>
      </c>
      <c r="K151" s="65">
        <f>SUM(A:B!K151)</f>
        <v>0</v>
      </c>
      <c r="L151" s="65">
        <f>SUM(A:B!L151)</f>
        <v>0</v>
      </c>
      <c r="M151" s="65">
        <f>SUM(A:B!M151)</f>
        <v>0</v>
      </c>
      <c r="N151" s="65">
        <f>SUM(A:B!N151)</f>
        <v>0</v>
      </c>
      <c r="O151" s="65">
        <f>SUM(A:B!O151)</f>
        <v>0</v>
      </c>
      <c r="P151" s="65">
        <f>SUM(A:B!P151)</f>
        <v>0</v>
      </c>
      <c r="Q151" s="65">
        <f>SUM(A:B!Q151)</f>
        <v>0</v>
      </c>
      <c r="R151" s="65">
        <f>SUM(A:B!R151)</f>
        <v>0</v>
      </c>
      <c r="S151" s="65">
        <f>SUM(A:B!S151)</f>
        <v>0</v>
      </c>
      <c r="T151" s="65">
        <f>SUM(A:B!T151)</f>
        <v>0</v>
      </c>
      <c r="U151" s="65">
        <f>SUM(A:B!U151)</f>
        <v>0</v>
      </c>
      <c r="V151" s="11">
        <f t="shared" si="39"/>
        <v>0</v>
      </c>
      <c r="W151" s="73">
        <f t="shared" si="21"/>
        <v>0</v>
      </c>
      <c r="X151" s="89"/>
      <c r="Y151" s="65">
        <f>SUM(A:B!Y151)</f>
        <v>0</v>
      </c>
      <c r="Z151" s="65">
        <f>SUM(A:B!Z151)</f>
        <v>0</v>
      </c>
      <c r="AA151" s="65">
        <f>SUM(A:B!AA151)</f>
        <v>0</v>
      </c>
      <c r="AB151" s="65">
        <f>SUM(A:B!AB151)</f>
        <v>0</v>
      </c>
      <c r="AC151" s="65">
        <f>SUM(A:B!AC151)</f>
        <v>0</v>
      </c>
      <c r="AD151" s="65">
        <f>SUM(A:B!AD151)</f>
        <v>0</v>
      </c>
      <c r="AE151" s="65">
        <f>SUM(A:B!AE151)</f>
        <v>0</v>
      </c>
      <c r="AF151" s="65">
        <f>SUM(A:B!AF151)</f>
        <v>0</v>
      </c>
      <c r="AG151" s="65">
        <f>SUM(A:B!AG151)</f>
        <v>0</v>
      </c>
      <c r="AH151" s="65">
        <f>SUM(A:B!AH151)</f>
        <v>0</v>
      </c>
      <c r="AI151" s="65">
        <f>SUM(A:B!AI151)</f>
        <v>0</v>
      </c>
      <c r="AJ151" s="65">
        <f>SUM(A:B!AJ151)</f>
        <v>0</v>
      </c>
      <c r="AK151" s="65">
        <f>SUM(A:B!AK151)</f>
        <v>0</v>
      </c>
      <c r="AL151" s="73">
        <f t="shared" si="22"/>
        <v>0</v>
      </c>
      <c r="AM151" s="14">
        <f t="shared" si="29"/>
        <v>0</v>
      </c>
      <c r="AN151" s="89"/>
      <c r="AO151" s="254"/>
      <c r="AP151" s="77"/>
      <c r="AQ151" s="181"/>
    </row>
    <row r="152" spans="9:43" ht="15.75">
      <c r="I152" s="139" t="s">
        <v>267</v>
      </c>
      <c r="J152" s="65">
        <f>SUM(A:B!J152)</f>
        <v>41311</v>
      </c>
      <c r="K152" s="65">
        <f>SUM(A:B!K152)</f>
        <v>22569</v>
      </c>
      <c r="L152" s="65">
        <f>SUM(A:B!L152)</f>
        <v>31708</v>
      </c>
      <c r="M152" s="65">
        <f>SUM(A:B!M152)</f>
        <v>13347</v>
      </c>
      <c r="N152" s="65">
        <f>SUM(A:B!N152)</f>
        <v>32476</v>
      </c>
      <c r="O152" s="65">
        <f>SUM(A:B!O152)</f>
        <v>26040</v>
      </c>
      <c r="P152" s="65">
        <f>SUM(A:B!P152)</f>
        <v>39446</v>
      </c>
      <c r="Q152" s="65">
        <f>SUM(A:B!Q152)</f>
        <v>19685</v>
      </c>
      <c r="R152" s="65">
        <f>SUM(A:B!R152)</f>
        <v>30868</v>
      </c>
      <c r="S152" s="65">
        <f>SUM(A:B!S152)</f>
        <v>31297</v>
      </c>
      <c r="T152" s="65">
        <f>SUM(A:B!T152)</f>
        <v>27892.25</v>
      </c>
      <c r="U152" s="65">
        <f>SUM(A:B!U152)</f>
        <v>29186.5625</v>
      </c>
      <c r="V152" s="11">
        <f>SUM(J152:U152)</f>
        <v>345825.8125</v>
      </c>
      <c r="W152" s="73">
        <f t="shared" si="21"/>
        <v>1.5447414682843825E-3</v>
      </c>
      <c r="X152" s="89"/>
      <c r="Y152" s="65">
        <f>SUM(A:B!Y152)</f>
        <v>26319.729223333328</v>
      </c>
      <c r="Z152" s="65">
        <f>SUM(A:B!Z152)</f>
        <v>26347.987453333331</v>
      </c>
      <c r="AA152" s="65">
        <f>SUM(A:B!AA152)</f>
        <v>28050.416423333329</v>
      </c>
      <c r="AB152" s="65">
        <f>SUM(A:B!AB152)</f>
        <v>27542.975899999998</v>
      </c>
      <c r="AC152" s="65">
        <f>SUM(A:B!AC152)</f>
        <v>30499.46302333333</v>
      </c>
      <c r="AD152" s="65">
        <f>SUM(A:B!AD152)</f>
        <v>32575.632099999999</v>
      </c>
      <c r="AE152" s="65">
        <f>SUM(A:B!AE152)</f>
        <v>31048.089025555553</v>
      </c>
      <c r="AF152" s="65">
        <f>SUM(A:B!AF152)</f>
        <v>31533.880624074067</v>
      </c>
      <c r="AG152" s="65">
        <f>SUM(A:B!AG152)</f>
        <v>30850.341765471923</v>
      </c>
      <c r="AH152" s="65">
        <f>SUM(A:B!AH152)</f>
        <v>31852.636389127569</v>
      </c>
      <c r="AI152" s="65">
        <f>SUM(A:B!AI152)</f>
        <v>30553.327903873189</v>
      </c>
      <c r="AJ152" s="65">
        <f>SUM(A:B!AJ152)</f>
        <v>31956.814426547993</v>
      </c>
      <c r="AK152" s="65">
        <f>SUM(A:B!AK152)</f>
        <v>359131.29425798362</v>
      </c>
      <c r="AL152" s="73">
        <f t="shared" si="22"/>
        <v>1.4322818802639157E-3</v>
      </c>
      <c r="AM152" s="14">
        <f t="shared" si="29"/>
        <v>3.8474518896658871E-2</v>
      </c>
      <c r="AN152" s="89"/>
      <c r="AO152" s="254"/>
      <c r="AP152" s="77"/>
      <c r="AQ152" s="181"/>
    </row>
    <row r="153" spans="9:43" ht="15.75">
      <c r="I153" s="139" t="s">
        <v>268</v>
      </c>
      <c r="J153" s="65">
        <f>SUM(A:B!J153)</f>
        <v>0</v>
      </c>
      <c r="K153" s="65">
        <f>SUM(A:B!K153)</f>
        <v>0</v>
      </c>
      <c r="L153" s="65">
        <f>SUM(A:B!L153)</f>
        <v>0</v>
      </c>
      <c r="M153" s="65">
        <f>SUM(A:B!M153)</f>
        <v>0</v>
      </c>
      <c r="N153" s="65">
        <f>SUM(A:B!N153)</f>
        <v>0</v>
      </c>
      <c r="O153" s="65">
        <f>SUM(A:B!O153)</f>
        <v>0</v>
      </c>
      <c r="P153" s="65">
        <f>SUM(A:B!P153)</f>
        <v>0</v>
      </c>
      <c r="Q153" s="65">
        <f>SUM(A:B!Q153)</f>
        <v>0</v>
      </c>
      <c r="R153" s="65">
        <f>SUM(A:B!R153)</f>
        <v>0</v>
      </c>
      <c r="S153" s="65">
        <f>SUM(A:B!S153)</f>
        <v>0</v>
      </c>
      <c r="T153" s="65">
        <f>SUM(A:B!T153)</f>
        <v>0</v>
      </c>
      <c r="U153" s="65">
        <f>SUM(A:B!U153)</f>
        <v>0</v>
      </c>
      <c r="V153" s="11">
        <f t="shared" si="39"/>
        <v>0</v>
      </c>
      <c r="W153" s="73">
        <f t="shared" si="21"/>
        <v>0</v>
      </c>
      <c r="X153" s="89"/>
      <c r="Y153" s="65">
        <f>SUM(A:B!Y153)</f>
        <v>0</v>
      </c>
      <c r="Z153" s="65">
        <f>SUM(A:B!Z153)</f>
        <v>0</v>
      </c>
      <c r="AA153" s="65">
        <f>SUM(A:B!AA153)</f>
        <v>0</v>
      </c>
      <c r="AB153" s="65">
        <f>SUM(A:B!AB153)</f>
        <v>0</v>
      </c>
      <c r="AC153" s="65">
        <f>SUM(A:B!AC153)</f>
        <v>0</v>
      </c>
      <c r="AD153" s="65">
        <f>SUM(A:B!AD153)</f>
        <v>0</v>
      </c>
      <c r="AE153" s="65">
        <f>SUM(A:B!AE153)</f>
        <v>0</v>
      </c>
      <c r="AF153" s="65">
        <f>SUM(A:B!AF153)</f>
        <v>0</v>
      </c>
      <c r="AG153" s="65">
        <f>SUM(A:B!AG153)</f>
        <v>0</v>
      </c>
      <c r="AH153" s="65">
        <f>SUM(A:B!AH153)</f>
        <v>0</v>
      </c>
      <c r="AI153" s="65">
        <f>SUM(A:B!AI153)</f>
        <v>0</v>
      </c>
      <c r="AJ153" s="65">
        <f>SUM(A:B!AJ153)</f>
        <v>0</v>
      </c>
      <c r="AK153" s="65">
        <f>SUM(A:B!AK153)</f>
        <v>0</v>
      </c>
      <c r="AL153" s="73">
        <f t="shared" si="22"/>
        <v>0</v>
      </c>
      <c r="AM153" s="14">
        <f t="shared" si="29"/>
        <v>0</v>
      </c>
      <c r="AN153" s="89"/>
      <c r="AO153" s="254"/>
      <c r="AP153" s="77"/>
      <c r="AQ153" s="181"/>
    </row>
    <row r="154" spans="9:43" ht="15.75">
      <c r="I154" t="s">
        <v>269</v>
      </c>
      <c r="J154" s="65">
        <f>SUM(A:B!J154)</f>
        <v>597</v>
      </c>
      <c r="K154" s="65">
        <f>SUM(A:B!K154)</f>
        <v>7063</v>
      </c>
      <c r="L154" s="65">
        <f>SUM(A:B!L154)</f>
        <v>4031</v>
      </c>
      <c r="M154" s="65">
        <f>SUM(A:B!M154)</f>
        <v>6335</v>
      </c>
      <c r="N154" s="65">
        <f>SUM(A:B!N154)</f>
        <v>7994</v>
      </c>
      <c r="O154" s="65">
        <f>SUM(A:B!O154)</f>
        <v>0</v>
      </c>
      <c r="P154" s="65">
        <f>SUM(A:B!P154)</f>
        <v>6967</v>
      </c>
      <c r="Q154" s="65">
        <f>SUM(A:B!Q154)</f>
        <v>1310</v>
      </c>
      <c r="R154" s="65">
        <f>SUM(A:B!R154)</f>
        <v>1912</v>
      </c>
      <c r="S154" s="65">
        <f>SUM(A:B!S154)</f>
        <v>3740</v>
      </c>
      <c r="T154" s="65">
        <f>SUM(A:B!T154)</f>
        <v>2366.25</v>
      </c>
      <c r="U154" s="65">
        <f>SUM(A:B!U154)</f>
        <v>2665.729166666667</v>
      </c>
      <c r="V154" s="11">
        <f t="shared" si="39"/>
        <v>44980.979166666664</v>
      </c>
      <c r="W154" s="73">
        <f t="shared" si="21"/>
        <v>2.0092191297254854E-4</v>
      </c>
      <c r="X154" s="89"/>
      <c r="Y154" s="65">
        <f>SUM(A:B!Y154)</f>
        <v>3871.2739999999994</v>
      </c>
      <c r="Z154" s="65">
        <f>SUM(A:B!Z154)</f>
        <v>3871.2739999999994</v>
      </c>
      <c r="AA154" s="65">
        <f>SUM(A:B!AA154)</f>
        <v>3871.2739999999994</v>
      </c>
      <c r="AB154" s="65">
        <f>SUM(A:B!AB154)</f>
        <v>3871.2739999999994</v>
      </c>
      <c r="AC154" s="65">
        <f>SUM(A:B!AC154)</f>
        <v>3871.2739999999994</v>
      </c>
      <c r="AD154" s="65">
        <f>SUM(A:B!AD154)</f>
        <v>3871.2739999999994</v>
      </c>
      <c r="AE154" s="65">
        <f>SUM(A:B!AE154)</f>
        <v>3871.2739999999994</v>
      </c>
      <c r="AF154" s="65">
        <f>SUM(A:B!AF154)</f>
        <v>3871.2739999999994</v>
      </c>
      <c r="AG154" s="65">
        <f>SUM(A:B!AG154)</f>
        <v>3871.2739999999994</v>
      </c>
      <c r="AH154" s="65">
        <f>SUM(A:B!AH154)</f>
        <v>3871.2739999999994</v>
      </c>
      <c r="AI154" s="65">
        <f>SUM(A:B!AI154)</f>
        <v>3871.2739999999994</v>
      </c>
      <c r="AJ154" s="65">
        <f>SUM(A:B!AJ154)</f>
        <v>3871.2739999999994</v>
      </c>
      <c r="AK154" s="65">
        <f>SUM(A:B!AK154)</f>
        <v>46455.287999999993</v>
      </c>
      <c r="AL154" s="73">
        <f t="shared" si="22"/>
        <v>1.8527226200745542E-4</v>
      </c>
      <c r="AM154" s="14">
        <f t="shared" si="29"/>
        <v>3.2776272563356468E-2</v>
      </c>
      <c r="AN154" s="89"/>
      <c r="AO154" s="254"/>
      <c r="AP154" s="77"/>
      <c r="AQ154" s="181"/>
    </row>
    <row r="155" spans="9:43" ht="15.75">
      <c r="I155" t="s">
        <v>270</v>
      </c>
      <c r="J155" s="65">
        <f>SUM(A:B!J155)</f>
        <v>3964</v>
      </c>
      <c r="K155" s="65">
        <f>SUM(A:B!K155)</f>
        <v>739</v>
      </c>
      <c r="L155" s="65">
        <f>SUM(A:B!L155)</f>
        <v>0</v>
      </c>
      <c r="M155" s="65">
        <f>SUM(A:B!M155)</f>
        <v>0</v>
      </c>
      <c r="N155" s="65">
        <f>SUM(A:B!N155)</f>
        <v>1824</v>
      </c>
      <c r="O155" s="65">
        <f>SUM(A:B!O155)</f>
        <v>1849</v>
      </c>
      <c r="P155" s="65">
        <f>SUM(A:B!P155)</f>
        <v>0</v>
      </c>
      <c r="Q155" s="65">
        <f>SUM(A:B!Q155)</f>
        <v>0</v>
      </c>
      <c r="R155" s="65">
        <f>SUM(A:B!R155)</f>
        <v>0</v>
      </c>
      <c r="S155" s="65">
        <f>SUM(A:B!S155)</f>
        <v>0</v>
      </c>
      <c r="T155" s="65">
        <f>SUM(A:B!T155)</f>
        <v>0</v>
      </c>
      <c r="U155" s="65">
        <f>SUM(A:B!U155)</f>
        <v>0</v>
      </c>
      <c r="V155" s="11">
        <f>SUM(J155:U155)</f>
        <v>8376</v>
      </c>
      <c r="W155" s="73">
        <f>V155/V$6</f>
        <v>3.7414079778530087E-5</v>
      </c>
      <c r="X155" s="89"/>
      <c r="Y155" s="65">
        <f>SUM(A:B!Y155)</f>
        <v>0</v>
      </c>
      <c r="Z155" s="65">
        <f>SUM(A:B!Z155)</f>
        <v>0</v>
      </c>
      <c r="AA155" s="65">
        <f>SUM(A:B!AA155)</f>
        <v>0</v>
      </c>
      <c r="AB155" s="65">
        <f>SUM(A:B!AB155)</f>
        <v>0</v>
      </c>
      <c r="AC155" s="65">
        <f>SUM(A:B!AC155)</f>
        <v>0</v>
      </c>
      <c r="AD155" s="65">
        <f>SUM(A:B!AD155)</f>
        <v>0</v>
      </c>
      <c r="AE155" s="65">
        <f>SUM(A:B!AE155)</f>
        <v>0</v>
      </c>
      <c r="AF155" s="65">
        <f>SUM(A:B!AF155)</f>
        <v>0</v>
      </c>
      <c r="AG155" s="65">
        <f>SUM(A:B!AG155)</f>
        <v>0</v>
      </c>
      <c r="AH155" s="65">
        <f>SUM(A:B!AH155)</f>
        <v>0</v>
      </c>
      <c r="AI155" s="65">
        <f>SUM(A:B!AI155)</f>
        <v>0</v>
      </c>
      <c r="AJ155" s="65">
        <f>SUM(A:B!AJ155)</f>
        <v>0</v>
      </c>
      <c r="AK155" s="65">
        <f>SUM(A:B!AK155)</f>
        <v>0</v>
      </c>
      <c r="AL155" s="73">
        <f>AK155/AK$6</f>
        <v>0</v>
      </c>
      <c r="AM155" s="14">
        <f>IFERROR(AK155/V155-1,0)</f>
        <v>-1</v>
      </c>
      <c r="AN155" s="89"/>
      <c r="AO155" s="254"/>
      <c r="AP155" s="77"/>
      <c r="AQ155" s="181"/>
    </row>
    <row r="156" spans="9:43" ht="15.75">
      <c r="I156" s="190" t="s">
        <v>271</v>
      </c>
      <c r="J156" s="27">
        <f>J50+J91+J107+J112+J148</f>
        <v>1791397</v>
      </c>
      <c r="K156" s="27">
        <f>K50+K91+K107+K112+K148</f>
        <v>1696496</v>
      </c>
      <c r="L156" s="27">
        <f>L50+L91+L107+L112+L148</f>
        <v>1675546</v>
      </c>
      <c r="M156" s="27">
        <f>M50+M91+M107+M112+M148</f>
        <v>1671969</v>
      </c>
      <c r="N156" s="27">
        <f>N50+N91+N107+N112+N148</f>
        <v>1638793</v>
      </c>
      <c r="O156" s="27">
        <f>O50+O91+O107+O112+O148</f>
        <v>1561456</v>
      </c>
      <c r="P156" s="27">
        <f>P50+P91+P107+P112+P148</f>
        <v>1729416</v>
      </c>
      <c r="Q156" s="27">
        <f>Q50+Q91+Q107+Q112+Q148</f>
        <v>1448636</v>
      </c>
      <c r="R156" s="27">
        <f>R50+R91+R107+R112+R148</f>
        <v>1826357</v>
      </c>
      <c r="S156" s="27">
        <f>S50+S91+S107+S112+S148</f>
        <v>1853580</v>
      </c>
      <c r="T156" s="27">
        <f>T50+T91+T107+T112+T148</f>
        <v>1745205.3941333331</v>
      </c>
      <c r="U156" s="27">
        <f>U50+U91+U107+U112+U148</f>
        <v>1953910.0188444448</v>
      </c>
      <c r="V156" s="27">
        <f>V50+V91+V107+V112+V148</f>
        <v>27323366.893888891</v>
      </c>
      <c r="W156" s="76">
        <f t="shared" si="21"/>
        <v>0.1220485468942224</v>
      </c>
      <c r="X156" s="89"/>
      <c r="Y156" s="27">
        <f>Y50+Y91+Y107+Y112+Y148</f>
        <v>2015192.3214895346</v>
      </c>
      <c r="Z156" s="27">
        <f>Z50+Z91+Z107+Z112+Z148</f>
        <v>1864376.5814482241</v>
      </c>
      <c r="AA156" s="27">
        <f>AA50+AA91+AA107+AA112+AA148</f>
        <v>1728440.7468551269</v>
      </c>
      <c r="AB156" s="27">
        <f>AB50+AB91+AB107+AB112+AB148</f>
        <v>2083473.3977923132</v>
      </c>
      <c r="AC156" s="27">
        <f>AC50+AC91+AC107+AC112+AC148</f>
        <v>1754865.0631132806</v>
      </c>
      <c r="AD156" s="27">
        <f>AD50+AD91+AD107+AD112+AD148</f>
        <v>1616293.5168003133</v>
      </c>
      <c r="AE156" s="27">
        <f>AE50+AE91+AE107+AE112+AE148</f>
        <v>1705792.446923503</v>
      </c>
      <c r="AF156" s="27">
        <f>AF50+AF91+AF107+AF112+AF148</f>
        <v>1678289.6789340214</v>
      </c>
      <c r="AG156" s="27">
        <f>AG50+AG91+AG107+AG112+AG148</f>
        <v>1924723.4286297851</v>
      </c>
      <c r="AH156" s="27">
        <f>AH50+AH91+AH107+AH112+AH148</f>
        <v>1631080.4323230749</v>
      </c>
      <c r="AI156" s="27">
        <f>AI50+AI91+AI107+AI112+AI148</f>
        <v>1658920.8437921864</v>
      </c>
      <c r="AJ156" s="27">
        <f>AJ50+AJ91+AJ107+AJ112+AJ148</f>
        <v>1810233.8395044953</v>
      </c>
      <c r="AK156" s="27">
        <f>AK50+AK91+AK107+AK112+AK148</f>
        <v>21471682.297605865</v>
      </c>
      <c r="AL156" s="76">
        <f t="shared" si="22"/>
        <v>8.5633031666553797E-2</v>
      </c>
      <c r="AM156" s="10">
        <f t="shared" si="29"/>
        <v>-0.21416411158288862</v>
      </c>
      <c r="AN156" s="89"/>
      <c r="AO156" s="254"/>
      <c r="AP156" s="77"/>
      <c r="AQ156" s="181"/>
    </row>
    <row r="157" spans="9:43" ht="15.75">
      <c r="I157" s="26" t="s">
        <v>272</v>
      </c>
      <c r="J157" s="17">
        <f>+J156/J39</f>
        <v>-514.03070301291245</v>
      </c>
      <c r="K157" s="17" t="e">
        <f>+K156/K39</f>
        <v>#DIV/0!</v>
      </c>
      <c r="L157" s="17">
        <f>+L156/L39</f>
        <v>-725.34458874458869</v>
      </c>
      <c r="M157" s="17" t="e">
        <f>+M156/M39</f>
        <v>#DIV/0!</v>
      </c>
      <c r="N157" s="17">
        <f>+N156/N39</f>
        <v>-709.43419913419916</v>
      </c>
      <c r="O157" s="17">
        <f>+O156/O39</f>
        <v>-336.37570012925465</v>
      </c>
      <c r="P157" s="17" t="e">
        <f>+P156/P39</f>
        <v>#DIV/0!</v>
      </c>
      <c r="Q157" s="17" t="e">
        <f>+Q156/Q39</f>
        <v>#DIV/0!</v>
      </c>
      <c r="R157" s="17" t="e">
        <f>+R156/R39</f>
        <v>#DIV/0!</v>
      </c>
      <c r="S157" s="17">
        <f>+S156/S39</f>
        <v>-400.68741893644619</v>
      </c>
      <c r="T157" s="17">
        <f>+T156/T39</f>
        <v>-1131.7804112408126</v>
      </c>
      <c r="U157" s="17">
        <f>+U156/U39</f>
        <v>-950.34533990488558</v>
      </c>
      <c r="V157" s="17">
        <f>+V156/V39</f>
        <v>-1302.9119686180388</v>
      </c>
      <c r="W157" s="73">
        <f t="shared" si="21"/>
        <v>-5.8198725332231366E-6</v>
      </c>
      <c r="X157" s="89"/>
      <c r="Y157" s="232" t="e">
        <f>+Y156/Y39</f>
        <v>#DIV/0!</v>
      </c>
      <c r="Z157" s="232" t="e">
        <f>+Z156/Z39</f>
        <v>#DIV/0!</v>
      </c>
      <c r="AA157" s="232" t="e">
        <f>+AA156/AA39</f>
        <v>#DIV/0!</v>
      </c>
      <c r="AB157" s="232" t="e">
        <f>+AB156/AB39</f>
        <v>#DIV/0!</v>
      </c>
      <c r="AC157" s="232" t="e">
        <f>+AC156/AC39</f>
        <v>#DIV/0!</v>
      </c>
      <c r="AD157" s="232" t="e">
        <f>+AD156/AD39</f>
        <v>#DIV/0!</v>
      </c>
      <c r="AE157" s="232" t="e">
        <f>+AE156/AE39</f>
        <v>#DIV/0!</v>
      </c>
      <c r="AF157" s="232" t="e">
        <f>+AF156/AF39</f>
        <v>#DIV/0!</v>
      </c>
      <c r="AG157" s="232" t="e">
        <f>+AG156/AG39</f>
        <v>#DIV/0!</v>
      </c>
      <c r="AH157" s="232" t="e">
        <f>+AH156/AH39</f>
        <v>#DIV/0!</v>
      </c>
      <c r="AI157" s="232" t="e">
        <f>+AI156/AI39</f>
        <v>#DIV/0!</v>
      </c>
      <c r="AJ157" s="232" t="e">
        <f>+AJ156/AJ39</f>
        <v>#DIV/0!</v>
      </c>
      <c r="AK157" s="235" t="e">
        <f>+AK156/AK39</f>
        <v>#DIV/0!</v>
      </c>
      <c r="AL157" s="73" t="e">
        <f t="shared" si="22"/>
        <v>#DIV/0!</v>
      </c>
      <c r="AM157" s="16">
        <f t="shared" si="29"/>
        <v>0</v>
      </c>
      <c r="AN157" s="89"/>
      <c r="AO157" s="254"/>
      <c r="AP157" s="77"/>
      <c r="AQ157" s="181"/>
    </row>
    <row r="158" spans="9:43" ht="15.75">
      <c r="I158" s="26" t="s">
        <v>273</v>
      </c>
      <c r="J158" s="17">
        <f>+(J156-J149)/J39</f>
        <v>-514.03070301291245</v>
      </c>
      <c r="K158" s="17" t="e">
        <f>+(K156-K149)/K39</f>
        <v>#DIV/0!</v>
      </c>
      <c r="L158" s="17">
        <f>+(L156-L149)/L39</f>
        <v>-725.34458874458869</v>
      </c>
      <c r="M158" s="17" t="e">
        <f>+(M156-M149)/M39</f>
        <v>#DIV/0!</v>
      </c>
      <c r="N158" s="17">
        <f>+(N156-N149)/N39</f>
        <v>-709.43419913419916</v>
      </c>
      <c r="O158" s="17">
        <f>+(O156-O149)/O39</f>
        <v>-336.37570012925465</v>
      </c>
      <c r="P158" s="17" t="e">
        <f>+(P156-P149)/P39</f>
        <v>#DIV/0!</v>
      </c>
      <c r="Q158" s="17" t="e">
        <f>+(Q156-Q149)/Q39</f>
        <v>#DIV/0!</v>
      </c>
      <c r="R158" s="17" t="e">
        <f>+(R156-R149)/R39</f>
        <v>#DIV/0!</v>
      </c>
      <c r="S158" s="17">
        <f>+(S156-S149)/S39</f>
        <v>-400.68741893644619</v>
      </c>
      <c r="T158" s="17">
        <f>+(T156-T149)/T39</f>
        <v>-1131.7804112408126</v>
      </c>
      <c r="U158" s="17">
        <f>+(U156-U149)/U39</f>
        <v>-950.34533990488558</v>
      </c>
      <c r="V158" s="17">
        <f>+(V156-V149)/V39</f>
        <v>-1302.9119686180388</v>
      </c>
      <c r="W158" s="73">
        <f>V158/V$6</f>
        <v>-5.8198725332231366E-6</v>
      </c>
      <c r="X158" s="89"/>
      <c r="Y158" s="232">
        <f>Y156/Y40</f>
        <v>2.8366278335101347</v>
      </c>
      <c r="Z158" s="232">
        <f>Z156/Z40</f>
        <v>2.933723950532523</v>
      </c>
      <c r="AA158" s="232">
        <f>AA156/AA40</f>
        <v>2.2639918750650589</v>
      </c>
      <c r="AB158" s="232">
        <f>AB156/AB40</f>
        <v>2.8444204339471977</v>
      </c>
      <c r="AC158" s="232">
        <f>AC156/AC40</f>
        <v>2.1360877282762782</v>
      </c>
      <c r="AD158" s="232">
        <f>AD156/AD40</f>
        <v>2.001100551549142</v>
      </c>
      <c r="AE158" s="232">
        <f>AE156/AE40</f>
        <v>2.2037970232510702</v>
      </c>
      <c r="AF158" s="232">
        <f>AF156/AF40</f>
        <v>2.1697449364060293</v>
      </c>
      <c r="AG158" s="232">
        <f>AG156/AG40</f>
        <v>2.3621649647429721</v>
      </c>
      <c r="AH158" s="232">
        <f>AH156/AH40</f>
        <v>1.8537800341604496</v>
      </c>
      <c r="AI158" s="232">
        <f>AI156/AI40</f>
        <v>1.9343595197578047</v>
      </c>
      <c r="AJ158" s="232">
        <f>AJ156/AJ40</f>
        <v>2.1347265842819425</v>
      </c>
      <c r="AK158" s="235">
        <f>AK156/AK40</f>
        <v>2.279643174745384</v>
      </c>
      <c r="AL158" s="73">
        <f>AK158/AK$6</f>
        <v>9.0916376959052392E-9</v>
      </c>
      <c r="AM158" s="16">
        <f>IFERROR(AK158/V158-1,0)</f>
        <v>-1.0017496524935321</v>
      </c>
      <c r="AN158" s="89"/>
      <c r="AO158" s="254"/>
      <c r="AP158" s="77"/>
      <c r="AQ158" s="181"/>
    </row>
    <row r="159" spans="9:43" ht="15.75">
      <c r="I159" s="25" t="s">
        <v>274</v>
      </c>
      <c r="J159" s="24">
        <f>J34-J156</f>
        <v>-704916</v>
      </c>
      <c r="K159" s="24">
        <f>K34-K156</f>
        <v>-524102</v>
      </c>
      <c r="L159" s="24">
        <f>L34-L156</f>
        <v>-161711</v>
      </c>
      <c r="M159" s="24">
        <f>M34-M156</f>
        <v>-69035</v>
      </c>
      <c r="N159" s="24">
        <f>N34-N156</f>
        <v>109895</v>
      </c>
      <c r="O159" s="24">
        <f>O34-O156</f>
        <v>204352</v>
      </c>
      <c r="P159" s="24">
        <f>P34-P156</f>
        <v>-320967</v>
      </c>
      <c r="Q159" s="24">
        <f>Q34-Q156</f>
        <v>31638</v>
      </c>
      <c r="R159" s="24">
        <f>R34-R156</f>
        <v>-236672</v>
      </c>
      <c r="S159" s="24">
        <f>S34-S156</f>
        <v>-143850</v>
      </c>
      <c r="T159" s="24">
        <f>T34-T156</f>
        <v>-151975.72746666893</v>
      </c>
      <c r="U159" s="24">
        <f>U34-U156</f>
        <v>-323028.46328888508</v>
      </c>
      <c r="V159" s="24">
        <f>V34-V156</f>
        <v>-9020977.6716667116</v>
      </c>
      <c r="W159" s="77">
        <f t="shared" si="21"/>
        <v>-4.0295078592177284E-2</v>
      </c>
      <c r="X159" s="89"/>
      <c r="Y159" s="24">
        <f>Y34-Y156</f>
        <v>-329532.79341500183</v>
      </c>
      <c r="Z159" s="24">
        <f>Z34-Z156</f>
        <v>-421950.56975945341</v>
      </c>
      <c r="AA159" s="24">
        <f>AA34-AA156</f>
        <v>237470.11249434738</v>
      </c>
      <c r="AB159" s="24">
        <f>AB34-AB156</f>
        <v>-375352.32006919757</v>
      </c>
      <c r="AC159" s="24">
        <f>AC34-AC156</f>
        <v>319280.7438311344</v>
      </c>
      <c r="AD159" s="24">
        <f>AD34-AD156</f>
        <v>252163.80502935965</v>
      </c>
      <c r="AE159" s="24">
        <f>AE34-AE156</f>
        <v>81333.930820575682</v>
      </c>
      <c r="AF159" s="24">
        <f>AF34-AF156</f>
        <v>191193.31126868119</v>
      </c>
      <c r="AG159" s="24">
        <f>AG34-AG156</f>
        <v>97807.554393370403</v>
      </c>
      <c r="AH159" s="24">
        <f>AH34-AH156</f>
        <v>558234.2067305604</v>
      </c>
      <c r="AI159" s="24">
        <f>AI34-AI156</f>
        <v>369237.31596533093</v>
      </c>
      <c r="AJ159" s="24">
        <f>AJ34-AJ156</f>
        <v>210938.3055761233</v>
      </c>
      <c r="AK159" s="24">
        <f>AK34-AK156</f>
        <v>1190823.6028658226</v>
      </c>
      <c r="AL159" s="77">
        <f t="shared" si="22"/>
        <v>4.7492242983149463E-3</v>
      </c>
      <c r="AM159" s="23">
        <f t="shared" si="29"/>
        <v>-1.1320060470392237</v>
      </c>
      <c r="AN159" s="89"/>
      <c r="AO159" s="254"/>
      <c r="AP159" s="77"/>
      <c r="AQ159" s="181"/>
    </row>
    <row r="160" spans="9:43">
      <c r="J160" s="138"/>
      <c r="W160" s="75"/>
      <c r="X160" s="89"/>
      <c r="Y160" s="138"/>
      <c r="AL160" s="75"/>
      <c r="AM160" s="177"/>
      <c r="AN160" s="89"/>
      <c r="AP160" s="75"/>
      <c r="AQ160" s="177"/>
    </row>
    <row r="161" spans="1:43">
      <c r="E161" s="191" t="s">
        <v>111</v>
      </c>
      <c r="I161" s="141" t="s">
        <v>275</v>
      </c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75"/>
      <c r="X161" s="89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  <c r="AJ161" s="138"/>
      <c r="AK161" s="138"/>
      <c r="AL161" s="75"/>
      <c r="AM161" s="177"/>
      <c r="AN161" s="89"/>
      <c r="AO161" s="138"/>
      <c r="AP161" s="75"/>
      <c r="AQ161" s="177"/>
    </row>
    <row r="162" spans="1:43" ht="5.25" customHeight="1">
      <c r="A162" s="21"/>
      <c r="B162" s="21"/>
      <c r="C162" s="21"/>
      <c r="D162" s="21"/>
      <c r="E162" s="196"/>
      <c r="F162" s="21"/>
      <c r="G162" s="21"/>
      <c r="H162" s="21"/>
      <c r="I162" s="141"/>
      <c r="W162" s="75"/>
      <c r="X162" s="89"/>
      <c r="AL162" s="75"/>
      <c r="AM162" s="177"/>
      <c r="AN162" s="89"/>
      <c r="AP162" s="75"/>
      <c r="AQ162" s="177"/>
    </row>
    <row r="163" spans="1:43">
      <c r="A163" s="12" t="s">
        <v>157</v>
      </c>
      <c r="B163" s="8" t="s">
        <v>276</v>
      </c>
      <c r="I163" s="120" t="s">
        <v>161</v>
      </c>
      <c r="J163" s="241">
        <f>SUM(J164:J212)</f>
        <v>0</v>
      </c>
      <c r="K163" s="241">
        <f t="shared" ref="K163:U163" si="40">SUM(K164:K212)</f>
        <v>0</v>
      </c>
      <c r="L163" s="241">
        <f t="shared" si="40"/>
        <v>0</v>
      </c>
      <c r="M163" s="241">
        <f t="shared" si="40"/>
        <v>0</v>
      </c>
      <c r="N163" s="241">
        <f t="shared" si="40"/>
        <v>0</v>
      </c>
      <c r="O163" s="241">
        <f t="shared" si="40"/>
        <v>0</v>
      </c>
      <c r="P163" s="241">
        <f t="shared" si="40"/>
        <v>0</v>
      </c>
      <c r="Q163" s="241">
        <f t="shared" si="40"/>
        <v>0</v>
      </c>
      <c r="R163" s="241">
        <f t="shared" si="40"/>
        <v>0</v>
      </c>
      <c r="S163" s="241">
        <f t="shared" si="40"/>
        <v>0</v>
      </c>
      <c r="T163" s="241">
        <f t="shared" si="40"/>
        <v>0</v>
      </c>
      <c r="U163" s="241">
        <f t="shared" si="40"/>
        <v>0</v>
      </c>
      <c r="V163" s="241">
        <f>SUM(V164:V205)</f>
        <v>0</v>
      </c>
      <c r="W163" s="72">
        <f t="shared" ref="W163:W236" si="41">V163/V$6</f>
        <v>0</v>
      </c>
      <c r="X163" s="89"/>
      <c r="Y163" s="241">
        <f>SUM(Y164:Y212)</f>
        <v>0</v>
      </c>
      <c r="Z163" s="241">
        <f t="shared" ref="Z163:AJ163" si="42">SUM(Z164:Z212)</f>
        <v>0</v>
      </c>
      <c r="AA163" s="241">
        <f t="shared" si="42"/>
        <v>0</v>
      </c>
      <c r="AB163" s="241">
        <f t="shared" si="42"/>
        <v>0</v>
      </c>
      <c r="AC163" s="241">
        <f t="shared" si="42"/>
        <v>0</v>
      </c>
      <c r="AD163" s="241">
        <f t="shared" si="42"/>
        <v>0</v>
      </c>
      <c r="AE163" s="241">
        <f t="shared" si="42"/>
        <v>0</v>
      </c>
      <c r="AF163" s="241">
        <f t="shared" si="42"/>
        <v>0</v>
      </c>
      <c r="AG163" s="241">
        <f t="shared" si="42"/>
        <v>0</v>
      </c>
      <c r="AH163" s="241">
        <f t="shared" si="42"/>
        <v>0</v>
      </c>
      <c r="AI163" s="241">
        <f t="shared" si="42"/>
        <v>0</v>
      </c>
      <c r="AJ163" s="241">
        <f t="shared" si="42"/>
        <v>0</v>
      </c>
      <c r="AK163" s="263">
        <v>32596497.005215213</v>
      </c>
      <c r="AL163" s="72">
        <v>8.1460760094509178E-3</v>
      </c>
      <c r="AM163" s="184">
        <v>4.385482532231233E-2</v>
      </c>
      <c r="AN163" s="89"/>
      <c r="AO163" s="263">
        <v>33415051.442629419</v>
      </c>
      <c r="AP163" s="72">
        <v>7.5812243137602688E-3</v>
      </c>
      <c r="AQ163" s="184">
        <v>7.0067826036686709E-2</v>
      </c>
    </row>
    <row r="164" spans="1:43" ht="15" customHeight="1" outlineLevel="1">
      <c r="A164" s="12" t="s">
        <v>157</v>
      </c>
      <c r="B164" s="8" t="s">
        <v>276</v>
      </c>
      <c r="C164" s="8" t="s">
        <v>160</v>
      </c>
      <c r="I164" s="139" t="s">
        <v>167</v>
      </c>
      <c r="J164" s="244">
        <f>SUM([20]S!J160)</f>
        <v>0</v>
      </c>
      <c r="K164" s="244">
        <f>SUM([20]S!K160)</f>
        <v>0</v>
      </c>
      <c r="L164" s="244">
        <f>SUM([20]S!L160)</f>
        <v>0</v>
      </c>
      <c r="M164" s="244">
        <f>SUM([20]S!M160)</f>
        <v>0</v>
      </c>
      <c r="N164" s="244">
        <f>SUM([20]S!N160)</f>
        <v>0</v>
      </c>
      <c r="O164" s="244">
        <f>SUM([20]S!O160)</f>
        <v>0</v>
      </c>
      <c r="P164" s="244">
        <f>SUM([20]S!P160)</f>
        <v>0</v>
      </c>
      <c r="Q164" s="244">
        <f>SUM([20]S!Q160)</f>
        <v>0</v>
      </c>
      <c r="R164" s="244">
        <f>SUM([20]S!R160)</f>
        <v>0</v>
      </c>
      <c r="S164" s="244">
        <f>SUM([20]S!S160)</f>
        <v>0</v>
      </c>
      <c r="T164" s="244">
        <f>SUM([20]S!T160)</f>
        <v>0</v>
      </c>
      <c r="U164" s="244">
        <f>SUM([20]S!U160)</f>
        <v>0</v>
      </c>
      <c r="V164" s="245">
        <f t="shared" ref="V164:V212" si="43">SUM(J164:U164)</f>
        <v>0</v>
      </c>
      <c r="W164" s="73">
        <f t="shared" si="41"/>
        <v>0</v>
      </c>
      <c r="X164" s="89"/>
      <c r="Y164" s="244">
        <f>SUM([20]S!Y160)</f>
        <v>0</v>
      </c>
      <c r="Z164" s="244">
        <f>SUM([20]S!Z160)</f>
        <v>0</v>
      </c>
      <c r="AA164" s="244">
        <f>SUM([20]S!AA160)</f>
        <v>0</v>
      </c>
      <c r="AB164" s="244">
        <f>SUM([20]S!AB160)</f>
        <v>0</v>
      </c>
      <c r="AC164" s="244">
        <f>SUM([20]S!AC160)</f>
        <v>0</v>
      </c>
      <c r="AD164" s="244">
        <f>SUM([20]S!AD160)</f>
        <v>0</v>
      </c>
      <c r="AE164" s="244">
        <f>SUM([20]S!AE160)</f>
        <v>0</v>
      </c>
      <c r="AF164" s="244">
        <f>SUM([20]S!AF160)</f>
        <v>0</v>
      </c>
      <c r="AG164" s="244">
        <f>SUM([20]S!AG160)</f>
        <v>0</v>
      </c>
      <c r="AH164" s="244">
        <f>SUM([20]S!AH160)</f>
        <v>0</v>
      </c>
      <c r="AI164" s="244">
        <f>SUM([20]S!AI160)</f>
        <v>0</v>
      </c>
      <c r="AJ164" s="244">
        <f>SUM([20]S!AJ160)</f>
        <v>0</v>
      </c>
      <c r="AK164" s="265">
        <v>9018895.3548928834</v>
      </c>
      <c r="AL164" s="73">
        <v>2.2538804421372879E-3</v>
      </c>
      <c r="AM164" s="123">
        <v>3.4376211802797485E-2</v>
      </c>
      <c r="AN164" s="89"/>
      <c r="AO164" s="265">
        <v>9837449.79230709</v>
      </c>
      <c r="AP164" s="73">
        <v>2.2319257439684416E-3</v>
      </c>
      <c r="AQ164" s="123">
        <v>0.12825613886809317</v>
      </c>
    </row>
    <row r="165" spans="1:43" ht="15" customHeight="1" outlineLevel="1">
      <c r="A165" s="12" t="s">
        <v>157</v>
      </c>
      <c r="B165" s="8" t="s">
        <v>276</v>
      </c>
      <c r="I165" s="139" t="s">
        <v>164</v>
      </c>
      <c r="J165" s="244">
        <f>SUM([20]S!J161)</f>
        <v>0</v>
      </c>
      <c r="K165" s="244">
        <f>SUM([20]S!K161)</f>
        <v>0</v>
      </c>
      <c r="L165" s="244">
        <f>SUM([20]S!L161)</f>
        <v>0</v>
      </c>
      <c r="M165" s="244">
        <f>SUM([20]S!M161)</f>
        <v>0</v>
      </c>
      <c r="N165" s="244">
        <f>SUM([20]S!N161)</f>
        <v>0</v>
      </c>
      <c r="O165" s="244">
        <f>SUM([20]S!O161)</f>
        <v>0</v>
      </c>
      <c r="P165" s="244">
        <f>SUM([20]S!P161)</f>
        <v>0</v>
      </c>
      <c r="Q165" s="244">
        <f>SUM([20]S!Q161)</f>
        <v>0</v>
      </c>
      <c r="R165" s="244">
        <f>SUM([20]S!R161)</f>
        <v>0</v>
      </c>
      <c r="S165" s="244">
        <f>SUM([20]S!S161)</f>
        <v>0</v>
      </c>
      <c r="T165" s="244">
        <f>SUM([20]S!T161)</f>
        <v>0</v>
      </c>
      <c r="U165" s="244">
        <f>SUM([20]S!U161)</f>
        <v>0</v>
      </c>
      <c r="V165" s="245">
        <f t="shared" si="43"/>
        <v>0</v>
      </c>
      <c r="W165" s="73">
        <f t="shared" si="41"/>
        <v>0</v>
      </c>
      <c r="X165" s="89"/>
      <c r="Y165" s="244">
        <f>SUM([20]S!Y161)</f>
        <v>0</v>
      </c>
      <c r="Z165" s="244">
        <f>SUM([20]S!Z161)</f>
        <v>0</v>
      </c>
      <c r="AA165" s="244">
        <f>SUM([20]S!AA161)</f>
        <v>0</v>
      </c>
      <c r="AB165" s="244">
        <f>SUM([20]S!AB161)</f>
        <v>0</v>
      </c>
      <c r="AC165" s="244">
        <f>SUM([20]S!AC161)</f>
        <v>0</v>
      </c>
      <c r="AD165" s="244">
        <f>SUM([20]S!AD161)</f>
        <v>0</v>
      </c>
      <c r="AE165" s="244">
        <f>SUM([20]S!AE161)</f>
        <v>0</v>
      </c>
      <c r="AF165" s="244">
        <f>SUM([20]S!AF161)</f>
        <v>0</v>
      </c>
      <c r="AG165" s="244">
        <f>SUM([20]S!AG161)</f>
        <v>0</v>
      </c>
      <c r="AH165" s="244">
        <f>SUM([20]S!AH161)</f>
        <v>0</v>
      </c>
      <c r="AI165" s="244">
        <f>SUM([20]S!AI161)</f>
        <v>0</v>
      </c>
      <c r="AJ165" s="244">
        <f>SUM([20]S!AJ161)</f>
        <v>0</v>
      </c>
      <c r="AK165" s="265">
        <v>912658.41000000027</v>
      </c>
      <c r="AL165" s="73">
        <v>2.2807925579657043E-4</v>
      </c>
      <c r="AM165" s="123">
        <v>2.2204460492503131E-16</v>
      </c>
      <c r="AN165" s="89"/>
      <c r="AO165" s="265">
        <v>912658.41000000027</v>
      </c>
      <c r="AP165" s="73">
        <v>2.0706441646301804E-4</v>
      </c>
      <c r="AQ165" s="123">
        <v>2.2204460492503131E-16</v>
      </c>
    </row>
    <row r="166" spans="1:43" ht="15" customHeight="1" outlineLevel="1">
      <c r="A166" s="12" t="s">
        <v>157</v>
      </c>
      <c r="B166" s="8" t="s">
        <v>276</v>
      </c>
      <c r="I166" s="139" t="s">
        <v>277</v>
      </c>
      <c r="J166" s="244">
        <f>SUM([20]S!J162)</f>
        <v>0</v>
      </c>
      <c r="K166" s="244">
        <f>SUM([20]S!K162)</f>
        <v>0</v>
      </c>
      <c r="L166" s="244">
        <f>SUM([20]S!L162)</f>
        <v>0</v>
      </c>
      <c r="M166" s="244">
        <f>SUM([20]S!M162)</f>
        <v>0</v>
      </c>
      <c r="N166" s="244">
        <f>SUM([20]S!N162)</f>
        <v>0</v>
      </c>
      <c r="O166" s="244">
        <f>SUM([20]S!O162)</f>
        <v>0</v>
      </c>
      <c r="P166" s="244">
        <f>SUM([20]S!P162)</f>
        <v>0</v>
      </c>
      <c r="Q166" s="244">
        <f>SUM([20]S!Q162)</f>
        <v>0</v>
      </c>
      <c r="R166" s="244">
        <f>SUM([20]S!R162)</f>
        <v>0</v>
      </c>
      <c r="S166" s="244">
        <f>SUM([20]S!S162)</f>
        <v>0</v>
      </c>
      <c r="T166" s="244">
        <f>SUM([20]S!T162)</f>
        <v>0</v>
      </c>
      <c r="U166" s="244">
        <f>SUM([20]S!U162)</f>
        <v>0</v>
      </c>
      <c r="V166" s="245">
        <f t="shared" si="43"/>
        <v>0</v>
      </c>
      <c r="W166" s="73">
        <f t="shared" si="41"/>
        <v>0</v>
      </c>
      <c r="X166" s="89"/>
      <c r="Y166" s="244">
        <f>SUM([20]S!Y162)</f>
        <v>0</v>
      </c>
      <c r="Z166" s="244">
        <f>SUM([20]S!Z162)</f>
        <v>0</v>
      </c>
      <c r="AA166" s="244">
        <f>SUM([20]S!AA162)</f>
        <v>0</v>
      </c>
      <c r="AB166" s="244">
        <f>SUM([20]S!AB162)</f>
        <v>0</v>
      </c>
      <c r="AC166" s="244">
        <f>SUM([20]S!AC162)</f>
        <v>0</v>
      </c>
      <c r="AD166" s="244">
        <f>SUM([20]S!AD162)</f>
        <v>0</v>
      </c>
      <c r="AE166" s="244">
        <f>SUM([20]S!AE162)</f>
        <v>0</v>
      </c>
      <c r="AF166" s="244">
        <f>SUM([20]S!AF162)</f>
        <v>0</v>
      </c>
      <c r="AG166" s="244">
        <f>SUM([20]S!AG162)</f>
        <v>0</v>
      </c>
      <c r="AH166" s="244">
        <f>SUM([20]S!AH162)</f>
        <v>0</v>
      </c>
      <c r="AI166" s="244">
        <f>SUM([20]S!AI162)</f>
        <v>0</v>
      </c>
      <c r="AJ166" s="244">
        <f>SUM([20]S!AJ162)</f>
        <v>0</v>
      </c>
      <c r="AK166" s="265">
        <v>111578.08000000003</v>
      </c>
      <c r="AL166" s="73">
        <v>2.7884085842818452E-5</v>
      </c>
      <c r="AM166" s="123">
        <v>2.2204460492503131E-16</v>
      </c>
      <c r="AN166" s="89"/>
      <c r="AO166" s="265">
        <v>111578.08000000003</v>
      </c>
      <c r="AP166" s="73">
        <v>2.5314893033488777E-5</v>
      </c>
      <c r="AQ166" s="123">
        <v>2.2204460492503131E-16</v>
      </c>
    </row>
    <row r="167" spans="1:43" ht="15" customHeight="1" outlineLevel="1">
      <c r="A167" s="12"/>
      <c r="I167" s="139" t="s">
        <v>189</v>
      </c>
      <c r="J167" s="244">
        <f>SUM([20]S!J163)</f>
        <v>0</v>
      </c>
      <c r="K167" s="244">
        <f>SUM([20]S!K163)</f>
        <v>0</v>
      </c>
      <c r="L167" s="244">
        <f>SUM([20]S!L163)</f>
        <v>0</v>
      </c>
      <c r="M167" s="244">
        <f>SUM([20]S!M163)</f>
        <v>0</v>
      </c>
      <c r="N167" s="244">
        <f>SUM([20]S!N163)</f>
        <v>0</v>
      </c>
      <c r="O167" s="244">
        <f>SUM([20]S!O163)</f>
        <v>0</v>
      </c>
      <c r="P167" s="244">
        <f>SUM([20]S!P163)</f>
        <v>0</v>
      </c>
      <c r="Q167" s="244">
        <f>SUM([20]S!Q163)</f>
        <v>0</v>
      </c>
      <c r="R167" s="244">
        <f>SUM([20]S!R163)</f>
        <v>0</v>
      </c>
      <c r="S167" s="244">
        <f>SUM([20]S!S163)</f>
        <v>0</v>
      </c>
      <c r="T167" s="244">
        <f>SUM([20]S!T163)</f>
        <v>0</v>
      </c>
      <c r="U167" s="244">
        <f>SUM([20]S!U163)</f>
        <v>0</v>
      </c>
      <c r="V167" s="245">
        <f>SUM(J167:U167)</f>
        <v>0</v>
      </c>
      <c r="W167" s="73">
        <f>V167/V$6</f>
        <v>0</v>
      </c>
      <c r="X167" s="89"/>
      <c r="Y167" s="244">
        <f>SUM([20]S!Y163)</f>
        <v>0</v>
      </c>
      <c r="Z167" s="244">
        <f>SUM([20]S!Z163)</f>
        <v>0</v>
      </c>
      <c r="AA167" s="244">
        <f>SUM([20]S!AA163)</f>
        <v>0</v>
      </c>
      <c r="AB167" s="244">
        <f>SUM([20]S!AB163)</f>
        <v>0</v>
      </c>
      <c r="AC167" s="244">
        <f>SUM([20]S!AC163)</f>
        <v>0</v>
      </c>
      <c r="AD167" s="244">
        <f>SUM([20]S!AD163)</f>
        <v>0</v>
      </c>
      <c r="AE167" s="244">
        <f>SUM([20]S!AE163)</f>
        <v>0</v>
      </c>
      <c r="AF167" s="244">
        <f>SUM([20]S!AF163)</f>
        <v>0</v>
      </c>
      <c r="AG167" s="244">
        <f>SUM([20]S!AG163)</f>
        <v>0</v>
      </c>
      <c r="AH167" s="244">
        <f>SUM([20]S!AH163)</f>
        <v>0</v>
      </c>
      <c r="AI167" s="244">
        <f>SUM([20]S!AI163)</f>
        <v>0</v>
      </c>
      <c r="AJ167" s="244">
        <f>SUM([20]S!AJ163)</f>
        <v>0</v>
      </c>
      <c r="AK167" s="265">
        <v>454680</v>
      </c>
      <c r="AL167" s="73">
        <v>1.1362748087270089E-4</v>
      </c>
      <c r="AM167" s="123">
        <v>-0.21696477131945935</v>
      </c>
      <c r="AN167" s="89"/>
      <c r="AO167" s="265">
        <v>454680</v>
      </c>
      <c r="AP167" s="73">
        <v>1.0315803574023387E-4</v>
      </c>
      <c r="AQ167" s="123">
        <v>-0.21696477131945935</v>
      </c>
    </row>
    <row r="168" spans="1:43" ht="15" customHeight="1" outlineLevel="1">
      <c r="A168" s="12"/>
      <c r="I168" s="139" t="s">
        <v>199</v>
      </c>
      <c r="J168" s="244">
        <f>SUM([20]S!J164)</f>
        <v>0</v>
      </c>
      <c r="K168" s="244">
        <f>SUM([20]S!K164)</f>
        <v>0</v>
      </c>
      <c r="L168" s="244">
        <f>SUM([20]S!L164)</f>
        <v>0</v>
      </c>
      <c r="M168" s="244">
        <f>SUM([20]S!M164)</f>
        <v>0</v>
      </c>
      <c r="N168" s="244">
        <f>SUM([20]S!N164)</f>
        <v>0</v>
      </c>
      <c r="O168" s="244">
        <f>SUM([20]S!O164)</f>
        <v>0</v>
      </c>
      <c r="P168" s="244">
        <f>SUM([20]S!P164)</f>
        <v>0</v>
      </c>
      <c r="Q168" s="244">
        <f>SUM([20]S!Q164)</f>
        <v>0</v>
      </c>
      <c r="R168" s="244">
        <f>SUM([20]S!R164)</f>
        <v>0</v>
      </c>
      <c r="S168" s="244">
        <f>SUM([20]S!S164)</f>
        <v>0</v>
      </c>
      <c r="T168" s="244">
        <f>SUM([20]S!T164)</f>
        <v>0</v>
      </c>
      <c r="U168" s="244">
        <f>SUM([20]S!U164)</f>
        <v>0</v>
      </c>
      <c r="V168" s="245">
        <f>SUM(J168:U168)</f>
        <v>0</v>
      </c>
      <c r="W168" s="73">
        <f>V168/V$6</f>
        <v>0</v>
      </c>
      <c r="X168" s="89"/>
      <c r="Y168" s="244">
        <f>SUM([20]S!Y164)</f>
        <v>0</v>
      </c>
      <c r="Z168" s="244">
        <f>SUM([20]S!Z164)</f>
        <v>0</v>
      </c>
      <c r="AA168" s="244">
        <f>SUM([20]S!AA164)</f>
        <v>0</v>
      </c>
      <c r="AB168" s="244">
        <f>SUM([20]S!AB164)</f>
        <v>0</v>
      </c>
      <c r="AC168" s="244">
        <f>SUM([20]S!AC164)</f>
        <v>0</v>
      </c>
      <c r="AD168" s="244">
        <f>SUM([20]S!AD164)</f>
        <v>0</v>
      </c>
      <c r="AE168" s="244">
        <f>SUM([20]S!AE164)</f>
        <v>0</v>
      </c>
      <c r="AF168" s="244">
        <f>SUM([20]S!AF164)</f>
        <v>0</v>
      </c>
      <c r="AG168" s="244">
        <f>SUM([20]S!AG164)</f>
        <v>0</v>
      </c>
      <c r="AH168" s="244">
        <f>SUM([20]S!AH164)</f>
        <v>0</v>
      </c>
      <c r="AI168" s="244">
        <f>SUM([20]S!AI164)</f>
        <v>0</v>
      </c>
      <c r="AJ168" s="244">
        <f>SUM([20]S!AJ164)</f>
        <v>0</v>
      </c>
      <c r="AK168" s="265">
        <v>1696378</v>
      </c>
      <c r="AL168" s="73">
        <v>4.2393586422950335E-4</v>
      </c>
      <c r="AM168" s="123">
        <v>0.52155161314143639</v>
      </c>
      <c r="AN168" s="89"/>
      <c r="AO168" s="265">
        <v>1696378</v>
      </c>
      <c r="AP168" s="73">
        <v>3.8487512613914499E-4</v>
      </c>
      <c r="AQ168" s="123">
        <v>0.52155161314143639</v>
      </c>
    </row>
    <row r="169" spans="1:43" ht="15" customHeight="1" outlineLevel="1">
      <c r="A169" s="12"/>
      <c r="I169" s="139" t="s">
        <v>278</v>
      </c>
      <c r="J169" s="244">
        <f>SUM([20]S!J165)</f>
        <v>0</v>
      </c>
      <c r="K169" s="244">
        <f>SUM([20]S!K165)</f>
        <v>0</v>
      </c>
      <c r="L169" s="244">
        <f>SUM([20]S!L165)</f>
        <v>0</v>
      </c>
      <c r="M169" s="244">
        <f>SUM([20]S!M165)</f>
        <v>0</v>
      </c>
      <c r="N169" s="244">
        <f>SUM([20]S!N165)</f>
        <v>0</v>
      </c>
      <c r="O169" s="244">
        <f>SUM([20]S!O165)</f>
        <v>0</v>
      </c>
      <c r="P169" s="244">
        <f>SUM([20]S!P165)</f>
        <v>0</v>
      </c>
      <c r="Q169" s="244">
        <f>SUM([20]S!Q165)</f>
        <v>0</v>
      </c>
      <c r="R169" s="244">
        <f>SUM([20]S!R165)</f>
        <v>0</v>
      </c>
      <c r="S169" s="244">
        <f>SUM([20]S!S165)</f>
        <v>0</v>
      </c>
      <c r="T169" s="244">
        <f>SUM([20]S!T165)</f>
        <v>0</v>
      </c>
      <c r="U169" s="244">
        <f>SUM([20]S!U165)</f>
        <v>0</v>
      </c>
      <c r="V169" s="245">
        <f>SUM(J169:U169)</f>
        <v>0</v>
      </c>
      <c r="W169" s="73">
        <f>V169/V$6</f>
        <v>0</v>
      </c>
      <c r="X169" s="89"/>
      <c r="Y169" s="244">
        <f>SUM([20]S!Y165)</f>
        <v>0</v>
      </c>
      <c r="Z169" s="244">
        <f>SUM([20]S!Z165)</f>
        <v>0</v>
      </c>
      <c r="AA169" s="244">
        <f>SUM([20]S!AA165)</f>
        <v>0</v>
      </c>
      <c r="AB169" s="244">
        <f>SUM([20]S!AB165)</f>
        <v>0</v>
      </c>
      <c r="AC169" s="244">
        <f>SUM([20]S!AC165)</f>
        <v>0</v>
      </c>
      <c r="AD169" s="244">
        <f>SUM([20]S!AD165)</f>
        <v>0</v>
      </c>
      <c r="AE169" s="244">
        <f>SUM([20]S!AE165)</f>
        <v>0</v>
      </c>
      <c r="AF169" s="244">
        <f>SUM([20]S!AF165)</f>
        <v>0</v>
      </c>
      <c r="AG169" s="244">
        <f>SUM([20]S!AG165)</f>
        <v>0</v>
      </c>
      <c r="AH169" s="244">
        <f>SUM([20]S!AH165)</f>
        <v>0</v>
      </c>
      <c r="AI169" s="244">
        <f>SUM([20]S!AI165)</f>
        <v>0</v>
      </c>
      <c r="AJ169" s="244">
        <f>SUM([20]S!AJ165)</f>
        <v>0</v>
      </c>
      <c r="AK169" s="265">
        <v>24000</v>
      </c>
      <c r="AL169" s="73">
        <v>5.9977556544049036E-6</v>
      </c>
      <c r="AM169" s="123">
        <v>0</v>
      </c>
      <c r="AN169" s="89"/>
      <c r="AO169" s="265">
        <v>24000</v>
      </c>
      <c r="AP169" s="73">
        <v>5.4451325278561027E-6</v>
      </c>
      <c r="AQ169" s="123">
        <v>0</v>
      </c>
    </row>
    <row r="170" spans="1:43" ht="15" customHeight="1" outlineLevel="1">
      <c r="A170" s="12" t="s">
        <v>157</v>
      </c>
      <c r="B170" s="8" t="s">
        <v>276</v>
      </c>
      <c r="I170" s="139" t="s">
        <v>279</v>
      </c>
      <c r="J170" s="244">
        <f>SUM([20]S!J166)</f>
        <v>0</v>
      </c>
      <c r="K170" s="244">
        <f>SUM([20]S!K166)</f>
        <v>0</v>
      </c>
      <c r="L170" s="244">
        <f>SUM([20]S!L166)</f>
        <v>0</v>
      </c>
      <c r="M170" s="244">
        <f>SUM([20]S!M166)</f>
        <v>0</v>
      </c>
      <c r="N170" s="244">
        <f>SUM([20]S!N166)</f>
        <v>0</v>
      </c>
      <c r="O170" s="244">
        <f>SUM([20]S!O166)</f>
        <v>0</v>
      </c>
      <c r="P170" s="244">
        <f>SUM([20]S!P166)</f>
        <v>0</v>
      </c>
      <c r="Q170" s="244">
        <f>SUM([20]S!Q166)</f>
        <v>0</v>
      </c>
      <c r="R170" s="244">
        <f>SUM([20]S!R166)</f>
        <v>0</v>
      </c>
      <c r="S170" s="244">
        <f>SUM([20]S!S166)</f>
        <v>0</v>
      </c>
      <c r="T170" s="244">
        <f>SUM([20]S!T166)</f>
        <v>0</v>
      </c>
      <c r="U170" s="244">
        <f>SUM([20]S!U166)</f>
        <v>0</v>
      </c>
      <c r="V170" s="245">
        <f t="shared" si="43"/>
        <v>0</v>
      </c>
      <c r="W170" s="73">
        <f t="shared" si="41"/>
        <v>0</v>
      </c>
      <c r="X170" s="89"/>
      <c r="Y170" s="244">
        <f>SUM([20]S!Y166)</f>
        <v>0</v>
      </c>
      <c r="Z170" s="244">
        <f>SUM([20]S!Z166)</f>
        <v>0</v>
      </c>
      <c r="AA170" s="244">
        <f>SUM([20]S!AA166)</f>
        <v>0</v>
      </c>
      <c r="AB170" s="244">
        <f>SUM([20]S!AB166)</f>
        <v>0</v>
      </c>
      <c r="AC170" s="244">
        <f>SUM([20]S!AC166)</f>
        <v>0</v>
      </c>
      <c r="AD170" s="244">
        <f>SUM([20]S!AD166)</f>
        <v>0</v>
      </c>
      <c r="AE170" s="244">
        <f>SUM([20]S!AE166)</f>
        <v>0</v>
      </c>
      <c r="AF170" s="244">
        <f>SUM([20]S!AF166)</f>
        <v>0</v>
      </c>
      <c r="AG170" s="244">
        <f>SUM([20]S!AG166)</f>
        <v>0</v>
      </c>
      <c r="AH170" s="244">
        <f>SUM([20]S!AH166)</f>
        <v>0</v>
      </c>
      <c r="AI170" s="244">
        <f>SUM([20]S!AI166)</f>
        <v>0</v>
      </c>
      <c r="AJ170" s="244">
        <f>SUM([20]S!AJ166)</f>
        <v>0</v>
      </c>
      <c r="AK170" s="265">
        <v>141000</v>
      </c>
      <c r="AL170" s="73">
        <v>3.5236814469628804E-5</v>
      </c>
      <c r="AM170" s="123">
        <v>0</v>
      </c>
      <c r="AN170" s="89"/>
      <c r="AO170" s="265">
        <v>141000</v>
      </c>
      <c r="AP170" s="73">
        <v>3.1990153601154606E-5</v>
      </c>
      <c r="AQ170" s="123">
        <v>0</v>
      </c>
    </row>
    <row r="171" spans="1:43" ht="15" customHeight="1" outlineLevel="1">
      <c r="A171" s="12" t="s">
        <v>157</v>
      </c>
      <c r="B171" s="8" t="s">
        <v>276</v>
      </c>
      <c r="I171" s="139" t="s">
        <v>170</v>
      </c>
      <c r="J171" s="244">
        <f>SUM([20]S!J167)</f>
        <v>0</v>
      </c>
      <c r="K171" s="244">
        <f>SUM([20]S!K167)</f>
        <v>0</v>
      </c>
      <c r="L171" s="244">
        <f>SUM([20]S!L167)</f>
        <v>0</v>
      </c>
      <c r="M171" s="244">
        <f>SUM([20]S!M167)</f>
        <v>0</v>
      </c>
      <c r="N171" s="244">
        <f>SUM([20]S!N167)</f>
        <v>0</v>
      </c>
      <c r="O171" s="244">
        <f>SUM([20]S!O167)</f>
        <v>0</v>
      </c>
      <c r="P171" s="244">
        <f>SUM([20]S!P167)</f>
        <v>0</v>
      </c>
      <c r="Q171" s="244">
        <f>SUM([20]S!Q167)</f>
        <v>0</v>
      </c>
      <c r="R171" s="244">
        <f>SUM([20]S!R167)</f>
        <v>0</v>
      </c>
      <c r="S171" s="244">
        <f>SUM([20]S!S167)</f>
        <v>0</v>
      </c>
      <c r="T171" s="244">
        <f>SUM([20]S!T167)</f>
        <v>0</v>
      </c>
      <c r="U171" s="244">
        <f>SUM([20]S!U167)</f>
        <v>0</v>
      </c>
      <c r="V171" s="245">
        <f t="shared" si="43"/>
        <v>0</v>
      </c>
      <c r="W171" s="73">
        <f t="shared" si="41"/>
        <v>0</v>
      </c>
      <c r="X171" s="89"/>
      <c r="Y171" s="244">
        <f>SUM([20]S!Y167)</f>
        <v>0</v>
      </c>
      <c r="Z171" s="244">
        <f>SUM([20]S!Z167)</f>
        <v>0</v>
      </c>
      <c r="AA171" s="244">
        <f>SUM([20]S!AA167)</f>
        <v>0</v>
      </c>
      <c r="AB171" s="244">
        <f>SUM([20]S!AB167)</f>
        <v>0</v>
      </c>
      <c r="AC171" s="244">
        <f>SUM([20]S!AC167)</f>
        <v>0</v>
      </c>
      <c r="AD171" s="244">
        <f>SUM([20]S!AD167)</f>
        <v>0</v>
      </c>
      <c r="AE171" s="244">
        <f>SUM([20]S!AE167)</f>
        <v>0</v>
      </c>
      <c r="AF171" s="244">
        <f>SUM([20]S!AF167)</f>
        <v>0</v>
      </c>
      <c r="AG171" s="244">
        <f>SUM([20]S!AG167)</f>
        <v>0</v>
      </c>
      <c r="AH171" s="244">
        <f>SUM([20]S!AH167)</f>
        <v>0</v>
      </c>
      <c r="AI171" s="244">
        <f>SUM([20]S!AI167)</f>
        <v>0</v>
      </c>
      <c r="AJ171" s="244">
        <f>SUM([20]S!AJ167)</f>
        <v>0</v>
      </c>
      <c r="AK171" s="265">
        <v>77748.36</v>
      </c>
      <c r="AL171" s="73">
        <v>1.94298194087795E-5</v>
      </c>
      <c r="AM171" s="123">
        <v>-0.64788403859978849</v>
      </c>
      <c r="AN171" s="89"/>
      <c r="AO171" s="265">
        <v>77748.36</v>
      </c>
      <c r="AP171" s="73">
        <v>1.7639588500977762E-5</v>
      </c>
      <c r="AQ171" s="123">
        <v>-0.64788403859978849</v>
      </c>
    </row>
    <row r="172" spans="1:43" ht="15" customHeight="1" outlineLevel="1">
      <c r="A172" s="12" t="s">
        <v>157</v>
      </c>
      <c r="B172" s="8" t="s">
        <v>276</v>
      </c>
      <c r="I172" s="139" t="s">
        <v>169</v>
      </c>
      <c r="J172" s="244">
        <f>SUM([20]S!J168)</f>
        <v>0</v>
      </c>
      <c r="K172" s="244">
        <f>SUM([20]S!K168)</f>
        <v>0</v>
      </c>
      <c r="L172" s="244">
        <f>SUM([20]S!L168)</f>
        <v>0</v>
      </c>
      <c r="M172" s="244">
        <f>SUM([20]S!M168)</f>
        <v>0</v>
      </c>
      <c r="N172" s="244">
        <f>SUM([20]S!N168)</f>
        <v>0</v>
      </c>
      <c r="O172" s="244">
        <f>SUM([20]S!O168)</f>
        <v>0</v>
      </c>
      <c r="P172" s="244">
        <f>SUM([20]S!P168)</f>
        <v>0</v>
      </c>
      <c r="Q172" s="244">
        <f>SUM([20]S!Q168)</f>
        <v>0</v>
      </c>
      <c r="R172" s="244">
        <f>SUM([20]S!R168)</f>
        <v>0</v>
      </c>
      <c r="S172" s="244">
        <f>SUM([20]S!S168)</f>
        <v>0</v>
      </c>
      <c r="T172" s="244">
        <f>SUM([20]S!T168)</f>
        <v>0</v>
      </c>
      <c r="U172" s="244">
        <f>SUM([20]S!U168)</f>
        <v>0</v>
      </c>
      <c r="V172" s="245">
        <f t="shared" si="43"/>
        <v>0</v>
      </c>
      <c r="W172" s="73">
        <f t="shared" si="41"/>
        <v>0</v>
      </c>
      <c r="X172" s="89"/>
      <c r="Y172" s="244">
        <f>SUM([20]S!Y168)</f>
        <v>0</v>
      </c>
      <c r="Z172" s="244">
        <f>SUM([20]S!Z168)</f>
        <v>0</v>
      </c>
      <c r="AA172" s="244">
        <f>SUM([20]S!AA168)</f>
        <v>0</v>
      </c>
      <c r="AB172" s="244">
        <f>SUM([20]S!AB168)</f>
        <v>0</v>
      </c>
      <c r="AC172" s="244">
        <f>SUM([20]S!AC168)</f>
        <v>0</v>
      </c>
      <c r="AD172" s="244">
        <f>SUM([20]S!AD168)</f>
        <v>0</v>
      </c>
      <c r="AE172" s="244">
        <f>SUM([20]S!AE168)</f>
        <v>0</v>
      </c>
      <c r="AF172" s="244">
        <f>SUM([20]S!AF168)</f>
        <v>0</v>
      </c>
      <c r="AG172" s="244">
        <f>SUM([20]S!AG168)</f>
        <v>0</v>
      </c>
      <c r="AH172" s="244">
        <f>SUM([20]S!AH168)</f>
        <v>0</v>
      </c>
      <c r="AI172" s="244">
        <f>SUM([20]S!AI168)</f>
        <v>0</v>
      </c>
      <c r="AJ172" s="244">
        <f>SUM([20]S!AJ168)</f>
        <v>0</v>
      </c>
      <c r="AK172" s="265">
        <v>3971148.373639999</v>
      </c>
      <c r="AL172" s="73">
        <v>9.9241573385333917E-4</v>
      </c>
      <c r="AM172" s="123">
        <v>16.683241582839905</v>
      </c>
      <c r="AN172" s="89"/>
      <c r="AO172" s="265">
        <v>3971148.373639999</v>
      </c>
      <c r="AP172" s="73">
        <v>9.009762159270841E-4</v>
      </c>
      <c r="AQ172" s="123">
        <v>16.683241582839905</v>
      </c>
    </row>
    <row r="173" spans="1:43" ht="15" customHeight="1" outlineLevel="1">
      <c r="A173" s="12" t="s">
        <v>157</v>
      </c>
      <c r="B173" s="8" t="s">
        <v>276</v>
      </c>
      <c r="I173" s="139" t="s">
        <v>195</v>
      </c>
      <c r="J173" s="244">
        <f>SUM([20]S!J169)</f>
        <v>0</v>
      </c>
      <c r="K173" s="244">
        <f>SUM([20]S!K169)</f>
        <v>0</v>
      </c>
      <c r="L173" s="244">
        <f>SUM([20]S!L169)</f>
        <v>0</v>
      </c>
      <c r="M173" s="244">
        <f>SUM([20]S!M169)</f>
        <v>0</v>
      </c>
      <c r="N173" s="244">
        <f>SUM([20]S!N169)</f>
        <v>0</v>
      </c>
      <c r="O173" s="244">
        <f>SUM([20]S!O169)</f>
        <v>0</v>
      </c>
      <c r="P173" s="244">
        <f>SUM([20]S!P169)</f>
        <v>0</v>
      </c>
      <c r="Q173" s="244">
        <f>SUM([20]S!Q169)</f>
        <v>0</v>
      </c>
      <c r="R173" s="244">
        <f>SUM([20]S!R169)</f>
        <v>0</v>
      </c>
      <c r="S173" s="244">
        <f>SUM([20]S!S169)</f>
        <v>0</v>
      </c>
      <c r="T173" s="244">
        <f>SUM([20]S!T169)</f>
        <v>0</v>
      </c>
      <c r="U173" s="244">
        <f>SUM([20]S!U169)</f>
        <v>0</v>
      </c>
      <c r="V173" s="245">
        <f t="shared" si="43"/>
        <v>0</v>
      </c>
      <c r="W173" s="73">
        <f t="shared" si="41"/>
        <v>0</v>
      </c>
      <c r="X173" s="89"/>
      <c r="Y173" s="244">
        <f>SUM([20]S!Y169)</f>
        <v>0</v>
      </c>
      <c r="Z173" s="244">
        <f>SUM([20]S!Z169)</f>
        <v>0</v>
      </c>
      <c r="AA173" s="244">
        <f>SUM([20]S!AA169)</f>
        <v>0</v>
      </c>
      <c r="AB173" s="244">
        <f>SUM([20]S!AB169)</f>
        <v>0</v>
      </c>
      <c r="AC173" s="244">
        <f>SUM([20]S!AC169)</f>
        <v>0</v>
      </c>
      <c r="AD173" s="244">
        <f>SUM([20]S!AD169)</f>
        <v>0</v>
      </c>
      <c r="AE173" s="244">
        <f>SUM([20]S!AE169)</f>
        <v>0</v>
      </c>
      <c r="AF173" s="244">
        <f>SUM([20]S!AF169)</f>
        <v>0</v>
      </c>
      <c r="AG173" s="244">
        <f>SUM([20]S!AG169)</f>
        <v>0</v>
      </c>
      <c r="AH173" s="244">
        <f>SUM([20]S!AH169)</f>
        <v>0</v>
      </c>
      <c r="AI173" s="244">
        <f>SUM([20]S!AI169)</f>
        <v>0</v>
      </c>
      <c r="AJ173" s="244">
        <f>SUM([20]S!AJ169)</f>
        <v>0</v>
      </c>
      <c r="AK173" s="265">
        <v>600000</v>
      </c>
      <c r="AL173" s="73">
        <v>1.4994389136012258E-4</v>
      </c>
      <c r="AM173" s="123">
        <v>0.60757217938801489</v>
      </c>
      <c r="AN173" s="89"/>
      <c r="AO173" s="265">
        <v>600000</v>
      </c>
      <c r="AP173" s="73">
        <v>1.3612831319640258E-4</v>
      </c>
      <c r="AQ173" s="123">
        <v>0.60757217938801489</v>
      </c>
    </row>
    <row r="174" spans="1:43" ht="15" customHeight="1" outlineLevel="1">
      <c r="A174" s="12" t="s">
        <v>157</v>
      </c>
      <c r="B174" s="8" t="s">
        <v>276</v>
      </c>
      <c r="I174" s="139" t="s">
        <v>280</v>
      </c>
      <c r="J174" s="244">
        <f>SUM([20]S!J170)</f>
        <v>0</v>
      </c>
      <c r="K174" s="244">
        <f>SUM([20]S!K170)</f>
        <v>0</v>
      </c>
      <c r="L174" s="244">
        <f>SUM([20]S!L170)</f>
        <v>0</v>
      </c>
      <c r="M174" s="244">
        <f>SUM([20]S!M170)</f>
        <v>0</v>
      </c>
      <c r="N174" s="244">
        <f>SUM([20]S!N170)</f>
        <v>0</v>
      </c>
      <c r="O174" s="244">
        <f>SUM([20]S!O170)</f>
        <v>0</v>
      </c>
      <c r="P174" s="244">
        <f>SUM([20]S!P170)</f>
        <v>0</v>
      </c>
      <c r="Q174" s="244">
        <f>SUM([20]S!Q170)</f>
        <v>0</v>
      </c>
      <c r="R174" s="244">
        <f>SUM([20]S!R170)</f>
        <v>0</v>
      </c>
      <c r="S174" s="244">
        <f>SUM([20]S!S170)</f>
        <v>0</v>
      </c>
      <c r="T174" s="244">
        <f>SUM([20]S!T170)</f>
        <v>0</v>
      </c>
      <c r="U174" s="244">
        <f>SUM([20]S!U170)</f>
        <v>0</v>
      </c>
      <c r="V174" s="245">
        <f t="shared" si="43"/>
        <v>0</v>
      </c>
      <c r="W174" s="73">
        <f t="shared" si="41"/>
        <v>0</v>
      </c>
      <c r="X174" s="89"/>
      <c r="Y174" s="244">
        <f>SUM([20]S!Y170)</f>
        <v>0</v>
      </c>
      <c r="Z174" s="244">
        <f>SUM([20]S!Z170)</f>
        <v>0</v>
      </c>
      <c r="AA174" s="244">
        <f>SUM([20]S!AA170)</f>
        <v>0</v>
      </c>
      <c r="AB174" s="244">
        <f>SUM([20]S!AB170)</f>
        <v>0</v>
      </c>
      <c r="AC174" s="244">
        <f>SUM([20]S!AC170)</f>
        <v>0</v>
      </c>
      <c r="AD174" s="244">
        <f>SUM([20]S!AD170)</f>
        <v>0</v>
      </c>
      <c r="AE174" s="244">
        <f>SUM([20]S!AE170)</f>
        <v>0</v>
      </c>
      <c r="AF174" s="244">
        <f>SUM([20]S!AF170)</f>
        <v>0</v>
      </c>
      <c r="AG174" s="244">
        <f>SUM([20]S!AG170)</f>
        <v>0</v>
      </c>
      <c r="AH174" s="244">
        <f>SUM([20]S!AH170)</f>
        <v>0</v>
      </c>
      <c r="AI174" s="244">
        <f>SUM([20]S!AI170)</f>
        <v>0</v>
      </c>
      <c r="AJ174" s="244">
        <f>SUM([20]S!AJ170)</f>
        <v>0</v>
      </c>
      <c r="AK174" s="265">
        <v>0</v>
      </c>
      <c r="AL174" s="73">
        <v>0</v>
      </c>
      <c r="AM174" s="123">
        <v>-1</v>
      </c>
      <c r="AN174" s="89"/>
      <c r="AO174" s="265">
        <v>0</v>
      </c>
      <c r="AP174" s="73">
        <v>0</v>
      </c>
      <c r="AQ174" s="123">
        <v>-1</v>
      </c>
    </row>
    <row r="175" spans="1:43" ht="15" customHeight="1" outlineLevel="1">
      <c r="A175" s="12" t="s">
        <v>157</v>
      </c>
      <c r="B175" s="8" t="s">
        <v>276</v>
      </c>
      <c r="I175" s="139" t="s">
        <v>281</v>
      </c>
      <c r="J175" s="244">
        <f>SUM([20]S!J171)</f>
        <v>0</v>
      </c>
      <c r="K175" s="244">
        <f>SUM([20]S!K171)</f>
        <v>0</v>
      </c>
      <c r="L175" s="244">
        <f>SUM([20]S!L171)</f>
        <v>0</v>
      </c>
      <c r="M175" s="244">
        <f>SUM([20]S!M171)</f>
        <v>0</v>
      </c>
      <c r="N175" s="244">
        <f>SUM([20]S!N171)</f>
        <v>0</v>
      </c>
      <c r="O175" s="244">
        <f>SUM([20]S!O171)</f>
        <v>0</v>
      </c>
      <c r="P175" s="244">
        <f>SUM([20]S!P171)</f>
        <v>0</v>
      </c>
      <c r="Q175" s="244">
        <f>SUM([20]S!Q171)</f>
        <v>0</v>
      </c>
      <c r="R175" s="244">
        <f>SUM([20]S!R171)</f>
        <v>0</v>
      </c>
      <c r="S175" s="244">
        <f>SUM([20]S!S171)</f>
        <v>0</v>
      </c>
      <c r="T175" s="244">
        <f>SUM([20]S!T171)</f>
        <v>0</v>
      </c>
      <c r="U175" s="244">
        <f>SUM([20]S!U171)</f>
        <v>0</v>
      </c>
      <c r="V175" s="245">
        <f t="shared" si="43"/>
        <v>0</v>
      </c>
      <c r="W175" s="73">
        <f t="shared" si="41"/>
        <v>0</v>
      </c>
      <c r="X175" s="89"/>
      <c r="Y175" s="244">
        <f>SUM([20]S!Y171)</f>
        <v>0</v>
      </c>
      <c r="Z175" s="244">
        <f>SUM([20]S!Z171)</f>
        <v>0</v>
      </c>
      <c r="AA175" s="244">
        <f>SUM([20]S!AA171)</f>
        <v>0</v>
      </c>
      <c r="AB175" s="244">
        <f>SUM([20]S!AB171)</f>
        <v>0</v>
      </c>
      <c r="AC175" s="244">
        <f>SUM([20]S!AC171)</f>
        <v>0</v>
      </c>
      <c r="AD175" s="244">
        <f>SUM([20]S!AD171)</f>
        <v>0</v>
      </c>
      <c r="AE175" s="244">
        <f>SUM([20]S!AE171)</f>
        <v>0</v>
      </c>
      <c r="AF175" s="244">
        <f>SUM([20]S!AF171)</f>
        <v>0</v>
      </c>
      <c r="AG175" s="244">
        <f>SUM([20]S!AG171)</f>
        <v>0</v>
      </c>
      <c r="AH175" s="244">
        <f>SUM([20]S!AH171)</f>
        <v>0</v>
      </c>
      <c r="AI175" s="244">
        <f>SUM([20]S!AI171)</f>
        <v>0</v>
      </c>
      <c r="AJ175" s="244">
        <f>SUM([20]S!AJ171)</f>
        <v>0</v>
      </c>
      <c r="AK175" s="265">
        <v>808821.57225000008</v>
      </c>
      <c r="AL175" s="73">
        <v>2.0212975659862924E-4</v>
      </c>
      <c r="AM175" s="123">
        <v>-0.11851082767137178</v>
      </c>
      <c r="AN175" s="89"/>
      <c r="AO175" s="265">
        <v>808821.57225000008</v>
      </c>
      <c r="AP175" s="73">
        <v>1.8350586051209126E-4</v>
      </c>
      <c r="AQ175" s="123">
        <v>-0.11851082767137178</v>
      </c>
    </row>
    <row r="176" spans="1:43" ht="15" customHeight="1" outlineLevel="1">
      <c r="A176" s="12" t="s">
        <v>157</v>
      </c>
      <c r="B176" s="8" t="s">
        <v>276</v>
      </c>
      <c r="I176" s="139" t="s">
        <v>194</v>
      </c>
      <c r="J176" s="244">
        <f>SUM([20]S!J172)</f>
        <v>0</v>
      </c>
      <c r="K176" s="244">
        <f>SUM([20]S!K172)</f>
        <v>0</v>
      </c>
      <c r="L176" s="244">
        <f>SUM([20]S!L172)</f>
        <v>0</v>
      </c>
      <c r="M176" s="244">
        <f>SUM([20]S!M172)</f>
        <v>0</v>
      </c>
      <c r="N176" s="244">
        <f>SUM([20]S!N172)</f>
        <v>0</v>
      </c>
      <c r="O176" s="244">
        <f>SUM([20]S!O172)</f>
        <v>0</v>
      </c>
      <c r="P176" s="244">
        <f>SUM([20]S!P172)</f>
        <v>0</v>
      </c>
      <c r="Q176" s="244">
        <f>SUM([20]S!Q172)</f>
        <v>0</v>
      </c>
      <c r="R176" s="244">
        <f>SUM([20]S!R172)</f>
        <v>0</v>
      </c>
      <c r="S176" s="244">
        <f>SUM([20]S!S172)</f>
        <v>0</v>
      </c>
      <c r="T176" s="244">
        <f>SUM([20]S!T172)</f>
        <v>0</v>
      </c>
      <c r="U176" s="244">
        <f>SUM([20]S!U172)</f>
        <v>0</v>
      </c>
      <c r="V176" s="245">
        <f t="shared" si="43"/>
        <v>0</v>
      </c>
      <c r="W176" s="73">
        <f t="shared" si="41"/>
        <v>0</v>
      </c>
      <c r="X176" s="89"/>
      <c r="Y176" s="244">
        <f>SUM([20]S!Y172)</f>
        <v>0</v>
      </c>
      <c r="Z176" s="244">
        <f>SUM([20]S!Z172)</f>
        <v>0</v>
      </c>
      <c r="AA176" s="244">
        <f>SUM([20]S!AA172)</f>
        <v>0</v>
      </c>
      <c r="AB176" s="244">
        <f>SUM([20]S!AB172)</f>
        <v>0</v>
      </c>
      <c r="AC176" s="244">
        <f>SUM([20]S!AC172)</f>
        <v>0</v>
      </c>
      <c r="AD176" s="244">
        <f>SUM([20]S!AD172)</f>
        <v>0</v>
      </c>
      <c r="AE176" s="244">
        <f>SUM([20]S!AE172)</f>
        <v>0</v>
      </c>
      <c r="AF176" s="244">
        <f>SUM([20]S!AF172)</f>
        <v>0</v>
      </c>
      <c r="AG176" s="244">
        <f>SUM([20]S!AG172)</f>
        <v>0</v>
      </c>
      <c r="AH176" s="244">
        <f>SUM([20]S!AH172)</f>
        <v>0</v>
      </c>
      <c r="AI176" s="244">
        <f>SUM([20]S!AI172)</f>
        <v>0</v>
      </c>
      <c r="AJ176" s="244">
        <f>SUM([20]S!AJ172)</f>
        <v>0</v>
      </c>
      <c r="AK176" s="265">
        <v>1320000</v>
      </c>
      <c r="AL176" s="73">
        <v>3.2987656099226967E-4</v>
      </c>
      <c r="AM176" s="123">
        <v>-0.29268326166767988</v>
      </c>
      <c r="AN176" s="89"/>
      <c r="AO176" s="265">
        <v>1320000</v>
      </c>
      <c r="AP176" s="73">
        <v>2.9948228903208565E-4</v>
      </c>
      <c r="AQ176" s="123">
        <v>-0.29268326166767988</v>
      </c>
    </row>
    <row r="177" spans="1:43" ht="15" customHeight="1" outlineLevel="1">
      <c r="A177" s="12" t="s">
        <v>157</v>
      </c>
      <c r="B177" s="8" t="s">
        <v>276</v>
      </c>
      <c r="I177" s="139" t="e">
        <f>+[20]ADMON!I182</f>
        <v>#REF!</v>
      </c>
      <c r="J177" s="244">
        <f>SUM([20]S!J182)</f>
        <v>0</v>
      </c>
      <c r="K177" s="244">
        <f>SUM([20]S!K182)</f>
        <v>0</v>
      </c>
      <c r="L177" s="244">
        <f>SUM([20]S!L182)</f>
        <v>0</v>
      </c>
      <c r="M177" s="244">
        <f>SUM([20]S!M182)</f>
        <v>0</v>
      </c>
      <c r="N177" s="244">
        <f>SUM([20]S!N182)</f>
        <v>0</v>
      </c>
      <c r="O177" s="244">
        <f>SUM([20]S!O182)</f>
        <v>0</v>
      </c>
      <c r="P177" s="244">
        <f>SUM([20]S!P182)</f>
        <v>0</v>
      </c>
      <c r="Q177" s="244">
        <f>SUM([20]S!Q182)</f>
        <v>0</v>
      </c>
      <c r="R177" s="244">
        <f>SUM([20]S!R182)</f>
        <v>0</v>
      </c>
      <c r="S177" s="244">
        <f>SUM([20]S!S182)</f>
        <v>0</v>
      </c>
      <c r="T177" s="244">
        <f>SUM([20]S!T182)</f>
        <v>0</v>
      </c>
      <c r="U177" s="244">
        <f>SUM([20]S!U182)</f>
        <v>0</v>
      </c>
      <c r="V177" s="245">
        <f t="shared" si="43"/>
        <v>0</v>
      </c>
      <c r="W177" s="73">
        <f t="shared" si="41"/>
        <v>0</v>
      </c>
      <c r="X177" s="89"/>
      <c r="Y177" s="244">
        <f>SUM([20]S!Y182)</f>
        <v>0</v>
      </c>
      <c r="Z177" s="244">
        <f>SUM([20]S!Z182)</f>
        <v>0</v>
      </c>
      <c r="AA177" s="244">
        <f>SUM([20]S!AA182)</f>
        <v>0</v>
      </c>
      <c r="AB177" s="244">
        <f>SUM([20]S!AB182)</f>
        <v>0</v>
      </c>
      <c r="AC177" s="244">
        <f>SUM([20]S!AC182)</f>
        <v>0</v>
      </c>
      <c r="AD177" s="244">
        <f>SUM([20]S!AD182)</f>
        <v>0</v>
      </c>
      <c r="AE177" s="244">
        <f>SUM([20]S!AE182)</f>
        <v>0</v>
      </c>
      <c r="AF177" s="244">
        <f>SUM([20]S!AF182)</f>
        <v>0</v>
      </c>
      <c r="AG177" s="244">
        <f>SUM([20]S!AG182)</f>
        <v>0</v>
      </c>
      <c r="AH177" s="244">
        <f>SUM([20]S!AH182)</f>
        <v>0</v>
      </c>
      <c r="AI177" s="244">
        <f>SUM([20]S!AI182)</f>
        <v>0</v>
      </c>
      <c r="AJ177" s="244">
        <f>SUM([20]S!AJ182)</f>
        <v>0</v>
      </c>
      <c r="AK177" s="265">
        <v>1833604.0800000003</v>
      </c>
      <c r="AL177" s="73">
        <v>4.5822955161499592E-4</v>
      </c>
      <c r="AM177" s="123">
        <v>0.6227265893116205</v>
      </c>
      <c r="AN177" s="89"/>
      <c r="AO177" s="265">
        <v>1833604.0800000003</v>
      </c>
      <c r="AP177" s="73">
        <v>4.1600905080073608E-4</v>
      </c>
      <c r="AQ177" s="123">
        <v>0.6227265893116205</v>
      </c>
    </row>
    <row r="178" spans="1:43" ht="15" customHeight="1" outlineLevel="1">
      <c r="A178" s="12" t="s">
        <v>157</v>
      </c>
      <c r="B178" s="8" t="s">
        <v>276</v>
      </c>
      <c r="I178" s="139" t="s">
        <v>172</v>
      </c>
      <c r="J178" s="244">
        <f>SUM([20]S!J174)</f>
        <v>0</v>
      </c>
      <c r="K178" s="244">
        <f>SUM([20]S!K174)</f>
        <v>0</v>
      </c>
      <c r="L178" s="244">
        <f>SUM([20]S!L174)</f>
        <v>0</v>
      </c>
      <c r="M178" s="244">
        <f>SUM([20]S!M174)</f>
        <v>0</v>
      </c>
      <c r="N178" s="244">
        <f>SUM([20]S!N174)</f>
        <v>0</v>
      </c>
      <c r="O178" s="244">
        <f>SUM([20]S!O174)</f>
        <v>0</v>
      </c>
      <c r="P178" s="244">
        <f>SUM([20]S!P174)</f>
        <v>0</v>
      </c>
      <c r="Q178" s="244">
        <f>SUM([20]S!Q174)</f>
        <v>0</v>
      </c>
      <c r="R178" s="244">
        <f>SUM([20]S!R174)</f>
        <v>0</v>
      </c>
      <c r="S178" s="244">
        <f>SUM([20]S!S174)</f>
        <v>0</v>
      </c>
      <c r="T178" s="244">
        <f>SUM([20]S!T174)</f>
        <v>0</v>
      </c>
      <c r="U178" s="244">
        <f>SUM([20]S!U174)</f>
        <v>0</v>
      </c>
      <c r="V178" s="245">
        <f t="shared" si="43"/>
        <v>0</v>
      </c>
      <c r="W178" s="73">
        <f t="shared" si="41"/>
        <v>0</v>
      </c>
      <c r="X178" s="89"/>
      <c r="Y178" s="244">
        <f>SUM([20]S!Y174)</f>
        <v>0</v>
      </c>
      <c r="Z178" s="244">
        <f>SUM([20]S!Z174)</f>
        <v>0</v>
      </c>
      <c r="AA178" s="244">
        <f>SUM([20]S!AA174)</f>
        <v>0</v>
      </c>
      <c r="AB178" s="244">
        <f>SUM([20]S!AB174)</f>
        <v>0</v>
      </c>
      <c r="AC178" s="244">
        <f>SUM([20]S!AC174)</f>
        <v>0</v>
      </c>
      <c r="AD178" s="244">
        <f>SUM([20]S!AD174)</f>
        <v>0</v>
      </c>
      <c r="AE178" s="244">
        <f>SUM([20]S!AE174)</f>
        <v>0</v>
      </c>
      <c r="AF178" s="244">
        <f>SUM([20]S!AF174)</f>
        <v>0</v>
      </c>
      <c r="AG178" s="244">
        <f>SUM([20]S!AG174)</f>
        <v>0</v>
      </c>
      <c r="AH178" s="244">
        <f>SUM([20]S!AH174)</f>
        <v>0</v>
      </c>
      <c r="AI178" s="244">
        <f>SUM([20]S!AI174)</f>
        <v>0</v>
      </c>
      <c r="AJ178" s="244">
        <f>SUM([20]S!AJ174)</f>
        <v>0</v>
      </c>
      <c r="AK178" s="265">
        <v>1560000</v>
      </c>
      <c r="AL178" s="73">
        <v>3.898541175363187E-4</v>
      </c>
      <c r="AM178" s="123">
        <v>-0.24203910186604582</v>
      </c>
      <c r="AN178" s="89"/>
      <c r="AO178" s="265">
        <v>1560000</v>
      </c>
      <c r="AP178" s="73">
        <v>3.5393361431064669E-4</v>
      </c>
      <c r="AQ178" s="123">
        <v>-0.24203910186604582</v>
      </c>
    </row>
    <row r="179" spans="1:43" ht="15" customHeight="1" outlineLevel="1">
      <c r="A179" s="12" t="s">
        <v>157</v>
      </c>
      <c r="B179" s="8" t="s">
        <v>276</v>
      </c>
      <c r="I179" s="139" t="s">
        <v>188</v>
      </c>
      <c r="J179" s="244">
        <f>SUM([20]S!J175)</f>
        <v>0</v>
      </c>
      <c r="K179" s="244">
        <f>SUM([20]S!K175)</f>
        <v>0</v>
      </c>
      <c r="L179" s="244">
        <f>SUM([20]S!L175)</f>
        <v>0</v>
      </c>
      <c r="M179" s="244">
        <f>SUM([20]S!M175)</f>
        <v>0</v>
      </c>
      <c r="N179" s="244">
        <f>SUM([20]S!N175)</f>
        <v>0</v>
      </c>
      <c r="O179" s="244">
        <f>SUM([20]S!O175)</f>
        <v>0</v>
      </c>
      <c r="P179" s="244">
        <f>SUM([20]S!P175)</f>
        <v>0</v>
      </c>
      <c r="Q179" s="244">
        <f>SUM([20]S!Q175)</f>
        <v>0</v>
      </c>
      <c r="R179" s="244">
        <f>SUM([20]S!R175)</f>
        <v>0</v>
      </c>
      <c r="S179" s="244">
        <f>SUM([20]S!S175)</f>
        <v>0</v>
      </c>
      <c r="T179" s="244">
        <f>SUM([20]S!T175)</f>
        <v>0</v>
      </c>
      <c r="U179" s="244">
        <f>SUM([20]S!U175)</f>
        <v>0</v>
      </c>
      <c r="V179" s="245">
        <f t="shared" si="43"/>
        <v>0</v>
      </c>
      <c r="W179" s="73">
        <f t="shared" si="41"/>
        <v>0</v>
      </c>
      <c r="X179" s="89"/>
      <c r="Y179" s="244">
        <f>SUM([20]S!Y175)</f>
        <v>0</v>
      </c>
      <c r="Z179" s="244">
        <f>SUM([20]S!Z175)</f>
        <v>0</v>
      </c>
      <c r="AA179" s="244">
        <f>SUM([20]S!AA175)</f>
        <v>0</v>
      </c>
      <c r="AB179" s="244">
        <f>SUM([20]S!AB175)</f>
        <v>0</v>
      </c>
      <c r="AC179" s="244">
        <f>SUM([20]S!AC175)</f>
        <v>0</v>
      </c>
      <c r="AD179" s="244">
        <f>SUM([20]S!AD175)</f>
        <v>0</v>
      </c>
      <c r="AE179" s="244">
        <f>SUM([20]S!AE175)</f>
        <v>0</v>
      </c>
      <c r="AF179" s="244">
        <f>SUM([20]S!AF175)</f>
        <v>0</v>
      </c>
      <c r="AG179" s="244">
        <f>SUM([20]S!AG175)</f>
        <v>0</v>
      </c>
      <c r="AH179" s="244">
        <f>SUM([20]S!AH175)</f>
        <v>0</v>
      </c>
      <c r="AI179" s="244">
        <f>SUM([20]S!AI175)</f>
        <v>0</v>
      </c>
      <c r="AJ179" s="244">
        <f>SUM([20]S!AJ175)</f>
        <v>0</v>
      </c>
      <c r="AK179" s="265">
        <v>707090.81506666658</v>
      </c>
      <c r="AL179" s="73">
        <v>1.7670658059349464E-4</v>
      </c>
      <c r="AM179" s="123">
        <v>5.9999999999999831E-2</v>
      </c>
      <c r="AN179" s="89"/>
      <c r="AO179" s="265">
        <v>707090.81506666658</v>
      </c>
      <c r="AP179" s="73">
        <v>1.6042513321949125E-4</v>
      </c>
      <c r="AQ179" s="123">
        <v>5.9999999999999831E-2</v>
      </c>
    </row>
    <row r="180" spans="1:43" ht="15" customHeight="1" outlineLevel="1">
      <c r="A180" s="12" t="s">
        <v>157</v>
      </c>
      <c r="B180" s="8" t="s">
        <v>276</v>
      </c>
      <c r="I180" s="139" t="s">
        <v>282</v>
      </c>
      <c r="J180" s="244">
        <f>SUM([20]S!J176)</f>
        <v>0</v>
      </c>
      <c r="K180" s="244">
        <f>SUM([20]S!K176)</f>
        <v>0</v>
      </c>
      <c r="L180" s="244">
        <f>SUM([20]S!L176)</f>
        <v>0</v>
      </c>
      <c r="M180" s="244">
        <f>SUM([20]S!M176)</f>
        <v>0</v>
      </c>
      <c r="N180" s="244">
        <f>SUM([20]S!N176)</f>
        <v>0</v>
      </c>
      <c r="O180" s="244">
        <f>SUM([20]S!O176)</f>
        <v>0</v>
      </c>
      <c r="P180" s="244">
        <f>SUM([20]S!P176)</f>
        <v>0</v>
      </c>
      <c r="Q180" s="244">
        <f>SUM([20]S!Q176)</f>
        <v>0</v>
      </c>
      <c r="R180" s="244">
        <f>SUM([20]S!R176)</f>
        <v>0</v>
      </c>
      <c r="S180" s="244">
        <f>SUM([20]S!S176)</f>
        <v>0</v>
      </c>
      <c r="T180" s="244">
        <f>SUM([20]S!T176)</f>
        <v>0</v>
      </c>
      <c r="U180" s="244">
        <f>SUM([20]S!U176)</f>
        <v>0</v>
      </c>
      <c r="V180" s="245">
        <f t="shared" si="43"/>
        <v>0</v>
      </c>
      <c r="W180" s="73">
        <f t="shared" si="41"/>
        <v>0</v>
      </c>
      <c r="X180" s="89"/>
      <c r="Y180" s="244">
        <f>SUM([20]S!Y176)</f>
        <v>0</v>
      </c>
      <c r="Z180" s="244">
        <f>SUM([20]S!Z176)</f>
        <v>0</v>
      </c>
      <c r="AA180" s="244">
        <f>SUM([20]S!AA176)</f>
        <v>0</v>
      </c>
      <c r="AB180" s="244">
        <f>SUM([20]S!AB176)</f>
        <v>0</v>
      </c>
      <c r="AC180" s="244">
        <f>SUM([20]S!AC176)</f>
        <v>0</v>
      </c>
      <c r="AD180" s="244">
        <f>SUM([20]S!AD176)</f>
        <v>0</v>
      </c>
      <c r="AE180" s="244">
        <f>SUM([20]S!AE176)</f>
        <v>0</v>
      </c>
      <c r="AF180" s="244">
        <f>SUM([20]S!AF176)</f>
        <v>0</v>
      </c>
      <c r="AG180" s="244">
        <f>SUM([20]S!AG176)</f>
        <v>0</v>
      </c>
      <c r="AH180" s="244">
        <f>SUM([20]S!AH176)</f>
        <v>0</v>
      </c>
      <c r="AI180" s="244">
        <f>SUM([20]S!AI176)</f>
        <v>0</v>
      </c>
      <c r="AJ180" s="244">
        <f>SUM([20]S!AJ176)</f>
        <v>0</v>
      </c>
      <c r="AK180" s="265">
        <v>0</v>
      </c>
      <c r="AL180" s="73">
        <v>0</v>
      </c>
      <c r="AM180" s="123">
        <v>-1</v>
      </c>
      <c r="AN180" s="89"/>
      <c r="AO180" s="265">
        <v>0</v>
      </c>
      <c r="AP180" s="73">
        <v>0</v>
      </c>
      <c r="AQ180" s="123">
        <v>-1</v>
      </c>
    </row>
    <row r="181" spans="1:43" ht="15" customHeight="1" outlineLevel="1">
      <c r="A181" s="12" t="s">
        <v>157</v>
      </c>
      <c r="B181" s="8" t="s">
        <v>276</v>
      </c>
      <c r="I181" s="139" t="s">
        <v>158</v>
      </c>
      <c r="J181" s="244">
        <f>SUM([20]S!J177)</f>
        <v>0</v>
      </c>
      <c r="K181" s="244">
        <f>SUM([20]S!K177)</f>
        <v>0</v>
      </c>
      <c r="L181" s="244">
        <f>SUM([20]S!L177)</f>
        <v>0</v>
      </c>
      <c r="M181" s="244">
        <f>SUM([20]S!M177)</f>
        <v>0</v>
      </c>
      <c r="N181" s="244">
        <f>SUM([20]S!N177)</f>
        <v>0</v>
      </c>
      <c r="O181" s="244">
        <f>SUM([20]S!O177)</f>
        <v>0</v>
      </c>
      <c r="P181" s="244">
        <f>SUM([20]S!P177)</f>
        <v>0</v>
      </c>
      <c r="Q181" s="244">
        <f>SUM([20]S!Q177)</f>
        <v>0</v>
      </c>
      <c r="R181" s="244">
        <f>SUM([20]S!R177)</f>
        <v>0</v>
      </c>
      <c r="S181" s="244">
        <f>SUM([20]S!S177)</f>
        <v>0</v>
      </c>
      <c r="T181" s="244">
        <f>SUM([20]S!T177)</f>
        <v>0</v>
      </c>
      <c r="U181" s="244">
        <f>SUM([20]S!U177)</f>
        <v>0</v>
      </c>
      <c r="V181" s="245">
        <f t="shared" si="43"/>
        <v>0</v>
      </c>
      <c r="W181" s="73">
        <f t="shared" si="41"/>
        <v>0</v>
      </c>
      <c r="X181" s="89"/>
      <c r="Y181" s="244">
        <f>SUM([20]S!Y177)</f>
        <v>0</v>
      </c>
      <c r="Z181" s="244">
        <f>SUM([20]S!Z177)</f>
        <v>0</v>
      </c>
      <c r="AA181" s="244">
        <f>SUM([20]S!AA177)</f>
        <v>0</v>
      </c>
      <c r="AB181" s="244">
        <f>SUM([20]S!AB177)</f>
        <v>0</v>
      </c>
      <c r="AC181" s="244">
        <f>SUM([20]S!AC177)</f>
        <v>0</v>
      </c>
      <c r="AD181" s="244">
        <f>SUM([20]S!AD177)</f>
        <v>0</v>
      </c>
      <c r="AE181" s="244">
        <f>SUM([20]S!AE177)</f>
        <v>0</v>
      </c>
      <c r="AF181" s="244">
        <f>SUM([20]S!AF177)</f>
        <v>0</v>
      </c>
      <c r="AG181" s="244">
        <f>SUM([20]S!AG177)</f>
        <v>0</v>
      </c>
      <c r="AH181" s="244">
        <f>SUM([20]S!AH177)</f>
        <v>0</v>
      </c>
      <c r="AI181" s="244">
        <f>SUM([20]S!AI177)</f>
        <v>0</v>
      </c>
      <c r="AJ181" s="244">
        <f>SUM([20]S!AJ177)</f>
        <v>0</v>
      </c>
      <c r="AK181" s="265">
        <v>0</v>
      </c>
      <c r="AL181" s="73">
        <v>0</v>
      </c>
      <c r="AM181" s="123">
        <v>-1</v>
      </c>
      <c r="AN181" s="89"/>
      <c r="AO181" s="265">
        <v>0</v>
      </c>
      <c r="AP181" s="73">
        <v>0</v>
      </c>
      <c r="AQ181" s="123">
        <v>-1</v>
      </c>
    </row>
    <row r="182" spans="1:43" ht="15" customHeight="1" outlineLevel="1">
      <c r="A182" s="12" t="s">
        <v>157</v>
      </c>
      <c r="B182" s="8" t="s">
        <v>276</v>
      </c>
      <c r="I182" s="139" t="s">
        <v>192</v>
      </c>
      <c r="J182" s="244">
        <f>SUM([20]S!J178)</f>
        <v>0</v>
      </c>
      <c r="K182" s="244">
        <f>SUM([20]S!K178)</f>
        <v>0</v>
      </c>
      <c r="L182" s="244">
        <f>SUM([20]S!L178)</f>
        <v>0</v>
      </c>
      <c r="M182" s="244">
        <f>SUM([20]S!M178)</f>
        <v>0</v>
      </c>
      <c r="N182" s="244">
        <f>SUM([20]S!N178)</f>
        <v>0</v>
      </c>
      <c r="O182" s="244">
        <f>SUM([20]S!O178)</f>
        <v>0</v>
      </c>
      <c r="P182" s="244">
        <f>SUM([20]S!P178)</f>
        <v>0</v>
      </c>
      <c r="Q182" s="244">
        <f>SUM([20]S!Q178)</f>
        <v>0</v>
      </c>
      <c r="R182" s="244">
        <f>SUM([20]S!R178)</f>
        <v>0</v>
      </c>
      <c r="S182" s="244">
        <f>SUM([20]S!S178)</f>
        <v>0</v>
      </c>
      <c r="T182" s="244">
        <f>SUM([20]S!T178)</f>
        <v>0</v>
      </c>
      <c r="U182" s="244">
        <f>SUM([20]S!U178)</f>
        <v>0</v>
      </c>
      <c r="V182" s="245">
        <f t="shared" si="43"/>
        <v>0</v>
      </c>
      <c r="W182" s="73">
        <f t="shared" si="41"/>
        <v>0</v>
      </c>
      <c r="X182" s="89"/>
      <c r="Y182" s="244">
        <f>SUM([20]S!Y178)</f>
        <v>0</v>
      </c>
      <c r="Z182" s="244">
        <f>SUM([20]S!Z178)</f>
        <v>0</v>
      </c>
      <c r="AA182" s="244">
        <f>SUM([20]S!AA178)</f>
        <v>0</v>
      </c>
      <c r="AB182" s="244">
        <f>SUM([20]S!AB178)</f>
        <v>0</v>
      </c>
      <c r="AC182" s="244">
        <f>SUM([20]S!AC178)</f>
        <v>0</v>
      </c>
      <c r="AD182" s="244">
        <f>SUM([20]S!AD178)</f>
        <v>0</v>
      </c>
      <c r="AE182" s="244">
        <f>SUM([20]S!AE178)</f>
        <v>0</v>
      </c>
      <c r="AF182" s="244">
        <f>SUM([20]S!AF178)</f>
        <v>0</v>
      </c>
      <c r="AG182" s="244">
        <f>SUM([20]S!AG178)</f>
        <v>0</v>
      </c>
      <c r="AH182" s="244">
        <f>SUM([20]S!AH178)</f>
        <v>0</v>
      </c>
      <c r="AI182" s="244">
        <f>SUM([20]S!AI178)</f>
        <v>0</v>
      </c>
      <c r="AJ182" s="244">
        <f>SUM([20]S!AJ178)</f>
        <v>0</v>
      </c>
      <c r="AK182" s="265">
        <v>1876479.5584856623</v>
      </c>
      <c r="AL182" s="73">
        <v>4.6894441176177491E-4</v>
      </c>
      <c r="AM182" s="123">
        <v>4.6229516687909644E-2</v>
      </c>
      <c r="AN182" s="89"/>
      <c r="AO182" s="265">
        <v>1876479.5584856623</v>
      </c>
      <c r="AP182" s="73">
        <v>4.2573666174030574E-4</v>
      </c>
      <c r="AQ182" s="123">
        <v>4.6229516687909644E-2</v>
      </c>
    </row>
    <row r="183" spans="1:43" ht="15" customHeight="1" outlineLevel="1">
      <c r="A183" s="12" t="s">
        <v>157</v>
      </c>
      <c r="B183" s="8" t="s">
        <v>276</v>
      </c>
      <c r="C183" s="19"/>
      <c r="I183" s="139" t="s">
        <v>190</v>
      </c>
      <c r="J183" s="244">
        <f>SUM([20]S!J179)</f>
        <v>0</v>
      </c>
      <c r="K183" s="244">
        <f>SUM([20]S!K179)</f>
        <v>0</v>
      </c>
      <c r="L183" s="244">
        <f>SUM([20]S!L179)</f>
        <v>0</v>
      </c>
      <c r="M183" s="244">
        <f>SUM([20]S!M179)</f>
        <v>0</v>
      </c>
      <c r="N183" s="244">
        <f>SUM([20]S!N179)</f>
        <v>0</v>
      </c>
      <c r="O183" s="244">
        <f>SUM([20]S!O179)</f>
        <v>0</v>
      </c>
      <c r="P183" s="244">
        <f>SUM([20]S!P179)</f>
        <v>0</v>
      </c>
      <c r="Q183" s="244">
        <f>SUM([20]S!Q179)</f>
        <v>0</v>
      </c>
      <c r="R183" s="244">
        <f>SUM([20]S!R179)</f>
        <v>0</v>
      </c>
      <c r="S183" s="244">
        <f>SUM([20]S!S179)</f>
        <v>0</v>
      </c>
      <c r="T183" s="244">
        <f>SUM([20]S!T179)</f>
        <v>0</v>
      </c>
      <c r="U183" s="244">
        <f>SUM([20]S!U179)</f>
        <v>0</v>
      </c>
      <c r="V183" s="245">
        <f t="shared" si="43"/>
        <v>0</v>
      </c>
      <c r="W183" s="73">
        <f t="shared" si="41"/>
        <v>0</v>
      </c>
      <c r="X183" s="89"/>
      <c r="Y183" s="244">
        <f>SUM([20]S!Y179)</f>
        <v>0</v>
      </c>
      <c r="Z183" s="244">
        <f>SUM([20]S!Z179)</f>
        <v>0</v>
      </c>
      <c r="AA183" s="244">
        <f>SUM([20]S!AA179)</f>
        <v>0</v>
      </c>
      <c r="AB183" s="244">
        <f>SUM([20]S!AB179)</f>
        <v>0</v>
      </c>
      <c r="AC183" s="244">
        <f>SUM([20]S!AC179)</f>
        <v>0</v>
      </c>
      <c r="AD183" s="244">
        <f>SUM([20]S!AD179)</f>
        <v>0</v>
      </c>
      <c r="AE183" s="244">
        <f>SUM([20]S!AE179)</f>
        <v>0</v>
      </c>
      <c r="AF183" s="244">
        <f>SUM([20]S!AF179)</f>
        <v>0</v>
      </c>
      <c r="AG183" s="244">
        <f>SUM([20]S!AG179)</f>
        <v>0</v>
      </c>
      <c r="AH183" s="244">
        <f>SUM([20]S!AH179)</f>
        <v>0</v>
      </c>
      <c r="AI183" s="244">
        <f>SUM([20]S!AI179)</f>
        <v>0</v>
      </c>
      <c r="AJ183" s="244">
        <f>SUM([20]S!AJ179)</f>
        <v>0</v>
      </c>
      <c r="AK183" s="265">
        <v>0</v>
      </c>
      <c r="AL183" s="73">
        <v>0</v>
      </c>
      <c r="AM183" s="123">
        <v>-1</v>
      </c>
      <c r="AN183" s="89"/>
      <c r="AO183" s="265">
        <v>0</v>
      </c>
      <c r="AP183" s="73">
        <v>0</v>
      </c>
      <c r="AQ183" s="123">
        <v>-1</v>
      </c>
    </row>
    <row r="184" spans="1:43" ht="15" customHeight="1" outlineLevel="1">
      <c r="A184" s="12" t="s">
        <v>157</v>
      </c>
      <c r="B184" s="8" t="s">
        <v>276</v>
      </c>
      <c r="C184" s="19"/>
      <c r="I184" s="139" t="s">
        <v>178</v>
      </c>
      <c r="J184" s="244">
        <f>SUM([20]S!J180)</f>
        <v>0</v>
      </c>
      <c r="K184" s="244">
        <f>SUM([20]S!K180)</f>
        <v>0</v>
      </c>
      <c r="L184" s="244">
        <f>SUM([20]S!L180)</f>
        <v>0</v>
      </c>
      <c r="M184" s="244">
        <f>SUM([20]S!M180)</f>
        <v>0</v>
      </c>
      <c r="N184" s="244">
        <f>SUM([20]S!N180)</f>
        <v>0</v>
      </c>
      <c r="O184" s="244">
        <f>SUM([20]S!O180)</f>
        <v>0</v>
      </c>
      <c r="P184" s="244">
        <f>SUM([20]S!P180)</f>
        <v>0</v>
      </c>
      <c r="Q184" s="244">
        <f>SUM([20]S!Q180)</f>
        <v>0</v>
      </c>
      <c r="R184" s="244">
        <f>SUM([20]S!R180)</f>
        <v>0</v>
      </c>
      <c r="S184" s="244">
        <f>SUM([20]S!S180)</f>
        <v>0</v>
      </c>
      <c r="T184" s="244">
        <f>SUM([20]S!T180)</f>
        <v>0</v>
      </c>
      <c r="U184" s="244">
        <f>SUM([20]S!U180)</f>
        <v>0</v>
      </c>
      <c r="V184" s="245">
        <f t="shared" si="43"/>
        <v>0</v>
      </c>
      <c r="W184" s="73">
        <f t="shared" si="41"/>
        <v>0</v>
      </c>
      <c r="X184" s="89"/>
      <c r="Y184" s="244">
        <f>SUM([20]S!Y180)</f>
        <v>0</v>
      </c>
      <c r="Z184" s="244">
        <f>SUM([20]S!Z180)</f>
        <v>0</v>
      </c>
      <c r="AA184" s="244">
        <f>SUM([20]S!AA180)</f>
        <v>0</v>
      </c>
      <c r="AB184" s="244">
        <f>SUM([20]S!AB180)</f>
        <v>0</v>
      </c>
      <c r="AC184" s="244">
        <f>SUM([20]S!AC180)</f>
        <v>0</v>
      </c>
      <c r="AD184" s="244">
        <f>SUM([20]S!AD180)</f>
        <v>0</v>
      </c>
      <c r="AE184" s="244">
        <f>SUM([20]S!AE180)</f>
        <v>0</v>
      </c>
      <c r="AF184" s="244">
        <f>SUM([20]S!AF180)</f>
        <v>0</v>
      </c>
      <c r="AG184" s="244">
        <f>SUM([20]S!AG180)</f>
        <v>0</v>
      </c>
      <c r="AH184" s="244">
        <f>SUM([20]S!AH180)</f>
        <v>0</v>
      </c>
      <c r="AI184" s="244">
        <f>SUM([20]S!AI180)</f>
        <v>0</v>
      </c>
      <c r="AJ184" s="244">
        <f>SUM([20]S!AJ180)</f>
        <v>0</v>
      </c>
      <c r="AK184" s="265">
        <v>1256131.0898000002</v>
      </c>
      <c r="AL184" s="73">
        <v>3.1391530610507266E-4</v>
      </c>
      <c r="AM184" s="123">
        <v>6.0000000000000053E-2</v>
      </c>
      <c r="AN184" s="89"/>
      <c r="AO184" s="265">
        <v>1256131.0898000002</v>
      </c>
      <c r="AP184" s="73">
        <v>2.8499167734672153E-4</v>
      </c>
      <c r="AQ184" s="123">
        <v>6.0000000000000053E-2</v>
      </c>
    </row>
    <row r="185" spans="1:43" ht="15" customHeight="1" outlineLevel="1">
      <c r="A185" s="12" t="s">
        <v>157</v>
      </c>
      <c r="B185" s="8" t="s">
        <v>276</v>
      </c>
      <c r="C185" s="19" t="s">
        <v>283</v>
      </c>
      <c r="D185" s="12"/>
      <c r="E185" s="195"/>
      <c r="F185" s="12"/>
      <c r="G185" s="12"/>
      <c r="H185" s="12"/>
      <c r="I185" s="139" t="s">
        <v>166</v>
      </c>
      <c r="J185" s="244">
        <f>SUM([20]S!J181)</f>
        <v>0</v>
      </c>
      <c r="K185" s="244">
        <f>SUM([20]S!K181)</f>
        <v>0</v>
      </c>
      <c r="L185" s="244">
        <f>SUM([20]S!L181)</f>
        <v>0</v>
      </c>
      <c r="M185" s="244">
        <f>SUM([20]S!M181)</f>
        <v>0</v>
      </c>
      <c r="N185" s="244">
        <f>SUM([20]S!N181)</f>
        <v>0</v>
      </c>
      <c r="O185" s="244">
        <f>SUM([20]S!O181)</f>
        <v>0</v>
      </c>
      <c r="P185" s="244">
        <f>SUM([20]S!P181)</f>
        <v>0</v>
      </c>
      <c r="Q185" s="244">
        <f>SUM([20]S!Q181)</f>
        <v>0</v>
      </c>
      <c r="R185" s="244">
        <f>SUM([20]S!R181)</f>
        <v>0</v>
      </c>
      <c r="S185" s="244">
        <f>SUM([20]S!S181)</f>
        <v>0</v>
      </c>
      <c r="T185" s="244">
        <f>SUM([20]S!T181)</f>
        <v>0</v>
      </c>
      <c r="U185" s="244">
        <f>SUM([20]S!U181)</f>
        <v>0</v>
      </c>
      <c r="V185" s="245">
        <f t="shared" si="43"/>
        <v>0</v>
      </c>
      <c r="W185" s="73">
        <f t="shared" si="41"/>
        <v>0</v>
      </c>
      <c r="X185" s="89"/>
      <c r="Y185" s="244">
        <f>SUM([20]S!Y181)</f>
        <v>0</v>
      </c>
      <c r="Z185" s="244">
        <f>SUM([20]S!Z181)</f>
        <v>0</v>
      </c>
      <c r="AA185" s="244">
        <f>SUM([20]S!AA181)</f>
        <v>0</v>
      </c>
      <c r="AB185" s="244">
        <f>SUM([20]S!AB181)</f>
        <v>0</v>
      </c>
      <c r="AC185" s="244">
        <f>SUM([20]S!AC181)</f>
        <v>0</v>
      </c>
      <c r="AD185" s="244">
        <f>SUM([20]S!AD181)</f>
        <v>0</v>
      </c>
      <c r="AE185" s="244">
        <f>SUM([20]S!AE181)</f>
        <v>0</v>
      </c>
      <c r="AF185" s="244">
        <f>SUM([20]S!AF181)</f>
        <v>0</v>
      </c>
      <c r="AG185" s="244">
        <f>SUM([20]S!AG181)</f>
        <v>0</v>
      </c>
      <c r="AH185" s="244">
        <f>SUM([20]S!AH181)</f>
        <v>0</v>
      </c>
      <c r="AI185" s="244">
        <f>SUM([20]S!AI181)</f>
        <v>0</v>
      </c>
      <c r="AJ185" s="244">
        <f>SUM([20]S!AJ181)</f>
        <v>0</v>
      </c>
      <c r="AK185" s="265">
        <v>142178.62475182104</v>
      </c>
      <c r="AL185" s="73">
        <v>3.5531360439197819E-5</v>
      </c>
      <c r="AM185" s="123">
        <v>5.9677419354838834E-2</v>
      </c>
      <c r="AN185" s="89"/>
      <c r="AO185" s="265">
        <v>142178.62475182104</v>
      </c>
      <c r="AP185" s="73">
        <v>3.2257560600082814E-5</v>
      </c>
      <c r="AQ185" s="123">
        <v>5.9677419354838834E-2</v>
      </c>
    </row>
    <row r="186" spans="1:43" ht="15" customHeight="1" outlineLevel="1">
      <c r="A186" s="12" t="s">
        <v>157</v>
      </c>
      <c r="B186" s="8" t="s">
        <v>276</v>
      </c>
      <c r="I186" s="139" t="s">
        <v>176</v>
      </c>
      <c r="J186" s="244">
        <f>SUM([20]S!J182)</f>
        <v>0</v>
      </c>
      <c r="K186" s="244">
        <f>SUM([20]S!K182)</f>
        <v>0</v>
      </c>
      <c r="L186" s="244">
        <f>SUM([20]S!L182)</f>
        <v>0</v>
      </c>
      <c r="M186" s="244">
        <f>SUM([20]S!M182)</f>
        <v>0</v>
      </c>
      <c r="N186" s="244">
        <f>SUM([20]S!N182)</f>
        <v>0</v>
      </c>
      <c r="O186" s="244">
        <f>SUM([20]S!O182)</f>
        <v>0</v>
      </c>
      <c r="P186" s="244">
        <f>SUM([20]S!P182)</f>
        <v>0</v>
      </c>
      <c r="Q186" s="244">
        <f>SUM([20]S!Q182)</f>
        <v>0</v>
      </c>
      <c r="R186" s="244">
        <f>SUM([20]S!R182)</f>
        <v>0</v>
      </c>
      <c r="S186" s="244">
        <f>SUM([20]S!S182)</f>
        <v>0</v>
      </c>
      <c r="T186" s="244">
        <f>SUM([20]S!T182)</f>
        <v>0</v>
      </c>
      <c r="U186" s="244">
        <f>SUM([20]S!U182)</f>
        <v>0</v>
      </c>
      <c r="V186" s="245">
        <f t="shared" si="43"/>
        <v>0</v>
      </c>
      <c r="W186" s="73">
        <f t="shared" si="41"/>
        <v>0</v>
      </c>
      <c r="X186" s="89"/>
      <c r="Y186" s="244">
        <f>SUM([20]S!Y182)</f>
        <v>0</v>
      </c>
      <c r="Z186" s="244">
        <f>SUM([20]S!Z182)</f>
        <v>0</v>
      </c>
      <c r="AA186" s="244">
        <f>SUM([20]S!AA182)</f>
        <v>0</v>
      </c>
      <c r="AB186" s="244">
        <f>SUM([20]S!AB182)</f>
        <v>0</v>
      </c>
      <c r="AC186" s="244">
        <f>SUM([20]S!AC182)</f>
        <v>0</v>
      </c>
      <c r="AD186" s="244">
        <f>SUM([20]S!AD182)</f>
        <v>0</v>
      </c>
      <c r="AE186" s="244">
        <f>SUM([20]S!AE182)</f>
        <v>0</v>
      </c>
      <c r="AF186" s="244">
        <f>SUM([20]S!AF182)</f>
        <v>0</v>
      </c>
      <c r="AG186" s="244">
        <f>SUM([20]S!AG182)</f>
        <v>0</v>
      </c>
      <c r="AH186" s="244">
        <f>SUM([20]S!AH182)</f>
        <v>0</v>
      </c>
      <c r="AI186" s="244">
        <f>SUM([20]S!AI182)</f>
        <v>0</v>
      </c>
      <c r="AJ186" s="244">
        <f>SUM([20]S!AJ182)</f>
        <v>0</v>
      </c>
      <c r="AK186" s="265">
        <v>1833604.0800000003</v>
      </c>
      <c r="AL186" s="73">
        <v>4.5822955161499592E-4</v>
      </c>
      <c r="AM186" s="123">
        <v>0.6227265893116205</v>
      </c>
      <c r="AN186" s="89"/>
      <c r="AO186" s="265">
        <v>1833604.0800000003</v>
      </c>
      <c r="AP186" s="73">
        <v>4.1600905080073608E-4</v>
      </c>
      <c r="AQ186" s="123">
        <v>0.6227265893116205</v>
      </c>
    </row>
    <row r="187" spans="1:43" ht="15" customHeight="1" outlineLevel="1">
      <c r="A187" s="12" t="s">
        <v>157</v>
      </c>
      <c r="B187" s="8" t="s">
        <v>276</v>
      </c>
      <c r="I187" s="139" t="s">
        <v>185</v>
      </c>
      <c r="J187" s="244">
        <f>SUM([20]S!J183)</f>
        <v>0</v>
      </c>
      <c r="K187" s="244">
        <f>SUM([20]S!K183)</f>
        <v>0</v>
      </c>
      <c r="L187" s="244">
        <f>SUM([20]S!L183)</f>
        <v>0</v>
      </c>
      <c r="M187" s="244">
        <f>SUM([20]S!M183)</f>
        <v>0</v>
      </c>
      <c r="N187" s="244">
        <f>SUM([20]S!N183)</f>
        <v>0</v>
      </c>
      <c r="O187" s="244">
        <f>SUM([20]S!O183)</f>
        <v>0</v>
      </c>
      <c r="P187" s="244">
        <f>SUM([20]S!P183)</f>
        <v>0</v>
      </c>
      <c r="Q187" s="244">
        <f>SUM([20]S!Q183)</f>
        <v>0</v>
      </c>
      <c r="R187" s="244">
        <f>SUM([20]S!R183)</f>
        <v>0</v>
      </c>
      <c r="S187" s="244">
        <f>SUM([20]S!S183)</f>
        <v>0</v>
      </c>
      <c r="T187" s="244">
        <f>SUM([20]S!T183)</f>
        <v>0</v>
      </c>
      <c r="U187" s="244">
        <f>SUM([20]S!U183)</f>
        <v>0</v>
      </c>
      <c r="V187" s="245">
        <f t="shared" si="43"/>
        <v>0</v>
      </c>
      <c r="W187" s="73">
        <f t="shared" si="41"/>
        <v>0</v>
      </c>
      <c r="X187" s="89"/>
      <c r="Y187" s="244">
        <f>SUM([20]S!Y183)</f>
        <v>0</v>
      </c>
      <c r="Z187" s="244">
        <f>SUM([20]S!Z183)</f>
        <v>0</v>
      </c>
      <c r="AA187" s="244">
        <f>SUM([20]S!AA183)</f>
        <v>0</v>
      </c>
      <c r="AB187" s="244">
        <f>SUM([20]S!AB183)</f>
        <v>0</v>
      </c>
      <c r="AC187" s="244">
        <f>SUM([20]S!AC183)</f>
        <v>0</v>
      </c>
      <c r="AD187" s="244">
        <f>SUM([20]S!AD183)</f>
        <v>0</v>
      </c>
      <c r="AE187" s="244">
        <f>SUM([20]S!AE183)</f>
        <v>0</v>
      </c>
      <c r="AF187" s="244">
        <f>SUM([20]S!AF183)</f>
        <v>0</v>
      </c>
      <c r="AG187" s="244">
        <f>SUM([20]S!AG183)</f>
        <v>0</v>
      </c>
      <c r="AH187" s="244">
        <f>SUM([20]S!AH183)</f>
        <v>0</v>
      </c>
      <c r="AI187" s="244">
        <f>SUM([20]S!AI183)</f>
        <v>0</v>
      </c>
      <c r="AJ187" s="244">
        <f>SUM([20]S!AJ183)</f>
        <v>0</v>
      </c>
      <c r="AK187" s="265">
        <v>86287.18</v>
      </c>
      <c r="AL187" s="73">
        <v>2.1563725906152235E-5</v>
      </c>
      <c r="AM187" s="123">
        <v>5.9999999999999831E-2</v>
      </c>
      <c r="AN187" s="89"/>
      <c r="AO187" s="265">
        <v>86287.18</v>
      </c>
      <c r="AP187" s="73">
        <v>1.9576880439790603E-5</v>
      </c>
      <c r="AQ187" s="123">
        <v>5.9999999999999831E-2</v>
      </c>
    </row>
    <row r="188" spans="1:43" ht="15" customHeight="1" outlineLevel="1">
      <c r="A188" s="12" t="s">
        <v>157</v>
      </c>
      <c r="B188" s="8" t="s">
        <v>276</v>
      </c>
      <c r="I188" s="139" t="s">
        <v>184</v>
      </c>
      <c r="J188" s="244">
        <f>SUM([20]S!J184)</f>
        <v>0</v>
      </c>
      <c r="K188" s="244">
        <f>SUM([20]S!K184)</f>
        <v>0</v>
      </c>
      <c r="L188" s="244">
        <f>SUM([20]S!L184)</f>
        <v>0</v>
      </c>
      <c r="M188" s="244">
        <f>SUM([20]S!M184)</f>
        <v>0</v>
      </c>
      <c r="N188" s="244">
        <f>SUM([20]S!N184)</f>
        <v>0</v>
      </c>
      <c r="O188" s="244">
        <f>SUM([20]S!O184)</f>
        <v>0</v>
      </c>
      <c r="P188" s="244">
        <f>SUM([20]S!P184)</f>
        <v>0</v>
      </c>
      <c r="Q188" s="244">
        <f>SUM([20]S!Q184)</f>
        <v>0</v>
      </c>
      <c r="R188" s="244">
        <f>SUM([20]S!R184)</f>
        <v>0</v>
      </c>
      <c r="S188" s="244">
        <f>SUM([20]S!S184)</f>
        <v>0</v>
      </c>
      <c r="T188" s="244">
        <f>SUM([20]S!T184)</f>
        <v>0</v>
      </c>
      <c r="U188" s="244">
        <f>SUM([20]S!U184)</f>
        <v>0</v>
      </c>
      <c r="V188" s="245">
        <f t="shared" si="43"/>
        <v>0</v>
      </c>
      <c r="W188" s="73">
        <f t="shared" si="41"/>
        <v>0</v>
      </c>
      <c r="X188" s="89"/>
      <c r="Y188" s="244">
        <f>SUM([20]S!Y184)</f>
        <v>0</v>
      </c>
      <c r="Z188" s="244">
        <f>SUM([20]S!Z184)</f>
        <v>0</v>
      </c>
      <c r="AA188" s="244">
        <f>SUM([20]S!AA184)</f>
        <v>0</v>
      </c>
      <c r="AB188" s="244">
        <f>SUM([20]S!AB184)</f>
        <v>0</v>
      </c>
      <c r="AC188" s="244">
        <f>SUM([20]S!AC184)</f>
        <v>0</v>
      </c>
      <c r="AD188" s="244">
        <f>SUM([20]S!AD184)</f>
        <v>0</v>
      </c>
      <c r="AE188" s="244">
        <f>SUM([20]S!AE184)</f>
        <v>0</v>
      </c>
      <c r="AF188" s="244">
        <f>SUM([20]S!AF184)</f>
        <v>0</v>
      </c>
      <c r="AG188" s="244">
        <f>SUM([20]S!AG184)</f>
        <v>0</v>
      </c>
      <c r="AH188" s="244">
        <f>SUM([20]S!AH184)</f>
        <v>0</v>
      </c>
      <c r="AI188" s="244">
        <f>SUM([20]S!AI184)</f>
        <v>0</v>
      </c>
      <c r="AJ188" s="244">
        <f>SUM([20]S!AJ184)</f>
        <v>0</v>
      </c>
      <c r="AK188" s="265">
        <v>2047316.1827741936</v>
      </c>
      <c r="AL188" s="73">
        <v>5.1163759214952419E-4</v>
      </c>
      <c r="AM188" s="123">
        <v>5.9677419354838612E-2</v>
      </c>
      <c r="AN188" s="89"/>
      <c r="AO188" s="265">
        <v>2047316.1827741936</v>
      </c>
      <c r="AP188" s="73">
        <v>4.6449616423458129E-4</v>
      </c>
      <c r="AQ188" s="123">
        <v>5.9677419354838612E-2</v>
      </c>
    </row>
    <row r="189" spans="1:43" ht="15" customHeight="1" outlineLevel="1">
      <c r="A189" s="12" t="s">
        <v>157</v>
      </c>
      <c r="B189" s="8" t="s">
        <v>276</v>
      </c>
      <c r="I189" s="139" t="s">
        <v>283</v>
      </c>
      <c r="J189" s="244">
        <f>SUM([20]S!J185)</f>
        <v>0</v>
      </c>
      <c r="K189" s="244">
        <f>SUM([20]S!K185)</f>
        <v>0</v>
      </c>
      <c r="L189" s="244">
        <f>SUM([20]S!L185)</f>
        <v>0</v>
      </c>
      <c r="M189" s="244">
        <f>SUM([20]S!M185)</f>
        <v>0</v>
      </c>
      <c r="N189" s="244">
        <f>SUM([20]S!N185)</f>
        <v>0</v>
      </c>
      <c r="O189" s="244">
        <f>SUM([20]S!O185)</f>
        <v>0</v>
      </c>
      <c r="P189" s="244">
        <f>SUM([20]S!P185)</f>
        <v>0</v>
      </c>
      <c r="Q189" s="244">
        <f>SUM([20]S!Q185)</f>
        <v>0</v>
      </c>
      <c r="R189" s="244">
        <f>SUM([20]S!R185)</f>
        <v>0</v>
      </c>
      <c r="S189" s="244">
        <f>SUM([20]S!S185)</f>
        <v>0</v>
      </c>
      <c r="T189" s="244">
        <f>SUM([20]S!T185)</f>
        <v>0</v>
      </c>
      <c r="U189" s="244">
        <f>SUM([20]S!U185)</f>
        <v>0</v>
      </c>
      <c r="V189" s="245">
        <f t="shared" si="43"/>
        <v>0</v>
      </c>
      <c r="W189" s="73">
        <f t="shared" si="41"/>
        <v>0</v>
      </c>
      <c r="X189" s="89"/>
      <c r="Y189" s="244">
        <f>SUM([20]S!Y185)</f>
        <v>0</v>
      </c>
      <c r="Z189" s="244">
        <f>SUM([20]S!Z185)</f>
        <v>0</v>
      </c>
      <c r="AA189" s="244">
        <f>SUM([20]S!AA185)</f>
        <v>0</v>
      </c>
      <c r="AB189" s="244">
        <f>SUM([20]S!AB185)</f>
        <v>0</v>
      </c>
      <c r="AC189" s="244">
        <f>SUM([20]S!AC185)</f>
        <v>0</v>
      </c>
      <c r="AD189" s="244">
        <f>SUM([20]S!AD185)</f>
        <v>0</v>
      </c>
      <c r="AE189" s="244">
        <f>SUM([20]S!AE185)</f>
        <v>0</v>
      </c>
      <c r="AF189" s="244">
        <f>SUM([20]S!AF185)</f>
        <v>0</v>
      </c>
      <c r="AG189" s="244">
        <f>SUM([20]S!AG185)</f>
        <v>0</v>
      </c>
      <c r="AH189" s="244">
        <f>SUM([20]S!AH185)</f>
        <v>0</v>
      </c>
      <c r="AI189" s="244">
        <f>SUM([20]S!AI185)</f>
        <v>0</v>
      </c>
      <c r="AJ189" s="244">
        <f>SUM([20]S!AJ185)</f>
        <v>0</v>
      </c>
      <c r="AK189" s="265">
        <v>289200</v>
      </c>
      <c r="AL189" s="73">
        <v>7.2272955635579081E-5</v>
      </c>
      <c r="AM189" s="123">
        <v>0.93334906129284767</v>
      </c>
      <c r="AN189" s="89"/>
      <c r="AO189" s="265">
        <v>289200</v>
      </c>
      <c r="AP189" s="73">
        <v>6.561384696066604E-5</v>
      </c>
      <c r="AQ189" s="123">
        <v>0.93334906129284767</v>
      </c>
    </row>
    <row r="190" spans="1:43" ht="15" customHeight="1" outlineLevel="1">
      <c r="A190" s="12" t="s">
        <v>157</v>
      </c>
      <c r="B190" s="8" t="s">
        <v>276</v>
      </c>
      <c r="I190" s="139" t="s">
        <v>284</v>
      </c>
      <c r="J190" s="244">
        <f>SUM([20]S!J186)</f>
        <v>0</v>
      </c>
      <c r="K190" s="244">
        <f>SUM([20]S!K186)</f>
        <v>0</v>
      </c>
      <c r="L190" s="244">
        <f>SUM([20]S!L186)</f>
        <v>0</v>
      </c>
      <c r="M190" s="244">
        <f>SUM([20]S!M186)</f>
        <v>0</v>
      </c>
      <c r="N190" s="244">
        <f>SUM([20]S!N186)</f>
        <v>0</v>
      </c>
      <c r="O190" s="244">
        <f>SUM([20]S!O186)</f>
        <v>0</v>
      </c>
      <c r="P190" s="244">
        <f>SUM([20]S!P186)</f>
        <v>0</v>
      </c>
      <c r="Q190" s="244">
        <f>SUM([20]S!Q186)</f>
        <v>0</v>
      </c>
      <c r="R190" s="244">
        <f>SUM([20]S!R186)</f>
        <v>0</v>
      </c>
      <c r="S190" s="244">
        <f>SUM([20]S!S186)</f>
        <v>0</v>
      </c>
      <c r="T190" s="244">
        <f>SUM([20]S!T186)</f>
        <v>0</v>
      </c>
      <c r="U190" s="244">
        <f>SUM([20]S!U186)</f>
        <v>0</v>
      </c>
      <c r="V190" s="245">
        <f t="shared" si="43"/>
        <v>0</v>
      </c>
      <c r="W190" s="73">
        <f t="shared" si="41"/>
        <v>0</v>
      </c>
      <c r="X190" s="89"/>
      <c r="Y190" s="244">
        <f>SUM([20]S!Y186)</f>
        <v>0</v>
      </c>
      <c r="Z190" s="244">
        <f>SUM([20]S!Z186)</f>
        <v>0</v>
      </c>
      <c r="AA190" s="244">
        <f>SUM([20]S!AA186)</f>
        <v>0</v>
      </c>
      <c r="AB190" s="244">
        <f>SUM([20]S!AB186)</f>
        <v>0</v>
      </c>
      <c r="AC190" s="244">
        <f>SUM([20]S!AC186)</f>
        <v>0</v>
      </c>
      <c r="AD190" s="244">
        <f>SUM([20]S!AD186)</f>
        <v>0</v>
      </c>
      <c r="AE190" s="244">
        <f>SUM([20]S!AE186)</f>
        <v>0</v>
      </c>
      <c r="AF190" s="244">
        <f>SUM([20]S!AF186)</f>
        <v>0</v>
      </c>
      <c r="AG190" s="244">
        <f>SUM([20]S!AG186)</f>
        <v>0</v>
      </c>
      <c r="AH190" s="244">
        <f>SUM([20]S!AH186)</f>
        <v>0</v>
      </c>
      <c r="AI190" s="244">
        <f>SUM([20]S!AI186)</f>
        <v>0</v>
      </c>
      <c r="AJ190" s="244">
        <f>SUM([20]S!AJ186)</f>
        <v>0</v>
      </c>
      <c r="AK190" s="265">
        <v>454680</v>
      </c>
      <c r="AL190" s="73">
        <v>1.1362748087270089E-4</v>
      </c>
      <c r="AM190" s="123">
        <v>-0.28704023774106469</v>
      </c>
      <c r="AN190" s="89"/>
      <c r="AO190" s="265">
        <v>454680</v>
      </c>
      <c r="AP190" s="73">
        <v>1.0315803574023387E-4</v>
      </c>
      <c r="AQ190" s="123">
        <v>-0.28704023774106469</v>
      </c>
    </row>
    <row r="191" spans="1:43" ht="15" customHeight="1" outlineLevel="1">
      <c r="A191" s="12" t="s">
        <v>157</v>
      </c>
      <c r="B191" s="8" t="s">
        <v>276</v>
      </c>
      <c r="C191" s="8" t="s">
        <v>177</v>
      </c>
      <c r="I191" s="139" t="s">
        <v>285</v>
      </c>
      <c r="J191" s="244">
        <f>SUM([20]S!J187)</f>
        <v>0</v>
      </c>
      <c r="K191" s="244">
        <f>SUM([20]S!K187)</f>
        <v>0</v>
      </c>
      <c r="L191" s="244">
        <f>SUM([20]S!L187)</f>
        <v>0</v>
      </c>
      <c r="M191" s="244">
        <f>SUM([20]S!M187)</f>
        <v>0</v>
      </c>
      <c r="N191" s="244">
        <f>SUM([20]S!N187)</f>
        <v>0</v>
      </c>
      <c r="O191" s="244">
        <f>SUM([20]S!O187)</f>
        <v>0</v>
      </c>
      <c r="P191" s="244">
        <f>SUM([20]S!P187)</f>
        <v>0</v>
      </c>
      <c r="Q191" s="244">
        <f>SUM([20]S!Q187)</f>
        <v>0</v>
      </c>
      <c r="R191" s="244">
        <f>SUM([20]S!R187)</f>
        <v>0</v>
      </c>
      <c r="S191" s="244">
        <f>SUM([20]S!S187)</f>
        <v>0</v>
      </c>
      <c r="T191" s="244">
        <f>SUM([20]S!T187)</f>
        <v>0</v>
      </c>
      <c r="U191" s="244">
        <f>SUM([20]S!U187)</f>
        <v>0</v>
      </c>
      <c r="V191" s="245">
        <f t="shared" si="43"/>
        <v>0</v>
      </c>
      <c r="W191" s="73">
        <f t="shared" si="41"/>
        <v>0</v>
      </c>
      <c r="X191" s="89"/>
      <c r="Y191" s="244">
        <f>SUM([20]S!Y187)</f>
        <v>0</v>
      </c>
      <c r="Z191" s="244">
        <f>SUM([20]S!Z187)</f>
        <v>0</v>
      </c>
      <c r="AA191" s="244">
        <f>SUM([20]S!AA187)</f>
        <v>0</v>
      </c>
      <c r="AB191" s="244">
        <f>SUM([20]S!AB187)</f>
        <v>0</v>
      </c>
      <c r="AC191" s="244">
        <f>SUM([20]S!AC187)</f>
        <v>0</v>
      </c>
      <c r="AD191" s="244">
        <f>SUM([20]S!AD187)</f>
        <v>0</v>
      </c>
      <c r="AE191" s="244">
        <f>SUM([20]S!AE187)</f>
        <v>0</v>
      </c>
      <c r="AF191" s="244">
        <f>SUM([20]S!AF187)</f>
        <v>0</v>
      </c>
      <c r="AG191" s="244">
        <f>SUM([20]S!AG187)</f>
        <v>0</v>
      </c>
      <c r="AH191" s="244">
        <f>SUM([20]S!AH187)</f>
        <v>0</v>
      </c>
      <c r="AI191" s="244">
        <f>SUM([20]S!AI187)</f>
        <v>0</v>
      </c>
      <c r="AJ191" s="244">
        <f>SUM([20]S!AJ187)</f>
        <v>0</v>
      </c>
      <c r="AK191" s="265">
        <v>0</v>
      </c>
      <c r="AL191" s="73">
        <v>0</v>
      </c>
      <c r="AM191" s="123">
        <v>0</v>
      </c>
      <c r="AN191" s="89"/>
      <c r="AO191" s="265">
        <v>0</v>
      </c>
      <c r="AP191" s="73">
        <v>0</v>
      </c>
      <c r="AQ191" s="123">
        <v>0</v>
      </c>
    </row>
    <row r="192" spans="1:43" ht="15" customHeight="1" outlineLevel="1">
      <c r="A192" s="12" t="s">
        <v>157</v>
      </c>
      <c r="B192" s="8" t="s">
        <v>276</v>
      </c>
      <c r="I192" s="139" t="s">
        <v>286</v>
      </c>
      <c r="J192" s="244">
        <f>SUM([20]S!J188)</f>
        <v>0</v>
      </c>
      <c r="K192" s="244">
        <f>SUM([20]S!K188)</f>
        <v>0</v>
      </c>
      <c r="L192" s="244">
        <f>SUM([20]S!L188)</f>
        <v>0</v>
      </c>
      <c r="M192" s="244">
        <f>SUM([20]S!M188)</f>
        <v>0</v>
      </c>
      <c r="N192" s="244">
        <f>SUM([20]S!N188)</f>
        <v>0</v>
      </c>
      <c r="O192" s="244">
        <f>SUM([20]S!O188)</f>
        <v>0</v>
      </c>
      <c r="P192" s="244">
        <f>SUM([20]S!P188)</f>
        <v>0</v>
      </c>
      <c r="Q192" s="244">
        <f>SUM([20]S!Q188)</f>
        <v>0</v>
      </c>
      <c r="R192" s="244">
        <f>SUM([20]S!R188)</f>
        <v>0</v>
      </c>
      <c r="S192" s="244">
        <f>SUM([20]S!S188)</f>
        <v>0</v>
      </c>
      <c r="T192" s="244">
        <f>SUM([20]S!T188)</f>
        <v>0</v>
      </c>
      <c r="U192" s="244">
        <f>SUM([20]S!U188)</f>
        <v>0</v>
      </c>
      <c r="V192" s="245">
        <f t="shared" si="43"/>
        <v>0</v>
      </c>
      <c r="W192" s="73">
        <f t="shared" si="41"/>
        <v>0</v>
      </c>
      <c r="X192" s="89"/>
      <c r="Y192" s="244">
        <f>SUM([20]S!Y188)</f>
        <v>0</v>
      </c>
      <c r="Z192" s="244">
        <f>SUM([20]S!Z188)</f>
        <v>0</v>
      </c>
      <c r="AA192" s="244">
        <f>SUM([20]S!AA188)</f>
        <v>0</v>
      </c>
      <c r="AB192" s="244">
        <f>SUM([20]S!AB188)</f>
        <v>0</v>
      </c>
      <c r="AC192" s="244">
        <f>SUM([20]S!AC188)</f>
        <v>0</v>
      </c>
      <c r="AD192" s="244">
        <f>SUM([20]S!AD188)</f>
        <v>0</v>
      </c>
      <c r="AE192" s="244">
        <f>SUM([20]S!AE188)</f>
        <v>0</v>
      </c>
      <c r="AF192" s="244">
        <f>SUM([20]S!AF188)</f>
        <v>0</v>
      </c>
      <c r="AG192" s="244">
        <f>SUM([20]S!AG188)</f>
        <v>0</v>
      </c>
      <c r="AH192" s="244">
        <f>SUM([20]S!AH188)</f>
        <v>0</v>
      </c>
      <c r="AI192" s="244">
        <f>SUM([20]S!AI188)</f>
        <v>0</v>
      </c>
      <c r="AJ192" s="244">
        <f>SUM([20]S!AJ188)</f>
        <v>0</v>
      </c>
      <c r="AK192" s="265">
        <v>0</v>
      </c>
      <c r="AL192" s="73">
        <v>0</v>
      </c>
      <c r="AM192" s="123">
        <v>0</v>
      </c>
      <c r="AN192" s="89"/>
      <c r="AO192" s="265">
        <v>0</v>
      </c>
      <c r="AP192" s="73">
        <v>0</v>
      </c>
      <c r="AQ192" s="123">
        <v>0</v>
      </c>
    </row>
    <row r="193" spans="1:43" ht="15" customHeight="1" outlineLevel="1">
      <c r="A193" s="12" t="s">
        <v>157</v>
      </c>
      <c r="B193" s="8" t="s">
        <v>276</v>
      </c>
      <c r="I193" s="139" t="s">
        <v>287</v>
      </c>
      <c r="J193" s="244">
        <f>SUM([20]S!J189)</f>
        <v>0</v>
      </c>
      <c r="K193" s="244">
        <f>SUM([20]S!K189)</f>
        <v>0</v>
      </c>
      <c r="L193" s="244">
        <f>SUM([20]S!L189)</f>
        <v>0</v>
      </c>
      <c r="M193" s="244">
        <f>SUM([20]S!M189)</f>
        <v>0</v>
      </c>
      <c r="N193" s="244">
        <f>SUM([20]S!N189)</f>
        <v>0</v>
      </c>
      <c r="O193" s="244">
        <f>SUM([20]S!O189)</f>
        <v>0</v>
      </c>
      <c r="P193" s="244">
        <f>SUM([20]S!P189)</f>
        <v>0</v>
      </c>
      <c r="Q193" s="244">
        <f>SUM([20]S!Q189)</f>
        <v>0</v>
      </c>
      <c r="R193" s="244">
        <f>SUM([20]S!R189)</f>
        <v>0</v>
      </c>
      <c r="S193" s="244">
        <f>SUM([20]S!S189)</f>
        <v>0</v>
      </c>
      <c r="T193" s="244">
        <f>SUM([20]S!T189)</f>
        <v>0</v>
      </c>
      <c r="U193" s="244">
        <f>SUM([20]S!U189)</f>
        <v>0</v>
      </c>
      <c r="V193" s="245">
        <f t="shared" si="43"/>
        <v>0</v>
      </c>
      <c r="W193" s="73">
        <f t="shared" si="41"/>
        <v>0</v>
      </c>
      <c r="X193" s="89"/>
      <c r="Y193" s="244">
        <f>SUM([20]S!Y189)</f>
        <v>0</v>
      </c>
      <c r="Z193" s="244">
        <f>SUM([20]S!Z189)</f>
        <v>0</v>
      </c>
      <c r="AA193" s="244">
        <f>SUM([20]S!AA189)</f>
        <v>0</v>
      </c>
      <c r="AB193" s="244">
        <f>SUM([20]S!AB189)</f>
        <v>0</v>
      </c>
      <c r="AC193" s="244">
        <f>SUM([20]S!AC189)</f>
        <v>0</v>
      </c>
      <c r="AD193" s="244">
        <f>SUM([20]S!AD189)</f>
        <v>0</v>
      </c>
      <c r="AE193" s="244">
        <f>SUM([20]S!AE189)</f>
        <v>0</v>
      </c>
      <c r="AF193" s="244">
        <f>SUM([20]S!AF189)</f>
        <v>0</v>
      </c>
      <c r="AG193" s="244">
        <f>SUM([20]S!AG189)</f>
        <v>0</v>
      </c>
      <c r="AH193" s="244">
        <f>SUM([20]S!AH189)</f>
        <v>0</v>
      </c>
      <c r="AI193" s="244">
        <f>SUM([20]S!AI189)</f>
        <v>0</v>
      </c>
      <c r="AJ193" s="244">
        <f>SUM([20]S!AJ189)</f>
        <v>0</v>
      </c>
      <c r="AK193" s="265">
        <v>0</v>
      </c>
      <c r="AL193" s="73">
        <v>0</v>
      </c>
      <c r="AM193" s="123">
        <v>0</v>
      </c>
      <c r="AN193" s="89"/>
      <c r="AO193" s="265">
        <v>0</v>
      </c>
      <c r="AP193" s="73">
        <v>0</v>
      </c>
      <c r="AQ193" s="123">
        <v>0</v>
      </c>
    </row>
    <row r="194" spans="1:43" ht="15" customHeight="1" outlineLevel="1">
      <c r="A194" s="12" t="s">
        <v>157</v>
      </c>
      <c r="B194" s="8" t="s">
        <v>276</v>
      </c>
      <c r="I194" s="139" t="s">
        <v>197</v>
      </c>
      <c r="J194" s="244">
        <f>SUM([20]S!J190)</f>
        <v>0</v>
      </c>
      <c r="K194" s="244">
        <f>SUM([20]S!K190)</f>
        <v>0</v>
      </c>
      <c r="L194" s="244">
        <f>SUM([20]S!L190)</f>
        <v>0</v>
      </c>
      <c r="M194" s="244">
        <f>SUM([20]S!M190)</f>
        <v>0</v>
      </c>
      <c r="N194" s="244">
        <f>SUM([20]S!N190)</f>
        <v>0</v>
      </c>
      <c r="O194" s="244">
        <f>SUM([20]S!O190)</f>
        <v>0</v>
      </c>
      <c r="P194" s="244">
        <f>SUM([20]S!P190)</f>
        <v>0</v>
      </c>
      <c r="Q194" s="244">
        <f>SUM([20]S!Q190)</f>
        <v>0</v>
      </c>
      <c r="R194" s="244">
        <f>SUM([20]S!R190)</f>
        <v>0</v>
      </c>
      <c r="S194" s="244">
        <f>SUM([20]S!S190)</f>
        <v>0</v>
      </c>
      <c r="T194" s="244">
        <f>SUM([20]S!T190)</f>
        <v>0</v>
      </c>
      <c r="U194" s="244">
        <f>SUM([20]S!U190)</f>
        <v>0</v>
      </c>
      <c r="V194" s="245">
        <f t="shared" si="43"/>
        <v>0</v>
      </c>
      <c r="W194" s="73">
        <f t="shared" si="41"/>
        <v>0</v>
      </c>
      <c r="X194" s="89"/>
      <c r="Y194" s="244">
        <f>SUM([20]S!Y190)</f>
        <v>0</v>
      </c>
      <c r="Z194" s="244">
        <f>SUM([20]S!Z190)</f>
        <v>0</v>
      </c>
      <c r="AA194" s="244">
        <f>SUM([20]S!AA190)</f>
        <v>0</v>
      </c>
      <c r="AB194" s="244">
        <f>SUM([20]S!AB190)</f>
        <v>0</v>
      </c>
      <c r="AC194" s="244">
        <f>SUM([20]S!AC190)</f>
        <v>0</v>
      </c>
      <c r="AD194" s="244">
        <f>SUM([20]S!AD190)</f>
        <v>0</v>
      </c>
      <c r="AE194" s="244">
        <f>SUM([20]S!AE190)</f>
        <v>0</v>
      </c>
      <c r="AF194" s="244">
        <f>SUM([20]S!AF190)</f>
        <v>0</v>
      </c>
      <c r="AG194" s="244">
        <f>SUM([20]S!AG190)</f>
        <v>0</v>
      </c>
      <c r="AH194" s="244">
        <f>SUM([20]S!AH190)</f>
        <v>0</v>
      </c>
      <c r="AI194" s="244">
        <f>SUM([20]S!AI190)</f>
        <v>0</v>
      </c>
      <c r="AJ194" s="244">
        <f>SUM([20]S!AJ190)</f>
        <v>0</v>
      </c>
      <c r="AK194" s="265">
        <v>24805</v>
      </c>
      <c r="AL194" s="73">
        <v>6.1989303753130674E-6</v>
      </c>
      <c r="AM194" s="123">
        <v>-0.1572576576417416</v>
      </c>
      <c r="AN194" s="89"/>
      <c r="AO194" s="265">
        <v>24805</v>
      </c>
      <c r="AP194" s="73">
        <v>5.6277713480612764E-6</v>
      </c>
      <c r="AQ194" s="123">
        <v>-0.1572576576417416</v>
      </c>
    </row>
    <row r="195" spans="1:43" ht="15" customHeight="1" outlineLevel="1">
      <c r="A195" s="12"/>
      <c r="I195" s="139" t="s">
        <v>179</v>
      </c>
      <c r="J195" s="244">
        <f>SUM([20]S!J191)</f>
        <v>0</v>
      </c>
      <c r="K195" s="244">
        <f>SUM([20]S!K191)</f>
        <v>0</v>
      </c>
      <c r="L195" s="244">
        <f>SUM([20]S!L191)</f>
        <v>0</v>
      </c>
      <c r="M195" s="244">
        <f>SUM([20]S!M191)</f>
        <v>0</v>
      </c>
      <c r="N195" s="244">
        <f>SUM([20]S!N191)</f>
        <v>0</v>
      </c>
      <c r="O195" s="244">
        <f>SUM([20]S!O191)</f>
        <v>0</v>
      </c>
      <c r="P195" s="244">
        <f>SUM([20]S!P191)</f>
        <v>0</v>
      </c>
      <c r="Q195" s="244">
        <f>SUM([20]S!Q191)</f>
        <v>0</v>
      </c>
      <c r="R195" s="244">
        <f>SUM([20]S!R191)</f>
        <v>0</v>
      </c>
      <c r="S195" s="244">
        <f>SUM([20]S!S191)</f>
        <v>0</v>
      </c>
      <c r="T195" s="244">
        <f>SUM([20]S!T191)</f>
        <v>0</v>
      </c>
      <c r="U195" s="244">
        <f>SUM([20]S!U191)</f>
        <v>0</v>
      </c>
      <c r="V195" s="245">
        <f t="shared" si="43"/>
        <v>0</v>
      </c>
      <c r="W195" s="73">
        <f t="shared" si="41"/>
        <v>0</v>
      </c>
      <c r="X195" s="89"/>
      <c r="Y195" s="244">
        <f>SUM([20]S!Y191)</f>
        <v>0</v>
      </c>
      <c r="Z195" s="244">
        <f>SUM([20]S!Z191)</f>
        <v>0</v>
      </c>
      <c r="AA195" s="244">
        <f>SUM([20]S!AA191)</f>
        <v>0</v>
      </c>
      <c r="AB195" s="244">
        <f>SUM([20]S!AB191)</f>
        <v>0</v>
      </c>
      <c r="AC195" s="244">
        <f>SUM([20]S!AC191)</f>
        <v>0</v>
      </c>
      <c r="AD195" s="244">
        <f>SUM([20]S!AD191)</f>
        <v>0</v>
      </c>
      <c r="AE195" s="244">
        <f>SUM([20]S!AE191)</f>
        <v>0</v>
      </c>
      <c r="AF195" s="244">
        <f>SUM([20]S!AF191)</f>
        <v>0</v>
      </c>
      <c r="AG195" s="244">
        <f>SUM([20]S!AG191)</f>
        <v>0</v>
      </c>
      <c r="AH195" s="244">
        <f>SUM([20]S!AH191)</f>
        <v>0</v>
      </c>
      <c r="AI195" s="244">
        <f>SUM([20]S!AI191)</f>
        <v>0</v>
      </c>
      <c r="AJ195" s="244">
        <f>SUM([20]S!AJ191)</f>
        <v>0</v>
      </c>
      <c r="AK195" s="265">
        <v>0</v>
      </c>
      <c r="AL195" s="73">
        <v>0</v>
      </c>
      <c r="AM195" s="123">
        <v>-1</v>
      </c>
      <c r="AN195" s="89"/>
      <c r="AO195" s="265">
        <v>0</v>
      </c>
      <c r="AP195" s="73">
        <v>0</v>
      </c>
      <c r="AQ195" s="123">
        <v>-1</v>
      </c>
    </row>
    <row r="196" spans="1:43" ht="15" customHeight="1" outlineLevel="1">
      <c r="A196" s="12" t="s">
        <v>157</v>
      </c>
      <c r="B196" s="8" t="s">
        <v>276</v>
      </c>
      <c r="I196" s="139" t="s">
        <v>182</v>
      </c>
      <c r="J196" s="244">
        <f>SUM([20]S!J192)</f>
        <v>0</v>
      </c>
      <c r="K196" s="244">
        <f>SUM([20]S!K192)</f>
        <v>0</v>
      </c>
      <c r="L196" s="244">
        <f>SUM([20]S!L192)</f>
        <v>0</v>
      </c>
      <c r="M196" s="244">
        <f>SUM([20]S!M192)</f>
        <v>0</v>
      </c>
      <c r="N196" s="244">
        <f>SUM([20]S!N192)</f>
        <v>0</v>
      </c>
      <c r="O196" s="244">
        <f>SUM([20]S!O192)</f>
        <v>0</v>
      </c>
      <c r="P196" s="244">
        <f>SUM([20]S!P192)</f>
        <v>0</v>
      </c>
      <c r="Q196" s="244">
        <f>SUM([20]S!Q192)</f>
        <v>0</v>
      </c>
      <c r="R196" s="244">
        <f>SUM([20]S!R192)</f>
        <v>0</v>
      </c>
      <c r="S196" s="244">
        <f>SUM([20]S!S192)</f>
        <v>0</v>
      </c>
      <c r="T196" s="244">
        <f>SUM([20]S!T192)</f>
        <v>0</v>
      </c>
      <c r="U196" s="244">
        <f>SUM([20]S!U192)</f>
        <v>0</v>
      </c>
      <c r="V196" s="245">
        <f t="shared" si="43"/>
        <v>0</v>
      </c>
      <c r="W196" s="73">
        <f t="shared" si="41"/>
        <v>0</v>
      </c>
      <c r="X196" s="89"/>
      <c r="Y196" s="244">
        <f>SUM([20]S!Y192)</f>
        <v>0</v>
      </c>
      <c r="Z196" s="244">
        <f>SUM([20]S!Z192)</f>
        <v>0</v>
      </c>
      <c r="AA196" s="244">
        <f>SUM([20]S!AA192)</f>
        <v>0</v>
      </c>
      <c r="AB196" s="244">
        <f>SUM([20]S!AB192)</f>
        <v>0</v>
      </c>
      <c r="AC196" s="244">
        <f>SUM([20]S!AC192)</f>
        <v>0</v>
      </c>
      <c r="AD196" s="244">
        <f>SUM([20]S!AD192)</f>
        <v>0</v>
      </c>
      <c r="AE196" s="244">
        <f>SUM([20]S!AE192)</f>
        <v>0</v>
      </c>
      <c r="AF196" s="244">
        <f>SUM([20]S!AF192)</f>
        <v>0</v>
      </c>
      <c r="AG196" s="244">
        <f>SUM([20]S!AG192)</f>
        <v>0</v>
      </c>
      <c r="AH196" s="244">
        <f>SUM([20]S!AH192)</f>
        <v>0</v>
      </c>
      <c r="AI196" s="244">
        <f>SUM([20]S!AI192)</f>
        <v>0</v>
      </c>
      <c r="AJ196" s="244">
        <f>SUM([20]S!AJ192)</f>
        <v>0</v>
      </c>
      <c r="AK196" s="265">
        <v>340125.8682629033</v>
      </c>
      <c r="AL196" s="73">
        <v>8.4999660399300231E-5</v>
      </c>
      <c r="AM196" s="123">
        <v>5.9677419354838834E-2</v>
      </c>
      <c r="AN196" s="89"/>
      <c r="AO196" s="265">
        <v>340125.8682629033</v>
      </c>
      <c r="AP196" s="73">
        <v>7.7167934535151428E-5</v>
      </c>
      <c r="AQ196" s="123">
        <v>5.9677419354838834E-2</v>
      </c>
    </row>
    <row r="197" spans="1:43" ht="15" customHeight="1" outlineLevel="1">
      <c r="A197" s="12" t="s">
        <v>157</v>
      </c>
      <c r="B197" s="8" t="s">
        <v>276</v>
      </c>
      <c r="I197" s="139" t="s">
        <v>180</v>
      </c>
      <c r="J197" s="244">
        <f>SUM([20]S!J193)</f>
        <v>0</v>
      </c>
      <c r="K197" s="244">
        <f>SUM([20]S!K193)</f>
        <v>0</v>
      </c>
      <c r="L197" s="244">
        <f>SUM([20]S!L193)</f>
        <v>0</v>
      </c>
      <c r="M197" s="244">
        <f>SUM([20]S!M193)</f>
        <v>0</v>
      </c>
      <c r="N197" s="244">
        <f>SUM([20]S!N193)</f>
        <v>0</v>
      </c>
      <c r="O197" s="244">
        <f>SUM([20]S!O193)</f>
        <v>0</v>
      </c>
      <c r="P197" s="244">
        <f>SUM([20]S!P193)</f>
        <v>0</v>
      </c>
      <c r="Q197" s="244">
        <f>SUM([20]S!Q193)</f>
        <v>0</v>
      </c>
      <c r="R197" s="244">
        <f>SUM([20]S!R193)</f>
        <v>0</v>
      </c>
      <c r="S197" s="244">
        <f>SUM([20]S!S193)</f>
        <v>0</v>
      </c>
      <c r="T197" s="244">
        <f>SUM([20]S!T193)</f>
        <v>0</v>
      </c>
      <c r="U197" s="244">
        <f>SUM([20]S!U193)</f>
        <v>0</v>
      </c>
      <c r="V197" s="245">
        <f t="shared" si="43"/>
        <v>0</v>
      </c>
      <c r="W197" s="73">
        <f t="shared" si="41"/>
        <v>0</v>
      </c>
      <c r="X197" s="89"/>
      <c r="Y197" s="244">
        <f>SUM([20]S!Y193)</f>
        <v>0</v>
      </c>
      <c r="Z197" s="244">
        <f>SUM([20]S!Z193)</f>
        <v>0</v>
      </c>
      <c r="AA197" s="244">
        <f>SUM([20]S!AA193)</f>
        <v>0</v>
      </c>
      <c r="AB197" s="244">
        <f>SUM([20]S!AB193)</f>
        <v>0</v>
      </c>
      <c r="AC197" s="244">
        <f>SUM([20]S!AC193)</f>
        <v>0</v>
      </c>
      <c r="AD197" s="244">
        <f>SUM([20]S!AD193)</f>
        <v>0</v>
      </c>
      <c r="AE197" s="244">
        <f>SUM([20]S!AE193)</f>
        <v>0</v>
      </c>
      <c r="AF197" s="244">
        <f>SUM([20]S!AF193)</f>
        <v>0</v>
      </c>
      <c r="AG197" s="244">
        <f>SUM([20]S!AG193)</f>
        <v>0</v>
      </c>
      <c r="AH197" s="244">
        <f>SUM([20]S!AH193)</f>
        <v>0</v>
      </c>
      <c r="AI197" s="244">
        <f>SUM([20]S!AI193)</f>
        <v>0</v>
      </c>
      <c r="AJ197" s="244">
        <f>SUM([20]S!AJ193)</f>
        <v>0</v>
      </c>
      <c r="AK197" s="265">
        <v>24000</v>
      </c>
      <c r="AL197" s="73">
        <v>5.9977556544049036E-6</v>
      </c>
      <c r="AM197" s="123">
        <v>5.5747120139164741</v>
      </c>
      <c r="AN197" s="89"/>
      <c r="AO197" s="265">
        <v>24000</v>
      </c>
      <c r="AP197" s="73">
        <v>5.4451325278561027E-6</v>
      </c>
      <c r="AQ197" s="123">
        <v>5.5747120139164741</v>
      </c>
    </row>
    <row r="198" spans="1:43" ht="15" customHeight="1" outlineLevel="1">
      <c r="A198" s="12" t="s">
        <v>157</v>
      </c>
      <c r="B198" s="8" t="s">
        <v>276</v>
      </c>
      <c r="I198" s="139" t="s">
        <v>173</v>
      </c>
      <c r="J198" s="244">
        <f>SUM([20]S!J194)</f>
        <v>0</v>
      </c>
      <c r="K198" s="244">
        <f>SUM([20]S!K194)</f>
        <v>0</v>
      </c>
      <c r="L198" s="244">
        <f>SUM([20]S!L194)</f>
        <v>0</v>
      </c>
      <c r="M198" s="244">
        <f>SUM([20]S!M194)</f>
        <v>0</v>
      </c>
      <c r="N198" s="244">
        <f>SUM([20]S!N194)</f>
        <v>0</v>
      </c>
      <c r="O198" s="244">
        <f>SUM([20]S!O194)</f>
        <v>0</v>
      </c>
      <c r="P198" s="244">
        <f>SUM([20]S!P194)</f>
        <v>0</v>
      </c>
      <c r="Q198" s="244">
        <f>SUM([20]S!Q194)</f>
        <v>0</v>
      </c>
      <c r="R198" s="244">
        <f>SUM([20]S!R194)</f>
        <v>0</v>
      </c>
      <c r="S198" s="244">
        <f>SUM([20]S!S194)</f>
        <v>0</v>
      </c>
      <c r="T198" s="244">
        <f>SUM([20]S!T194)</f>
        <v>0</v>
      </c>
      <c r="U198" s="244">
        <f>SUM([20]S!U194)</f>
        <v>0</v>
      </c>
      <c r="V198" s="245">
        <f t="shared" si="43"/>
        <v>0</v>
      </c>
      <c r="W198" s="73">
        <f t="shared" si="41"/>
        <v>0</v>
      </c>
      <c r="X198" s="89"/>
      <c r="Y198" s="244">
        <f>SUM([20]S!Y194)</f>
        <v>0</v>
      </c>
      <c r="Z198" s="244">
        <f>SUM([20]S!Z194)</f>
        <v>0</v>
      </c>
      <c r="AA198" s="244">
        <f>SUM([20]S!AA194)</f>
        <v>0</v>
      </c>
      <c r="AB198" s="244">
        <f>SUM([20]S!AB194)</f>
        <v>0</v>
      </c>
      <c r="AC198" s="244">
        <f>SUM([20]S!AC194)</f>
        <v>0</v>
      </c>
      <c r="AD198" s="244">
        <f>SUM([20]S!AD194)</f>
        <v>0</v>
      </c>
      <c r="AE198" s="244">
        <f>SUM([20]S!AE194)</f>
        <v>0</v>
      </c>
      <c r="AF198" s="244">
        <f>SUM([20]S!AF194)</f>
        <v>0</v>
      </c>
      <c r="AG198" s="244">
        <f>SUM([20]S!AG194)</f>
        <v>0</v>
      </c>
      <c r="AH198" s="244">
        <f>SUM([20]S!AH194)</f>
        <v>0</v>
      </c>
      <c r="AI198" s="244">
        <f>SUM([20]S!AI194)</f>
        <v>0</v>
      </c>
      <c r="AJ198" s="244">
        <f>SUM([20]S!AJ194)</f>
        <v>0</v>
      </c>
      <c r="AK198" s="265">
        <v>202439.15953301941</v>
      </c>
      <c r="AL198" s="73">
        <v>5.0590858906755975E-5</v>
      </c>
      <c r="AM198" s="123">
        <v>5.9677419354839056E-2</v>
      </c>
      <c r="AN198" s="89"/>
      <c r="AO198" s="265">
        <v>202439.15953301941</v>
      </c>
      <c r="AP198" s="73">
        <v>4.5929502186878948E-5</v>
      </c>
      <c r="AQ198" s="123">
        <v>5.9677419354839056E-2</v>
      </c>
    </row>
    <row r="199" spans="1:43" ht="15" customHeight="1" outlineLevel="1">
      <c r="A199" s="12" t="s">
        <v>157</v>
      </c>
      <c r="B199" s="8" t="s">
        <v>276</v>
      </c>
      <c r="I199" s="139" t="s">
        <v>175</v>
      </c>
      <c r="J199" s="244">
        <f>SUM([20]S!J195)</f>
        <v>0</v>
      </c>
      <c r="K199" s="244">
        <f>SUM([20]S!K195)</f>
        <v>0</v>
      </c>
      <c r="L199" s="244">
        <f>SUM([20]S!L195)</f>
        <v>0</v>
      </c>
      <c r="M199" s="244">
        <f>SUM([20]S!M195)</f>
        <v>0</v>
      </c>
      <c r="N199" s="244">
        <f>SUM([20]S!N195)</f>
        <v>0</v>
      </c>
      <c r="O199" s="244">
        <f>SUM([20]S!O195)</f>
        <v>0</v>
      </c>
      <c r="P199" s="244">
        <f>SUM([20]S!P195)</f>
        <v>0</v>
      </c>
      <c r="Q199" s="244">
        <f>SUM([20]S!Q195)</f>
        <v>0</v>
      </c>
      <c r="R199" s="244">
        <f>SUM([20]S!R195)</f>
        <v>0</v>
      </c>
      <c r="S199" s="244">
        <f>SUM([20]S!S195)</f>
        <v>0</v>
      </c>
      <c r="T199" s="244">
        <f>SUM([20]S!T195)</f>
        <v>0</v>
      </c>
      <c r="U199" s="244">
        <f>SUM([20]S!U195)</f>
        <v>0</v>
      </c>
      <c r="V199" s="245">
        <f t="shared" si="43"/>
        <v>0</v>
      </c>
      <c r="W199" s="73">
        <f t="shared" si="41"/>
        <v>0</v>
      </c>
      <c r="X199" s="89"/>
      <c r="Y199" s="244">
        <f>SUM([20]S!Y195)</f>
        <v>0</v>
      </c>
      <c r="Z199" s="244">
        <f>SUM([20]S!Z195)</f>
        <v>0</v>
      </c>
      <c r="AA199" s="244">
        <f>SUM([20]S!AA195)</f>
        <v>0</v>
      </c>
      <c r="AB199" s="244">
        <f>SUM([20]S!AB195)</f>
        <v>0</v>
      </c>
      <c r="AC199" s="244">
        <f>SUM([20]S!AC195)</f>
        <v>0</v>
      </c>
      <c r="AD199" s="244">
        <f>SUM([20]S!AD195)</f>
        <v>0</v>
      </c>
      <c r="AE199" s="244">
        <f>SUM([20]S!AE195)</f>
        <v>0</v>
      </c>
      <c r="AF199" s="244">
        <f>SUM([20]S!AF195)</f>
        <v>0</v>
      </c>
      <c r="AG199" s="244">
        <f>SUM([20]S!AG195)</f>
        <v>0</v>
      </c>
      <c r="AH199" s="244">
        <f>SUM([20]S!AH195)</f>
        <v>0</v>
      </c>
      <c r="AI199" s="244">
        <f>SUM([20]S!AI195)</f>
        <v>0</v>
      </c>
      <c r="AJ199" s="244">
        <f>SUM([20]S!AJ195)</f>
        <v>0</v>
      </c>
      <c r="AK199" s="265">
        <v>0</v>
      </c>
      <c r="AL199" s="73">
        <v>0</v>
      </c>
      <c r="AM199" s="123">
        <v>0</v>
      </c>
      <c r="AN199" s="89"/>
      <c r="AO199" s="265">
        <v>0</v>
      </c>
      <c r="AP199" s="73">
        <v>0</v>
      </c>
      <c r="AQ199" s="123">
        <v>0</v>
      </c>
    </row>
    <row r="200" spans="1:43" ht="15" customHeight="1" outlineLevel="1">
      <c r="A200" s="12" t="s">
        <v>157</v>
      </c>
      <c r="B200" s="8" t="s">
        <v>276</v>
      </c>
      <c r="I200" s="139" t="s">
        <v>165</v>
      </c>
      <c r="J200" s="244">
        <f>SUM([20]S!J196)</f>
        <v>0</v>
      </c>
      <c r="K200" s="244">
        <f>SUM([20]S!K196)</f>
        <v>0</v>
      </c>
      <c r="L200" s="244">
        <f>SUM([20]S!L196)</f>
        <v>0</v>
      </c>
      <c r="M200" s="244">
        <f>SUM([20]S!M196)</f>
        <v>0</v>
      </c>
      <c r="N200" s="244">
        <f>SUM([20]S!N196)</f>
        <v>0</v>
      </c>
      <c r="O200" s="244">
        <f>SUM([20]S!O196)</f>
        <v>0</v>
      </c>
      <c r="P200" s="244">
        <f>SUM([20]S!P196)</f>
        <v>0</v>
      </c>
      <c r="Q200" s="244">
        <f>SUM([20]S!Q196)</f>
        <v>0</v>
      </c>
      <c r="R200" s="244">
        <f>SUM([20]S!R196)</f>
        <v>0</v>
      </c>
      <c r="S200" s="244">
        <f>SUM([20]S!S196)</f>
        <v>0</v>
      </c>
      <c r="T200" s="244">
        <f>SUM([20]S!T196)</f>
        <v>0</v>
      </c>
      <c r="U200" s="244">
        <f>SUM([20]S!U196)</f>
        <v>0</v>
      </c>
      <c r="V200" s="245">
        <f t="shared" si="43"/>
        <v>0</v>
      </c>
      <c r="W200" s="73">
        <f t="shared" si="41"/>
        <v>0</v>
      </c>
      <c r="X200" s="89"/>
      <c r="Y200" s="244">
        <f>SUM([20]S!Y196)</f>
        <v>0</v>
      </c>
      <c r="Z200" s="244">
        <f>SUM([20]S!Z196)</f>
        <v>0</v>
      </c>
      <c r="AA200" s="244">
        <f>SUM([20]S!AA196)</f>
        <v>0</v>
      </c>
      <c r="AB200" s="244">
        <f>SUM([20]S!AB196)</f>
        <v>0</v>
      </c>
      <c r="AC200" s="244">
        <f>SUM([20]S!AC196)</f>
        <v>0</v>
      </c>
      <c r="AD200" s="244">
        <f>SUM([20]S!AD196)</f>
        <v>0</v>
      </c>
      <c r="AE200" s="244">
        <f>SUM([20]S!AE196)</f>
        <v>0</v>
      </c>
      <c r="AF200" s="244">
        <f>SUM([20]S!AF196)</f>
        <v>0</v>
      </c>
      <c r="AG200" s="244">
        <f>SUM([20]S!AG196)</f>
        <v>0</v>
      </c>
      <c r="AH200" s="244">
        <f>SUM([20]S!AH196)</f>
        <v>0</v>
      </c>
      <c r="AI200" s="244">
        <f>SUM([20]S!AI196)</f>
        <v>0</v>
      </c>
      <c r="AJ200" s="244">
        <f>SUM([20]S!AJ196)</f>
        <v>0</v>
      </c>
      <c r="AK200" s="265">
        <v>278755.86900000006</v>
      </c>
      <c r="AL200" s="73">
        <v>6.9662899562220949E-5</v>
      </c>
      <c r="AM200" s="123">
        <v>5.0000000000000044E-2</v>
      </c>
      <c r="AN200" s="89"/>
      <c r="AO200" s="265">
        <v>278755.86900000006</v>
      </c>
      <c r="AP200" s="73">
        <v>6.3244277067612295E-5</v>
      </c>
      <c r="AQ200" s="123">
        <v>5.0000000000000044E-2</v>
      </c>
    </row>
    <row r="201" spans="1:43" ht="15" customHeight="1" outlineLevel="1">
      <c r="A201" s="12" t="s">
        <v>157</v>
      </c>
      <c r="B201" s="8" t="s">
        <v>276</v>
      </c>
      <c r="I201" s="139" t="s">
        <v>288</v>
      </c>
      <c r="J201" s="244">
        <f>SUM([20]S!J197)</f>
        <v>0</v>
      </c>
      <c r="K201" s="244">
        <f>SUM([20]S!K197)</f>
        <v>0</v>
      </c>
      <c r="L201" s="244">
        <f>SUM([20]S!L197)</f>
        <v>0</v>
      </c>
      <c r="M201" s="244">
        <f>SUM([20]S!M197)</f>
        <v>0</v>
      </c>
      <c r="N201" s="244">
        <f>SUM([20]S!N197)</f>
        <v>0</v>
      </c>
      <c r="O201" s="244">
        <f>SUM([20]S!O197)</f>
        <v>0</v>
      </c>
      <c r="P201" s="244">
        <f>SUM([20]S!P197)</f>
        <v>0</v>
      </c>
      <c r="Q201" s="244">
        <f>SUM([20]S!Q197)</f>
        <v>0</v>
      </c>
      <c r="R201" s="244">
        <f>SUM([20]S!R197)</f>
        <v>0</v>
      </c>
      <c r="S201" s="244">
        <f>SUM([20]S!S197)</f>
        <v>0</v>
      </c>
      <c r="T201" s="244">
        <f>SUM([20]S!T197)</f>
        <v>0</v>
      </c>
      <c r="U201" s="244">
        <f>SUM([20]S!U197)</f>
        <v>0</v>
      </c>
      <c r="V201" s="245">
        <f t="shared" si="43"/>
        <v>0</v>
      </c>
      <c r="W201" s="73">
        <f t="shared" si="41"/>
        <v>0</v>
      </c>
      <c r="X201" s="89"/>
      <c r="Y201" s="244">
        <f>SUM([20]S!Y197)</f>
        <v>0</v>
      </c>
      <c r="Z201" s="244">
        <f>SUM([20]S!Z197)</f>
        <v>0</v>
      </c>
      <c r="AA201" s="244">
        <f>SUM([20]S!AA197)</f>
        <v>0</v>
      </c>
      <c r="AB201" s="244">
        <f>SUM([20]S!AB197)</f>
        <v>0</v>
      </c>
      <c r="AC201" s="244">
        <f>SUM([20]S!AC197)</f>
        <v>0</v>
      </c>
      <c r="AD201" s="244">
        <f>SUM([20]S!AD197)</f>
        <v>0</v>
      </c>
      <c r="AE201" s="244">
        <f>SUM([20]S!AE197)</f>
        <v>0</v>
      </c>
      <c r="AF201" s="244">
        <f>SUM([20]S!AF197)</f>
        <v>0</v>
      </c>
      <c r="AG201" s="244">
        <f>SUM([20]S!AG197)</f>
        <v>0</v>
      </c>
      <c r="AH201" s="244">
        <f>SUM([20]S!AH197)</f>
        <v>0</v>
      </c>
      <c r="AI201" s="244">
        <f>SUM([20]S!AI197)</f>
        <v>0</v>
      </c>
      <c r="AJ201" s="244">
        <f>SUM([20]S!AJ197)</f>
        <v>0</v>
      </c>
      <c r="AK201" s="265">
        <v>74400</v>
      </c>
      <c r="AL201" s="73">
        <v>1.8593042528655198E-5</v>
      </c>
      <c r="AM201" s="123">
        <v>6.2712765737112264E-2</v>
      </c>
      <c r="AN201" s="89"/>
      <c r="AO201" s="265">
        <v>74400</v>
      </c>
      <c r="AP201" s="73">
        <v>1.687991083635392E-5</v>
      </c>
      <c r="AQ201" s="123">
        <v>6.2712765737112264E-2</v>
      </c>
    </row>
    <row r="202" spans="1:43" ht="15" customHeight="1" outlineLevel="1">
      <c r="A202" s="12" t="s">
        <v>157</v>
      </c>
      <c r="B202" s="8" t="s">
        <v>276</v>
      </c>
      <c r="I202" s="139" t="s">
        <v>289</v>
      </c>
      <c r="J202" s="244">
        <f>SUM([20]S!J198)</f>
        <v>0</v>
      </c>
      <c r="K202" s="244">
        <f>SUM([20]S!K198)</f>
        <v>0</v>
      </c>
      <c r="L202" s="244">
        <f>SUM([20]S!L198)</f>
        <v>0</v>
      </c>
      <c r="M202" s="244">
        <f>SUM([20]S!M198)</f>
        <v>0</v>
      </c>
      <c r="N202" s="244">
        <f>SUM([20]S!N198)</f>
        <v>0</v>
      </c>
      <c r="O202" s="244">
        <f>SUM([20]S!O198)</f>
        <v>0</v>
      </c>
      <c r="P202" s="244">
        <f>SUM([20]S!P198)</f>
        <v>0</v>
      </c>
      <c r="Q202" s="244">
        <f>SUM([20]S!Q198)</f>
        <v>0</v>
      </c>
      <c r="R202" s="244">
        <f>SUM([20]S!R198)</f>
        <v>0</v>
      </c>
      <c r="S202" s="244">
        <f>SUM([20]S!S198)</f>
        <v>0</v>
      </c>
      <c r="T202" s="244">
        <f>SUM([20]S!T198)</f>
        <v>0</v>
      </c>
      <c r="U202" s="244">
        <f>SUM([20]S!U198)</f>
        <v>0</v>
      </c>
      <c r="V202" s="245">
        <f t="shared" si="43"/>
        <v>0</v>
      </c>
      <c r="W202" s="73">
        <f t="shared" si="41"/>
        <v>0</v>
      </c>
      <c r="X202" s="89"/>
      <c r="Y202" s="244">
        <f>SUM([20]S!Y198)</f>
        <v>0</v>
      </c>
      <c r="Z202" s="244">
        <f>SUM([20]S!Z198)</f>
        <v>0</v>
      </c>
      <c r="AA202" s="244">
        <f>SUM([20]S!AA198)</f>
        <v>0</v>
      </c>
      <c r="AB202" s="244">
        <f>SUM([20]S!AB198)</f>
        <v>0</v>
      </c>
      <c r="AC202" s="244">
        <f>SUM([20]S!AC198)</f>
        <v>0</v>
      </c>
      <c r="AD202" s="244">
        <f>SUM([20]S!AD198)</f>
        <v>0</v>
      </c>
      <c r="AE202" s="244">
        <f>SUM([20]S!AE198)</f>
        <v>0</v>
      </c>
      <c r="AF202" s="244">
        <f>SUM([20]S!AF198)</f>
        <v>0</v>
      </c>
      <c r="AG202" s="244">
        <f>SUM([20]S!AG198)</f>
        <v>0</v>
      </c>
      <c r="AH202" s="244">
        <f>SUM([20]S!AH198)</f>
        <v>0</v>
      </c>
      <c r="AI202" s="244">
        <f>SUM([20]S!AI198)</f>
        <v>0</v>
      </c>
      <c r="AJ202" s="244">
        <f>SUM([20]S!AJ198)</f>
        <v>0</v>
      </c>
      <c r="AK202" s="265">
        <v>13280.234838709677</v>
      </c>
      <c r="AL202" s="73">
        <v>3.3188168164873314E-6</v>
      </c>
      <c r="AM202" s="123">
        <v>4.1509443508889854E-2</v>
      </c>
      <c r="AN202" s="89"/>
      <c r="AO202" s="265">
        <v>13280.234838709677</v>
      </c>
      <c r="AP202" s="73">
        <v>3.0130266124094127E-6</v>
      </c>
      <c r="AQ202" s="123">
        <v>4.1509443508889854E-2</v>
      </c>
    </row>
    <row r="203" spans="1:43" ht="15" customHeight="1" outlineLevel="1">
      <c r="A203" s="12" t="s">
        <v>157</v>
      </c>
      <c r="B203" s="8" t="s">
        <v>276</v>
      </c>
      <c r="I203" s="139" t="s">
        <v>162</v>
      </c>
      <c r="J203" s="244">
        <f>SUM([20]S!J199)</f>
        <v>0</v>
      </c>
      <c r="K203" s="244">
        <f>SUM([20]S!K199)</f>
        <v>0</v>
      </c>
      <c r="L203" s="244">
        <f>SUM([20]S!L199)</f>
        <v>0</v>
      </c>
      <c r="M203" s="244">
        <f>SUM([20]S!M199)</f>
        <v>0</v>
      </c>
      <c r="N203" s="244">
        <f>SUM([20]S!N199)</f>
        <v>0</v>
      </c>
      <c r="O203" s="244">
        <f>SUM([20]S!O199)</f>
        <v>0</v>
      </c>
      <c r="P203" s="244">
        <f>SUM([20]S!P199)</f>
        <v>0</v>
      </c>
      <c r="Q203" s="244">
        <f>SUM([20]S!Q199)</f>
        <v>0</v>
      </c>
      <c r="R203" s="244">
        <f>SUM([20]S!R199)</f>
        <v>0</v>
      </c>
      <c r="S203" s="244">
        <f>SUM([20]S!S199)</f>
        <v>0</v>
      </c>
      <c r="T203" s="244">
        <f>SUM([20]S!T199)</f>
        <v>0</v>
      </c>
      <c r="U203" s="244">
        <f>SUM([20]S!U199)</f>
        <v>0</v>
      </c>
      <c r="V203" s="245">
        <f t="shared" si="43"/>
        <v>0</v>
      </c>
      <c r="W203" s="73">
        <f t="shared" si="41"/>
        <v>0</v>
      </c>
      <c r="X203" s="89"/>
      <c r="Y203" s="244">
        <f>SUM([20]S!Y199)</f>
        <v>0</v>
      </c>
      <c r="Z203" s="244">
        <f>SUM([20]S!Z199)</f>
        <v>0</v>
      </c>
      <c r="AA203" s="244">
        <f>SUM([20]S!AA199)</f>
        <v>0</v>
      </c>
      <c r="AB203" s="244">
        <f>SUM([20]S!AB199)</f>
        <v>0</v>
      </c>
      <c r="AC203" s="244">
        <f>SUM([20]S!AC199)</f>
        <v>0</v>
      </c>
      <c r="AD203" s="244">
        <f>SUM([20]S!AD199)</f>
        <v>0</v>
      </c>
      <c r="AE203" s="244">
        <f>SUM([20]S!AE199)</f>
        <v>0</v>
      </c>
      <c r="AF203" s="244">
        <f>SUM([20]S!AF199)</f>
        <v>0</v>
      </c>
      <c r="AG203" s="244">
        <f>SUM([20]S!AG199)</f>
        <v>0</v>
      </c>
      <c r="AH203" s="244">
        <f>SUM([20]S!AH199)</f>
        <v>0</v>
      </c>
      <c r="AI203" s="244">
        <f>SUM([20]S!AI199)</f>
        <v>0</v>
      </c>
      <c r="AJ203" s="244">
        <f>SUM([20]S!AJ199)</f>
        <v>0</v>
      </c>
      <c r="AK203" s="265">
        <v>0</v>
      </c>
      <c r="AL203" s="73">
        <v>0</v>
      </c>
      <c r="AM203" s="123">
        <v>0</v>
      </c>
      <c r="AN203" s="89"/>
      <c r="AO203" s="265">
        <v>0</v>
      </c>
      <c r="AP203" s="73">
        <v>0</v>
      </c>
      <c r="AQ203" s="123">
        <v>0</v>
      </c>
    </row>
    <row r="204" spans="1:43" ht="15" customHeight="1" outlineLevel="1">
      <c r="A204" s="12" t="s">
        <v>157</v>
      </c>
      <c r="B204" s="8" t="s">
        <v>276</v>
      </c>
      <c r="I204" s="139" t="s">
        <v>163</v>
      </c>
      <c r="J204" s="244">
        <f>SUM([20]S!J200)</f>
        <v>0</v>
      </c>
      <c r="K204" s="244">
        <f>SUM([20]S!K200)</f>
        <v>0</v>
      </c>
      <c r="L204" s="244">
        <f>SUM([20]S!L200)</f>
        <v>0</v>
      </c>
      <c r="M204" s="244">
        <f>SUM([20]S!M200)</f>
        <v>0</v>
      </c>
      <c r="N204" s="244">
        <f>SUM([20]S!N200)</f>
        <v>0</v>
      </c>
      <c r="O204" s="244">
        <f>SUM([20]S!O200)</f>
        <v>0</v>
      </c>
      <c r="P204" s="244">
        <f>SUM([20]S!P200)</f>
        <v>0</v>
      </c>
      <c r="Q204" s="244">
        <f>SUM([20]S!Q200)</f>
        <v>0</v>
      </c>
      <c r="R204" s="244">
        <f>SUM([20]S!R200)</f>
        <v>0</v>
      </c>
      <c r="S204" s="244">
        <f>SUM([20]S!S200)</f>
        <v>0</v>
      </c>
      <c r="T204" s="244">
        <f>SUM([20]S!T200)</f>
        <v>0</v>
      </c>
      <c r="U204" s="244">
        <f>SUM([20]S!U200)</f>
        <v>0</v>
      </c>
      <c r="V204" s="245">
        <f t="shared" si="43"/>
        <v>0</v>
      </c>
      <c r="W204" s="73">
        <f t="shared" si="41"/>
        <v>0</v>
      </c>
      <c r="X204" s="89"/>
      <c r="Y204" s="244">
        <f>SUM([20]S!Y200)</f>
        <v>0</v>
      </c>
      <c r="Z204" s="244">
        <f>SUM([20]S!Z200)</f>
        <v>0</v>
      </c>
      <c r="AA204" s="244">
        <f>SUM([20]S!AA200)</f>
        <v>0</v>
      </c>
      <c r="AB204" s="244">
        <f>SUM([20]S!AB200)</f>
        <v>0</v>
      </c>
      <c r="AC204" s="244">
        <f>SUM([20]S!AC200)</f>
        <v>0</v>
      </c>
      <c r="AD204" s="244">
        <f>SUM([20]S!AD200)</f>
        <v>0</v>
      </c>
      <c r="AE204" s="244">
        <f>SUM([20]S!AE200)</f>
        <v>0</v>
      </c>
      <c r="AF204" s="244">
        <f>SUM([20]S!AF200)</f>
        <v>0</v>
      </c>
      <c r="AG204" s="244">
        <f>SUM([20]S!AG200)</f>
        <v>0</v>
      </c>
      <c r="AH204" s="244">
        <f>SUM([20]S!AH200)</f>
        <v>0</v>
      </c>
      <c r="AI204" s="244">
        <f>SUM([20]S!AI200)</f>
        <v>0</v>
      </c>
      <c r="AJ204" s="244">
        <f>SUM([20]S!AJ200)</f>
        <v>0</v>
      </c>
      <c r="AK204" s="265">
        <v>127572.007</v>
      </c>
      <c r="AL204" s="73">
        <v>3.1881071930334663E-5</v>
      </c>
      <c r="AM204" s="123">
        <v>-4.4230828446365722E-2</v>
      </c>
      <c r="AN204" s="89"/>
      <c r="AO204" s="265">
        <v>127572.007</v>
      </c>
      <c r="AP204" s="73">
        <v>2.8943603539982769E-5</v>
      </c>
      <c r="AQ204" s="123">
        <v>-4.4230828446365722E-2</v>
      </c>
    </row>
    <row r="205" spans="1:43" ht="15" customHeight="1" outlineLevel="1">
      <c r="A205" s="12" t="s">
        <v>157</v>
      </c>
      <c r="B205" s="8" t="s">
        <v>276</v>
      </c>
      <c r="I205" s="139" t="s">
        <v>186</v>
      </c>
      <c r="J205" s="244">
        <f>SUM([20]S!J201)</f>
        <v>0</v>
      </c>
      <c r="K205" s="244">
        <f>SUM([20]S!K201)</f>
        <v>0</v>
      </c>
      <c r="L205" s="244">
        <f>SUM([20]S!L201)</f>
        <v>0</v>
      </c>
      <c r="M205" s="244">
        <f>SUM([20]S!M201)</f>
        <v>0</v>
      </c>
      <c r="N205" s="244">
        <f>SUM([20]S!N201)</f>
        <v>0</v>
      </c>
      <c r="O205" s="244">
        <f>SUM([20]S!O201)</f>
        <v>0</v>
      </c>
      <c r="P205" s="244">
        <f>SUM([20]S!P201)</f>
        <v>0</v>
      </c>
      <c r="Q205" s="244">
        <f>SUM([20]S!Q201)</f>
        <v>0</v>
      </c>
      <c r="R205" s="244">
        <f>SUM([20]S!R201)</f>
        <v>0</v>
      </c>
      <c r="S205" s="244">
        <f>SUM([20]S!S201)</f>
        <v>0</v>
      </c>
      <c r="T205" s="244">
        <f>SUM([20]S!T201)</f>
        <v>0</v>
      </c>
      <c r="U205" s="244">
        <f>SUM([20]S!U201)</f>
        <v>0</v>
      </c>
      <c r="V205" s="245">
        <f t="shared" si="43"/>
        <v>0</v>
      </c>
      <c r="W205" s="73">
        <f t="shared" si="41"/>
        <v>0</v>
      </c>
      <c r="X205" s="89"/>
      <c r="Y205" s="244">
        <f>SUM([20]S!Y201)</f>
        <v>0</v>
      </c>
      <c r="Z205" s="244">
        <f>SUM([20]S!Z201)</f>
        <v>0</v>
      </c>
      <c r="AA205" s="244">
        <f>SUM([20]S!AA201)</f>
        <v>0</v>
      </c>
      <c r="AB205" s="244">
        <f>SUM([20]S!AB201)</f>
        <v>0</v>
      </c>
      <c r="AC205" s="244">
        <f>SUM([20]S!AC201)</f>
        <v>0</v>
      </c>
      <c r="AD205" s="244">
        <f>SUM([20]S!AD201)</f>
        <v>0</v>
      </c>
      <c r="AE205" s="244">
        <f>SUM([20]S!AE201)</f>
        <v>0</v>
      </c>
      <c r="AF205" s="244">
        <f>SUM([20]S!AF201)</f>
        <v>0</v>
      </c>
      <c r="AG205" s="244">
        <f>SUM([20]S!AG201)</f>
        <v>0</v>
      </c>
      <c r="AH205" s="244">
        <f>SUM([20]S!AH201)</f>
        <v>0</v>
      </c>
      <c r="AI205" s="244">
        <f>SUM([20]S!AI201)</f>
        <v>0</v>
      </c>
      <c r="AJ205" s="244">
        <f>SUM([20]S!AJ201)</f>
        <v>0</v>
      </c>
      <c r="AK205" s="265">
        <v>235462.9717741936</v>
      </c>
      <c r="AL205" s="73">
        <v>5.8843723765068825E-5</v>
      </c>
      <c r="AM205" s="123">
        <v>5.9677419354839056E-2</v>
      </c>
      <c r="AN205" s="89"/>
      <c r="AO205" s="265">
        <v>235462.9717741936</v>
      </c>
      <c r="AP205" s="73">
        <v>5.3421961946388541E-5</v>
      </c>
      <c r="AQ205" s="123">
        <v>5.9677419354839056E-2</v>
      </c>
    </row>
    <row r="206" spans="1:43" ht="15" customHeight="1" outlineLevel="1">
      <c r="A206" s="12"/>
      <c r="I206" s="139" t="s">
        <v>290</v>
      </c>
      <c r="J206" s="244">
        <f>SUM([20]S!J202)</f>
        <v>0</v>
      </c>
      <c r="K206" s="244">
        <f>SUM([20]S!K202)</f>
        <v>0</v>
      </c>
      <c r="L206" s="244">
        <f>SUM([20]S!L202)</f>
        <v>0</v>
      </c>
      <c r="M206" s="244">
        <f>SUM([20]S!M202)</f>
        <v>0</v>
      </c>
      <c r="N206" s="244">
        <f>SUM([20]S!N202)</f>
        <v>0</v>
      </c>
      <c r="O206" s="244">
        <f>SUM([20]S!O202)</f>
        <v>0</v>
      </c>
      <c r="P206" s="244">
        <f>SUM([20]S!P202)</f>
        <v>0</v>
      </c>
      <c r="Q206" s="244">
        <f>SUM([20]S!Q202)</f>
        <v>0</v>
      </c>
      <c r="R206" s="244">
        <f>SUM([20]S!R202)</f>
        <v>0</v>
      </c>
      <c r="S206" s="244">
        <f>SUM([20]S!S202)</f>
        <v>0</v>
      </c>
      <c r="T206" s="244">
        <f>SUM([20]S!T202)</f>
        <v>0</v>
      </c>
      <c r="U206" s="244">
        <f>SUM([20]S!U202)</f>
        <v>0</v>
      </c>
      <c r="V206" s="245">
        <f t="shared" si="43"/>
        <v>0</v>
      </c>
      <c r="W206" s="73">
        <f t="shared" si="41"/>
        <v>0</v>
      </c>
      <c r="X206" s="89"/>
      <c r="Y206" s="244">
        <f>SUM([20]S!Y202)</f>
        <v>0</v>
      </c>
      <c r="Z206" s="244">
        <f>SUM([20]S!Z202)</f>
        <v>0</v>
      </c>
      <c r="AA206" s="244">
        <f>SUM([20]S!AA202)</f>
        <v>0</v>
      </c>
      <c r="AB206" s="244">
        <f>SUM([20]S!AB202)</f>
        <v>0</v>
      </c>
      <c r="AC206" s="244">
        <f>SUM([20]S!AC202)</f>
        <v>0</v>
      </c>
      <c r="AD206" s="244">
        <f>SUM([20]S!AD202)</f>
        <v>0</v>
      </c>
      <c r="AE206" s="244">
        <f>SUM([20]S!AE202)</f>
        <v>0</v>
      </c>
      <c r="AF206" s="244">
        <f>SUM([20]S!AF202)</f>
        <v>0</v>
      </c>
      <c r="AG206" s="244">
        <f>SUM([20]S!AG202)</f>
        <v>0</v>
      </c>
      <c r="AH206" s="244">
        <f>SUM([20]S!AH202)</f>
        <v>0</v>
      </c>
      <c r="AI206" s="244">
        <f>SUM([20]S!AI202)</f>
        <v>0</v>
      </c>
      <c r="AJ206" s="244">
        <f>SUM([20]S!AJ202)</f>
        <v>0</v>
      </c>
      <c r="AK206" s="265">
        <v>0</v>
      </c>
      <c r="AL206" s="73">
        <v>0</v>
      </c>
      <c r="AM206" s="123">
        <v>0</v>
      </c>
      <c r="AN206" s="89"/>
      <c r="AO206" s="265">
        <v>0</v>
      </c>
      <c r="AP206" s="73">
        <v>0</v>
      </c>
      <c r="AQ206" s="123">
        <v>0</v>
      </c>
    </row>
    <row r="207" spans="1:43" ht="15" customHeight="1" outlineLevel="1">
      <c r="A207" s="12"/>
      <c r="I207" s="139" t="s">
        <v>193</v>
      </c>
      <c r="J207" s="244">
        <f>SUM([20]S!J203)</f>
        <v>0</v>
      </c>
      <c r="K207" s="244">
        <f>SUM([20]S!K203)</f>
        <v>0</v>
      </c>
      <c r="L207" s="244">
        <f>SUM([20]S!L203)</f>
        <v>0</v>
      </c>
      <c r="M207" s="244">
        <f>SUM([20]S!M203)</f>
        <v>0</v>
      </c>
      <c r="N207" s="244">
        <f>SUM([20]S!N203)</f>
        <v>0</v>
      </c>
      <c r="O207" s="244">
        <f>SUM([20]S!O203)</f>
        <v>0</v>
      </c>
      <c r="P207" s="244">
        <f>SUM([20]S!P203)</f>
        <v>0</v>
      </c>
      <c r="Q207" s="244">
        <f>SUM([20]S!Q203)</f>
        <v>0</v>
      </c>
      <c r="R207" s="244">
        <f>SUM([20]S!R203)</f>
        <v>0</v>
      </c>
      <c r="S207" s="244">
        <f>SUM([20]S!S203)</f>
        <v>0</v>
      </c>
      <c r="T207" s="244">
        <f>SUM([20]S!T203)</f>
        <v>0</v>
      </c>
      <c r="U207" s="244">
        <f>SUM([20]S!U203)</f>
        <v>0</v>
      </c>
      <c r="V207" s="245">
        <f t="shared" si="43"/>
        <v>0</v>
      </c>
      <c r="W207" s="73">
        <f t="shared" si="41"/>
        <v>0</v>
      </c>
      <c r="X207" s="89"/>
      <c r="Y207" s="244">
        <f>SUM([20]S!Y203)</f>
        <v>0</v>
      </c>
      <c r="Z207" s="244">
        <f>SUM([20]S!Z203)</f>
        <v>0</v>
      </c>
      <c r="AA207" s="244">
        <f>SUM([20]S!AA203)</f>
        <v>0</v>
      </c>
      <c r="AB207" s="244">
        <f>SUM([20]S!AB203)</f>
        <v>0</v>
      </c>
      <c r="AC207" s="244">
        <f>SUM([20]S!AC203)</f>
        <v>0</v>
      </c>
      <c r="AD207" s="244">
        <f>SUM([20]S!AD203)</f>
        <v>0</v>
      </c>
      <c r="AE207" s="244">
        <f>SUM([20]S!AE203)</f>
        <v>0</v>
      </c>
      <c r="AF207" s="244">
        <f>SUM([20]S!AF203)</f>
        <v>0</v>
      </c>
      <c r="AG207" s="244">
        <f>SUM([20]S!AG203)</f>
        <v>0</v>
      </c>
      <c r="AH207" s="244">
        <f>SUM([20]S!AH203)</f>
        <v>0</v>
      </c>
      <c r="AI207" s="244">
        <f>SUM([20]S!AI203)</f>
        <v>0</v>
      </c>
      <c r="AJ207" s="244">
        <f>SUM([20]S!AJ203)</f>
        <v>0</v>
      </c>
      <c r="AK207" s="265">
        <v>20103.877500000002</v>
      </c>
      <c r="AL207" s="73">
        <v>5.0240893729620218E-6</v>
      </c>
      <c r="AM207" s="123">
        <v>5.0000000000000266E-2</v>
      </c>
      <c r="AN207" s="89"/>
      <c r="AO207" s="265">
        <v>20103.877500000002</v>
      </c>
      <c r="AP207" s="73">
        <v>4.5611782213035183E-6</v>
      </c>
      <c r="AQ207" s="123">
        <v>5.0000000000000266E-2</v>
      </c>
    </row>
    <row r="208" spans="1:43" ht="15" customHeight="1" outlineLevel="1">
      <c r="A208" s="12"/>
      <c r="I208" s="139" t="s">
        <v>228</v>
      </c>
      <c r="J208" s="244">
        <f>SUM([20]S!J204)</f>
        <v>0</v>
      </c>
      <c r="K208" s="244">
        <f>SUM([20]S!K204)</f>
        <v>0</v>
      </c>
      <c r="L208" s="244">
        <f>SUM([20]S!L204)</f>
        <v>0</v>
      </c>
      <c r="M208" s="244">
        <f>SUM([20]S!M204)</f>
        <v>0</v>
      </c>
      <c r="N208" s="244">
        <f>SUM([20]S!N204)</f>
        <v>0</v>
      </c>
      <c r="O208" s="244">
        <f>SUM([20]S!O204)</f>
        <v>0</v>
      </c>
      <c r="P208" s="244">
        <f>SUM([20]S!P204)</f>
        <v>0</v>
      </c>
      <c r="Q208" s="244">
        <f>SUM([20]S!Q204)</f>
        <v>0</v>
      </c>
      <c r="R208" s="244">
        <f>SUM([20]S!R204)</f>
        <v>0</v>
      </c>
      <c r="S208" s="244">
        <f>SUM([20]S!S204)</f>
        <v>0</v>
      </c>
      <c r="T208" s="244">
        <f>SUM([20]S!T204)</f>
        <v>0</v>
      </c>
      <c r="U208" s="244">
        <f>SUM([20]S!U204)</f>
        <v>0</v>
      </c>
      <c r="V208" s="245">
        <f t="shared" si="43"/>
        <v>0</v>
      </c>
      <c r="W208" s="73">
        <f t="shared" si="41"/>
        <v>0</v>
      </c>
      <c r="X208" s="89"/>
      <c r="Y208" s="244">
        <f>SUM([20]S!Y204)</f>
        <v>0</v>
      </c>
      <c r="Z208" s="244">
        <f>SUM([20]S!Z204)</f>
        <v>0</v>
      </c>
      <c r="AA208" s="244">
        <f>SUM([20]S!AA204)</f>
        <v>0</v>
      </c>
      <c r="AB208" s="244">
        <f>SUM([20]S!AB204)</f>
        <v>0</v>
      </c>
      <c r="AC208" s="244">
        <f>SUM([20]S!AC204)</f>
        <v>0</v>
      </c>
      <c r="AD208" s="244">
        <f>SUM([20]S!AD204)</f>
        <v>0</v>
      </c>
      <c r="AE208" s="244">
        <f>SUM([20]S!AE204)</f>
        <v>0</v>
      </c>
      <c r="AF208" s="244">
        <f>SUM([20]S!AF204)</f>
        <v>0</v>
      </c>
      <c r="AG208" s="244">
        <f>SUM([20]S!AG204)</f>
        <v>0</v>
      </c>
      <c r="AH208" s="244">
        <f>SUM([20]S!AH204)</f>
        <v>0</v>
      </c>
      <c r="AI208" s="244">
        <f>SUM([20]S!AI204)</f>
        <v>0</v>
      </c>
      <c r="AJ208" s="244">
        <f>SUM([20]S!AJ204)</f>
        <v>0</v>
      </c>
      <c r="AK208" s="265">
        <v>0</v>
      </c>
      <c r="AL208" s="73">
        <v>0</v>
      </c>
      <c r="AM208" s="123">
        <v>0</v>
      </c>
      <c r="AN208" s="89"/>
      <c r="AO208" s="265">
        <v>0</v>
      </c>
      <c r="AP208" s="73">
        <v>0</v>
      </c>
      <c r="AQ208" s="123">
        <v>0</v>
      </c>
    </row>
    <row r="209" spans="1:43" ht="15" customHeight="1" outlineLevel="1">
      <c r="A209" s="12"/>
      <c r="I209" s="139" t="s">
        <v>174</v>
      </c>
      <c r="J209" s="244">
        <f>SUM([20]S!J205)</f>
        <v>0</v>
      </c>
      <c r="K209" s="244">
        <f>SUM([20]S!K205)</f>
        <v>0</v>
      </c>
      <c r="L209" s="244">
        <f>SUM([20]S!L205)</f>
        <v>0</v>
      </c>
      <c r="M209" s="244">
        <f>SUM([20]S!M205)</f>
        <v>0</v>
      </c>
      <c r="N209" s="244">
        <f>SUM([20]S!N205)</f>
        <v>0</v>
      </c>
      <c r="O209" s="244">
        <f>SUM([20]S!O205)</f>
        <v>0</v>
      </c>
      <c r="P209" s="244">
        <f>SUM([20]S!P205)</f>
        <v>0</v>
      </c>
      <c r="Q209" s="244">
        <f>SUM([20]S!Q205)</f>
        <v>0</v>
      </c>
      <c r="R209" s="244">
        <f>SUM([20]S!R205)</f>
        <v>0</v>
      </c>
      <c r="S209" s="244">
        <f>SUM([20]S!S205)</f>
        <v>0</v>
      </c>
      <c r="T209" s="244">
        <f>SUM([20]S!T205)</f>
        <v>0</v>
      </c>
      <c r="U209" s="244">
        <f>SUM([20]S!U205)</f>
        <v>0</v>
      </c>
      <c r="V209" s="245">
        <f t="shared" si="43"/>
        <v>0</v>
      </c>
      <c r="W209" s="73">
        <f t="shared" si="41"/>
        <v>0</v>
      </c>
      <c r="X209" s="89"/>
      <c r="Y209" s="244">
        <f>SUM([20]S!Y205)</f>
        <v>0</v>
      </c>
      <c r="Z209" s="244">
        <f>SUM([20]S!Z205)</f>
        <v>0</v>
      </c>
      <c r="AA209" s="244">
        <f>SUM([20]S!AA205)</f>
        <v>0</v>
      </c>
      <c r="AB209" s="244">
        <f>SUM([20]S!AB205)</f>
        <v>0</v>
      </c>
      <c r="AC209" s="244">
        <f>SUM([20]S!AC205)</f>
        <v>0</v>
      </c>
      <c r="AD209" s="244">
        <f>SUM([20]S!AD205)</f>
        <v>0</v>
      </c>
      <c r="AE209" s="244">
        <f>SUM([20]S!AE205)</f>
        <v>0</v>
      </c>
      <c r="AF209" s="244">
        <f>SUM([20]S!AF205)</f>
        <v>0</v>
      </c>
      <c r="AG209" s="244">
        <f>SUM([20]S!AG205)</f>
        <v>0</v>
      </c>
      <c r="AH209" s="244">
        <f>SUM([20]S!AH205)</f>
        <v>0</v>
      </c>
      <c r="AI209" s="244">
        <f>SUM([20]S!AI205)</f>
        <v>0</v>
      </c>
      <c r="AJ209" s="244">
        <f>SUM([20]S!AJ205)</f>
        <v>0</v>
      </c>
      <c r="AK209" s="265">
        <v>0</v>
      </c>
      <c r="AL209" s="73">
        <v>0</v>
      </c>
      <c r="AM209" s="123">
        <v>0</v>
      </c>
      <c r="AN209" s="89"/>
      <c r="AO209" s="265">
        <v>0</v>
      </c>
      <c r="AP209" s="73">
        <v>0</v>
      </c>
      <c r="AQ209" s="123">
        <v>0</v>
      </c>
    </row>
    <row r="210" spans="1:43" ht="15" customHeight="1" outlineLevel="1">
      <c r="A210" s="12"/>
      <c r="I210" s="139" t="s">
        <v>232</v>
      </c>
      <c r="J210" s="244">
        <f>SUM([20]S!J206)</f>
        <v>0</v>
      </c>
      <c r="K210" s="244">
        <f>SUM([20]S!K206)</f>
        <v>0</v>
      </c>
      <c r="L210" s="244">
        <f>SUM([20]S!L206)</f>
        <v>0</v>
      </c>
      <c r="M210" s="244">
        <f>SUM([20]S!M206)</f>
        <v>0</v>
      </c>
      <c r="N210" s="244">
        <f>SUM([20]S!N206)</f>
        <v>0</v>
      </c>
      <c r="O210" s="244">
        <f>SUM([20]S!O206)</f>
        <v>0</v>
      </c>
      <c r="P210" s="244">
        <f>SUM([20]S!P206)</f>
        <v>0</v>
      </c>
      <c r="Q210" s="244">
        <f>SUM([20]S!Q206)</f>
        <v>0</v>
      </c>
      <c r="R210" s="244">
        <f>SUM([20]S!R206)</f>
        <v>0</v>
      </c>
      <c r="S210" s="244">
        <f>SUM([20]S!S206)</f>
        <v>0</v>
      </c>
      <c r="T210" s="244">
        <f>SUM([20]S!T206)</f>
        <v>0</v>
      </c>
      <c r="U210" s="244">
        <f>SUM([20]S!U206)</f>
        <v>0</v>
      </c>
      <c r="V210" s="245">
        <f t="shared" si="43"/>
        <v>0</v>
      </c>
      <c r="W210" s="73">
        <f t="shared" si="41"/>
        <v>0</v>
      </c>
      <c r="X210" s="89"/>
      <c r="Y210" s="244">
        <f>SUM([20]S!Y206)</f>
        <v>0</v>
      </c>
      <c r="Z210" s="244">
        <f>SUM([20]S!Z206)</f>
        <v>0</v>
      </c>
      <c r="AA210" s="244">
        <f>SUM([20]S!AA206)</f>
        <v>0</v>
      </c>
      <c r="AB210" s="244">
        <f>SUM([20]S!AB206)</f>
        <v>0</v>
      </c>
      <c r="AC210" s="244">
        <f>SUM([20]S!AC206)</f>
        <v>0</v>
      </c>
      <c r="AD210" s="244">
        <f>SUM([20]S!AD206)</f>
        <v>0</v>
      </c>
      <c r="AE210" s="244">
        <f>SUM([20]S!AE206)</f>
        <v>0</v>
      </c>
      <c r="AF210" s="244">
        <f>SUM([20]S!AF206)</f>
        <v>0</v>
      </c>
      <c r="AG210" s="244">
        <f>SUM([20]S!AG206)</f>
        <v>0</v>
      </c>
      <c r="AH210" s="244">
        <f>SUM([20]S!AH206)</f>
        <v>0</v>
      </c>
      <c r="AI210" s="244">
        <f>SUM([20]S!AI206)</f>
        <v>0</v>
      </c>
      <c r="AJ210" s="244">
        <f>SUM([20]S!AJ206)</f>
        <v>0</v>
      </c>
      <c r="AK210" s="265">
        <v>0</v>
      </c>
      <c r="AL210" s="73">
        <v>0</v>
      </c>
      <c r="AM210" s="123">
        <v>0</v>
      </c>
      <c r="AN210" s="89"/>
      <c r="AO210" s="265">
        <v>0</v>
      </c>
      <c r="AP210" s="73">
        <v>0</v>
      </c>
      <c r="AQ210" s="123">
        <v>0</v>
      </c>
    </row>
    <row r="211" spans="1:43" ht="15" customHeight="1" outlineLevel="1">
      <c r="A211" s="12"/>
      <c r="I211" s="139" t="s">
        <v>201</v>
      </c>
      <c r="J211" s="244">
        <f>SUM([20]S!J207)</f>
        <v>0</v>
      </c>
      <c r="K211" s="244">
        <f>SUM([20]S!K207)</f>
        <v>0</v>
      </c>
      <c r="L211" s="244">
        <f>SUM([20]S!L207)</f>
        <v>0</v>
      </c>
      <c r="M211" s="244">
        <f>SUM([20]S!M207)</f>
        <v>0</v>
      </c>
      <c r="N211" s="244">
        <f>SUM([20]S!N207)</f>
        <v>0</v>
      </c>
      <c r="O211" s="244">
        <f>SUM([20]S!O207)</f>
        <v>0</v>
      </c>
      <c r="P211" s="244">
        <f>SUM([20]S!P207)</f>
        <v>0</v>
      </c>
      <c r="Q211" s="244">
        <f>SUM([20]S!Q207)</f>
        <v>0</v>
      </c>
      <c r="R211" s="244">
        <f>SUM([20]S!R207)</f>
        <v>0</v>
      </c>
      <c r="S211" s="244">
        <f>SUM([20]S!S207)</f>
        <v>0</v>
      </c>
      <c r="T211" s="244">
        <f>SUM([20]S!T207)</f>
        <v>0</v>
      </c>
      <c r="U211" s="244">
        <f>SUM([20]S!U207)</f>
        <v>0</v>
      </c>
      <c r="V211" s="245">
        <f t="shared" si="43"/>
        <v>0</v>
      </c>
      <c r="W211" s="73">
        <f t="shared" si="41"/>
        <v>0</v>
      </c>
      <c r="X211" s="89"/>
      <c r="Y211" s="244">
        <f>SUM([20]S!Y207)</f>
        <v>0</v>
      </c>
      <c r="Z211" s="244">
        <f>SUM([20]S!Z207)</f>
        <v>0</v>
      </c>
      <c r="AA211" s="244">
        <f>SUM([20]S!AA207)</f>
        <v>0</v>
      </c>
      <c r="AB211" s="244">
        <f>SUM([20]S!AB207)</f>
        <v>0</v>
      </c>
      <c r="AC211" s="244">
        <f>SUM([20]S!AC207)</f>
        <v>0</v>
      </c>
      <c r="AD211" s="244">
        <f>SUM([20]S!AD207)</f>
        <v>0</v>
      </c>
      <c r="AE211" s="244">
        <f>SUM([20]S!AE207)</f>
        <v>0</v>
      </c>
      <c r="AF211" s="244">
        <f>SUM([20]S!AF207)</f>
        <v>0</v>
      </c>
      <c r="AG211" s="244">
        <f>SUM([20]S!AG207)</f>
        <v>0</v>
      </c>
      <c r="AH211" s="244">
        <f>SUM([20]S!AH207)</f>
        <v>0</v>
      </c>
      <c r="AI211" s="244">
        <f>SUM([20]S!AI207)</f>
        <v>0</v>
      </c>
      <c r="AJ211" s="244">
        <f>SUM([20]S!AJ207)</f>
        <v>0</v>
      </c>
      <c r="AK211" s="265">
        <v>0</v>
      </c>
      <c r="AL211" s="73">
        <v>0</v>
      </c>
      <c r="AM211" s="123">
        <v>0</v>
      </c>
      <c r="AN211" s="89"/>
      <c r="AO211" s="265">
        <v>0</v>
      </c>
      <c r="AP211" s="73">
        <v>0</v>
      </c>
      <c r="AQ211" s="123">
        <v>0</v>
      </c>
    </row>
    <row r="212" spans="1:43" ht="15" customHeight="1" outlineLevel="1">
      <c r="A212" s="12"/>
      <c r="I212" s="139" t="s">
        <v>181</v>
      </c>
      <c r="J212" s="244">
        <f>SUM([20]S!J208)</f>
        <v>0</v>
      </c>
      <c r="K212" s="244">
        <f>SUM([20]S!K208)</f>
        <v>0</v>
      </c>
      <c r="L212" s="244">
        <f>SUM([20]S!L208)</f>
        <v>0</v>
      </c>
      <c r="M212" s="244">
        <f>SUM([20]S!M208)</f>
        <v>0</v>
      </c>
      <c r="N212" s="244">
        <f>SUM([20]S!N208)</f>
        <v>0</v>
      </c>
      <c r="O212" s="244">
        <f>SUM([20]S!O208)</f>
        <v>0</v>
      </c>
      <c r="P212" s="244">
        <f>SUM([20]S!P208)</f>
        <v>0</v>
      </c>
      <c r="Q212" s="244">
        <f>SUM([20]S!Q208)</f>
        <v>0</v>
      </c>
      <c r="R212" s="244">
        <f>SUM([20]S!R208)</f>
        <v>0</v>
      </c>
      <c r="S212" s="244">
        <f>SUM([20]S!S208)</f>
        <v>0</v>
      </c>
      <c r="T212" s="244">
        <f>SUM([20]S!T208)</f>
        <v>0</v>
      </c>
      <c r="U212" s="244">
        <f>SUM([20]S!U208)</f>
        <v>0</v>
      </c>
      <c r="V212" s="245">
        <f t="shared" si="43"/>
        <v>0</v>
      </c>
      <c r="W212" s="73">
        <f t="shared" si="41"/>
        <v>0</v>
      </c>
      <c r="X212" s="89"/>
      <c r="Y212" s="244">
        <f>SUM([20]S!Y208)</f>
        <v>0</v>
      </c>
      <c r="Z212" s="244">
        <f>SUM([20]S!Z208)</f>
        <v>0</v>
      </c>
      <c r="AA212" s="244">
        <f>SUM([20]S!AA208)</f>
        <v>0</v>
      </c>
      <c r="AB212" s="244">
        <f>SUM([20]S!AB208)</f>
        <v>0</v>
      </c>
      <c r="AC212" s="244">
        <f>SUM([20]S!AC208)</f>
        <v>0</v>
      </c>
      <c r="AD212" s="244">
        <f>SUM([20]S!AD208)</f>
        <v>0</v>
      </c>
      <c r="AE212" s="244">
        <f>SUM([20]S!AE208)</f>
        <v>0</v>
      </c>
      <c r="AF212" s="244">
        <f>SUM([20]S!AF208)</f>
        <v>0</v>
      </c>
      <c r="AG212" s="244">
        <f>SUM([20]S!AG208)</f>
        <v>0</v>
      </c>
      <c r="AH212" s="244">
        <f>SUM([20]S!AH208)</f>
        <v>0</v>
      </c>
      <c r="AI212" s="244">
        <f>SUM([20]S!AI208)</f>
        <v>0</v>
      </c>
      <c r="AJ212" s="244">
        <f>SUM([20]S!AJ208)</f>
        <v>0</v>
      </c>
      <c r="AK212" s="265">
        <v>32072.255645161287</v>
      </c>
      <c r="AL212" s="73">
        <v>8.015064693553571E-6</v>
      </c>
      <c r="AM212" s="123">
        <v>5.9677419354838612E-2</v>
      </c>
      <c r="AN212" s="89"/>
      <c r="AO212" s="265">
        <v>32072.255645161287</v>
      </c>
      <c r="AP212" s="73">
        <v>7.2765701022993432E-6</v>
      </c>
      <c r="AQ212" s="123">
        <v>5.9677419354838612E-2</v>
      </c>
    </row>
    <row r="213" spans="1:43">
      <c r="A213" s="12" t="s">
        <v>191</v>
      </c>
      <c r="B213" s="8" t="s">
        <v>276</v>
      </c>
      <c r="E213" s="1"/>
      <c r="I213" s="122" t="s">
        <v>202</v>
      </c>
      <c r="J213" s="241">
        <f t="shared" ref="J213:U213" si="44">SUM(J214:J229)</f>
        <v>0</v>
      </c>
      <c r="K213" s="241">
        <f t="shared" si="44"/>
        <v>0</v>
      </c>
      <c r="L213" s="241">
        <f t="shared" si="44"/>
        <v>0</v>
      </c>
      <c r="M213" s="241">
        <f t="shared" si="44"/>
        <v>0</v>
      </c>
      <c r="N213" s="241">
        <f t="shared" si="44"/>
        <v>0</v>
      </c>
      <c r="O213" s="241">
        <f t="shared" si="44"/>
        <v>0</v>
      </c>
      <c r="P213" s="241">
        <f t="shared" si="44"/>
        <v>0</v>
      </c>
      <c r="Q213" s="241">
        <f t="shared" si="44"/>
        <v>0</v>
      </c>
      <c r="R213" s="241">
        <f t="shared" si="44"/>
        <v>0</v>
      </c>
      <c r="S213" s="241">
        <f t="shared" si="44"/>
        <v>0</v>
      </c>
      <c r="T213" s="241">
        <f t="shared" si="44"/>
        <v>0</v>
      </c>
      <c r="U213" s="241">
        <f t="shared" si="44"/>
        <v>0</v>
      </c>
      <c r="V213" s="241">
        <f>SUM(V214:V229)</f>
        <v>0</v>
      </c>
      <c r="W213" s="72">
        <f t="shared" si="41"/>
        <v>0</v>
      </c>
      <c r="X213" s="89"/>
      <c r="Y213" s="241">
        <f t="shared" ref="Y213:AJ213" si="45">SUM(Y214:Y229)</f>
        <v>0</v>
      </c>
      <c r="Z213" s="241">
        <f t="shared" si="45"/>
        <v>0</v>
      </c>
      <c r="AA213" s="241">
        <f t="shared" si="45"/>
        <v>0</v>
      </c>
      <c r="AB213" s="241">
        <f t="shared" si="45"/>
        <v>0</v>
      </c>
      <c r="AC213" s="241">
        <f t="shared" si="45"/>
        <v>0</v>
      </c>
      <c r="AD213" s="241">
        <f t="shared" si="45"/>
        <v>0</v>
      </c>
      <c r="AE213" s="241">
        <f t="shared" si="45"/>
        <v>0</v>
      </c>
      <c r="AF213" s="241">
        <f t="shared" si="45"/>
        <v>0</v>
      </c>
      <c r="AG213" s="241">
        <f t="shared" si="45"/>
        <v>0</v>
      </c>
      <c r="AH213" s="241">
        <f t="shared" si="45"/>
        <v>0</v>
      </c>
      <c r="AI213" s="241">
        <f t="shared" si="45"/>
        <v>0</v>
      </c>
      <c r="AJ213" s="241">
        <f t="shared" si="45"/>
        <v>0</v>
      </c>
      <c r="AK213" s="263">
        <v>45557269.029590905</v>
      </c>
      <c r="AL213" s="200">
        <v>1.1385056996728093E-2</v>
      </c>
      <c r="AM213" s="123">
        <v>2.2158083973571108E-2</v>
      </c>
      <c r="AN213" s="89"/>
      <c r="AO213" s="263">
        <v>45557269.029590905</v>
      </c>
      <c r="AP213" s="200">
        <v>1.0336056978054869E-2</v>
      </c>
      <c r="AQ213" s="123">
        <v>2.2158083973571108E-2</v>
      </c>
    </row>
    <row r="214" spans="1:43" ht="15" customHeight="1" outlineLevel="1">
      <c r="A214" s="12" t="s">
        <v>191</v>
      </c>
      <c r="B214" s="8" t="s">
        <v>276</v>
      </c>
      <c r="E214"/>
      <c r="I214" t="s">
        <v>203</v>
      </c>
      <c r="J214" s="244">
        <f>SUM([20]S!J210)</f>
        <v>0</v>
      </c>
      <c r="K214" s="244">
        <f>SUM([20]S!K210)</f>
        <v>0</v>
      </c>
      <c r="L214" s="244">
        <f>SUM([20]S!L210)</f>
        <v>0</v>
      </c>
      <c r="M214" s="244">
        <f>SUM([20]S!M210)</f>
        <v>0</v>
      </c>
      <c r="N214" s="244">
        <f>SUM([20]S!N210)</f>
        <v>0</v>
      </c>
      <c r="O214" s="244">
        <f>SUM([20]S!O210)</f>
        <v>0</v>
      </c>
      <c r="P214" s="244">
        <f>SUM([20]S!P210)</f>
        <v>0</v>
      </c>
      <c r="Q214" s="244">
        <f>SUM([20]S!Q210)</f>
        <v>0</v>
      </c>
      <c r="R214" s="244">
        <f>SUM([20]S!R210)</f>
        <v>0</v>
      </c>
      <c r="S214" s="244">
        <f>SUM([20]S!S210)</f>
        <v>0</v>
      </c>
      <c r="T214" s="244">
        <f>SUM([20]S!T210)</f>
        <v>0</v>
      </c>
      <c r="U214" s="244">
        <f>SUM([20]S!U210)</f>
        <v>0</v>
      </c>
      <c r="V214" s="245">
        <f>SUM(J214:U214)</f>
        <v>0</v>
      </c>
      <c r="W214" s="73">
        <f t="shared" si="41"/>
        <v>0</v>
      </c>
      <c r="X214" s="89"/>
      <c r="Y214" s="244">
        <f>SUM([20]S!Y210)</f>
        <v>0</v>
      </c>
      <c r="Z214" s="244">
        <f>SUM([20]S!Z210)</f>
        <v>0</v>
      </c>
      <c r="AA214" s="244">
        <f>SUM([20]S!AA210)</f>
        <v>0</v>
      </c>
      <c r="AB214" s="244">
        <f>SUM([20]S!AB210)</f>
        <v>0</v>
      </c>
      <c r="AC214" s="244">
        <f>SUM([20]S!AC210)</f>
        <v>0</v>
      </c>
      <c r="AD214" s="244">
        <f>SUM([20]S!AD210)</f>
        <v>0</v>
      </c>
      <c r="AE214" s="244">
        <f>SUM([20]S!AE210)</f>
        <v>0</v>
      </c>
      <c r="AF214" s="244">
        <f>SUM([20]S!AF210)</f>
        <v>0</v>
      </c>
      <c r="AG214" s="244">
        <f>SUM([20]S!AG210)</f>
        <v>0</v>
      </c>
      <c r="AH214" s="244">
        <f>SUM([20]S!AH210)</f>
        <v>0</v>
      </c>
      <c r="AI214" s="244">
        <f>SUM([20]S!AI210)</f>
        <v>0</v>
      </c>
      <c r="AJ214" s="244">
        <f>SUM([20]S!AJ210)</f>
        <v>0</v>
      </c>
      <c r="AK214" s="265">
        <v>1313951.6265164383</v>
      </c>
      <c r="AL214" s="200">
        <v>3.2836503323139529E-4</v>
      </c>
      <c r="AM214" s="123">
        <v>-8.8903176500625403E-2</v>
      </c>
      <c r="AN214" s="89"/>
      <c r="AO214" s="265">
        <v>1313951.6265164383</v>
      </c>
      <c r="AP214" s="200">
        <v>2.981100308989205E-4</v>
      </c>
      <c r="AQ214" s="123">
        <v>-8.8903176500625403E-2</v>
      </c>
    </row>
    <row r="215" spans="1:43" ht="15" customHeight="1" outlineLevel="1">
      <c r="A215" s="12" t="s">
        <v>191</v>
      </c>
      <c r="B215" s="8" t="s">
        <v>276</v>
      </c>
      <c r="E215"/>
      <c r="I215" t="s">
        <v>204</v>
      </c>
      <c r="J215" s="244">
        <f>SUM([20]S!J211)</f>
        <v>0</v>
      </c>
      <c r="K215" s="244">
        <f>SUM([20]S!K211)</f>
        <v>0</v>
      </c>
      <c r="L215" s="244">
        <f>SUM([20]S!L211)</f>
        <v>0</v>
      </c>
      <c r="M215" s="244">
        <f>SUM([20]S!M211)</f>
        <v>0</v>
      </c>
      <c r="N215" s="244">
        <f>SUM([20]S!N211)</f>
        <v>0</v>
      </c>
      <c r="O215" s="244">
        <f>SUM([20]S!O211)</f>
        <v>0</v>
      </c>
      <c r="P215" s="244">
        <f>SUM([20]S!P211)</f>
        <v>0</v>
      </c>
      <c r="Q215" s="244">
        <f>SUM([20]S!Q211)</f>
        <v>0</v>
      </c>
      <c r="R215" s="244">
        <f>SUM([20]S!R211)</f>
        <v>0</v>
      </c>
      <c r="S215" s="244">
        <f>SUM([20]S!S211)</f>
        <v>0</v>
      </c>
      <c r="T215" s="244">
        <f>SUM([20]S!T211)</f>
        <v>0</v>
      </c>
      <c r="U215" s="244">
        <f>SUM([20]S!U211)</f>
        <v>0</v>
      </c>
      <c r="V215" s="245">
        <f t="shared" ref="V215:V234" si="46">SUM(J215:U215)</f>
        <v>0</v>
      </c>
      <c r="W215" s="73">
        <f t="shared" si="41"/>
        <v>0</v>
      </c>
      <c r="X215" s="89"/>
      <c r="Y215" s="244">
        <f>SUM([20]S!Y211)</f>
        <v>0</v>
      </c>
      <c r="Z215" s="244">
        <f>SUM([20]S!Z211)</f>
        <v>0</v>
      </c>
      <c r="AA215" s="244">
        <f>SUM([20]S!AA211)</f>
        <v>0</v>
      </c>
      <c r="AB215" s="244">
        <f>SUM([20]S!AB211)</f>
        <v>0</v>
      </c>
      <c r="AC215" s="244">
        <f>SUM([20]S!AC211)</f>
        <v>0</v>
      </c>
      <c r="AD215" s="244">
        <f>SUM([20]S!AD211)</f>
        <v>0</v>
      </c>
      <c r="AE215" s="244">
        <f>SUM([20]S!AE211)</f>
        <v>0</v>
      </c>
      <c r="AF215" s="244">
        <f>SUM([20]S!AF211)</f>
        <v>0</v>
      </c>
      <c r="AG215" s="244">
        <f>SUM([20]S!AG211)</f>
        <v>0</v>
      </c>
      <c r="AH215" s="244">
        <f>SUM([20]S!AH211)</f>
        <v>0</v>
      </c>
      <c r="AI215" s="244">
        <f>SUM([20]S!AI211)</f>
        <v>0</v>
      </c>
      <c r="AJ215" s="244">
        <f>SUM([20]S!AJ211)</f>
        <v>0</v>
      </c>
      <c r="AK215" s="265">
        <v>3607173.4336760826</v>
      </c>
      <c r="AL215" s="200">
        <v>9.0145603576041147E-4</v>
      </c>
      <c r="AM215" s="123">
        <v>-0.27187656623319856</v>
      </c>
      <c r="AN215" s="89"/>
      <c r="AO215" s="265">
        <v>3607173.4336760826</v>
      </c>
      <c r="AP215" s="200">
        <v>8.1839739155533438E-4</v>
      </c>
      <c r="AQ215" s="123">
        <v>-0.27187656623319856</v>
      </c>
    </row>
    <row r="216" spans="1:43" ht="15" customHeight="1" outlineLevel="1">
      <c r="A216" s="12" t="s">
        <v>191</v>
      </c>
      <c r="B216" s="8" t="s">
        <v>276</v>
      </c>
      <c r="E216"/>
      <c r="I216" t="s">
        <v>205</v>
      </c>
      <c r="J216" s="244">
        <f>SUM([20]S!J212)</f>
        <v>0</v>
      </c>
      <c r="K216" s="244">
        <f>SUM([20]S!K212)</f>
        <v>0</v>
      </c>
      <c r="L216" s="244">
        <f>SUM([20]S!L212)</f>
        <v>0</v>
      </c>
      <c r="M216" s="244">
        <f>SUM([20]S!M212)</f>
        <v>0</v>
      </c>
      <c r="N216" s="244">
        <f>SUM([20]S!N212)</f>
        <v>0</v>
      </c>
      <c r="O216" s="244">
        <f>SUM([20]S!O212)</f>
        <v>0</v>
      </c>
      <c r="P216" s="244">
        <f>SUM([20]S!P212)</f>
        <v>0</v>
      </c>
      <c r="Q216" s="244">
        <f>SUM([20]S!Q212)</f>
        <v>0</v>
      </c>
      <c r="R216" s="244">
        <f>SUM([20]S!R212)</f>
        <v>0</v>
      </c>
      <c r="S216" s="244">
        <f>SUM([20]S!S212)</f>
        <v>0</v>
      </c>
      <c r="T216" s="244">
        <f>SUM([20]S!T212)</f>
        <v>0</v>
      </c>
      <c r="U216" s="244">
        <f>SUM([20]S!U212)</f>
        <v>0</v>
      </c>
      <c r="V216" s="245">
        <f t="shared" si="46"/>
        <v>0</v>
      </c>
      <c r="W216" s="73">
        <f t="shared" si="41"/>
        <v>0</v>
      </c>
      <c r="X216" s="89"/>
      <c r="Y216" s="244">
        <f>SUM([20]S!Y212)</f>
        <v>0</v>
      </c>
      <c r="Z216" s="244">
        <f>SUM([20]S!Z212)</f>
        <v>0</v>
      </c>
      <c r="AA216" s="244">
        <f>SUM([20]S!AA212)</f>
        <v>0</v>
      </c>
      <c r="AB216" s="244">
        <f>SUM([20]S!AB212)</f>
        <v>0</v>
      </c>
      <c r="AC216" s="244">
        <f>SUM([20]S!AC212)</f>
        <v>0</v>
      </c>
      <c r="AD216" s="244">
        <f>SUM([20]S!AD212)</f>
        <v>0</v>
      </c>
      <c r="AE216" s="244">
        <f>SUM([20]S!AE212)</f>
        <v>0</v>
      </c>
      <c r="AF216" s="244">
        <f>SUM([20]S!AF212)</f>
        <v>0</v>
      </c>
      <c r="AG216" s="244">
        <f>SUM([20]S!AG212)</f>
        <v>0</v>
      </c>
      <c r="AH216" s="244">
        <f>SUM([20]S!AH212)</f>
        <v>0</v>
      </c>
      <c r="AI216" s="244">
        <f>SUM([20]S!AI212)</f>
        <v>0</v>
      </c>
      <c r="AJ216" s="244">
        <f>SUM([20]S!AJ212)</f>
        <v>0</v>
      </c>
      <c r="AK216" s="265">
        <v>0</v>
      </c>
      <c r="AL216" s="200">
        <v>0</v>
      </c>
      <c r="AM216" s="123">
        <v>-1</v>
      </c>
      <c r="AN216" s="89"/>
      <c r="AO216" s="265">
        <v>0</v>
      </c>
      <c r="AP216" s="200">
        <v>0</v>
      </c>
      <c r="AQ216" s="123">
        <v>-1</v>
      </c>
    </row>
    <row r="217" spans="1:43" ht="15" customHeight="1" outlineLevel="1">
      <c r="A217" s="12" t="s">
        <v>191</v>
      </c>
      <c r="B217" s="8" t="s">
        <v>276</v>
      </c>
      <c r="E217"/>
      <c r="I217" t="s">
        <v>206</v>
      </c>
      <c r="J217" s="244">
        <f>SUM([20]S!J213)</f>
        <v>0</v>
      </c>
      <c r="K217" s="244">
        <f>SUM([20]S!K213)</f>
        <v>0</v>
      </c>
      <c r="L217" s="244">
        <f>SUM([20]S!L213)</f>
        <v>0</v>
      </c>
      <c r="M217" s="244">
        <f>SUM([20]S!M213)</f>
        <v>0</v>
      </c>
      <c r="N217" s="244">
        <f>SUM([20]S!N213)</f>
        <v>0</v>
      </c>
      <c r="O217" s="244">
        <f>SUM([20]S!O213)</f>
        <v>0</v>
      </c>
      <c r="P217" s="244">
        <f>SUM([20]S!P213)</f>
        <v>0</v>
      </c>
      <c r="Q217" s="244">
        <f>SUM([20]S!Q213)</f>
        <v>0</v>
      </c>
      <c r="R217" s="244">
        <f>SUM([20]S!R213)</f>
        <v>0</v>
      </c>
      <c r="S217" s="244">
        <f>SUM([20]S!S213)</f>
        <v>0</v>
      </c>
      <c r="T217" s="244">
        <f>SUM([20]S!T213)</f>
        <v>0</v>
      </c>
      <c r="U217" s="244">
        <f>SUM([20]S!U213)</f>
        <v>0</v>
      </c>
      <c r="V217" s="245">
        <f t="shared" si="46"/>
        <v>0</v>
      </c>
      <c r="W217" s="73">
        <f t="shared" si="41"/>
        <v>0</v>
      </c>
      <c r="X217" s="89"/>
      <c r="Y217" s="244">
        <f>SUM([20]S!Y213)</f>
        <v>0</v>
      </c>
      <c r="Z217" s="244">
        <f>SUM([20]S!Z213)</f>
        <v>0</v>
      </c>
      <c r="AA217" s="244">
        <f>SUM([20]S!AA213)</f>
        <v>0</v>
      </c>
      <c r="AB217" s="244">
        <f>SUM([20]S!AB213)</f>
        <v>0</v>
      </c>
      <c r="AC217" s="244">
        <f>SUM([20]S!AC213)</f>
        <v>0</v>
      </c>
      <c r="AD217" s="244">
        <f>SUM([20]S!AD213)</f>
        <v>0</v>
      </c>
      <c r="AE217" s="244">
        <f>SUM([20]S!AE213)</f>
        <v>0</v>
      </c>
      <c r="AF217" s="244">
        <f>SUM([20]S!AF213)</f>
        <v>0</v>
      </c>
      <c r="AG217" s="244">
        <f>SUM([20]S!AG213)</f>
        <v>0</v>
      </c>
      <c r="AH217" s="244">
        <f>SUM([20]S!AH213)</f>
        <v>0</v>
      </c>
      <c r="AI217" s="244">
        <f>SUM([20]S!AI213)</f>
        <v>0</v>
      </c>
      <c r="AJ217" s="244">
        <f>SUM([20]S!AJ213)</f>
        <v>0</v>
      </c>
      <c r="AK217" s="265">
        <v>1918369.3747139999</v>
      </c>
      <c r="AL217" s="200">
        <v>4.7941294851783716E-4</v>
      </c>
      <c r="AM217" s="123">
        <v>9.0757567074263967E-2</v>
      </c>
      <c r="AN217" s="89"/>
      <c r="AO217" s="265">
        <v>1918369.3747139999</v>
      </c>
      <c r="AP217" s="200">
        <v>4.3524064511242392E-4</v>
      </c>
      <c r="AQ217" s="123">
        <v>9.0757567074263967E-2</v>
      </c>
    </row>
    <row r="218" spans="1:43" ht="15" customHeight="1" outlineLevel="1">
      <c r="A218" s="12" t="s">
        <v>191</v>
      </c>
      <c r="B218" s="8" t="s">
        <v>276</v>
      </c>
      <c r="E218"/>
      <c r="I218" t="s">
        <v>291</v>
      </c>
      <c r="J218" s="244">
        <f>SUM([20]S!J214)</f>
        <v>0</v>
      </c>
      <c r="K218" s="244">
        <f>SUM([20]S!K214)</f>
        <v>0</v>
      </c>
      <c r="L218" s="244">
        <f>SUM([20]S!L214)</f>
        <v>0</v>
      </c>
      <c r="M218" s="244">
        <f>SUM([20]S!M214)</f>
        <v>0</v>
      </c>
      <c r="N218" s="244">
        <f>SUM([20]S!N214)</f>
        <v>0</v>
      </c>
      <c r="O218" s="244">
        <f>SUM([20]S!O214)</f>
        <v>0</v>
      </c>
      <c r="P218" s="244">
        <f>SUM([20]S!P214)</f>
        <v>0</v>
      </c>
      <c r="Q218" s="244">
        <f>SUM([20]S!Q214)</f>
        <v>0</v>
      </c>
      <c r="R218" s="244">
        <f>SUM([20]S!R214)</f>
        <v>0</v>
      </c>
      <c r="S218" s="244">
        <f>SUM([20]S!S214)</f>
        <v>0</v>
      </c>
      <c r="T218" s="244">
        <f>SUM([20]S!T214)</f>
        <v>0</v>
      </c>
      <c r="U218" s="244">
        <f>SUM([20]S!U214)</f>
        <v>0</v>
      </c>
      <c r="V218" s="245">
        <f t="shared" si="46"/>
        <v>0</v>
      </c>
      <c r="W218" s="73">
        <f t="shared" si="41"/>
        <v>0</v>
      </c>
      <c r="X218" s="89"/>
      <c r="Y218" s="244">
        <f>SUM([20]S!Y214)</f>
        <v>0</v>
      </c>
      <c r="Z218" s="244">
        <f>SUM([20]S!Z214)</f>
        <v>0</v>
      </c>
      <c r="AA218" s="244">
        <f>SUM([20]S!AA214)</f>
        <v>0</v>
      </c>
      <c r="AB218" s="244">
        <f>SUM([20]S!AB214)</f>
        <v>0</v>
      </c>
      <c r="AC218" s="244">
        <f>SUM([20]S!AC214)</f>
        <v>0</v>
      </c>
      <c r="AD218" s="244">
        <f>SUM([20]S!AD214)</f>
        <v>0</v>
      </c>
      <c r="AE218" s="244">
        <f>SUM([20]S!AE214)</f>
        <v>0</v>
      </c>
      <c r="AF218" s="244">
        <f>SUM([20]S!AF214)</f>
        <v>0</v>
      </c>
      <c r="AG218" s="244">
        <f>SUM([20]S!AG214)</f>
        <v>0</v>
      </c>
      <c r="AH218" s="244">
        <f>SUM([20]S!AH214)</f>
        <v>0</v>
      </c>
      <c r="AI218" s="244">
        <f>SUM([20]S!AI214)</f>
        <v>0</v>
      </c>
      <c r="AJ218" s="244">
        <f>SUM([20]S!AJ214)</f>
        <v>0</v>
      </c>
      <c r="AK218" s="265">
        <v>0</v>
      </c>
      <c r="AL218" s="200">
        <v>0</v>
      </c>
      <c r="AM218" s="123">
        <v>-1</v>
      </c>
      <c r="AN218" s="89"/>
      <c r="AO218" s="265">
        <v>0</v>
      </c>
      <c r="AP218" s="200">
        <v>0</v>
      </c>
      <c r="AQ218" s="123">
        <v>-1</v>
      </c>
    </row>
    <row r="219" spans="1:43" ht="15" customHeight="1" outlineLevel="1">
      <c r="A219" s="12" t="s">
        <v>191</v>
      </c>
      <c r="B219" s="8" t="s">
        <v>276</v>
      </c>
      <c r="E219"/>
      <c r="I219" t="s">
        <v>207</v>
      </c>
      <c r="J219" s="244">
        <f>SUM([20]S!J215)</f>
        <v>0</v>
      </c>
      <c r="K219" s="244">
        <f>SUM([20]S!K215)</f>
        <v>0</v>
      </c>
      <c r="L219" s="244">
        <f>SUM([20]S!L215)</f>
        <v>0</v>
      </c>
      <c r="M219" s="244">
        <f>SUM([20]S!M215)</f>
        <v>0</v>
      </c>
      <c r="N219" s="244">
        <f>SUM([20]S!N215)</f>
        <v>0</v>
      </c>
      <c r="O219" s="244">
        <f>SUM([20]S!O215)</f>
        <v>0</v>
      </c>
      <c r="P219" s="244">
        <f>SUM([20]S!P215)</f>
        <v>0</v>
      </c>
      <c r="Q219" s="244">
        <f>SUM([20]S!Q215)</f>
        <v>0</v>
      </c>
      <c r="R219" s="244">
        <f>SUM([20]S!R215)</f>
        <v>0</v>
      </c>
      <c r="S219" s="244">
        <f>SUM([20]S!S215)</f>
        <v>0</v>
      </c>
      <c r="T219" s="244">
        <f>SUM([20]S!T215)</f>
        <v>0</v>
      </c>
      <c r="U219" s="244">
        <f>SUM([20]S!U215)</f>
        <v>0</v>
      </c>
      <c r="V219" s="245">
        <f t="shared" si="46"/>
        <v>0</v>
      </c>
      <c r="W219" s="73">
        <f t="shared" si="41"/>
        <v>0</v>
      </c>
      <c r="X219" s="89"/>
      <c r="Y219" s="244">
        <f>SUM([20]S!Y215)</f>
        <v>0</v>
      </c>
      <c r="Z219" s="244">
        <f>SUM([20]S!Z215)</f>
        <v>0</v>
      </c>
      <c r="AA219" s="244">
        <f>SUM([20]S!AA215)</f>
        <v>0</v>
      </c>
      <c r="AB219" s="244">
        <f>SUM([20]S!AB215)</f>
        <v>0</v>
      </c>
      <c r="AC219" s="244">
        <f>SUM([20]S!AC215)</f>
        <v>0</v>
      </c>
      <c r="AD219" s="244">
        <f>SUM([20]S!AD215)</f>
        <v>0</v>
      </c>
      <c r="AE219" s="244">
        <f>SUM([20]S!AE215)</f>
        <v>0</v>
      </c>
      <c r="AF219" s="244">
        <f>SUM([20]S!AF215)</f>
        <v>0</v>
      </c>
      <c r="AG219" s="244">
        <f>SUM([20]S!AG215)</f>
        <v>0</v>
      </c>
      <c r="AH219" s="244">
        <f>SUM([20]S!AH215)</f>
        <v>0</v>
      </c>
      <c r="AI219" s="244">
        <f>SUM([20]S!AI215)</f>
        <v>0</v>
      </c>
      <c r="AJ219" s="244">
        <f>SUM([20]S!AJ215)</f>
        <v>0</v>
      </c>
      <c r="AK219" s="265">
        <v>0</v>
      </c>
      <c r="AL219" s="200">
        <v>0</v>
      </c>
      <c r="AM219" s="123">
        <v>-1</v>
      </c>
      <c r="AN219" s="89"/>
      <c r="AO219" s="265">
        <v>0</v>
      </c>
      <c r="AP219" s="200">
        <v>0</v>
      </c>
      <c r="AQ219" s="123">
        <v>-1</v>
      </c>
    </row>
    <row r="220" spans="1:43" ht="15" customHeight="1" outlineLevel="1">
      <c r="A220" s="12" t="s">
        <v>191</v>
      </c>
      <c r="B220" s="8" t="s">
        <v>276</v>
      </c>
      <c r="E220"/>
      <c r="I220" t="s">
        <v>209</v>
      </c>
      <c r="J220" s="244">
        <f>SUM([20]S!J216)</f>
        <v>0</v>
      </c>
      <c r="K220" s="244">
        <f>SUM([20]S!K216)</f>
        <v>0</v>
      </c>
      <c r="L220" s="244">
        <f>SUM([20]S!L216)</f>
        <v>0</v>
      </c>
      <c r="M220" s="244">
        <f>SUM([20]S!M216)</f>
        <v>0</v>
      </c>
      <c r="N220" s="244">
        <f>SUM([20]S!N216)</f>
        <v>0</v>
      </c>
      <c r="O220" s="244">
        <f>SUM([20]S!O216)</f>
        <v>0</v>
      </c>
      <c r="P220" s="244">
        <f>SUM([20]S!P216)</f>
        <v>0</v>
      </c>
      <c r="Q220" s="244">
        <f>SUM([20]S!Q216)</f>
        <v>0</v>
      </c>
      <c r="R220" s="244">
        <f>SUM([20]S!R216)</f>
        <v>0</v>
      </c>
      <c r="S220" s="244">
        <f>SUM([20]S!S216)</f>
        <v>0</v>
      </c>
      <c r="T220" s="244">
        <f>SUM([20]S!T216)</f>
        <v>0</v>
      </c>
      <c r="U220" s="244">
        <f>SUM([20]S!U216)</f>
        <v>0</v>
      </c>
      <c r="V220" s="245">
        <f t="shared" si="46"/>
        <v>0</v>
      </c>
      <c r="W220" s="73">
        <f t="shared" si="41"/>
        <v>0</v>
      </c>
      <c r="X220" s="89"/>
      <c r="Y220" s="244">
        <f>SUM([20]S!Y216)</f>
        <v>0</v>
      </c>
      <c r="Z220" s="244">
        <f>SUM([20]S!Z216)</f>
        <v>0</v>
      </c>
      <c r="AA220" s="244">
        <f>SUM([20]S!AA216)</f>
        <v>0</v>
      </c>
      <c r="AB220" s="244">
        <f>SUM([20]S!AB216)</f>
        <v>0</v>
      </c>
      <c r="AC220" s="244">
        <f>SUM([20]S!AC216)</f>
        <v>0</v>
      </c>
      <c r="AD220" s="244">
        <f>SUM([20]S!AD216)</f>
        <v>0</v>
      </c>
      <c r="AE220" s="244">
        <f>SUM([20]S!AE216)</f>
        <v>0</v>
      </c>
      <c r="AF220" s="244">
        <f>SUM([20]S!AF216)</f>
        <v>0</v>
      </c>
      <c r="AG220" s="244">
        <f>SUM([20]S!AG216)</f>
        <v>0</v>
      </c>
      <c r="AH220" s="244">
        <f>SUM([20]S!AH216)</f>
        <v>0</v>
      </c>
      <c r="AI220" s="244">
        <f>SUM([20]S!AI216)</f>
        <v>0</v>
      </c>
      <c r="AJ220" s="244">
        <f>SUM([20]S!AJ216)</f>
        <v>0</v>
      </c>
      <c r="AK220" s="265">
        <v>3197282.2911900003</v>
      </c>
      <c r="AL220" s="200">
        <v>7.9902158086306199E-4</v>
      </c>
      <c r="AM220" s="123">
        <v>0.26484835091477965</v>
      </c>
      <c r="AN220" s="89"/>
      <c r="AO220" s="265">
        <v>3197282.2911900003</v>
      </c>
      <c r="AP220" s="200">
        <v>7.2540107518737323E-4</v>
      </c>
      <c r="AQ220" s="123">
        <v>0.26484835091477965</v>
      </c>
    </row>
    <row r="221" spans="1:43" ht="15" customHeight="1" outlineLevel="1">
      <c r="A221" s="12" t="s">
        <v>191</v>
      </c>
      <c r="B221" s="8" t="s">
        <v>276</v>
      </c>
      <c r="E221"/>
      <c r="I221" t="s">
        <v>210</v>
      </c>
      <c r="J221" s="244">
        <f>SUM([20]S!J217)</f>
        <v>0</v>
      </c>
      <c r="K221" s="244">
        <f>SUM([20]S!K217)</f>
        <v>0</v>
      </c>
      <c r="L221" s="244">
        <f>SUM([20]S!L217)</f>
        <v>0</v>
      </c>
      <c r="M221" s="244">
        <f>SUM([20]S!M217)</f>
        <v>0</v>
      </c>
      <c r="N221" s="244">
        <f>SUM([20]S!N217)</f>
        <v>0</v>
      </c>
      <c r="O221" s="244">
        <f>SUM([20]S!O217)</f>
        <v>0</v>
      </c>
      <c r="P221" s="244">
        <f>SUM([20]S!P217)</f>
        <v>0</v>
      </c>
      <c r="Q221" s="244">
        <f>SUM([20]S!Q217)</f>
        <v>0</v>
      </c>
      <c r="R221" s="244">
        <f>SUM([20]S!R217)</f>
        <v>0</v>
      </c>
      <c r="S221" s="244">
        <f>SUM([20]S!S217)</f>
        <v>0</v>
      </c>
      <c r="T221" s="244">
        <f>SUM([20]S!T217)</f>
        <v>0</v>
      </c>
      <c r="U221" s="244">
        <f>SUM([20]S!U217)</f>
        <v>0</v>
      </c>
      <c r="V221" s="245">
        <f t="shared" si="46"/>
        <v>0</v>
      </c>
      <c r="W221" s="73">
        <f t="shared" si="41"/>
        <v>0</v>
      </c>
      <c r="X221" s="89"/>
      <c r="Y221" s="244">
        <f>SUM([20]S!Y217)</f>
        <v>0</v>
      </c>
      <c r="Z221" s="244">
        <f>SUM([20]S!Z217)</f>
        <v>0</v>
      </c>
      <c r="AA221" s="244">
        <f>SUM([20]S!AA217)</f>
        <v>0</v>
      </c>
      <c r="AB221" s="244">
        <f>SUM([20]S!AB217)</f>
        <v>0</v>
      </c>
      <c r="AC221" s="244">
        <f>SUM([20]S!AC217)</f>
        <v>0</v>
      </c>
      <c r="AD221" s="244">
        <f>SUM([20]S!AD217)</f>
        <v>0</v>
      </c>
      <c r="AE221" s="244">
        <f>SUM([20]S!AE217)</f>
        <v>0</v>
      </c>
      <c r="AF221" s="244">
        <f>SUM([20]S!AF217)</f>
        <v>0</v>
      </c>
      <c r="AG221" s="244">
        <f>SUM([20]S!AG217)</f>
        <v>0</v>
      </c>
      <c r="AH221" s="244">
        <f>SUM([20]S!AH217)</f>
        <v>0</v>
      </c>
      <c r="AI221" s="244">
        <f>SUM([20]S!AI217)</f>
        <v>0</v>
      </c>
      <c r="AJ221" s="244">
        <f>SUM([20]S!AJ217)</f>
        <v>0</v>
      </c>
      <c r="AK221" s="265">
        <v>3197282.2911900003</v>
      </c>
      <c r="AL221" s="200">
        <v>7.9902158086306199E-4</v>
      </c>
      <c r="AM221" s="123">
        <v>0.55168113982333344</v>
      </c>
      <c r="AN221" s="89"/>
      <c r="AO221" s="265">
        <v>3197282.2911900003</v>
      </c>
      <c r="AP221" s="200">
        <v>7.2540107518737323E-4</v>
      </c>
      <c r="AQ221" s="123">
        <v>0.55168113982333344</v>
      </c>
    </row>
    <row r="222" spans="1:43" ht="15" customHeight="1" outlineLevel="1">
      <c r="A222" s="12" t="s">
        <v>191</v>
      </c>
      <c r="B222" s="8" t="s">
        <v>276</v>
      </c>
      <c r="E222"/>
      <c r="I222" t="s">
        <v>211</v>
      </c>
      <c r="J222" s="244">
        <f>SUM([20]S!J218)</f>
        <v>0</v>
      </c>
      <c r="K222" s="244">
        <f>SUM([20]S!K218)</f>
        <v>0</v>
      </c>
      <c r="L222" s="244">
        <f>SUM([20]S!L218)</f>
        <v>0</v>
      </c>
      <c r="M222" s="244">
        <f>SUM([20]S!M218)</f>
        <v>0</v>
      </c>
      <c r="N222" s="244">
        <f>SUM([20]S!N218)</f>
        <v>0</v>
      </c>
      <c r="O222" s="244">
        <f>SUM([20]S!O218)</f>
        <v>0</v>
      </c>
      <c r="P222" s="244">
        <f>SUM([20]S!P218)</f>
        <v>0</v>
      </c>
      <c r="Q222" s="244">
        <f>SUM([20]S!Q218)</f>
        <v>0</v>
      </c>
      <c r="R222" s="244">
        <f>SUM([20]S!R218)</f>
        <v>0</v>
      </c>
      <c r="S222" s="244">
        <f>SUM([20]S!S218)</f>
        <v>0</v>
      </c>
      <c r="T222" s="244">
        <f>SUM([20]S!T218)</f>
        <v>0</v>
      </c>
      <c r="U222" s="244">
        <f>SUM([20]S!U218)</f>
        <v>0</v>
      </c>
      <c r="V222" s="245">
        <f t="shared" si="46"/>
        <v>0</v>
      </c>
      <c r="W222" s="73">
        <f t="shared" si="41"/>
        <v>0</v>
      </c>
      <c r="X222" s="89"/>
      <c r="Y222" s="244">
        <f>SUM([20]S!Y218)</f>
        <v>0</v>
      </c>
      <c r="Z222" s="244">
        <f>SUM([20]S!Z218)</f>
        <v>0</v>
      </c>
      <c r="AA222" s="244">
        <f>SUM([20]S!AA218)</f>
        <v>0</v>
      </c>
      <c r="AB222" s="244">
        <f>SUM([20]S!AB218)</f>
        <v>0</v>
      </c>
      <c r="AC222" s="244">
        <f>SUM([20]S!AC218)</f>
        <v>0</v>
      </c>
      <c r="AD222" s="244">
        <f>SUM([20]S!AD218)</f>
        <v>0</v>
      </c>
      <c r="AE222" s="244">
        <f>SUM([20]S!AE218)</f>
        <v>0</v>
      </c>
      <c r="AF222" s="244">
        <f>SUM([20]S!AF218)</f>
        <v>0</v>
      </c>
      <c r="AG222" s="244">
        <f>SUM([20]S!AG218)</f>
        <v>0</v>
      </c>
      <c r="AH222" s="244">
        <f>SUM([20]S!AH218)</f>
        <v>0</v>
      </c>
      <c r="AI222" s="244">
        <f>SUM([20]S!AI218)</f>
        <v>0</v>
      </c>
      <c r="AJ222" s="244">
        <f>SUM([20]S!AJ218)</f>
        <v>0</v>
      </c>
      <c r="AK222" s="265">
        <v>0</v>
      </c>
      <c r="AL222" s="200">
        <v>0</v>
      </c>
      <c r="AM222" s="123">
        <v>-1</v>
      </c>
      <c r="AN222" s="89"/>
      <c r="AO222" s="265">
        <v>0</v>
      </c>
      <c r="AP222" s="200">
        <v>0</v>
      </c>
      <c r="AQ222" s="123">
        <v>-1</v>
      </c>
    </row>
    <row r="223" spans="1:43" ht="15" customHeight="1" outlineLevel="1">
      <c r="A223" s="12" t="s">
        <v>191</v>
      </c>
      <c r="B223" s="8" t="s">
        <v>276</v>
      </c>
      <c r="E223"/>
      <c r="I223" t="s">
        <v>212</v>
      </c>
      <c r="J223" s="244">
        <f>SUM([20]S!J219)</f>
        <v>0</v>
      </c>
      <c r="K223" s="244">
        <f>SUM([20]S!K219)</f>
        <v>0</v>
      </c>
      <c r="L223" s="244">
        <f>SUM([20]S!L219)</f>
        <v>0</v>
      </c>
      <c r="M223" s="244">
        <f>SUM([20]S!M219)</f>
        <v>0</v>
      </c>
      <c r="N223" s="244">
        <f>SUM([20]S!N219)</f>
        <v>0</v>
      </c>
      <c r="O223" s="244">
        <f>SUM([20]S!O219)</f>
        <v>0</v>
      </c>
      <c r="P223" s="244">
        <f>SUM([20]S!P219)</f>
        <v>0</v>
      </c>
      <c r="Q223" s="244">
        <f>SUM([20]S!Q219)</f>
        <v>0</v>
      </c>
      <c r="R223" s="244">
        <f>SUM([20]S!R219)</f>
        <v>0</v>
      </c>
      <c r="S223" s="244">
        <f>SUM([20]S!S219)</f>
        <v>0</v>
      </c>
      <c r="T223" s="244">
        <f>SUM([20]S!T219)</f>
        <v>0</v>
      </c>
      <c r="U223" s="244">
        <f>SUM([20]S!U219)</f>
        <v>0</v>
      </c>
      <c r="V223" s="245">
        <f t="shared" si="46"/>
        <v>0</v>
      </c>
      <c r="W223" s="73">
        <f t="shared" si="41"/>
        <v>0</v>
      </c>
      <c r="X223" s="89"/>
      <c r="Y223" s="244">
        <f>SUM([20]S!Y219)</f>
        <v>0</v>
      </c>
      <c r="Z223" s="244">
        <f>SUM([20]S!Z219)</f>
        <v>0</v>
      </c>
      <c r="AA223" s="244">
        <f>SUM([20]S!AA219)</f>
        <v>0</v>
      </c>
      <c r="AB223" s="244">
        <f>SUM([20]S!AB219)</f>
        <v>0</v>
      </c>
      <c r="AC223" s="244">
        <f>SUM([20]S!AC219)</f>
        <v>0</v>
      </c>
      <c r="AD223" s="244">
        <f>SUM([20]S!AD219)</f>
        <v>0</v>
      </c>
      <c r="AE223" s="244">
        <f>SUM([20]S!AE219)</f>
        <v>0</v>
      </c>
      <c r="AF223" s="244">
        <f>SUM([20]S!AF219)</f>
        <v>0</v>
      </c>
      <c r="AG223" s="244">
        <f>SUM([20]S!AG219)</f>
        <v>0</v>
      </c>
      <c r="AH223" s="244">
        <f>SUM([20]S!AH219)</f>
        <v>0</v>
      </c>
      <c r="AI223" s="244">
        <f>SUM([20]S!AI219)</f>
        <v>0</v>
      </c>
      <c r="AJ223" s="244">
        <f>SUM([20]S!AJ219)</f>
        <v>0</v>
      </c>
      <c r="AK223" s="265">
        <v>0</v>
      </c>
      <c r="AL223" s="200">
        <v>0</v>
      </c>
      <c r="AM223" s="123">
        <v>-1</v>
      </c>
      <c r="AN223" s="89"/>
      <c r="AO223" s="265">
        <v>0</v>
      </c>
      <c r="AP223" s="200">
        <v>0</v>
      </c>
      <c r="AQ223" s="123">
        <v>-1</v>
      </c>
    </row>
    <row r="224" spans="1:43" ht="15" customHeight="1" outlineLevel="1">
      <c r="A224" s="12" t="s">
        <v>191</v>
      </c>
      <c r="B224" s="8" t="s">
        <v>276</v>
      </c>
      <c r="E224"/>
      <c r="I224" t="s">
        <v>213</v>
      </c>
      <c r="J224" s="244">
        <f>SUM([20]S!J220)</f>
        <v>0</v>
      </c>
      <c r="K224" s="244">
        <f>SUM([20]S!K220)</f>
        <v>0</v>
      </c>
      <c r="L224" s="244">
        <f>SUM([20]S!L220)</f>
        <v>0</v>
      </c>
      <c r="M224" s="244">
        <f>SUM([20]S!M220)</f>
        <v>0</v>
      </c>
      <c r="N224" s="244">
        <f>SUM([20]S!N220)</f>
        <v>0</v>
      </c>
      <c r="O224" s="244">
        <f>SUM([20]S!O220)</f>
        <v>0</v>
      </c>
      <c r="P224" s="244">
        <f>SUM([20]S!P220)</f>
        <v>0</v>
      </c>
      <c r="Q224" s="244">
        <f>SUM([20]S!Q220)</f>
        <v>0</v>
      </c>
      <c r="R224" s="244">
        <f>SUM([20]S!R220)</f>
        <v>0</v>
      </c>
      <c r="S224" s="244">
        <f>SUM([20]S!S220)</f>
        <v>0</v>
      </c>
      <c r="T224" s="244">
        <f>SUM([20]S!T220)</f>
        <v>0</v>
      </c>
      <c r="U224" s="244">
        <f>SUM([20]S!U220)</f>
        <v>0</v>
      </c>
      <c r="V224" s="245">
        <f t="shared" si="46"/>
        <v>0</v>
      </c>
      <c r="W224" s="73">
        <f t="shared" si="41"/>
        <v>0</v>
      </c>
      <c r="X224" s="89"/>
      <c r="Y224" s="244">
        <f>SUM([20]S!Y220)</f>
        <v>0</v>
      </c>
      <c r="Z224" s="244">
        <f>SUM([20]S!Z220)</f>
        <v>0</v>
      </c>
      <c r="AA224" s="244">
        <f>SUM([20]S!AA220)</f>
        <v>0</v>
      </c>
      <c r="AB224" s="244">
        <f>SUM([20]S!AB220)</f>
        <v>0</v>
      </c>
      <c r="AC224" s="244">
        <f>SUM([20]S!AC220)</f>
        <v>0</v>
      </c>
      <c r="AD224" s="244">
        <f>SUM([20]S!AD220)</f>
        <v>0</v>
      </c>
      <c r="AE224" s="244">
        <f>SUM([20]S!AE220)</f>
        <v>0</v>
      </c>
      <c r="AF224" s="244">
        <f>SUM([20]S!AF220)</f>
        <v>0</v>
      </c>
      <c r="AG224" s="244">
        <f>SUM([20]S!AG220)</f>
        <v>0</v>
      </c>
      <c r="AH224" s="244">
        <f>SUM([20]S!AH220)</f>
        <v>0</v>
      </c>
      <c r="AI224" s="244">
        <f>SUM([20]S!AI220)</f>
        <v>0</v>
      </c>
      <c r="AJ224" s="244">
        <f>SUM([20]S!AJ220)</f>
        <v>0</v>
      </c>
      <c r="AK224" s="265">
        <v>350387.10040438356</v>
      </c>
      <c r="AL224" s="200">
        <v>8.7564008861705414E-5</v>
      </c>
      <c r="AM224" s="123">
        <v>0.16899239956424661</v>
      </c>
      <c r="AN224" s="89"/>
      <c r="AO224" s="265">
        <v>350387.10040438356</v>
      </c>
      <c r="AP224" s="200">
        <v>7.9496008239712134E-5</v>
      </c>
      <c r="AQ224" s="123">
        <v>0.16899239956424661</v>
      </c>
    </row>
    <row r="225" spans="1:43" ht="15" customHeight="1" outlineLevel="1">
      <c r="A225" s="12" t="s">
        <v>191</v>
      </c>
      <c r="B225" s="8" t="s">
        <v>276</v>
      </c>
      <c r="E225"/>
      <c r="I225" t="s">
        <v>215</v>
      </c>
      <c r="J225" s="244">
        <f>SUM([20]S!J221)</f>
        <v>0</v>
      </c>
      <c r="K225" s="244">
        <f>SUM([20]S!K221)</f>
        <v>0</v>
      </c>
      <c r="L225" s="244">
        <f>SUM([20]S!L221)</f>
        <v>0</v>
      </c>
      <c r="M225" s="244">
        <f>SUM([20]S!M221)</f>
        <v>0</v>
      </c>
      <c r="N225" s="244">
        <f>SUM([20]S!N221)</f>
        <v>0</v>
      </c>
      <c r="O225" s="244">
        <f>SUM([20]S!O221)</f>
        <v>0</v>
      </c>
      <c r="P225" s="244">
        <f>SUM([20]S!P221)</f>
        <v>0</v>
      </c>
      <c r="Q225" s="244">
        <f>SUM([20]S!Q221)</f>
        <v>0</v>
      </c>
      <c r="R225" s="244">
        <f>SUM([20]S!R221)</f>
        <v>0</v>
      </c>
      <c r="S225" s="244">
        <f>SUM([20]S!S221)</f>
        <v>0</v>
      </c>
      <c r="T225" s="244">
        <f>SUM([20]S!T221)</f>
        <v>0</v>
      </c>
      <c r="U225" s="244">
        <f>SUM([20]S!U221)</f>
        <v>0</v>
      </c>
      <c r="V225" s="245">
        <v>0</v>
      </c>
      <c r="W225" s="73">
        <f t="shared" si="41"/>
        <v>0</v>
      </c>
      <c r="X225" s="89"/>
      <c r="Y225" s="244">
        <f>SUM([20]S!Y221)</f>
        <v>0</v>
      </c>
      <c r="Z225" s="244">
        <f>SUM([20]S!Z221)</f>
        <v>0</v>
      </c>
      <c r="AA225" s="244">
        <f>SUM([20]S!AA221)</f>
        <v>0</v>
      </c>
      <c r="AB225" s="244">
        <f>SUM([20]S!AB221)</f>
        <v>0</v>
      </c>
      <c r="AC225" s="244">
        <f>SUM([20]S!AC221)</f>
        <v>0</v>
      </c>
      <c r="AD225" s="244">
        <f>SUM([20]S!AD221)</f>
        <v>0</v>
      </c>
      <c r="AE225" s="244">
        <f>SUM([20]S!AE221)</f>
        <v>0</v>
      </c>
      <c r="AF225" s="244">
        <f>SUM([20]S!AF221)</f>
        <v>0</v>
      </c>
      <c r="AG225" s="244">
        <f>SUM([20]S!AG221)</f>
        <v>0</v>
      </c>
      <c r="AH225" s="244">
        <f>SUM([20]S!AH221)</f>
        <v>0</v>
      </c>
      <c r="AI225" s="244">
        <f>SUM([20]S!AI221)</f>
        <v>0</v>
      </c>
      <c r="AJ225" s="244">
        <f>SUM([20]S!AJ221)</f>
        <v>0</v>
      </c>
      <c r="AK225" s="265">
        <v>0</v>
      </c>
      <c r="AL225" s="200">
        <v>0</v>
      </c>
      <c r="AM225" s="123">
        <v>0</v>
      </c>
      <c r="AN225" s="89"/>
      <c r="AO225" s="265">
        <v>0</v>
      </c>
      <c r="AP225" s="200">
        <v>0</v>
      </c>
      <c r="AQ225" s="123">
        <v>0</v>
      </c>
    </row>
    <row r="226" spans="1:43" ht="15" customHeight="1" outlineLevel="1">
      <c r="A226" s="12" t="s">
        <v>191</v>
      </c>
      <c r="B226" s="8" t="s">
        <v>276</v>
      </c>
      <c r="E226"/>
      <c r="I226" t="s">
        <v>216</v>
      </c>
      <c r="J226" s="244">
        <f>SUM([20]S!J222)</f>
        <v>0</v>
      </c>
      <c r="K226" s="244">
        <f>SUM([20]S!K222)</f>
        <v>0</v>
      </c>
      <c r="L226" s="244">
        <f>SUM([20]S!L222)</f>
        <v>0</v>
      </c>
      <c r="M226" s="244">
        <f>SUM([20]S!M222)</f>
        <v>0</v>
      </c>
      <c r="N226" s="244">
        <f>SUM([20]S!N222)</f>
        <v>0</v>
      </c>
      <c r="O226" s="244">
        <f>SUM([20]S!O222)</f>
        <v>0</v>
      </c>
      <c r="P226" s="244">
        <f>SUM([20]S!P222)</f>
        <v>0</v>
      </c>
      <c r="Q226" s="244">
        <f>SUM([20]S!Q222)</f>
        <v>0</v>
      </c>
      <c r="R226" s="244">
        <f>SUM([20]S!R222)</f>
        <v>0</v>
      </c>
      <c r="S226" s="244">
        <f>SUM([20]S!S222)</f>
        <v>0</v>
      </c>
      <c r="T226" s="244">
        <f>SUM([20]S!T222)</f>
        <v>0</v>
      </c>
      <c r="U226" s="244">
        <f>SUM([20]S!U222)</f>
        <v>0</v>
      </c>
      <c r="V226" s="245">
        <f t="shared" si="46"/>
        <v>0</v>
      </c>
      <c r="W226" s="73">
        <f t="shared" si="41"/>
        <v>0</v>
      </c>
      <c r="X226" s="89"/>
      <c r="Y226" s="244">
        <f>SUM([20]S!Y222)</f>
        <v>0</v>
      </c>
      <c r="Z226" s="244">
        <f>SUM([20]S!Z222)</f>
        <v>0</v>
      </c>
      <c r="AA226" s="244">
        <f>SUM([20]S!AA222)</f>
        <v>0</v>
      </c>
      <c r="AB226" s="244">
        <f>SUM([20]S!AB222)</f>
        <v>0</v>
      </c>
      <c r="AC226" s="244">
        <f>SUM([20]S!AC222)</f>
        <v>0</v>
      </c>
      <c r="AD226" s="244">
        <f>SUM([20]S!AD222)</f>
        <v>0</v>
      </c>
      <c r="AE226" s="244">
        <f>SUM([20]S!AE222)</f>
        <v>0</v>
      </c>
      <c r="AF226" s="244">
        <f>SUM([20]S!AF222)</f>
        <v>0</v>
      </c>
      <c r="AG226" s="244">
        <f>SUM([20]S!AG222)</f>
        <v>0</v>
      </c>
      <c r="AH226" s="244">
        <f>SUM([20]S!AH222)</f>
        <v>0</v>
      </c>
      <c r="AI226" s="244">
        <f>SUM([20]S!AI222)</f>
        <v>0</v>
      </c>
      <c r="AJ226" s="244">
        <f>SUM([20]S!AJ222)</f>
        <v>0</v>
      </c>
      <c r="AK226" s="265">
        <v>0</v>
      </c>
      <c r="AL226" s="200">
        <v>0</v>
      </c>
      <c r="AM226" s="123">
        <v>0</v>
      </c>
      <c r="AN226" s="89"/>
      <c r="AO226" s="265">
        <v>0</v>
      </c>
      <c r="AP226" s="200">
        <v>0</v>
      </c>
      <c r="AQ226" s="123">
        <v>0</v>
      </c>
    </row>
    <row r="227" spans="1:43" ht="15" customHeight="1" outlineLevel="1">
      <c r="A227" s="12" t="s">
        <v>191</v>
      </c>
      <c r="B227" s="8" t="s">
        <v>276</v>
      </c>
      <c r="E227"/>
      <c r="I227" t="s">
        <v>217</v>
      </c>
      <c r="J227" s="244">
        <f>SUM([20]S!J223)</f>
        <v>0</v>
      </c>
      <c r="K227" s="244">
        <f>SUM([20]S!K223)</f>
        <v>0</v>
      </c>
      <c r="L227" s="244">
        <f>SUM([20]S!L223)</f>
        <v>0</v>
      </c>
      <c r="M227" s="244">
        <f>SUM([20]S!M223)</f>
        <v>0</v>
      </c>
      <c r="N227" s="244">
        <f>SUM([20]S!N223)</f>
        <v>0</v>
      </c>
      <c r="O227" s="244">
        <f>SUM([20]S!O223)</f>
        <v>0</v>
      </c>
      <c r="P227" s="244">
        <f>SUM([20]S!P223)</f>
        <v>0</v>
      </c>
      <c r="Q227" s="244">
        <f>SUM([20]S!Q223)</f>
        <v>0</v>
      </c>
      <c r="R227" s="244">
        <f>SUM([20]S!R223)</f>
        <v>0</v>
      </c>
      <c r="S227" s="244">
        <f>SUM([20]S!S223)</f>
        <v>0</v>
      </c>
      <c r="T227" s="244">
        <f>SUM([20]S!T223)</f>
        <v>0</v>
      </c>
      <c r="U227" s="244">
        <f>SUM([20]S!U223)</f>
        <v>0</v>
      </c>
      <c r="V227" s="245">
        <f t="shared" si="46"/>
        <v>0</v>
      </c>
      <c r="W227" s="73">
        <f t="shared" si="41"/>
        <v>0</v>
      </c>
      <c r="X227" s="89"/>
      <c r="Y227" s="244">
        <f>SUM([20]S!Y223)</f>
        <v>0</v>
      </c>
      <c r="Z227" s="244">
        <f>SUM([20]S!Z223)</f>
        <v>0</v>
      </c>
      <c r="AA227" s="244">
        <f>SUM([20]S!AA223)</f>
        <v>0</v>
      </c>
      <c r="AB227" s="244">
        <f>SUM([20]S!AB223)</f>
        <v>0</v>
      </c>
      <c r="AC227" s="244">
        <f>SUM([20]S!AC223)</f>
        <v>0</v>
      </c>
      <c r="AD227" s="244">
        <f>SUM([20]S!AD223)</f>
        <v>0</v>
      </c>
      <c r="AE227" s="244">
        <f>SUM([20]S!AE223)</f>
        <v>0</v>
      </c>
      <c r="AF227" s="244">
        <f>SUM([20]S!AF223)</f>
        <v>0</v>
      </c>
      <c r="AG227" s="244">
        <f>SUM([20]S!AG223)</f>
        <v>0</v>
      </c>
      <c r="AH227" s="244">
        <f>SUM([20]S!AH223)</f>
        <v>0</v>
      </c>
      <c r="AI227" s="244">
        <f>SUM([20]S!AI223)</f>
        <v>0</v>
      </c>
      <c r="AJ227" s="244">
        <f>SUM([20]S!AJ223)</f>
        <v>0</v>
      </c>
      <c r="AK227" s="265">
        <v>31972822.911899995</v>
      </c>
      <c r="AL227" s="200">
        <v>7.9902158086306175E-3</v>
      </c>
      <c r="AM227" s="123">
        <v>0.12897793399805346</v>
      </c>
      <c r="AN227" s="89"/>
      <c r="AO227" s="265">
        <v>31972822.911899995</v>
      </c>
      <c r="AP227" s="200">
        <v>7.2540107518737308E-3</v>
      </c>
      <c r="AQ227" s="123">
        <v>0.12897793399805346</v>
      </c>
    </row>
    <row r="228" spans="1:43" ht="15" customHeight="1" outlineLevel="1">
      <c r="A228" s="12" t="s">
        <v>191</v>
      </c>
      <c r="B228" s="8" t="s">
        <v>276</v>
      </c>
      <c r="E228"/>
      <c r="I228" t="s">
        <v>218</v>
      </c>
      <c r="J228" s="244">
        <f>SUM([20]S!J224)</f>
        <v>0</v>
      </c>
      <c r="K228" s="244">
        <f>SUM([20]S!K224)</f>
        <v>0</v>
      </c>
      <c r="L228" s="244">
        <f>SUM([20]S!L224)</f>
        <v>0</v>
      </c>
      <c r="M228" s="244">
        <f>SUM([20]S!M224)</f>
        <v>0</v>
      </c>
      <c r="N228" s="244">
        <f>SUM([20]S!N224)</f>
        <v>0</v>
      </c>
      <c r="O228" s="244">
        <f>SUM([20]S!O224)</f>
        <v>0</v>
      </c>
      <c r="P228" s="244">
        <f>SUM([20]S!P224)</f>
        <v>0</v>
      </c>
      <c r="Q228" s="244">
        <f>SUM([20]S!Q224)</f>
        <v>0</v>
      </c>
      <c r="R228" s="244">
        <f>SUM([20]S!R224)</f>
        <v>0</v>
      </c>
      <c r="S228" s="244">
        <f>SUM([20]S!S224)</f>
        <v>0</v>
      </c>
      <c r="T228" s="244">
        <f>SUM([20]S!T224)</f>
        <v>0</v>
      </c>
      <c r="U228" s="244">
        <f>SUM([20]S!U224)</f>
        <v>0</v>
      </c>
      <c r="V228" s="245">
        <f t="shared" si="46"/>
        <v>0</v>
      </c>
      <c r="W228" s="73">
        <f t="shared" si="41"/>
        <v>0</v>
      </c>
      <c r="X228" s="89"/>
      <c r="Y228" s="244">
        <f>SUM([20]S!Y224)</f>
        <v>0</v>
      </c>
      <c r="Z228" s="244">
        <f>SUM([20]S!Z224)</f>
        <v>0</v>
      </c>
      <c r="AA228" s="244">
        <f>SUM([20]S!AA224)</f>
        <v>0</v>
      </c>
      <c r="AB228" s="244">
        <f>SUM([20]S!AB224)</f>
        <v>0</v>
      </c>
      <c r="AC228" s="244">
        <f>SUM([20]S!AC224)</f>
        <v>0</v>
      </c>
      <c r="AD228" s="244">
        <f>SUM([20]S!AD224)</f>
        <v>0</v>
      </c>
      <c r="AE228" s="244">
        <f>SUM([20]S!AE224)</f>
        <v>0</v>
      </c>
      <c r="AF228" s="244">
        <f>SUM([20]S!AF224)</f>
        <v>0</v>
      </c>
      <c r="AG228" s="244">
        <f>SUM([20]S!AG224)</f>
        <v>0</v>
      </c>
      <c r="AH228" s="244">
        <f>SUM([20]S!AH224)</f>
        <v>0</v>
      </c>
      <c r="AI228" s="244">
        <f>SUM([20]S!AI224)</f>
        <v>0</v>
      </c>
      <c r="AJ228" s="244">
        <f>SUM([20]S!AJ224)</f>
        <v>0</v>
      </c>
      <c r="AK228" s="265">
        <v>0</v>
      </c>
      <c r="AL228" s="200">
        <v>0</v>
      </c>
      <c r="AM228" s="123">
        <v>-1</v>
      </c>
      <c r="AN228" s="89"/>
      <c r="AO228" s="265">
        <v>0</v>
      </c>
      <c r="AP228" s="200">
        <v>0</v>
      </c>
      <c r="AQ228" s="123">
        <v>-1</v>
      </c>
    </row>
    <row r="229" spans="1:43" ht="15" customHeight="1" outlineLevel="1">
      <c r="A229" s="12" t="s">
        <v>191</v>
      </c>
      <c r="B229" s="8" t="s">
        <v>276</v>
      </c>
      <c r="E229"/>
      <c r="I229" t="s">
        <v>219</v>
      </c>
      <c r="J229" s="244">
        <f>SUM([20]S!J225)</f>
        <v>0</v>
      </c>
      <c r="K229" s="244">
        <f>SUM([20]S!K225)</f>
        <v>0</v>
      </c>
      <c r="L229" s="244">
        <f>SUM([20]S!L225)</f>
        <v>0</v>
      </c>
      <c r="M229" s="244">
        <f>SUM([20]S!M225)</f>
        <v>0</v>
      </c>
      <c r="N229" s="244">
        <f>SUM([20]S!N225)</f>
        <v>0</v>
      </c>
      <c r="O229" s="244">
        <f>SUM([20]S!O225)</f>
        <v>0</v>
      </c>
      <c r="P229" s="244">
        <f>SUM([20]S!P225)</f>
        <v>0</v>
      </c>
      <c r="Q229" s="244">
        <f>SUM([20]S!Q225)</f>
        <v>0</v>
      </c>
      <c r="R229" s="244">
        <f>SUM([20]S!R225)</f>
        <v>0</v>
      </c>
      <c r="S229" s="244">
        <f>SUM([20]S!S225)</f>
        <v>0</v>
      </c>
      <c r="T229" s="244">
        <f>SUM([20]S!T225)</f>
        <v>0</v>
      </c>
      <c r="U229" s="244">
        <f>SUM([20]S!U225)</f>
        <v>0</v>
      </c>
      <c r="V229" s="245">
        <f t="shared" si="46"/>
        <v>0</v>
      </c>
      <c r="W229" s="73">
        <f t="shared" si="41"/>
        <v>0</v>
      </c>
      <c r="X229" s="89"/>
      <c r="Y229" s="244">
        <f>SUM([20]S!Y225)</f>
        <v>0</v>
      </c>
      <c r="Z229" s="244">
        <f>SUM([20]S!Z225)</f>
        <v>0</v>
      </c>
      <c r="AA229" s="244">
        <f>SUM([20]S!AA225)</f>
        <v>0</v>
      </c>
      <c r="AB229" s="244">
        <f>SUM([20]S!AB225)</f>
        <v>0</v>
      </c>
      <c r="AC229" s="244">
        <f>SUM([20]S!AC225)</f>
        <v>0</v>
      </c>
      <c r="AD229" s="244">
        <f>SUM([20]S!AD225)</f>
        <v>0</v>
      </c>
      <c r="AE229" s="244">
        <f>SUM([20]S!AE225)</f>
        <v>0</v>
      </c>
      <c r="AF229" s="244">
        <f>SUM([20]S!AF225)</f>
        <v>0</v>
      </c>
      <c r="AG229" s="244">
        <f>SUM([20]S!AG225)</f>
        <v>0</v>
      </c>
      <c r="AH229" s="244">
        <f>SUM([20]S!AH225)</f>
        <v>0</v>
      </c>
      <c r="AI229" s="244">
        <f>SUM([20]S!AI225)</f>
        <v>0</v>
      </c>
      <c r="AJ229" s="244">
        <f>SUM([20]S!AJ225)</f>
        <v>0</v>
      </c>
      <c r="AK229" s="265">
        <v>0</v>
      </c>
      <c r="AL229" s="200">
        <v>0</v>
      </c>
      <c r="AM229" s="123">
        <v>-1</v>
      </c>
      <c r="AN229" s="89"/>
      <c r="AO229" s="265">
        <v>0</v>
      </c>
      <c r="AP229" s="200">
        <v>0</v>
      </c>
      <c r="AQ229" s="123">
        <v>-1</v>
      </c>
    </row>
    <row r="230" spans="1:43">
      <c r="A230" s="12" t="s">
        <v>208</v>
      </c>
      <c r="B230" s="8" t="s">
        <v>276</v>
      </c>
      <c r="I230" s="170" t="s">
        <v>220</v>
      </c>
      <c r="J230" s="241">
        <f t="shared" ref="J230:U230" si="47">SUM(J231:J234)</f>
        <v>0</v>
      </c>
      <c r="K230" s="241">
        <f t="shared" si="47"/>
        <v>0</v>
      </c>
      <c r="L230" s="241">
        <f t="shared" si="47"/>
        <v>0</v>
      </c>
      <c r="M230" s="241">
        <f t="shared" si="47"/>
        <v>0</v>
      </c>
      <c r="N230" s="241">
        <f t="shared" si="47"/>
        <v>0</v>
      </c>
      <c r="O230" s="241">
        <f t="shared" si="47"/>
        <v>0</v>
      </c>
      <c r="P230" s="241">
        <f t="shared" si="47"/>
        <v>0</v>
      </c>
      <c r="Q230" s="241">
        <f t="shared" si="47"/>
        <v>0</v>
      </c>
      <c r="R230" s="241">
        <f t="shared" si="47"/>
        <v>0</v>
      </c>
      <c r="S230" s="241">
        <f t="shared" si="47"/>
        <v>0</v>
      </c>
      <c r="T230" s="241">
        <f t="shared" si="47"/>
        <v>0</v>
      </c>
      <c r="U230" s="241">
        <f t="shared" si="47"/>
        <v>0</v>
      </c>
      <c r="V230" s="241">
        <f>SUM(V231:V234)</f>
        <v>0</v>
      </c>
      <c r="W230" s="72">
        <f t="shared" si="41"/>
        <v>0</v>
      </c>
      <c r="X230" s="89"/>
      <c r="Y230" s="241">
        <f t="shared" ref="Y230:AJ230" si="48">SUM(Y231:Y234)</f>
        <v>0</v>
      </c>
      <c r="Z230" s="241">
        <f t="shared" si="48"/>
        <v>0</v>
      </c>
      <c r="AA230" s="241">
        <f t="shared" si="48"/>
        <v>0</v>
      </c>
      <c r="AB230" s="241">
        <f t="shared" si="48"/>
        <v>0</v>
      </c>
      <c r="AC230" s="241">
        <f t="shared" si="48"/>
        <v>0</v>
      </c>
      <c r="AD230" s="241">
        <f t="shared" si="48"/>
        <v>0</v>
      </c>
      <c r="AE230" s="241">
        <f t="shared" si="48"/>
        <v>0</v>
      </c>
      <c r="AF230" s="241">
        <f t="shared" si="48"/>
        <v>0</v>
      </c>
      <c r="AG230" s="241">
        <f t="shared" si="48"/>
        <v>0</v>
      </c>
      <c r="AH230" s="241">
        <f t="shared" si="48"/>
        <v>0</v>
      </c>
      <c r="AI230" s="241">
        <f t="shared" si="48"/>
        <v>0</v>
      </c>
      <c r="AJ230" s="241">
        <f t="shared" si="48"/>
        <v>0</v>
      </c>
      <c r="AK230" s="263">
        <v>9348703.9369576648</v>
      </c>
      <c r="AL230" s="200">
        <v>2.3363017458018841E-3</v>
      </c>
      <c r="AM230" s="123">
        <v>0.13051608734020514</v>
      </c>
      <c r="AN230" s="89"/>
      <c r="AO230" s="263">
        <v>9348703.9369576648</v>
      </c>
      <c r="AP230" s="200">
        <v>2.1210388291843579E-3</v>
      </c>
      <c r="AQ230" s="123">
        <v>0.13051608734020514</v>
      </c>
    </row>
    <row r="231" spans="1:43" ht="15" customHeight="1" outlineLevel="1">
      <c r="A231" s="12" t="s">
        <v>208</v>
      </c>
      <c r="B231" s="8" t="s">
        <v>276</v>
      </c>
      <c r="I231" s="139" t="s">
        <v>221</v>
      </c>
      <c r="J231" s="244">
        <f>SUM([20]S!J227)</f>
        <v>0</v>
      </c>
      <c r="K231" s="244">
        <f>SUM([20]S!K227)</f>
        <v>0</v>
      </c>
      <c r="L231" s="244">
        <f>SUM([20]S!L227)</f>
        <v>0</v>
      </c>
      <c r="M231" s="244">
        <f>SUM([20]S!M227)</f>
        <v>0</v>
      </c>
      <c r="N231" s="244">
        <f>SUM([20]S!N227)</f>
        <v>0</v>
      </c>
      <c r="O231" s="244">
        <f>SUM([20]S!O227)</f>
        <v>0</v>
      </c>
      <c r="P231" s="244">
        <f>SUM([20]S!P227)</f>
        <v>0</v>
      </c>
      <c r="Q231" s="244">
        <f>SUM([20]S!Q227)</f>
        <v>0</v>
      </c>
      <c r="R231" s="244">
        <f>SUM([20]S!R227)</f>
        <v>0</v>
      </c>
      <c r="S231" s="244">
        <f>SUM([20]S!S227)</f>
        <v>0</v>
      </c>
      <c r="T231" s="244">
        <f>SUM([20]S!T227)</f>
        <v>0</v>
      </c>
      <c r="U231" s="244">
        <f>SUM([20]S!U227)</f>
        <v>0</v>
      </c>
      <c r="V231" s="245">
        <f t="shared" si="46"/>
        <v>0</v>
      </c>
      <c r="W231" s="73">
        <f t="shared" si="41"/>
        <v>0</v>
      </c>
      <c r="X231" s="89"/>
      <c r="Y231" s="244">
        <f>SUM([20]S!Y227)</f>
        <v>0</v>
      </c>
      <c r="Z231" s="244">
        <f>SUM([20]S!Z227)</f>
        <v>0</v>
      </c>
      <c r="AA231" s="244">
        <f>SUM([20]S!AA227)</f>
        <v>0</v>
      </c>
      <c r="AB231" s="244">
        <f>SUM([20]S!AB227)</f>
        <v>0</v>
      </c>
      <c r="AC231" s="244">
        <f>SUM([20]S!AC227)</f>
        <v>0</v>
      </c>
      <c r="AD231" s="244">
        <f>SUM([20]S!AD227)</f>
        <v>0</v>
      </c>
      <c r="AE231" s="244">
        <f>SUM([20]S!AE227)</f>
        <v>0</v>
      </c>
      <c r="AF231" s="244">
        <f>SUM([20]S!AF227)</f>
        <v>0</v>
      </c>
      <c r="AG231" s="244">
        <f>SUM([20]S!AG227)</f>
        <v>0</v>
      </c>
      <c r="AH231" s="244">
        <f>SUM([20]S!AH227)</f>
        <v>0</v>
      </c>
      <c r="AI231" s="244">
        <f>SUM([20]S!AI227)</f>
        <v>0</v>
      </c>
      <c r="AJ231" s="244">
        <f>SUM([20]S!AJ227)</f>
        <v>0</v>
      </c>
      <c r="AK231" s="265">
        <v>2037275.0233398813</v>
      </c>
      <c r="AL231" s="73">
        <v>5.0912824128394396E-4</v>
      </c>
      <c r="AM231" s="123">
        <v>0.26847080741528817</v>
      </c>
      <c r="AN231" s="89"/>
      <c r="AO231" s="265">
        <v>2037275.0233398813</v>
      </c>
      <c r="AP231" s="73">
        <v>4.6221802074069955E-4</v>
      </c>
      <c r="AQ231" s="123">
        <v>0.26847080741528817</v>
      </c>
    </row>
    <row r="232" spans="1:43" ht="15" customHeight="1" outlineLevel="1">
      <c r="A232" s="12" t="s">
        <v>208</v>
      </c>
      <c r="B232" s="8" t="s">
        <v>276</v>
      </c>
      <c r="I232" s="139" t="s">
        <v>222</v>
      </c>
      <c r="J232" s="244">
        <f>SUM([20]S!J228)</f>
        <v>0</v>
      </c>
      <c r="K232" s="244">
        <f>SUM([20]S!K228)</f>
        <v>0</v>
      </c>
      <c r="L232" s="244">
        <f>SUM([20]S!L228)</f>
        <v>0</v>
      </c>
      <c r="M232" s="244">
        <f>SUM([20]S!M228)</f>
        <v>0</v>
      </c>
      <c r="N232" s="244">
        <f>SUM([20]S!N228)</f>
        <v>0</v>
      </c>
      <c r="O232" s="244">
        <f>SUM([20]S!O228)</f>
        <v>0</v>
      </c>
      <c r="P232" s="244">
        <f>SUM([20]S!P228)</f>
        <v>0</v>
      </c>
      <c r="Q232" s="244">
        <f>SUM([20]S!Q228)</f>
        <v>0</v>
      </c>
      <c r="R232" s="244">
        <f>SUM([20]S!R228)</f>
        <v>0</v>
      </c>
      <c r="S232" s="244">
        <f>SUM([20]S!S228)</f>
        <v>0</v>
      </c>
      <c r="T232" s="244">
        <f>SUM([20]S!T228)</f>
        <v>0</v>
      </c>
      <c r="U232" s="244">
        <f>SUM([20]S!U228)</f>
        <v>0</v>
      </c>
      <c r="V232" s="245">
        <f t="shared" si="46"/>
        <v>0</v>
      </c>
      <c r="W232" s="73">
        <f t="shared" si="41"/>
        <v>0</v>
      </c>
      <c r="X232" s="89"/>
      <c r="Y232" s="244">
        <f>SUM([20]S!Y228)</f>
        <v>0</v>
      </c>
      <c r="Z232" s="244">
        <f>SUM([20]S!Z228)</f>
        <v>0</v>
      </c>
      <c r="AA232" s="244">
        <f>SUM([20]S!AA228)</f>
        <v>0</v>
      </c>
      <c r="AB232" s="244">
        <f>SUM([20]S!AB228)</f>
        <v>0</v>
      </c>
      <c r="AC232" s="244">
        <f>SUM([20]S!AC228)</f>
        <v>0</v>
      </c>
      <c r="AD232" s="244">
        <f>SUM([20]S!AD228)</f>
        <v>0</v>
      </c>
      <c r="AE232" s="244">
        <f>SUM([20]S!AE228)</f>
        <v>0</v>
      </c>
      <c r="AF232" s="244">
        <f>SUM([20]S!AF228)</f>
        <v>0</v>
      </c>
      <c r="AG232" s="244">
        <f>SUM([20]S!AG228)</f>
        <v>0</v>
      </c>
      <c r="AH232" s="244">
        <f>SUM([20]S!AH228)</f>
        <v>0</v>
      </c>
      <c r="AI232" s="244">
        <f>SUM([20]S!AI228)</f>
        <v>0</v>
      </c>
      <c r="AJ232" s="244">
        <f>SUM([20]S!AJ228)</f>
        <v>0</v>
      </c>
      <c r="AK232" s="265">
        <v>2542926.68413284</v>
      </c>
      <c r="AL232" s="73">
        <v>6.354938707706188E-4</v>
      </c>
      <c r="AM232" s="123">
        <v>0.34533570389229284</v>
      </c>
      <c r="AN232" s="89"/>
      <c r="AO232" s="265">
        <v>2542926.68413284</v>
      </c>
      <c r="AP232" s="73">
        <v>5.7694053348854117E-4</v>
      </c>
      <c r="AQ232" s="123">
        <v>0.34533570389229284</v>
      </c>
    </row>
    <row r="233" spans="1:43" ht="15" customHeight="1" outlineLevel="1">
      <c r="A233" s="12" t="s">
        <v>208</v>
      </c>
      <c r="B233" s="8" t="s">
        <v>276</v>
      </c>
      <c r="I233" s="139" t="s">
        <v>223</v>
      </c>
      <c r="J233" s="244">
        <f>SUM([20]S!J229)</f>
        <v>0</v>
      </c>
      <c r="K233" s="244">
        <f>SUM([20]S!K229)</f>
        <v>0</v>
      </c>
      <c r="L233" s="244">
        <f>SUM([20]S!L229)</f>
        <v>0</v>
      </c>
      <c r="M233" s="244">
        <f>SUM([20]S!M229)</f>
        <v>0</v>
      </c>
      <c r="N233" s="244">
        <f>SUM([20]S!N229)</f>
        <v>0</v>
      </c>
      <c r="O233" s="244">
        <f>SUM([20]S!O229)</f>
        <v>0</v>
      </c>
      <c r="P233" s="244">
        <f>SUM([20]S!P229)</f>
        <v>0</v>
      </c>
      <c r="Q233" s="244">
        <f>SUM([20]S!Q229)</f>
        <v>0</v>
      </c>
      <c r="R233" s="244">
        <f>SUM([20]S!R229)</f>
        <v>0</v>
      </c>
      <c r="S233" s="244">
        <f>SUM([20]S!S229)</f>
        <v>0</v>
      </c>
      <c r="T233" s="244">
        <f>SUM([20]S!T229)</f>
        <v>0</v>
      </c>
      <c r="U233" s="244">
        <f>SUM([20]S!U229)</f>
        <v>0</v>
      </c>
      <c r="V233" s="245">
        <f t="shared" si="46"/>
        <v>0</v>
      </c>
      <c r="W233" s="73">
        <f t="shared" si="41"/>
        <v>0</v>
      </c>
      <c r="X233" s="89"/>
      <c r="Y233" s="244">
        <f>SUM([20]S!Y229)</f>
        <v>0</v>
      </c>
      <c r="Z233" s="244">
        <f>SUM([20]S!Z229)</f>
        <v>0</v>
      </c>
      <c r="AA233" s="244">
        <f>SUM([20]S!AA229)</f>
        <v>0</v>
      </c>
      <c r="AB233" s="244">
        <f>SUM([20]S!AB229)</f>
        <v>0</v>
      </c>
      <c r="AC233" s="244">
        <f>SUM([20]S!AC229)</f>
        <v>0</v>
      </c>
      <c r="AD233" s="244">
        <f>SUM([20]S!AD229)</f>
        <v>0</v>
      </c>
      <c r="AE233" s="244">
        <f>SUM([20]S!AE229)</f>
        <v>0</v>
      </c>
      <c r="AF233" s="244">
        <f>SUM([20]S!AF229)</f>
        <v>0</v>
      </c>
      <c r="AG233" s="244">
        <f>SUM([20]S!AG229)</f>
        <v>0</v>
      </c>
      <c r="AH233" s="244">
        <f>SUM([20]S!AH229)</f>
        <v>0</v>
      </c>
      <c r="AI233" s="244">
        <f>SUM([20]S!AI229)</f>
        <v>0</v>
      </c>
      <c r="AJ233" s="244">
        <f>SUM([20]S!AJ229)</f>
        <v>0</v>
      </c>
      <c r="AK233" s="265">
        <v>3436834.1552043082</v>
      </c>
      <c r="AL233" s="73">
        <v>8.5888714531785575E-4</v>
      </c>
      <c r="AM233" s="123">
        <v>8.6286907835201987E-2</v>
      </c>
      <c r="AN233" s="89"/>
      <c r="AO233" s="265">
        <v>3436834.1552043082</v>
      </c>
      <c r="AP233" s="73">
        <v>7.7975072713957615E-4</v>
      </c>
      <c r="AQ233" s="123">
        <v>8.6286907835201987E-2</v>
      </c>
    </row>
    <row r="234" spans="1:43" ht="15" customHeight="1" outlineLevel="1">
      <c r="A234" s="12" t="s">
        <v>208</v>
      </c>
      <c r="B234" s="8" t="s">
        <v>276</v>
      </c>
      <c r="I234" s="139" t="s">
        <v>224</v>
      </c>
      <c r="J234" s="244">
        <f>SUM([20]S!J230)</f>
        <v>0</v>
      </c>
      <c r="K234" s="244">
        <f>SUM([20]S!K230)</f>
        <v>0</v>
      </c>
      <c r="L234" s="244">
        <f>SUM([20]S!L230)</f>
        <v>0</v>
      </c>
      <c r="M234" s="244">
        <f>SUM([20]S!M230)</f>
        <v>0</v>
      </c>
      <c r="N234" s="244">
        <f>SUM([20]S!N230)</f>
        <v>0</v>
      </c>
      <c r="O234" s="244">
        <f>SUM([20]S!O230)</f>
        <v>0</v>
      </c>
      <c r="P234" s="244">
        <f>SUM([20]S!P230)</f>
        <v>0</v>
      </c>
      <c r="Q234" s="244">
        <f>SUM([20]S!Q230)</f>
        <v>0</v>
      </c>
      <c r="R234" s="244">
        <f>SUM([20]S!R230)</f>
        <v>0</v>
      </c>
      <c r="S234" s="244">
        <f>SUM([20]S!S230)</f>
        <v>0</v>
      </c>
      <c r="T234" s="244">
        <f>SUM([20]S!T230)</f>
        <v>0</v>
      </c>
      <c r="U234" s="244">
        <f>SUM([20]S!U230)</f>
        <v>0</v>
      </c>
      <c r="V234" s="245">
        <f t="shared" si="46"/>
        <v>0</v>
      </c>
      <c r="W234" s="73">
        <f t="shared" si="41"/>
        <v>0</v>
      </c>
      <c r="X234" s="89"/>
      <c r="Y234" s="244">
        <f>SUM([20]S!Y230)</f>
        <v>0</v>
      </c>
      <c r="Z234" s="244">
        <f>SUM([20]S!Z230)</f>
        <v>0</v>
      </c>
      <c r="AA234" s="244">
        <f>SUM([20]S!AA230)</f>
        <v>0</v>
      </c>
      <c r="AB234" s="244">
        <f>SUM([20]S!AB230)</f>
        <v>0</v>
      </c>
      <c r="AC234" s="244">
        <f>SUM([20]S!AC230)</f>
        <v>0</v>
      </c>
      <c r="AD234" s="244">
        <f>SUM([20]S!AD230)</f>
        <v>0</v>
      </c>
      <c r="AE234" s="244">
        <f>SUM([20]S!AE230)</f>
        <v>0</v>
      </c>
      <c r="AF234" s="244">
        <f>SUM([20]S!AF230)</f>
        <v>0</v>
      </c>
      <c r="AG234" s="244">
        <f>SUM([20]S!AG230)</f>
        <v>0</v>
      </c>
      <c r="AH234" s="244">
        <f>SUM([20]S!AH230)</f>
        <v>0</v>
      </c>
      <c r="AI234" s="244">
        <f>SUM([20]S!AI230)</f>
        <v>0</v>
      </c>
      <c r="AJ234" s="244">
        <f>SUM([20]S!AJ230)</f>
        <v>0</v>
      </c>
      <c r="AK234" s="265">
        <v>1331668.0742806348</v>
      </c>
      <c r="AL234" s="73">
        <v>3.3279248842946522E-4</v>
      </c>
      <c r="AM234" s="123">
        <v>-0.17252162507151803</v>
      </c>
      <c r="AN234" s="89"/>
      <c r="AO234" s="265">
        <v>1331668.0742806348</v>
      </c>
      <c r="AP234" s="73">
        <v>3.0212954781554086E-4</v>
      </c>
      <c r="AQ234" s="123">
        <v>-0.17252162507151803</v>
      </c>
    </row>
    <row r="235" spans="1:43">
      <c r="A235" s="12" t="s">
        <v>214</v>
      </c>
      <c r="B235" s="8" t="s">
        <v>276</v>
      </c>
      <c r="I235" s="120" t="s">
        <v>225</v>
      </c>
      <c r="J235" s="241">
        <f t="shared" ref="J235:V235" si="49">SUM(J236:J240)</f>
        <v>0</v>
      </c>
      <c r="K235" s="241">
        <f t="shared" si="49"/>
        <v>0</v>
      </c>
      <c r="L235" s="241">
        <f t="shared" si="49"/>
        <v>0</v>
      </c>
      <c r="M235" s="241">
        <f t="shared" si="49"/>
        <v>0</v>
      </c>
      <c r="N235" s="241">
        <f t="shared" si="49"/>
        <v>0</v>
      </c>
      <c r="O235" s="241">
        <f t="shared" si="49"/>
        <v>0</v>
      </c>
      <c r="P235" s="241">
        <f t="shared" si="49"/>
        <v>0</v>
      </c>
      <c r="Q235" s="241">
        <f t="shared" si="49"/>
        <v>0</v>
      </c>
      <c r="R235" s="241">
        <f t="shared" si="49"/>
        <v>0</v>
      </c>
      <c r="S235" s="241">
        <f t="shared" si="49"/>
        <v>0</v>
      </c>
      <c r="T235" s="241">
        <f t="shared" si="49"/>
        <v>0</v>
      </c>
      <c r="U235" s="241">
        <f t="shared" si="49"/>
        <v>0</v>
      </c>
      <c r="V235" s="241">
        <f t="shared" si="49"/>
        <v>0</v>
      </c>
      <c r="W235" s="72">
        <f t="shared" si="41"/>
        <v>0</v>
      </c>
      <c r="X235" s="89"/>
      <c r="Y235" s="241">
        <f t="shared" ref="Y235:AJ235" si="50">SUM(Y236:Y240)</f>
        <v>0</v>
      </c>
      <c r="Z235" s="241">
        <f t="shared" si="50"/>
        <v>0</v>
      </c>
      <c r="AA235" s="241">
        <f t="shared" si="50"/>
        <v>0</v>
      </c>
      <c r="AB235" s="241">
        <f t="shared" si="50"/>
        <v>0</v>
      </c>
      <c r="AC235" s="241">
        <f t="shared" si="50"/>
        <v>0</v>
      </c>
      <c r="AD235" s="241">
        <f t="shared" si="50"/>
        <v>0</v>
      </c>
      <c r="AE235" s="241">
        <f t="shared" si="50"/>
        <v>0</v>
      </c>
      <c r="AF235" s="241">
        <f t="shared" si="50"/>
        <v>0</v>
      </c>
      <c r="AG235" s="241">
        <f t="shared" si="50"/>
        <v>0</v>
      </c>
      <c r="AH235" s="241">
        <f t="shared" si="50"/>
        <v>0</v>
      </c>
      <c r="AI235" s="241">
        <f t="shared" si="50"/>
        <v>0</v>
      </c>
      <c r="AJ235" s="241">
        <f t="shared" si="50"/>
        <v>0</v>
      </c>
      <c r="AK235" s="263">
        <v>1311343.0660000001</v>
      </c>
      <c r="AL235" s="72">
        <v>3.2771313704025679E-4</v>
      </c>
      <c r="AM235" s="123">
        <v>2.3156191655586911E-2</v>
      </c>
      <c r="AN235" s="89"/>
      <c r="AO235" s="263">
        <v>1311343.0660000001</v>
      </c>
      <c r="AP235" s="72">
        <v>2.9751819932729803E-4</v>
      </c>
      <c r="AQ235" s="123">
        <v>2.3156191655586911E-2</v>
      </c>
    </row>
    <row r="236" spans="1:43" ht="15" customHeight="1" outlineLevel="1">
      <c r="A236" s="12" t="s">
        <v>214</v>
      </c>
      <c r="B236" s="8" t="s">
        <v>276</v>
      </c>
      <c r="I236" s="139" t="s">
        <v>236</v>
      </c>
      <c r="J236" s="244">
        <f>SUM([20]S!J232)</f>
        <v>0</v>
      </c>
      <c r="K236" s="244">
        <f>SUM([20]S!K232)</f>
        <v>0</v>
      </c>
      <c r="L236" s="244">
        <f>SUM([20]S!L232)</f>
        <v>0</v>
      </c>
      <c r="M236" s="244">
        <f>SUM([20]S!M232)</f>
        <v>0</v>
      </c>
      <c r="N236" s="244">
        <f>SUM([20]S!N232)</f>
        <v>0</v>
      </c>
      <c r="O236" s="244">
        <f>SUM([20]S!O232)</f>
        <v>0</v>
      </c>
      <c r="P236" s="244">
        <f>SUM([20]S!P232)</f>
        <v>0</v>
      </c>
      <c r="Q236" s="244">
        <f>SUM([20]S!Q232)</f>
        <v>0</v>
      </c>
      <c r="R236" s="244">
        <f>SUM([20]S!R232)</f>
        <v>0</v>
      </c>
      <c r="S236" s="244">
        <f>SUM([20]S!S232)</f>
        <v>0</v>
      </c>
      <c r="T236" s="244">
        <f>SUM([20]S!T232)</f>
        <v>0</v>
      </c>
      <c r="U236" s="244">
        <f>SUM([20]S!U232)</f>
        <v>0</v>
      </c>
      <c r="V236" s="245">
        <f t="shared" ref="V236:V244" si="51">SUM(J236:U236)</f>
        <v>0</v>
      </c>
      <c r="W236" s="73">
        <f t="shared" si="41"/>
        <v>0</v>
      </c>
      <c r="X236" s="89"/>
      <c r="Y236" s="244">
        <f>SUM([20]S!Y232)</f>
        <v>0</v>
      </c>
      <c r="Z236" s="244">
        <f>SUM([20]S!Z232)</f>
        <v>0</v>
      </c>
      <c r="AA236" s="244">
        <f>SUM([20]S!AA232)</f>
        <v>0</v>
      </c>
      <c r="AB236" s="244">
        <f>SUM([20]S!AB232)</f>
        <v>0</v>
      </c>
      <c r="AC236" s="244">
        <f>SUM([20]S!AC232)</f>
        <v>0</v>
      </c>
      <c r="AD236" s="244">
        <f>SUM([20]S!AD232)</f>
        <v>0</v>
      </c>
      <c r="AE236" s="244">
        <f>SUM([20]S!AE232)</f>
        <v>0</v>
      </c>
      <c r="AF236" s="244">
        <f>SUM([20]S!AF232)</f>
        <v>0</v>
      </c>
      <c r="AG236" s="244">
        <f>SUM([20]S!AG232)</f>
        <v>0</v>
      </c>
      <c r="AH236" s="244">
        <f>SUM([20]S!AH232)</f>
        <v>0</v>
      </c>
      <c r="AI236" s="244">
        <f>SUM([20]S!AI232)</f>
        <v>0</v>
      </c>
      <c r="AJ236" s="244">
        <f>SUM([20]S!AJ232)</f>
        <v>0</v>
      </c>
      <c r="AK236" s="245">
        <v>274128.72000000003</v>
      </c>
      <c r="AL236" s="73">
        <v>6.8506545017282442E-5</v>
      </c>
      <c r="AM236" s="14">
        <v>5.9982190994154028E-2</v>
      </c>
      <c r="AN236" s="89"/>
      <c r="AO236" s="245">
        <v>274128.72000000003</v>
      </c>
      <c r="AP236" s="73">
        <v>6.2194467087148251E-5</v>
      </c>
      <c r="AQ236" s="14">
        <v>5.9982190994154028E-2</v>
      </c>
    </row>
    <row r="237" spans="1:43" ht="15" customHeight="1" outlineLevel="1">
      <c r="A237" s="12" t="s">
        <v>214</v>
      </c>
      <c r="B237" s="8" t="s">
        <v>276</v>
      </c>
      <c r="I237" s="139" t="s">
        <v>227</v>
      </c>
      <c r="J237" s="244">
        <f>SUM([20]S!J233)</f>
        <v>0</v>
      </c>
      <c r="K237" s="244">
        <f>SUM([20]S!K233)</f>
        <v>0</v>
      </c>
      <c r="L237" s="244">
        <f>SUM([20]S!L233)</f>
        <v>0</v>
      </c>
      <c r="M237" s="244">
        <f>SUM([20]S!M233)</f>
        <v>0</v>
      </c>
      <c r="N237" s="244">
        <f>SUM([20]S!N233)</f>
        <v>0</v>
      </c>
      <c r="O237" s="244">
        <f>SUM([20]S!O233)</f>
        <v>0</v>
      </c>
      <c r="P237" s="244">
        <f>SUM([20]S!P233)</f>
        <v>0</v>
      </c>
      <c r="Q237" s="244">
        <f>SUM([20]S!Q233)</f>
        <v>0</v>
      </c>
      <c r="R237" s="244">
        <f>SUM([20]S!R233)</f>
        <v>0</v>
      </c>
      <c r="S237" s="244">
        <f>SUM([20]S!S233)</f>
        <v>0</v>
      </c>
      <c r="T237" s="244">
        <f>SUM([20]S!T233)</f>
        <v>0</v>
      </c>
      <c r="U237" s="244">
        <f>SUM([20]S!U233)</f>
        <v>0</v>
      </c>
      <c r="V237" s="245">
        <f t="shared" si="51"/>
        <v>0</v>
      </c>
      <c r="W237" s="73">
        <f t="shared" ref="W237:W259" si="52">V237/V$6</f>
        <v>0</v>
      </c>
      <c r="X237" s="89"/>
      <c r="Y237" s="244">
        <f>SUM([20]S!Y233)</f>
        <v>0</v>
      </c>
      <c r="Z237" s="244">
        <f>SUM([20]S!Z233)</f>
        <v>0</v>
      </c>
      <c r="AA237" s="244">
        <f>SUM([20]S!AA233)</f>
        <v>0</v>
      </c>
      <c r="AB237" s="244">
        <f>SUM([20]S!AB233)</f>
        <v>0</v>
      </c>
      <c r="AC237" s="244">
        <f>SUM([20]S!AC233)</f>
        <v>0</v>
      </c>
      <c r="AD237" s="244">
        <f>SUM([20]S!AD233)</f>
        <v>0</v>
      </c>
      <c r="AE237" s="244">
        <f>SUM([20]S!AE233)</f>
        <v>0</v>
      </c>
      <c r="AF237" s="244">
        <f>SUM([20]S!AF233)</f>
        <v>0</v>
      </c>
      <c r="AG237" s="244">
        <f>SUM([20]S!AG233)</f>
        <v>0</v>
      </c>
      <c r="AH237" s="244">
        <f>SUM([20]S!AH233)</f>
        <v>0</v>
      </c>
      <c r="AI237" s="244">
        <f>SUM([20]S!AI233)</f>
        <v>0</v>
      </c>
      <c r="AJ237" s="244">
        <f>SUM([20]S!AJ233)</f>
        <v>0</v>
      </c>
      <c r="AK237" s="245">
        <v>660511.44000000006</v>
      </c>
      <c r="AL237" s="73">
        <v>1.6506609266913022E-4</v>
      </c>
      <c r="AM237" s="14">
        <v>5.9998928304278554E-2</v>
      </c>
      <c r="AN237" s="89"/>
      <c r="AO237" s="245">
        <v>660511.44000000006</v>
      </c>
      <c r="AP237" s="73">
        <v>1.4985718029021146E-4</v>
      </c>
      <c r="AQ237" s="14">
        <v>5.9998928304278554E-2</v>
      </c>
    </row>
    <row r="238" spans="1:43" ht="15" customHeight="1" outlineLevel="1">
      <c r="A238" s="12" t="s">
        <v>214</v>
      </c>
      <c r="B238" s="8" t="s">
        <v>276</v>
      </c>
      <c r="I238" s="139" t="s">
        <v>292</v>
      </c>
      <c r="J238" s="244">
        <f>SUM([20]S!J234)</f>
        <v>0</v>
      </c>
      <c r="K238" s="244">
        <f>SUM([20]S!K234)</f>
        <v>0</v>
      </c>
      <c r="L238" s="244">
        <f>SUM([20]S!L234)</f>
        <v>0</v>
      </c>
      <c r="M238" s="244">
        <f>SUM([20]S!M234)</f>
        <v>0</v>
      </c>
      <c r="N238" s="244">
        <f>SUM([20]S!N234)</f>
        <v>0</v>
      </c>
      <c r="O238" s="244">
        <f>SUM([20]S!O234)</f>
        <v>0</v>
      </c>
      <c r="P238" s="244">
        <f>SUM([20]S!P234)</f>
        <v>0</v>
      </c>
      <c r="Q238" s="244">
        <f>SUM([20]S!Q234)</f>
        <v>0</v>
      </c>
      <c r="R238" s="244">
        <f>SUM([20]S!R234)</f>
        <v>0</v>
      </c>
      <c r="S238" s="244">
        <f>SUM([20]S!S234)</f>
        <v>0</v>
      </c>
      <c r="T238" s="244">
        <f>SUM([20]S!T234)</f>
        <v>0</v>
      </c>
      <c r="U238" s="244">
        <f>SUM([20]S!U234)</f>
        <v>0</v>
      </c>
      <c r="V238" s="245">
        <f t="shared" si="51"/>
        <v>0</v>
      </c>
      <c r="W238" s="73">
        <f t="shared" si="52"/>
        <v>0</v>
      </c>
      <c r="X238" s="89"/>
      <c r="Y238" s="244">
        <f>SUM([20]S!Y234)</f>
        <v>0</v>
      </c>
      <c r="Z238" s="244">
        <f>SUM([20]S!Z234)</f>
        <v>0</v>
      </c>
      <c r="AA238" s="244">
        <f>SUM([20]S!AA234)</f>
        <v>0</v>
      </c>
      <c r="AB238" s="244">
        <f>SUM([20]S!AB234)</f>
        <v>0</v>
      </c>
      <c r="AC238" s="244">
        <f>SUM([20]S!AC234)</f>
        <v>0</v>
      </c>
      <c r="AD238" s="244">
        <f>SUM([20]S!AD234)</f>
        <v>0</v>
      </c>
      <c r="AE238" s="244">
        <f>SUM([20]S!AE234)</f>
        <v>0</v>
      </c>
      <c r="AF238" s="244">
        <f>SUM([20]S!AF234)</f>
        <v>0</v>
      </c>
      <c r="AG238" s="244">
        <f>SUM([20]S!AG234)</f>
        <v>0</v>
      </c>
      <c r="AH238" s="244">
        <f>SUM([20]S!AH234)</f>
        <v>0</v>
      </c>
      <c r="AI238" s="244">
        <f>SUM([20]S!AI234)</f>
        <v>0</v>
      </c>
      <c r="AJ238" s="244">
        <f>SUM([20]S!AJ234)</f>
        <v>0</v>
      </c>
      <c r="AK238" s="245">
        <v>73330.906000000017</v>
      </c>
      <c r="AL238" s="73">
        <v>1.8325869004338938E-5</v>
      </c>
      <c r="AM238" s="14">
        <v>6.0000000000000053E-2</v>
      </c>
      <c r="AN238" s="89"/>
      <c r="AO238" s="245">
        <v>73330.906000000017</v>
      </c>
      <c r="AP238" s="73">
        <v>1.6637354231573263E-5</v>
      </c>
      <c r="AQ238" s="14">
        <v>6.0000000000000053E-2</v>
      </c>
    </row>
    <row r="239" spans="1:43" ht="15" customHeight="1" outlineLevel="1">
      <c r="A239" s="12" t="s">
        <v>214</v>
      </c>
      <c r="B239" s="8" t="s">
        <v>276</v>
      </c>
      <c r="I239" s="139" t="s">
        <v>226</v>
      </c>
      <c r="J239" s="244">
        <f>SUM([20]S!J235)</f>
        <v>0</v>
      </c>
      <c r="K239" s="244">
        <f>SUM([20]S!K235)</f>
        <v>0</v>
      </c>
      <c r="L239" s="244">
        <f>SUM([20]S!L235)</f>
        <v>0</v>
      </c>
      <c r="M239" s="244">
        <f>SUM([20]S!M235)</f>
        <v>0</v>
      </c>
      <c r="N239" s="244">
        <f>SUM([20]S!N235)</f>
        <v>0</v>
      </c>
      <c r="O239" s="244">
        <f>SUM([20]S!O235)</f>
        <v>0</v>
      </c>
      <c r="P239" s="244">
        <f>SUM([20]S!P235)</f>
        <v>0</v>
      </c>
      <c r="Q239" s="244">
        <f>SUM([20]S!Q235)</f>
        <v>0</v>
      </c>
      <c r="R239" s="244">
        <f>SUM([20]S!R235)</f>
        <v>0</v>
      </c>
      <c r="S239" s="244">
        <f>SUM([20]S!S235)</f>
        <v>0</v>
      </c>
      <c r="T239" s="244">
        <f>SUM([20]S!T235)</f>
        <v>0</v>
      </c>
      <c r="U239" s="244">
        <f>SUM([20]S!U235)</f>
        <v>0</v>
      </c>
      <c r="V239" s="245">
        <f t="shared" si="51"/>
        <v>0</v>
      </c>
      <c r="W239" s="73">
        <f t="shared" si="52"/>
        <v>0</v>
      </c>
      <c r="X239" s="89"/>
      <c r="Y239" s="244">
        <f>SUM([20]S!Y235)</f>
        <v>0</v>
      </c>
      <c r="Z239" s="244">
        <f>SUM([20]S!Z235)</f>
        <v>0</v>
      </c>
      <c r="AA239" s="244">
        <f>SUM([20]S!AA235)</f>
        <v>0</v>
      </c>
      <c r="AB239" s="244">
        <f>SUM([20]S!AB235)</f>
        <v>0</v>
      </c>
      <c r="AC239" s="244">
        <f>SUM([20]S!AC235)</f>
        <v>0</v>
      </c>
      <c r="AD239" s="244">
        <f>SUM([20]S!AD235)</f>
        <v>0</v>
      </c>
      <c r="AE239" s="244">
        <f>SUM([20]S!AE235)</f>
        <v>0</v>
      </c>
      <c r="AF239" s="244">
        <f>SUM([20]S!AF235)</f>
        <v>0</v>
      </c>
      <c r="AG239" s="244">
        <f>SUM([20]S!AG235)</f>
        <v>0</v>
      </c>
      <c r="AH239" s="244">
        <f>SUM([20]S!AH235)</f>
        <v>0</v>
      </c>
      <c r="AI239" s="244">
        <f>SUM([20]S!AI235)</f>
        <v>0</v>
      </c>
      <c r="AJ239" s="244">
        <f>SUM([20]S!AJ235)</f>
        <v>0</v>
      </c>
      <c r="AK239" s="245">
        <v>303372</v>
      </c>
      <c r="AL239" s="73">
        <v>7.581463034950518E-5</v>
      </c>
      <c r="AM239" s="14">
        <v>6.021445078461185E-2</v>
      </c>
      <c r="AN239" s="89"/>
      <c r="AO239" s="245">
        <v>303372</v>
      </c>
      <c r="AP239" s="73">
        <v>6.8829197718365065E-5</v>
      </c>
      <c r="AQ239" s="14">
        <v>6.021445078461185E-2</v>
      </c>
    </row>
    <row r="240" spans="1:43" ht="15" customHeight="1" outlineLevel="1">
      <c r="A240" s="12" t="s">
        <v>214</v>
      </c>
      <c r="B240" s="8" t="s">
        <v>276</v>
      </c>
      <c r="I240" s="139" t="s">
        <v>233</v>
      </c>
      <c r="J240" s="244">
        <f>SUM([20]S!J236)</f>
        <v>0</v>
      </c>
      <c r="K240" s="244">
        <f>SUM([20]S!K236)</f>
        <v>0</v>
      </c>
      <c r="L240" s="244">
        <f>SUM([20]S!L236)</f>
        <v>0</v>
      </c>
      <c r="M240" s="244">
        <f>SUM([20]S!M236)</f>
        <v>0</v>
      </c>
      <c r="N240" s="244">
        <f>SUM([20]S!N236)</f>
        <v>0</v>
      </c>
      <c r="O240" s="244">
        <f>SUM([20]S!O236)</f>
        <v>0</v>
      </c>
      <c r="P240" s="244">
        <f>SUM([20]S!P236)</f>
        <v>0</v>
      </c>
      <c r="Q240" s="244">
        <f>SUM([20]S!Q236)</f>
        <v>0</v>
      </c>
      <c r="R240" s="244">
        <f>SUM([20]S!R236)</f>
        <v>0</v>
      </c>
      <c r="S240" s="244">
        <f>SUM([20]S!S236)</f>
        <v>0</v>
      </c>
      <c r="T240" s="244">
        <f>SUM([20]S!T236)</f>
        <v>0</v>
      </c>
      <c r="U240" s="244">
        <f>SUM([20]S!U236)</f>
        <v>0</v>
      </c>
      <c r="V240" s="245">
        <f t="shared" si="51"/>
        <v>0</v>
      </c>
      <c r="W240" s="73">
        <f t="shared" si="52"/>
        <v>0</v>
      </c>
      <c r="X240" s="89"/>
      <c r="Y240" s="244">
        <f>SUM([20]S!Y236)</f>
        <v>0</v>
      </c>
      <c r="Z240" s="244">
        <f>SUM([20]S!Z236)</f>
        <v>0</v>
      </c>
      <c r="AA240" s="244">
        <f>SUM([20]S!AA236)</f>
        <v>0</v>
      </c>
      <c r="AB240" s="244">
        <f>SUM([20]S!AB236)</f>
        <v>0</v>
      </c>
      <c r="AC240" s="244">
        <f>SUM([20]S!AC236)</f>
        <v>0</v>
      </c>
      <c r="AD240" s="244">
        <f>SUM([20]S!AD236)</f>
        <v>0</v>
      </c>
      <c r="AE240" s="244">
        <f>SUM([20]S!AE236)</f>
        <v>0</v>
      </c>
      <c r="AF240" s="244">
        <f>SUM([20]S!AF236)</f>
        <v>0</v>
      </c>
      <c r="AG240" s="244">
        <f>SUM([20]S!AG236)</f>
        <v>0</v>
      </c>
      <c r="AH240" s="244">
        <f>SUM([20]S!AH236)</f>
        <v>0</v>
      </c>
      <c r="AI240" s="244">
        <f>SUM([20]S!AI236)</f>
        <v>0</v>
      </c>
      <c r="AJ240" s="244">
        <f>SUM([20]S!AJ236)</f>
        <v>0</v>
      </c>
      <c r="AK240" s="245">
        <v>0</v>
      </c>
      <c r="AL240" s="73">
        <v>0</v>
      </c>
      <c r="AM240" s="14">
        <v>-1</v>
      </c>
      <c r="AN240" s="89"/>
      <c r="AO240" s="245">
        <v>0</v>
      </c>
      <c r="AP240" s="73">
        <v>0</v>
      </c>
      <c r="AQ240" s="14">
        <v>-1</v>
      </c>
    </row>
    <row r="241" spans="1:43" ht="15" customHeight="1" outlineLevel="1">
      <c r="A241" s="12"/>
      <c r="I241" s="139" t="s">
        <v>231</v>
      </c>
      <c r="J241" s="244">
        <f>SUM([20]S!J237)</f>
        <v>0</v>
      </c>
      <c r="K241" s="244">
        <f>SUM([20]S!K237)</f>
        <v>0</v>
      </c>
      <c r="L241" s="244">
        <f>SUM([20]S!L237)</f>
        <v>0</v>
      </c>
      <c r="M241" s="244">
        <f>SUM([20]S!M237)</f>
        <v>0</v>
      </c>
      <c r="N241" s="244">
        <f>SUM([20]S!N237)</f>
        <v>0</v>
      </c>
      <c r="O241" s="244">
        <f>SUM([20]S!O237)</f>
        <v>0</v>
      </c>
      <c r="P241" s="244">
        <f>SUM([20]S!P237)</f>
        <v>0</v>
      </c>
      <c r="Q241" s="244">
        <f>SUM([20]S!Q237)</f>
        <v>0</v>
      </c>
      <c r="R241" s="244">
        <f>SUM([20]S!R237)</f>
        <v>0</v>
      </c>
      <c r="S241" s="244">
        <f>SUM([20]S!S237)</f>
        <v>0</v>
      </c>
      <c r="T241" s="244">
        <f>SUM([20]S!T237)</f>
        <v>0</v>
      </c>
      <c r="U241" s="244">
        <f>SUM([20]S!U237)</f>
        <v>0</v>
      </c>
      <c r="V241" s="245">
        <f t="shared" si="51"/>
        <v>0</v>
      </c>
      <c r="W241" s="73">
        <f t="shared" si="52"/>
        <v>0</v>
      </c>
      <c r="X241" s="89"/>
      <c r="Y241" s="244">
        <f>SUM([20]S!Y237)</f>
        <v>0</v>
      </c>
      <c r="Z241" s="244">
        <f>SUM([20]S!Z237)</f>
        <v>0</v>
      </c>
      <c r="AA241" s="244">
        <f>SUM([20]S!AA237)</f>
        <v>0</v>
      </c>
      <c r="AB241" s="244">
        <f>SUM([20]S!AB237)</f>
        <v>0</v>
      </c>
      <c r="AC241" s="244">
        <f>SUM([20]S!AC237)</f>
        <v>0</v>
      </c>
      <c r="AD241" s="244">
        <f>SUM([20]S!AD237)</f>
        <v>0</v>
      </c>
      <c r="AE241" s="244">
        <f>SUM([20]S!AE237)</f>
        <v>0</v>
      </c>
      <c r="AF241" s="244">
        <f>SUM([20]S!AF237)</f>
        <v>0</v>
      </c>
      <c r="AG241" s="244">
        <f>SUM([20]S!AG237)</f>
        <v>0</v>
      </c>
      <c r="AH241" s="244">
        <f>SUM([20]S!AH237)</f>
        <v>0</v>
      </c>
      <c r="AI241" s="244">
        <f>SUM([20]S!AI237)</f>
        <v>0</v>
      </c>
      <c r="AJ241" s="244">
        <f>SUM([20]S!AJ237)</f>
        <v>0</v>
      </c>
      <c r="AK241" s="245">
        <v>0</v>
      </c>
      <c r="AL241" s="73">
        <v>0</v>
      </c>
      <c r="AM241" s="14">
        <v>-1</v>
      </c>
      <c r="AN241" s="89"/>
      <c r="AO241" s="245">
        <v>0</v>
      </c>
      <c r="AP241" s="73">
        <v>0</v>
      </c>
      <c r="AQ241" s="14">
        <v>-1</v>
      </c>
    </row>
    <row r="242" spans="1:43" ht="15" customHeight="1" outlineLevel="1">
      <c r="A242" s="12"/>
      <c r="I242" s="139" t="s">
        <v>232</v>
      </c>
      <c r="J242" s="244">
        <f>SUM([20]S!J238)</f>
        <v>0</v>
      </c>
      <c r="K242" s="244">
        <f>SUM([20]S!K238)</f>
        <v>0</v>
      </c>
      <c r="L242" s="244">
        <f>SUM([20]S!L238)</f>
        <v>0</v>
      </c>
      <c r="M242" s="244">
        <f>SUM([20]S!M238)</f>
        <v>0</v>
      </c>
      <c r="N242" s="244">
        <f>SUM([20]S!N238)</f>
        <v>0</v>
      </c>
      <c r="O242" s="244">
        <f>SUM([20]S!O238)</f>
        <v>0</v>
      </c>
      <c r="P242" s="244">
        <f>SUM([20]S!P238)</f>
        <v>0</v>
      </c>
      <c r="Q242" s="244">
        <f>SUM([20]S!Q238)</f>
        <v>0</v>
      </c>
      <c r="R242" s="244">
        <f>SUM([20]S!R238)</f>
        <v>0</v>
      </c>
      <c r="S242" s="244">
        <f>SUM([20]S!S238)</f>
        <v>0</v>
      </c>
      <c r="T242" s="244">
        <f>SUM([20]S!T238)</f>
        <v>0</v>
      </c>
      <c r="U242" s="244">
        <f>SUM([20]S!U238)</f>
        <v>0</v>
      </c>
      <c r="V242" s="245">
        <f t="shared" si="51"/>
        <v>0</v>
      </c>
      <c r="W242" s="73">
        <f t="shared" si="52"/>
        <v>0</v>
      </c>
      <c r="X242" s="89"/>
      <c r="Y242" s="244">
        <f>SUM([20]S!Y238)</f>
        <v>0</v>
      </c>
      <c r="Z242" s="244">
        <f>SUM([20]S!Z238)</f>
        <v>0</v>
      </c>
      <c r="AA242" s="244">
        <f>SUM([20]S!AA238)</f>
        <v>0</v>
      </c>
      <c r="AB242" s="244">
        <f>SUM([20]S!AB238)</f>
        <v>0</v>
      </c>
      <c r="AC242" s="244">
        <f>SUM([20]S!AC238)</f>
        <v>0</v>
      </c>
      <c r="AD242" s="244">
        <f>SUM([20]S!AD238)</f>
        <v>0</v>
      </c>
      <c r="AE242" s="244">
        <f>SUM([20]S!AE238)</f>
        <v>0</v>
      </c>
      <c r="AF242" s="244">
        <f>SUM([20]S!AF238)</f>
        <v>0</v>
      </c>
      <c r="AG242" s="244">
        <f>SUM([20]S!AG238)</f>
        <v>0</v>
      </c>
      <c r="AH242" s="244">
        <f>SUM([20]S!AH238)</f>
        <v>0</v>
      </c>
      <c r="AI242" s="244">
        <f>SUM([20]S!AI238)</f>
        <v>0</v>
      </c>
      <c r="AJ242" s="244">
        <f>SUM([20]S!AJ238)</f>
        <v>0</v>
      </c>
      <c r="AK242" s="245">
        <v>0</v>
      </c>
      <c r="AL242" s="73">
        <v>0</v>
      </c>
      <c r="AM242" s="14">
        <v>0</v>
      </c>
      <c r="AN242" s="89"/>
      <c r="AO242" s="245">
        <v>0</v>
      </c>
      <c r="AP242" s="73">
        <v>0</v>
      </c>
      <c r="AQ242" s="14">
        <v>0</v>
      </c>
    </row>
    <row r="243" spans="1:43" ht="15" customHeight="1" outlineLevel="1">
      <c r="A243" s="12"/>
      <c r="I243" s="139" t="s">
        <v>230</v>
      </c>
      <c r="J243" s="244">
        <f>SUM([20]S!J239)</f>
        <v>0</v>
      </c>
      <c r="K243" s="244">
        <f>SUM([20]S!K239)</f>
        <v>0</v>
      </c>
      <c r="L243" s="244">
        <f>SUM([20]S!L239)</f>
        <v>0</v>
      </c>
      <c r="M243" s="244">
        <f>SUM([20]S!M239)</f>
        <v>0</v>
      </c>
      <c r="N243" s="244">
        <f>SUM([20]S!N239)</f>
        <v>0</v>
      </c>
      <c r="O243" s="244">
        <f>SUM([20]S!O239)</f>
        <v>0</v>
      </c>
      <c r="P243" s="244">
        <f>SUM([20]S!P239)</f>
        <v>0</v>
      </c>
      <c r="Q243" s="244">
        <f>SUM([20]S!Q239)</f>
        <v>0</v>
      </c>
      <c r="R243" s="244">
        <f>SUM([20]S!R239)</f>
        <v>0</v>
      </c>
      <c r="S243" s="244">
        <f>SUM([20]S!S239)</f>
        <v>0</v>
      </c>
      <c r="T243" s="244">
        <f>SUM([20]S!T239)</f>
        <v>0</v>
      </c>
      <c r="U243" s="244">
        <f>SUM([20]S!U239)</f>
        <v>0</v>
      </c>
      <c r="V243" s="245">
        <f t="shared" si="51"/>
        <v>0</v>
      </c>
      <c r="W243" s="73">
        <f t="shared" si="52"/>
        <v>0</v>
      </c>
      <c r="X243" s="89"/>
      <c r="Y243" s="244">
        <f>SUM([20]S!Y239)</f>
        <v>0</v>
      </c>
      <c r="Z243" s="244">
        <f>SUM([20]S!Z239)</f>
        <v>0</v>
      </c>
      <c r="AA243" s="244">
        <f>SUM([20]S!AA239)</f>
        <v>0</v>
      </c>
      <c r="AB243" s="244">
        <f>SUM([20]S!AB239)</f>
        <v>0</v>
      </c>
      <c r="AC243" s="244">
        <f>SUM([20]S!AC239)</f>
        <v>0</v>
      </c>
      <c r="AD243" s="244">
        <f>SUM([20]S!AD239)</f>
        <v>0</v>
      </c>
      <c r="AE243" s="244">
        <f>SUM([20]S!AE239)</f>
        <v>0</v>
      </c>
      <c r="AF243" s="244">
        <f>SUM([20]S!AF239)</f>
        <v>0</v>
      </c>
      <c r="AG243" s="244">
        <f>SUM([20]S!AG239)</f>
        <v>0</v>
      </c>
      <c r="AH243" s="244">
        <f>SUM([20]S!AH239)</f>
        <v>0</v>
      </c>
      <c r="AI243" s="244">
        <f>SUM([20]S!AI239)</f>
        <v>0</v>
      </c>
      <c r="AJ243" s="244">
        <f>SUM([20]S!AJ239)</f>
        <v>0</v>
      </c>
      <c r="AK243" s="245">
        <v>0</v>
      </c>
      <c r="AL243" s="73">
        <v>0</v>
      </c>
      <c r="AM243" s="14">
        <v>0</v>
      </c>
      <c r="AN243" s="89"/>
      <c r="AO243" s="245">
        <v>0</v>
      </c>
      <c r="AP243" s="73">
        <v>0</v>
      </c>
      <c r="AQ243" s="14">
        <v>0</v>
      </c>
    </row>
    <row r="244" spans="1:43" ht="15" customHeight="1" outlineLevel="1">
      <c r="A244" s="12"/>
      <c r="I244" s="139" t="s">
        <v>91</v>
      </c>
      <c r="J244" s="244">
        <f>SUM([20]S!J240)</f>
        <v>0</v>
      </c>
      <c r="K244" s="244">
        <f>SUM([20]S!K240)</f>
        <v>0</v>
      </c>
      <c r="L244" s="244">
        <f>SUM([20]S!L240)</f>
        <v>0</v>
      </c>
      <c r="M244" s="244">
        <f>SUM([20]S!M240)</f>
        <v>0</v>
      </c>
      <c r="N244" s="244">
        <f>SUM([20]S!N240)</f>
        <v>0</v>
      </c>
      <c r="O244" s="244">
        <f>SUM([20]S!O240)</f>
        <v>0</v>
      </c>
      <c r="P244" s="244">
        <f>SUM([20]S!P240)</f>
        <v>0</v>
      </c>
      <c r="Q244" s="244">
        <f>SUM([20]S!Q240)</f>
        <v>0</v>
      </c>
      <c r="R244" s="244">
        <f>SUM([20]S!R240)</f>
        <v>0</v>
      </c>
      <c r="S244" s="244">
        <f>SUM([20]S!S240)</f>
        <v>0</v>
      </c>
      <c r="T244" s="244">
        <f>SUM([20]S!T240)</f>
        <v>0</v>
      </c>
      <c r="U244" s="244">
        <f>SUM([20]S!U240)</f>
        <v>0</v>
      </c>
      <c r="V244" s="245">
        <f t="shared" si="51"/>
        <v>0</v>
      </c>
      <c r="W244" s="73">
        <f t="shared" si="52"/>
        <v>0</v>
      </c>
      <c r="X244" s="89"/>
      <c r="Y244" s="244">
        <f>SUM([20]S!Y240)</f>
        <v>0</v>
      </c>
      <c r="Z244" s="244">
        <f>SUM([20]S!Z240)</f>
        <v>0</v>
      </c>
      <c r="AA244" s="244">
        <f>SUM([20]S!AA240)</f>
        <v>0</v>
      </c>
      <c r="AB244" s="244">
        <f>SUM([20]S!AB240)</f>
        <v>0</v>
      </c>
      <c r="AC244" s="244">
        <f>SUM([20]S!AC240)</f>
        <v>0</v>
      </c>
      <c r="AD244" s="244">
        <f>SUM([20]S!AD240)</f>
        <v>0</v>
      </c>
      <c r="AE244" s="244">
        <f>SUM([20]S!AE240)</f>
        <v>0</v>
      </c>
      <c r="AF244" s="244">
        <f>SUM([20]S!AF240)</f>
        <v>0</v>
      </c>
      <c r="AG244" s="244">
        <f>SUM([20]S!AG240)</f>
        <v>0</v>
      </c>
      <c r="AH244" s="244">
        <f>SUM([20]S!AH240)</f>
        <v>0</v>
      </c>
      <c r="AI244" s="244">
        <f>SUM([20]S!AI240)</f>
        <v>0</v>
      </c>
      <c r="AJ244" s="244">
        <f>SUM([20]S!AJ240)</f>
        <v>0</v>
      </c>
      <c r="AK244" s="245">
        <v>0</v>
      </c>
      <c r="AL244" s="73">
        <v>0</v>
      </c>
      <c r="AM244" s="14">
        <v>0</v>
      </c>
      <c r="AN244" s="89"/>
      <c r="AO244" s="245">
        <v>0</v>
      </c>
      <c r="AP244" s="73">
        <v>0</v>
      </c>
      <c r="AQ244" s="14">
        <v>0</v>
      </c>
    </row>
    <row r="245" spans="1:43">
      <c r="A245" s="12" t="s">
        <v>240</v>
      </c>
      <c r="B245" s="8" t="s">
        <v>276</v>
      </c>
      <c r="E245" s="1"/>
      <c r="I245" s="121" t="s">
        <v>263</v>
      </c>
      <c r="J245" s="241">
        <f t="shared" ref="J245:U245" si="53">SUM(J246:J251)</f>
        <v>0</v>
      </c>
      <c r="K245" s="241">
        <f t="shared" si="53"/>
        <v>0</v>
      </c>
      <c r="L245" s="241">
        <f t="shared" si="53"/>
        <v>0</v>
      </c>
      <c r="M245" s="241">
        <f t="shared" si="53"/>
        <v>0</v>
      </c>
      <c r="N245" s="241">
        <f t="shared" si="53"/>
        <v>0</v>
      </c>
      <c r="O245" s="241">
        <f t="shared" si="53"/>
        <v>0</v>
      </c>
      <c r="P245" s="241">
        <f t="shared" si="53"/>
        <v>0</v>
      </c>
      <c r="Q245" s="241">
        <f t="shared" si="53"/>
        <v>0</v>
      </c>
      <c r="R245" s="241">
        <f t="shared" si="53"/>
        <v>0</v>
      </c>
      <c r="S245" s="241">
        <f t="shared" si="53"/>
        <v>0</v>
      </c>
      <c r="T245" s="241">
        <f t="shared" si="53"/>
        <v>0</v>
      </c>
      <c r="U245" s="241">
        <f t="shared" si="53"/>
        <v>0</v>
      </c>
      <c r="V245" s="241">
        <f>SUM(V246:V251)</f>
        <v>0</v>
      </c>
      <c r="W245" s="72">
        <f t="shared" si="52"/>
        <v>0</v>
      </c>
      <c r="X245" s="89"/>
      <c r="Y245" s="241">
        <f t="shared" ref="Y245:AJ245" si="54">SUM(Y246:Y251)</f>
        <v>0</v>
      </c>
      <c r="Z245" s="241">
        <f t="shared" si="54"/>
        <v>0</v>
      </c>
      <c r="AA245" s="241">
        <f t="shared" si="54"/>
        <v>0</v>
      </c>
      <c r="AB245" s="241">
        <f t="shared" si="54"/>
        <v>0</v>
      </c>
      <c r="AC245" s="241">
        <f t="shared" si="54"/>
        <v>0</v>
      </c>
      <c r="AD245" s="241">
        <f t="shared" si="54"/>
        <v>0</v>
      </c>
      <c r="AE245" s="241">
        <f t="shared" si="54"/>
        <v>0</v>
      </c>
      <c r="AF245" s="241">
        <f t="shared" si="54"/>
        <v>0</v>
      </c>
      <c r="AG245" s="241">
        <f t="shared" si="54"/>
        <v>0</v>
      </c>
      <c r="AH245" s="241">
        <f t="shared" si="54"/>
        <v>0</v>
      </c>
      <c r="AI245" s="241">
        <f t="shared" si="54"/>
        <v>0</v>
      </c>
      <c r="AJ245" s="241">
        <f t="shared" si="54"/>
        <v>0</v>
      </c>
      <c r="AK245" s="241">
        <v>5082417.8915999997</v>
      </c>
      <c r="AL245" s="72">
        <v>1.270129193641356E-3</v>
      </c>
      <c r="AM245" s="10">
        <v>6.3251574434852964E-2</v>
      </c>
      <c r="AN245" s="89"/>
      <c r="AO245" s="241">
        <v>5082417.8915999997</v>
      </c>
      <c r="AP245" s="72">
        <v>1.1531016242378746E-3</v>
      </c>
      <c r="AQ245" s="10">
        <v>6.3251574434852964E-2</v>
      </c>
    </row>
    <row r="246" spans="1:43" ht="15" customHeight="1" outlineLevel="1">
      <c r="A246" s="12" t="s">
        <v>240</v>
      </c>
      <c r="B246" s="8" t="s">
        <v>276</v>
      </c>
      <c r="E246" s="139" t="s">
        <v>270</v>
      </c>
      <c r="I246" s="139" t="s">
        <v>270</v>
      </c>
      <c r="J246" s="244">
        <f>SUM([20]S!J242)</f>
        <v>0</v>
      </c>
      <c r="K246" s="244">
        <f>SUM([20]S!K242)</f>
        <v>0</v>
      </c>
      <c r="L246" s="244">
        <f>SUM([20]S!L242)</f>
        <v>0</v>
      </c>
      <c r="M246" s="244">
        <f>SUM([20]S!M242)</f>
        <v>0</v>
      </c>
      <c r="N246" s="244">
        <f>SUM([20]S!N242)</f>
        <v>0</v>
      </c>
      <c r="O246" s="244">
        <f>SUM([20]S!O242)</f>
        <v>0</v>
      </c>
      <c r="P246" s="244">
        <f>SUM([20]S!P242)</f>
        <v>0</v>
      </c>
      <c r="Q246" s="244">
        <f>SUM([20]S!Q242)</f>
        <v>0</v>
      </c>
      <c r="R246" s="244">
        <f>SUM([20]S!R242)</f>
        <v>0</v>
      </c>
      <c r="S246" s="244">
        <f>SUM([20]S!S242)</f>
        <v>0</v>
      </c>
      <c r="T246" s="244">
        <f>SUM([20]S!T242)</f>
        <v>0</v>
      </c>
      <c r="U246" s="244">
        <f>SUM([20]S!U242)</f>
        <v>0</v>
      </c>
      <c r="V246" s="245">
        <f t="shared" ref="V246:V251" si="55">SUM(J246:U246)</f>
        <v>0</v>
      </c>
      <c r="W246" s="73">
        <f t="shared" si="52"/>
        <v>0</v>
      </c>
      <c r="X246" s="89"/>
      <c r="Y246" s="244">
        <f>SUM([20]S!Y242)</f>
        <v>0</v>
      </c>
      <c r="Z246" s="244">
        <f>SUM([20]S!Z242)</f>
        <v>0</v>
      </c>
      <c r="AA246" s="244">
        <f>SUM([20]S!AA242)</f>
        <v>0</v>
      </c>
      <c r="AB246" s="244">
        <f>SUM([20]S!AB242)</f>
        <v>0</v>
      </c>
      <c r="AC246" s="244">
        <f>SUM([20]S!AC242)</f>
        <v>0</v>
      </c>
      <c r="AD246" s="244">
        <f>SUM([20]S!AD242)</f>
        <v>0</v>
      </c>
      <c r="AE246" s="244">
        <f>SUM([20]S!AE242)</f>
        <v>0</v>
      </c>
      <c r="AF246" s="244">
        <f>SUM([20]S!AF242)</f>
        <v>0</v>
      </c>
      <c r="AG246" s="244">
        <f>SUM([20]S!AG242)</f>
        <v>0</v>
      </c>
      <c r="AH246" s="244">
        <f>SUM([20]S!AH242)</f>
        <v>0</v>
      </c>
      <c r="AI246" s="244">
        <f>SUM([20]S!AI242)</f>
        <v>0</v>
      </c>
      <c r="AJ246" s="244">
        <f>SUM([20]S!AJ242)</f>
        <v>0</v>
      </c>
      <c r="AK246" s="245">
        <v>1454328.5011999998</v>
      </c>
      <c r="AL246" s="73">
        <v>3.6344612464310445E-4</v>
      </c>
      <c r="AM246" s="14">
        <v>5.9999999999999831E-2</v>
      </c>
      <c r="AN246" s="89"/>
      <c r="AO246" s="245">
        <v>1454328.5011999998</v>
      </c>
      <c r="AP246" s="73">
        <v>3.2995880950301382E-4</v>
      </c>
      <c r="AQ246" s="14">
        <v>5.9999999999999831E-2</v>
      </c>
    </row>
    <row r="247" spans="1:43" ht="15" customHeight="1" outlineLevel="1">
      <c r="A247" s="12" t="s">
        <v>240</v>
      </c>
      <c r="B247" s="8" t="s">
        <v>276</v>
      </c>
      <c r="C247" s="19" t="s">
        <v>293</v>
      </c>
      <c r="E247" s="139" t="s">
        <v>294</v>
      </c>
      <c r="I247" s="139" t="s">
        <v>294</v>
      </c>
      <c r="J247" s="244">
        <f>SUM([20]S!J243)</f>
        <v>0</v>
      </c>
      <c r="K247" s="244">
        <f>SUM([20]S!K243)</f>
        <v>0</v>
      </c>
      <c r="L247" s="244">
        <f>SUM([20]S!L243)</f>
        <v>0</v>
      </c>
      <c r="M247" s="244">
        <f>SUM([20]S!M243)</f>
        <v>0</v>
      </c>
      <c r="N247" s="244">
        <f>SUM([20]S!N243)</f>
        <v>0</v>
      </c>
      <c r="O247" s="244">
        <f>SUM([20]S!O243)</f>
        <v>0</v>
      </c>
      <c r="P247" s="244">
        <f>SUM([20]S!P243)</f>
        <v>0</v>
      </c>
      <c r="Q247" s="244">
        <f>SUM([20]S!Q243)</f>
        <v>0</v>
      </c>
      <c r="R247" s="244">
        <f>SUM([20]S!R243)</f>
        <v>0</v>
      </c>
      <c r="S247" s="244">
        <f>SUM([20]S!S243)</f>
        <v>0</v>
      </c>
      <c r="T247" s="244">
        <f>SUM([20]S!T243)</f>
        <v>0</v>
      </c>
      <c r="U247" s="244">
        <f>SUM([20]S!U243)</f>
        <v>0</v>
      </c>
      <c r="V247" s="245">
        <f t="shared" si="55"/>
        <v>0</v>
      </c>
      <c r="W247" s="73">
        <f t="shared" si="52"/>
        <v>0</v>
      </c>
      <c r="X247" s="89"/>
      <c r="Y247" s="244">
        <f>SUM([20]S!Y243)</f>
        <v>0</v>
      </c>
      <c r="Z247" s="244">
        <f>SUM([20]S!Z243)</f>
        <v>0</v>
      </c>
      <c r="AA247" s="244">
        <f>SUM([20]S!AA243)</f>
        <v>0</v>
      </c>
      <c r="AB247" s="244">
        <f>SUM([20]S!AB243)</f>
        <v>0</v>
      </c>
      <c r="AC247" s="244">
        <f>SUM([20]S!AC243)</f>
        <v>0</v>
      </c>
      <c r="AD247" s="244">
        <f>SUM([20]S!AD243)</f>
        <v>0</v>
      </c>
      <c r="AE247" s="244">
        <f>SUM([20]S!AE243)</f>
        <v>0</v>
      </c>
      <c r="AF247" s="244">
        <f>SUM([20]S!AF243)</f>
        <v>0</v>
      </c>
      <c r="AG247" s="244">
        <f>SUM([20]S!AG243)</f>
        <v>0</v>
      </c>
      <c r="AH247" s="244">
        <f>SUM([20]S!AH243)</f>
        <v>0</v>
      </c>
      <c r="AI247" s="244">
        <f>SUM([20]S!AI243)</f>
        <v>0</v>
      </c>
      <c r="AJ247" s="244">
        <f>SUM([20]S!AJ243)</f>
        <v>0</v>
      </c>
      <c r="AK247" s="245">
        <v>0</v>
      </c>
      <c r="AL247" s="73">
        <v>0</v>
      </c>
      <c r="AM247" s="14">
        <v>-1</v>
      </c>
      <c r="AN247" s="89"/>
      <c r="AO247" s="245">
        <v>0</v>
      </c>
      <c r="AP247" s="73">
        <v>0</v>
      </c>
      <c r="AQ247" s="14">
        <v>-1</v>
      </c>
    </row>
    <row r="248" spans="1:43" ht="15" customHeight="1" outlineLevel="1">
      <c r="A248" s="12" t="s">
        <v>240</v>
      </c>
      <c r="B248" s="8" t="s">
        <v>276</v>
      </c>
      <c r="E248" s="139" t="s">
        <v>295</v>
      </c>
      <c r="I248" s="139" t="s">
        <v>295</v>
      </c>
      <c r="J248" s="244">
        <f>SUM([20]S!J244)</f>
        <v>0</v>
      </c>
      <c r="K248" s="244">
        <f>SUM([20]S!K244)</f>
        <v>0</v>
      </c>
      <c r="L248" s="244">
        <f>SUM([20]S!L244)</f>
        <v>0</v>
      </c>
      <c r="M248" s="244">
        <f>SUM([20]S!M244)</f>
        <v>0</v>
      </c>
      <c r="N248" s="244">
        <f>SUM([20]S!N244)</f>
        <v>0</v>
      </c>
      <c r="O248" s="244">
        <f>SUM([20]S!O244)</f>
        <v>0</v>
      </c>
      <c r="P248" s="244">
        <f>SUM([20]S!P244)</f>
        <v>0</v>
      </c>
      <c r="Q248" s="244">
        <f>SUM([20]S!Q244)</f>
        <v>0</v>
      </c>
      <c r="R248" s="244">
        <f>SUM([20]S!R244)</f>
        <v>0</v>
      </c>
      <c r="S248" s="244">
        <f>SUM([20]S!S244)</f>
        <v>0</v>
      </c>
      <c r="T248" s="244">
        <f>SUM([20]S!T244)</f>
        <v>0</v>
      </c>
      <c r="U248" s="244">
        <f>SUM([20]S!U244)</f>
        <v>0</v>
      </c>
      <c r="V248" s="245">
        <f t="shared" si="55"/>
        <v>0</v>
      </c>
      <c r="W248" s="73">
        <f t="shared" si="52"/>
        <v>0</v>
      </c>
      <c r="X248" s="89"/>
      <c r="Y248" s="244">
        <f>SUM([20]S!Y244)</f>
        <v>0</v>
      </c>
      <c r="Z248" s="244">
        <f>SUM([20]S!Z244)</f>
        <v>0</v>
      </c>
      <c r="AA248" s="244">
        <f>SUM([20]S!AA244)</f>
        <v>0</v>
      </c>
      <c r="AB248" s="244">
        <f>SUM([20]S!AB244)</f>
        <v>0</v>
      </c>
      <c r="AC248" s="244">
        <f>SUM([20]S!AC244)</f>
        <v>0</v>
      </c>
      <c r="AD248" s="244">
        <f>SUM([20]S!AD244)</f>
        <v>0</v>
      </c>
      <c r="AE248" s="244">
        <f>SUM([20]S!AE244)</f>
        <v>0</v>
      </c>
      <c r="AF248" s="244">
        <f>SUM([20]S!AF244)</f>
        <v>0</v>
      </c>
      <c r="AG248" s="244">
        <f>SUM([20]S!AG244)</f>
        <v>0</v>
      </c>
      <c r="AH248" s="244">
        <f>SUM([20]S!AH244)</f>
        <v>0</v>
      </c>
      <c r="AI248" s="244">
        <f>SUM([20]S!AI244)</f>
        <v>0</v>
      </c>
      <c r="AJ248" s="244">
        <f>SUM([20]S!AJ244)</f>
        <v>0</v>
      </c>
      <c r="AK248" s="245">
        <v>0</v>
      </c>
      <c r="AL248" s="73">
        <v>0</v>
      </c>
      <c r="AM248" s="14">
        <v>0</v>
      </c>
      <c r="AN248" s="89"/>
      <c r="AO248" s="245">
        <v>0</v>
      </c>
      <c r="AP248" s="73">
        <v>0</v>
      </c>
      <c r="AQ248" s="14">
        <v>0</v>
      </c>
    </row>
    <row r="249" spans="1:43" ht="15" customHeight="1" outlineLevel="1">
      <c r="A249" s="12" t="s">
        <v>240</v>
      </c>
      <c r="B249" s="8" t="s">
        <v>276</v>
      </c>
      <c r="E249" s="139" t="s">
        <v>269</v>
      </c>
      <c r="I249" s="139" t="s">
        <v>269</v>
      </c>
      <c r="J249" s="244">
        <f>SUM([20]S!J245)</f>
        <v>0</v>
      </c>
      <c r="K249" s="244">
        <f>SUM([20]S!K245)</f>
        <v>0</v>
      </c>
      <c r="L249" s="244">
        <f>SUM([20]S!L245)</f>
        <v>0</v>
      </c>
      <c r="M249" s="244">
        <f>SUM([20]S!M245)</f>
        <v>0</v>
      </c>
      <c r="N249" s="244">
        <f>SUM([20]S!N245)</f>
        <v>0</v>
      </c>
      <c r="O249" s="244">
        <f>SUM([20]S!O245)</f>
        <v>0</v>
      </c>
      <c r="P249" s="244">
        <f>SUM([20]S!P245)</f>
        <v>0</v>
      </c>
      <c r="Q249" s="244">
        <f>SUM([20]S!Q245)</f>
        <v>0</v>
      </c>
      <c r="R249" s="244">
        <f>SUM([20]S!R245)</f>
        <v>0</v>
      </c>
      <c r="S249" s="244">
        <f>SUM([20]S!S245)</f>
        <v>0</v>
      </c>
      <c r="T249" s="244">
        <f>SUM([20]S!T245)</f>
        <v>0</v>
      </c>
      <c r="U249" s="244">
        <f>SUM([20]S!U245)</f>
        <v>0</v>
      </c>
      <c r="V249" s="245">
        <f t="shared" si="55"/>
        <v>0</v>
      </c>
      <c r="W249" s="73">
        <f t="shared" si="52"/>
        <v>0</v>
      </c>
      <c r="X249" s="89"/>
      <c r="Y249" s="244">
        <f>SUM([20]S!Y245)</f>
        <v>0</v>
      </c>
      <c r="Z249" s="244">
        <f>SUM([20]S!Z245)</f>
        <v>0</v>
      </c>
      <c r="AA249" s="244">
        <f>SUM([20]S!AA245)</f>
        <v>0</v>
      </c>
      <c r="AB249" s="244">
        <f>SUM([20]S!AB245)</f>
        <v>0</v>
      </c>
      <c r="AC249" s="244">
        <f>SUM([20]S!AC245)</f>
        <v>0</v>
      </c>
      <c r="AD249" s="244">
        <f>SUM([20]S!AD245)</f>
        <v>0</v>
      </c>
      <c r="AE249" s="244">
        <f>SUM([20]S!AE245)</f>
        <v>0</v>
      </c>
      <c r="AF249" s="244">
        <f>SUM([20]S!AF245)</f>
        <v>0</v>
      </c>
      <c r="AG249" s="244">
        <f>SUM([20]S!AG245)</f>
        <v>0</v>
      </c>
      <c r="AH249" s="244">
        <f>SUM([20]S!AH245)</f>
        <v>0</v>
      </c>
      <c r="AI249" s="244">
        <f>SUM([20]S!AI245)</f>
        <v>0</v>
      </c>
      <c r="AJ249" s="244">
        <f>SUM([20]S!AJ245)</f>
        <v>0</v>
      </c>
      <c r="AK249" s="245">
        <v>12830.028</v>
      </c>
      <c r="AL249" s="73">
        <v>3.2063072076322179E-6</v>
      </c>
      <c r="AM249" s="14">
        <v>5.9999999999999831E-2</v>
      </c>
      <c r="AN249" s="89"/>
      <c r="AO249" s="245">
        <v>12830.028</v>
      </c>
      <c r="AP249" s="73">
        <v>2.910883449837691E-6</v>
      </c>
      <c r="AQ249" s="14">
        <v>5.9999999999999831E-2</v>
      </c>
    </row>
    <row r="250" spans="1:43" ht="15" customHeight="1" outlineLevel="1">
      <c r="A250" s="12" t="s">
        <v>240</v>
      </c>
      <c r="B250" s="8" t="s">
        <v>276</v>
      </c>
      <c r="E250" s="139" t="s">
        <v>267</v>
      </c>
      <c r="I250" s="139" t="s">
        <v>267</v>
      </c>
      <c r="J250" s="244">
        <f>SUM([20]S!J246)</f>
        <v>0</v>
      </c>
      <c r="K250" s="244">
        <f>SUM([20]S!K246)</f>
        <v>0</v>
      </c>
      <c r="L250" s="244">
        <f>SUM([20]S!L246)</f>
        <v>0</v>
      </c>
      <c r="M250" s="244">
        <f>SUM([20]S!M246)</f>
        <v>0</v>
      </c>
      <c r="N250" s="244">
        <f>SUM([20]S!N246)</f>
        <v>0</v>
      </c>
      <c r="O250" s="244">
        <f>SUM([20]S!O246)</f>
        <v>0</v>
      </c>
      <c r="P250" s="244">
        <f>SUM([20]S!P246)</f>
        <v>0</v>
      </c>
      <c r="Q250" s="244">
        <f>SUM([20]S!Q246)</f>
        <v>0</v>
      </c>
      <c r="R250" s="244">
        <f>SUM([20]S!R246)</f>
        <v>0</v>
      </c>
      <c r="S250" s="244">
        <f>SUM([20]S!S246)</f>
        <v>0</v>
      </c>
      <c r="T250" s="244">
        <f>SUM([20]S!T246)</f>
        <v>0</v>
      </c>
      <c r="U250" s="244">
        <f>SUM([20]S!U246)</f>
        <v>0</v>
      </c>
      <c r="V250" s="245">
        <f t="shared" si="55"/>
        <v>0</v>
      </c>
      <c r="W250" s="73">
        <f t="shared" si="52"/>
        <v>0</v>
      </c>
      <c r="X250" s="89"/>
      <c r="Y250" s="244">
        <f>SUM([20]S!Y246)</f>
        <v>0</v>
      </c>
      <c r="Z250" s="244">
        <f>SUM([20]S!Z246)</f>
        <v>0</v>
      </c>
      <c r="AA250" s="244">
        <f>SUM([20]S!AA246)</f>
        <v>0</v>
      </c>
      <c r="AB250" s="244">
        <f>SUM([20]S!AB246)</f>
        <v>0</v>
      </c>
      <c r="AC250" s="244">
        <f>SUM([20]S!AC246)</f>
        <v>0</v>
      </c>
      <c r="AD250" s="244">
        <f>SUM([20]S!AD246)</f>
        <v>0</v>
      </c>
      <c r="AE250" s="244">
        <f>SUM([20]S!AE246)</f>
        <v>0</v>
      </c>
      <c r="AF250" s="244">
        <f>SUM([20]S!AF246)</f>
        <v>0</v>
      </c>
      <c r="AG250" s="244">
        <f>SUM([20]S!AG246)</f>
        <v>0</v>
      </c>
      <c r="AH250" s="244">
        <f>SUM([20]S!AH246)</f>
        <v>0</v>
      </c>
      <c r="AI250" s="244">
        <f>SUM([20]S!AI246)</f>
        <v>0</v>
      </c>
      <c r="AJ250" s="244">
        <f>SUM([20]S!AJ246)</f>
        <v>0</v>
      </c>
      <c r="AK250" s="245">
        <v>201997.4584</v>
      </c>
      <c r="AL250" s="73">
        <v>5.0480474928917467E-5</v>
      </c>
      <c r="AM250" s="14">
        <v>5.9999999999999831E-2</v>
      </c>
      <c r="AN250" s="89"/>
      <c r="AO250" s="245">
        <v>201997.4584</v>
      </c>
      <c r="AP250" s="73">
        <v>4.5829288803254164E-5</v>
      </c>
      <c r="AQ250" s="14">
        <v>5.9999999999999831E-2</v>
      </c>
    </row>
    <row r="251" spans="1:43" ht="15" customHeight="1" outlineLevel="1">
      <c r="A251" s="12" t="s">
        <v>240</v>
      </c>
      <c r="B251" s="8" t="s">
        <v>276</v>
      </c>
      <c r="E251" s="139" t="s">
        <v>266</v>
      </c>
      <c r="I251" s="139" t="s">
        <v>266</v>
      </c>
      <c r="J251" s="244">
        <f>SUM([20]S!J247)</f>
        <v>0</v>
      </c>
      <c r="K251" s="244">
        <f>SUM([20]S!K247)</f>
        <v>0</v>
      </c>
      <c r="L251" s="244">
        <f>SUM([20]S!L247)</f>
        <v>0</v>
      </c>
      <c r="M251" s="244">
        <f>SUM([20]S!M247)</f>
        <v>0</v>
      </c>
      <c r="N251" s="244">
        <f>SUM([20]S!N247)</f>
        <v>0</v>
      </c>
      <c r="O251" s="244">
        <f>SUM([20]S!O247)</f>
        <v>0</v>
      </c>
      <c r="P251" s="244">
        <f>SUM([20]S!P247)</f>
        <v>0</v>
      </c>
      <c r="Q251" s="244">
        <f>SUM([20]S!Q247)</f>
        <v>0</v>
      </c>
      <c r="R251" s="244">
        <f>SUM([20]S!R247)</f>
        <v>0</v>
      </c>
      <c r="S251" s="244">
        <f>SUM([20]S!S247)</f>
        <v>0</v>
      </c>
      <c r="T251" s="244">
        <f>SUM([20]S!T247)</f>
        <v>0</v>
      </c>
      <c r="U251" s="244">
        <f>SUM([20]S!U247)</f>
        <v>0</v>
      </c>
      <c r="V251" s="245">
        <f t="shared" si="55"/>
        <v>0</v>
      </c>
      <c r="W251" s="73">
        <f t="shared" si="52"/>
        <v>0</v>
      </c>
      <c r="X251" s="89"/>
      <c r="Y251" s="244">
        <f>SUM([20]S!Y247)</f>
        <v>0</v>
      </c>
      <c r="Z251" s="244">
        <f>SUM([20]S!Z247)</f>
        <v>0</v>
      </c>
      <c r="AA251" s="244">
        <f>SUM([20]S!AA247)</f>
        <v>0</v>
      </c>
      <c r="AB251" s="244">
        <f>SUM([20]S!AB247)</f>
        <v>0</v>
      </c>
      <c r="AC251" s="244">
        <f>SUM([20]S!AC247)</f>
        <v>0</v>
      </c>
      <c r="AD251" s="244">
        <f>SUM([20]S!AD247)</f>
        <v>0</v>
      </c>
      <c r="AE251" s="244">
        <f>SUM([20]S!AE247)</f>
        <v>0</v>
      </c>
      <c r="AF251" s="244">
        <f>SUM([20]S!AF247)</f>
        <v>0</v>
      </c>
      <c r="AG251" s="244">
        <f>SUM([20]S!AG247)</f>
        <v>0</v>
      </c>
      <c r="AH251" s="244">
        <f>SUM([20]S!AH247)</f>
        <v>0</v>
      </c>
      <c r="AI251" s="244">
        <f>SUM([20]S!AI247)</f>
        <v>0</v>
      </c>
      <c r="AJ251" s="244">
        <f>SUM([20]S!AJ247)</f>
        <v>0</v>
      </c>
      <c r="AK251" s="245">
        <v>3413261.9040000006</v>
      </c>
      <c r="AL251" s="73">
        <v>8.52996286861702E-4</v>
      </c>
      <c r="AM251" s="14">
        <v>9.0684245155259857E-2</v>
      </c>
      <c r="AN251" s="89"/>
      <c r="AO251" s="245">
        <v>3413261.9040000006</v>
      </c>
      <c r="AP251" s="73">
        <v>7.7440264248176906E-4</v>
      </c>
      <c r="AQ251" s="14">
        <v>9.0684245155259857E-2</v>
      </c>
    </row>
    <row r="252" spans="1:43" ht="16.5" customHeight="1">
      <c r="I252" s="130" t="s">
        <v>296</v>
      </c>
      <c r="J252" s="241">
        <f t="shared" ref="J252:V252" si="56">J163+J213+J230+J235+J245</f>
        <v>0</v>
      </c>
      <c r="K252" s="241">
        <f t="shared" si="56"/>
        <v>0</v>
      </c>
      <c r="L252" s="241">
        <f t="shared" si="56"/>
        <v>0</v>
      </c>
      <c r="M252" s="241">
        <f t="shared" si="56"/>
        <v>0</v>
      </c>
      <c r="N252" s="241">
        <f t="shared" si="56"/>
        <v>0</v>
      </c>
      <c r="O252" s="241">
        <f t="shared" si="56"/>
        <v>0</v>
      </c>
      <c r="P252" s="241">
        <f t="shared" si="56"/>
        <v>0</v>
      </c>
      <c r="Q252" s="241">
        <f t="shared" si="56"/>
        <v>0</v>
      </c>
      <c r="R252" s="241">
        <f t="shared" si="56"/>
        <v>0</v>
      </c>
      <c r="S252" s="241">
        <f t="shared" si="56"/>
        <v>0</v>
      </c>
      <c r="T252" s="241">
        <f t="shared" si="56"/>
        <v>0</v>
      </c>
      <c r="U252" s="241">
        <f t="shared" si="56"/>
        <v>0</v>
      </c>
      <c r="V252" s="241">
        <f t="shared" si="56"/>
        <v>0</v>
      </c>
      <c r="W252" s="72">
        <f t="shared" si="52"/>
        <v>0</v>
      </c>
      <c r="X252" s="89"/>
      <c r="Y252" s="241">
        <f>Y163+Y213+Y230+Y235+Y245</f>
        <v>0</v>
      </c>
      <c r="Z252" s="241">
        <f t="shared" ref="Z252:AJ252" si="57">Z163+Z213+Z230+Z235+Z245</f>
        <v>0</v>
      </c>
      <c r="AA252" s="241">
        <f t="shared" si="57"/>
        <v>0</v>
      </c>
      <c r="AB252" s="241">
        <f t="shared" si="57"/>
        <v>0</v>
      </c>
      <c r="AC252" s="241">
        <f t="shared" si="57"/>
        <v>0</v>
      </c>
      <c r="AD252" s="241">
        <f t="shared" si="57"/>
        <v>0</v>
      </c>
      <c r="AE252" s="241">
        <f t="shared" si="57"/>
        <v>0</v>
      </c>
      <c r="AF252" s="241">
        <f t="shared" si="57"/>
        <v>0</v>
      </c>
      <c r="AG252" s="241">
        <f t="shared" si="57"/>
        <v>0</v>
      </c>
      <c r="AH252" s="241">
        <f t="shared" si="57"/>
        <v>0</v>
      </c>
      <c r="AI252" s="241">
        <f t="shared" si="57"/>
        <v>0</v>
      </c>
      <c r="AJ252" s="241">
        <f t="shared" si="57"/>
        <v>0</v>
      </c>
      <c r="AK252" s="241">
        <v>93896230.929363787</v>
      </c>
      <c r="AL252" s="72">
        <v>2.3465277082662508E-2</v>
      </c>
      <c r="AM252" s="123">
        <v>4.1811171550999005E-2</v>
      </c>
      <c r="AN252" s="89"/>
      <c r="AO252" s="241">
        <v>94714785.366777986</v>
      </c>
      <c r="AP252" s="72">
        <v>2.1488939944564668E-2</v>
      </c>
      <c r="AQ252" s="123">
        <v>5.0893316265223865E-2</v>
      </c>
    </row>
    <row r="253" spans="1:43">
      <c r="E253" s="191" t="s">
        <v>297</v>
      </c>
      <c r="I253" s="198" t="s">
        <v>298</v>
      </c>
      <c r="J253" s="251">
        <f>+J252/J33</f>
        <v>0</v>
      </c>
      <c r="K253" s="251" t="e">
        <f>+K252/K33</f>
        <v>#DIV/0!</v>
      </c>
      <c r="L253" s="251">
        <f>+L252/L33</f>
        <v>0</v>
      </c>
      <c r="M253" s="251" t="e">
        <f>+M252/M33</f>
        <v>#DIV/0!</v>
      </c>
      <c r="N253" s="251">
        <f>+N252/N33</f>
        <v>0</v>
      </c>
      <c r="O253" s="251">
        <f>+O252/O33</f>
        <v>0</v>
      </c>
      <c r="P253" s="251" t="e">
        <f>+P252/P33</f>
        <v>#DIV/0!</v>
      </c>
      <c r="Q253" s="251" t="e">
        <f>+Q252/Q33</f>
        <v>#DIV/0!</v>
      </c>
      <c r="R253" s="251" t="e">
        <f>+R252/R33</f>
        <v>#DIV/0!</v>
      </c>
      <c r="S253" s="251">
        <f>+S252/S33</f>
        <v>0</v>
      </c>
      <c r="T253" s="251">
        <f>+T252/T33</f>
        <v>0</v>
      </c>
      <c r="U253" s="251">
        <f>+U252/U33</f>
        <v>0</v>
      </c>
      <c r="V253" s="251">
        <f>+V252/V33</f>
        <v>0</v>
      </c>
      <c r="W253" s="73">
        <f t="shared" si="52"/>
        <v>0</v>
      </c>
      <c r="X253" s="89"/>
      <c r="Y253" s="251">
        <f>IFERROR(Y252/Y33,0)</f>
        <v>0</v>
      </c>
      <c r="Z253" s="251">
        <f>IFERROR(Z252/Z33,0)</f>
        <v>0</v>
      </c>
      <c r="AA253" s="251">
        <f>IFERROR(AA252/AA33,0)</f>
        <v>0</v>
      </c>
      <c r="AB253" s="251">
        <f>IFERROR(AB252/AB33,0)</f>
        <v>0</v>
      </c>
      <c r="AC253" s="251">
        <f>IFERROR(AC252/AC33,0)</f>
        <v>0</v>
      </c>
      <c r="AD253" s="251">
        <f>IFERROR(AD252/AD33,0)</f>
        <v>0</v>
      </c>
      <c r="AE253" s="251">
        <f>IFERROR(AE252/AE33,0)</f>
        <v>0</v>
      </c>
      <c r="AF253" s="251">
        <f>IFERROR(AF252/AF33,0)</f>
        <v>0</v>
      </c>
      <c r="AG253" s="251">
        <f>IFERROR(AG252/AG33,0)</f>
        <v>0</v>
      </c>
      <c r="AH253" s="251">
        <f>IFERROR(AH252/AH33,0)</f>
        <v>0</v>
      </c>
      <c r="AI253" s="251">
        <f>IFERROR(AI252/AI33,0)</f>
        <v>0</v>
      </c>
      <c r="AJ253" s="251">
        <f>IFERROR(AJ252/AJ33,0)</f>
        <v>0</v>
      </c>
      <c r="AK253" s="251">
        <v>0.41644226808075208</v>
      </c>
      <c r="AL253" s="73">
        <v>1.0407162367143889E-10</v>
      </c>
      <c r="AM253" s="16">
        <v>3.6250632697854002E-4</v>
      </c>
      <c r="AN253" s="89"/>
      <c r="AO253" s="251">
        <v>0.3851192630872492</v>
      </c>
      <c r="AP253" s="73">
        <v>8.7376059439181367E-11</v>
      </c>
      <c r="AQ253" s="16">
        <v>-7.4880479754628859E-2</v>
      </c>
    </row>
    <row r="254" spans="1:43">
      <c r="E254" s="191" t="s">
        <v>272</v>
      </c>
      <c r="I254" s="198" t="s">
        <v>299</v>
      </c>
      <c r="J254" s="251">
        <f>+J252+J135</f>
        <v>0</v>
      </c>
      <c r="K254" s="251">
        <f>+K252+K135</f>
        <v>0</v>
      </c>
      <c r="L254" s="251">
        <f>+L252+L135</f>
        <v>0</v>
      </c>
      <c r="M254" s="251">
        <f>+M252+M135</f>
        <v>0</v>
      </c>
      <c r="N254" s="251">
        <f>+N252+N135</f>
        <v>0</v>
      </c>
      <c r="O254" s="251">
        <f>+O252+O135</f>
        <v>0</v>
      </c>
      <c r="P254" s="251">
        <f>+P252+P135</f>
        <v>0</v>
      </c>
      <c r="Q254" s="251">
        <f>+Q252+Q135</f>
        <v>23077</v>
      </c>
      <c r="R254" s="251">
        <f>+R252+R135</f>
        <v>155</v>
      </c>
      <c r="S254" s="251">
        <f>+S252+S135</f>
        <v>24364</v>
      </c>
      <c r="T254" s="251">
        <f>+T252+T135</f>
        <v>0</v>
      </c>
      <c r="U254" s="251">
        <f>+U252+U135</f>
        <v>0</v>
      </c>
      <c r="V254" s="251">
        <f>+V252+V135</f>
        <v>47596</v>
      </c>
      <c r="W254" s="74"/>
      <c r="X254" s="90"/>
      <c r="Y254" s="251">
        <f>+Y252+Y135</f>
        <v>0</v>
      </c>
      <c r="Z254" s="251">
        <f>+Z252+Z135</f>
        <v>0</v>
      </c>
      <c r="AA254" s="251">
        <f>+AA252+AA135</f>
        <v>0</v>
      </c>
      <c r="AB254" s="251">
        <f>+AB252+AB135</f>
        <v>0</v>
      </c>
      <c r="AC254" s="251">
        <f>+AC252+AC135</f>
        <v>0</v>
      </c>
      <c r="AD254" s="251">
        <f>+AD252+AD135</f>
        <v>0</v>
      </c>
      <c r="AE254" s="251">
        <f>+AE252+AE135</f>
        <v>62105.999999999993</v>
      </c>
      <c r="AF254" s="251">
        <f>+AF252+AF135</f>
        <v>0</v>
      </c>
      <c r="AG254" s="251">
        <f>+AG252+AG135</f>
        <v>0</v>
      </c>
      <c r="AH254" s="251">
        <f>+AH252+AH135</f>
        <v>0</v>
      </c>
      <c r="AI254" s="251">
        <f>+AI252+AI135</f>
        <v>0</v>
      </c>
      <c r="AJ254" s="251">
        <f>+AJ252+AJ135</f>
        <v>0</v>
      </c>
      <c r="AK254" s="251">
        <v>261490058.72905877</v>
      </c>
      <c r="AL254" s="74"/>
      <c r="AM254" s="16">
        <v>9.5569551462585389E-2</v>
      </c>
      <c r="AN254" s="90"/>
      <c r="AO254" s="251">
        <v>283479881.16756529</v>
      </c>
      <c r="AP254" s="74"/>
      <c r="AQ254" s="16">
        <v>0.18770070177395759</v>
      </c>
    </row>
    <row r="255" spans="1:43">
      <c r="E255" s="191" t="s">
        <v>300</v>
      </c>
      <c r="I255" s="198" t="s">
        <v>301</v>
      </c>
      <c r="J255" s="251">
        <f>+J254/J33</f>
        <v>0</v>
      </c>
      <c r="K255" s="251" t="e">
        <f>+K254/K33</f>
        <v>#DIV/0!</v>
      </c>
      <c r="L255" s="251">
        <f>+L254/L33</f>
        <v>0</v>
      </c>
      <c r="M255" s="251" t="e">
        <f>+M254/M33</f>
        <v>#DIV/0!</v>
      </c>
      <c r="N255" s="251">
        <f>+N254/N33</f>
        <v>0</v>
      </c>
      <c r="O255" s="251">
        <f>+O254/O33</f>
        <v>0</v>
      </c>
      <c r="P255" s="251" t="e">
        <f>+P254/P33</f>
        <v>#DIV/0!</v>
      </c>
      <c r="Q255" s="251" t="e">
        <f>+Q254/Q33</f>
        <v>#DIV/0!</v>
      </c>
      <c r="R255" s="251" t="e">
        <f>+R254/R33</f>
        <v>#DIV/0!</v>
      </c>
      <c r="S255" s="251">
        <f>+S254/S33</f>
        <v>-5.2667531344574146</v>
      </c>
      <c r="T255" s="251">
        <f>+T254/T33</f>
        <v>0</v>
      </c>
      <c r="U255" s="251">
        <f>+U254/U33</f>
        <v>0</v>
      </c>
      <c r="V255" s="251">
        <f>+V254/V33</f>
        <v>-2.2696104143817655</v>
      </c>
      <c r="W255" s="74">
        <f>V255/V$6</f>
        <v>-1.0137939960585256E-8</v>
      </c>
      <c r="X255" s="90"/>
      <c r="Y255" s="251">
        <f>IFERROR(Y132+Y249,0)</f>
        <v>0</v>
      </c>
      <c r="Z255" s="251">
        <f>IFERROR(Z132+Z249,0)</f>
        <v>0</v>
      </c>
      <c r="AA255" s="251">
        <f>IFERROR(AA132+AA249,0)</f>
        <v>0</v>
      </c>
      <c r="AB255" s="251">
        <f>IFERROR(AB132+AB249,0)</f>
        <v>0</v>
      </c>
      <c r="AC255" s="251">
        <f>IFERROR(AC132+AC249,0)</f>
        <v>0</v>
      </c>
      <c r="AD255" s="251">
        <f>IFERROR(AD132+AD249,0)</f>
        <v>0</v>
      </c>
      <c r="AE255" s="251">
        <f>IFERROR(AE132+AE249,0)</f>
        <v>0</v>
      </c>
      <c r="AF255" s="251">
        <f>IFERROR(AF132+AF249,0)</f>
        <v>0</v>
      </c>
      <c r="AG255" s="251">
        <f>IFERROR(AG132+AG249,0)</f>
        <v>0</v>
      </c>
      <c r="AH255" s="251">
        <f>IFERROR(AH132+AH249,0)</f>
        <v>0</v>
      </c>
      <c r="AI255" s="251">
        <f>IFERROR(AI132+AI249,0)</f>
        <v>0</v>
      </c>
      <c r="AJ255" s="251">
        <f>IFERROR(AJ132+AJ249,0)</f>
        <v>0</v>
      </c>
      <c r="AK255" s="251">
        <v>1.1597431766949002</v>
      </c>
      <c r="AL255" s="74">
        <v>2.8982734148663925E-10</v>
      </c>
      <c r="AM255" s="16">
        <v>5.1982098372982843E-2</v>
      </c>
      <c r="AN255" s="90"/>
      <c r="AO255" s="251">
        <v>1.1526559714256319</v>
      </c>
      <c r="AP255" s="74">
        <v>2.6151518847655347E-10</v>
      </c>
      <c r="AQ255" s="16">
        <v>4.5553422420766987E-2</v>
      </c>
    </row>
    <row r="256" spans="1:43">
      <c r="E256" s="191" t="s">
        <v>301</v>
      </c>
      <c r="I256" s="199" t="s">
        <v>302</v>
      </c>
      <c r="J256" s="251" t="e">
        <f>+J252+#REF!</f>
        <v>#REF!</v>
      </c>
      <c r="K256" s="251" t="e">
        <f>+K252+#REF!</f>
        <v>#REF!</v>
      </c>
      <c r="L256" s="251" t="e">
        <f>+L252+#REF!</f>
        <v>#REF!</v>
      </c>
      <c r="M256" s="251" t="e">
        <f>+M252+#REF!</f>
        <v>#REF!</v>
      </c>
      <c r="N256" s="251" t="e">
        <f>+N252+#REF!</f>
        <v>#REF!</v>
      </c>
      <c r="O256" s="251" t="e">
        <f>+O252+#REF!</f>
        <v>#REF!</v>
      </c>
      <c r="P256" s="251" t="e">
        <f>+P252+#REF!</f>
        <v>#REF!</v>
      </c>
      <c r="Q256" s="251" t="e">
        <f>+Q252+#REF!</f>
        <v>#REF!</v>
      </c>
      <c r="R256" s="251" t="e">
        <f>+R252+#REF!</f>
        <v>#REF!</v>
      </c>
      <c r="S256" s="251" t="e">
        <f>+S252+#REF!</f>
        <v>#REF!</v>
      </c>
      <c r="T256" s="251" t="e">
        <f>+T252+#REF!</f>
        <v>#REF!</v>
      </c>
      <c r="U256" s="251" t="e">
        <f>+U252+#REF!</f>
        <v>#REF!</v>
      </c>
      <c r="V256" s="251">
        <f>+V252+V135-V128</f>
        <v>47596</v>
      </c>
      <c r="W256" s="74"/>
      <c r="X256" s="90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>
        <v>228094550.20585877</v>
      </c>
      <c r="AL256" s="74"/>
      <c r="AM256" s="16">
        <v>0.10332189728188634</v>
      </c>
      <c r="AN256" s="90"/>
      <c r="AO256" s="251">
        <v>246472918.13076526</v>
      </c>
      <c r="AP256" s="74"/>
      <c r="AQ256" s="16">
        <v>0.19222036394648589</v>
      </c>
    </row>
    <row r="257" spans="1:43">
      <c r="E257" s="191" t="s">
        <v>303</v>
      </c>
      <c r="I257" s="198" t="s">
        <v>304</v>
      </c>
      <c r="J257" s="251" t="e">
        <f>+J256/J33</f>
        <v>#REF!</v>
      </c>
      <c r="K257" s="251" t="e">
        <f>+K256/K33</f>
        <v>#REF!</v>
      </c>
      <c r="L257" s="251" t="e">
        <f>+L256/L33</f>
        <v>#REF!</v>
      </c>
      <c r="M257" s="251" t="e">
        <f>+M256/M33</f>
        <v>#REF!</v>
      </c>
      <c r="N257" s="251" t="e">
        <f>+N256/N33</f>
        <v>#REF!</v>
      </c>
      <c r="O257" s="251" t="e">
        <f>+O256/O33</f>
        <v>#REF!</v>
      </c>
      <c r="P257" s="251" t="e">
        <f>+P256/P33</f>
        <v>#REF!</v>
      </c>
      <c r="Q257" s="251" t="e">
        <f>+Q256/Q33</f>
        <v>#REF!</v>
      </c>
      <c r="R257" s="251" t="e">
        <f>+R256/R33</f>
        <v>#REF!</v>
      </c>
      <c r="S257" s="251" t="e">
        <f>+S256/S33</f>
        <v>#REF!</v>
      </c>
      <c r="T257" s="251" t="e">
        <f>+T256/T33</f>
        <v>#REF!</v>
      </c>
      <c r="U257" s="251" t="e">
        <f>+U256/U33</f>
        <v>#REF!</v>
      </c>
      <c r="V257" s="251">
        <f>+V256/V33</f>
        <v>-2.2696104143817655</v>
      </c>
      <c r="W257" s="74">
        <f>V257/V$6</f>
        <v>-1.0137939960585256E-8</v>
      </c>
      <c r="X257" s="90"/>
      <c r="Y257" s="251">
        <f>IFERROR(Y135+Y251,0)</f>
        <v>0</v>
      </c>
      <c r="Z257" s="251">
        <f>IFERROR(Z135+Z251,0)</f>
        <v>0</v>
      </c>
      <c r="AA257" s="251">
        <f>IFERROR(AA135+AA251,0)</f>
        <v>0</v>
      </c>
      <c r="AB257" s="251">
        <f>IFERROR(AB135+AB251,0)</f>
        <v>0</v>
      </c>
      <c r="AC257" s="251">
        <f>IFERROR(AC135+AC251,0)</f>
        <v>0</v>
      </c>
      <c r="AD257" s="251">
        <f>IFERROR(AD135+AD251,0)</f>
        <v>0</v>
      </c>
      <c r="AE257" s="251">
        <f>IFERROR(AE135+AE251,0)</f>
        <v>62105.999999999993</v>
      </c>
      <c r="AF257" s="251">
        <f>IFERROR(AF135+AF251,0)</f>
        <v>0</v>
      </c>
      <c r="AG257" s="251">
        <f>IFERROR(AG135+AG251,0)</f>
        <v>0</v>
      </c>
      <c r="AH257" s="251">
        <f>IFERROR(AH135+AH251,0)</f>
        <v>0</v>
      </c>
      <c r="AI257" s="251">
        <f>IFERROR(AI135+AI251,0)</f>
        <v>0</v>
      </c>
      <c r="AJ257" s="251">
        <f>IFERROR(AJ135+AJ251,0)</f>
        <v>0</v>
      </c>
      <c r="AK257" s="251">
        <v>1.0116296563175629</v>
      </c>
      <c r="AL257" s="74">
        <v>2.5281281213926467E-10</v>
      </c>
      <c r="AM257" s="16">
        <v>5.9426015567846324E-2</v>
      </c>
      <c r="AN257" s="90"/>
      <c r="AO257" s="251">
        <v>1.0021821644203264</v>
      </c>
      <c r="AP257" s="74">
        <v>2.2737561259676467E-10</v>
      </c>
      <c r="AQ257" s="16">
        <v>4.9532159021338673E-2</v>
      </c>
    </row>
    <row r="258" spans="1:43" ht="15.75">
      <c r="E258" s="191" t="s">
        <v>305</v>
      </c>
      <c r="I258" s="142" t="s">
        <v>300</v>
      </c>
      <c r="J258" s="137">
        <f>J138-J252</f>
        <v>4000</v>
      </c>
      <c r="K258" s="137">
        <f>K138-K252</f>
        <v>4000</v>
      </c>
      <c r="L258" s="137">
        <f>L138-L252</f>
        <v>0</v>
      </c>
      <c r="M258" s="137">
        <f>M138-M252</f>
        <v>10000</v>
      </c>
      <c r="N258" s="137">
        <f>N138-N252</f>
        <v>0</v>
      </c>
      <c r="O258" s="137">
        <f>O138-O252</f>
        <v>0</v>
      </c>
      <c r="P258" s="137">
        <f>P138-P252</f>
        <v>0</v>
      </c>
      <c r="Q258" s="137">
        <f>Q138-Q252</f>
        <v>0</v>
      </c>
      <c r="R258" s="137">
        <f>R138-R252</f>
        <v>0</v>
      </c>
      <c r="S258" s="137">
        <f>S138-S252</f>
        <v>0</v>
      </c>
      <c r="T258" s="137">
        <f>T138-T252</f>
        <v>0</v>
      </c>
      <c r="U258" s="137">
        <f>U138-U252</f>
        <v>0</v>
      </c>
      <c r="V258" s="137">
        <f>V138-V252</f>
        <v>18000</v>
      </c>
      <c r="W258" s="171">
        <f t="shared" si="52"/>
        <v>8.0402750240394176E-5</v>
      </c>
      <c r="X258" s="91"/>
      <c r="Y258" s="137">
        <f>Y138-Y252</f>
        <v>0</v>
      </c>
      <c r="Z258" s="137">
        <f>Z138-Z252</f>
        <v>0</v>
      </c>
      <c r="AA258" s="137">
        <f>AA138-AA252</f>
        <v>22358.16</v>
      </c>
      <c r="AB258" s="137">
        <f>AB138-AB252</f>
        <v>0</v>
      </c>
      <c r="AC258" s="137">
        <f>AC138-AC252</f>
        <v>0</v>
      </c>
      <c r="AD258" s="137">
        <f>AD138-AD252</f>
        <v>0</v>
      </c>
      <c r="AE258" s="137">
        <f>AE138-AE252</f>
        <v>0</v>
      </c>
      <c r="AF258" s="137">
        <f>AF138-AF252</f>
        <v>0</v>
      </c>
      <c r="AG258" s="137">
        <f>AG138-AG252</f>
        <v>0</v>
      </c>
      <c r="AH258" s="137">
        <f>AH138-AH252</f>
        <v>0</v>
      </c>
      <c r="AI258" s="137">
        <f>AI138-AI252</f>
        <v>0</v>
      </c>
      <c r="AJ258" s="137">
        <f>AJ138-AJ252</f>
        <v>0</v>
      </c>
      <c r="AK258" s="137">
        <v>343972349.41457218</v>
      </c>
      <c r="AL258" s="171">
        <v>8.5960920985841224E-2</v>
      </c>
      <c r="AM258" s="157">
        <v>8.7485007166679729E-2</v>
      </c>
      <c r="AN258" s="91"/>
      <c r="AO258" s="137">
        <v>367264619.42176437</v>
      </c>
      <c r="AP258" s="171">
        <v>8.3325188564339223E-2</v>
      </c>
      <c r="AQ258" s="157">
        <v>0.16112463098763619</v>
      </c>
    </row>
    <row r="259" spans="1:43">
      <c r="E259" s="191" t="s">
        <v>306</v>
      </c>
      <c r="I259" s="18" t="s">
        <v>303</v>
      </c>
      <c r="J259" s="251">
        <f>IFERROR(J258/J33,0)</f>
        <v>-1.1477761836441893</v>
      </c>
      <c r="K259" s="251">
        <f>IFERROR(K258/K33,0)</f>
        <v>0</v>
      </c>
      <c r="L259" s="251">
        <f>IFERROR(L258/L33,0)</f>
        <v>0</v>
      </c>
      <c r="M259" s="251">
        <f>IFERROR(M258/M33,0)</f>
        <v>0</v>
      </c>
      <c r="N259" s="251">
        <f>IFERROR(N258/N33,0)</f>
        <v>0</v>
      </c>
      <c r="O259" s="251">
        <f>IFERROR(O258/O33,0)</f>
        <v>0</v>
      </c>
      <c r="P259" s="251">
        <f>IFERROR(P258/P33,0)</f>
        <v>0</v>
      </c>
      <c r="Q259" s="251">
        <f>IFERROR(Q258/Q33,0)</f>
        <v>0</v>
      </c>
      <c r="R259" s="251">
        <f>IFERROR(R258/R33,0)</f>
        <v>0</v>
      </c>
      <c r="S259" s="251">
        <f>IFERROR(S258/S33,0)</f>
        <v>0</v>
      </c>
      <c r="T259" s="251">
        <f>IFERROR(T258/T33,0)</f>
        <v>0</v>
      </c>
      <c r="U259" s="251">
        <f>IFERROR(U258/U33,0)</f>
        <v>0</v>
      </c>
      <c r="V259" s="251">
        <f>IFERROR(V258/V33,0)</f>
        <v>-0.85832816746936247</v>
      </c>
      <c r="W259" s="74">
        <f t="shared" si="52"/>
        <v>-3.8339969596296873E-9</v>
      </c>
      <c r="X259" s="90"/>
      <c r="Y259" s="251">
        <f>IFERROR(Y258/Y33,0)</f>
        <v>0</v>
      </c>
      <c r="Z259" s="251">
        <f>IFERROR(Z258/Z33,0)</f>
        <v>0</v>
      </c>
      <c r="AA259" s="251">
        <f>IFERROR(AA258/AA33,0)</f>
        <v>0</v>
      </c>
      <c r="AB259" s="251">
        <f>IFERROR(AB258/AB33,0)</f>
        <v>0</v>
      </c>
      <c r="AC259" s="251">
        <f>IFERROR(AC258/AC33,0)</f>
        <v>0</v>
      </c>
      <c r="AD259" s="251">
        <f>IFERROR(AD258/AD33,0)</f>
        <v>0</v>
      </c>
      <c r="AE259" s="251">
        <f>IFERROR(AE258/AE33,0)</f>
        <v>0</v>
      </c>
      <c r="AF259" s="251">
        <f>IFERROR(AF258/AF33,0)</f>
        <v>0</v>
      </c>
      <c r="AG259" s="251">
        <f>IFERROR(AG258/AG33,0)</f>
        <v>0</v>
      </c>
      <c r="AH259" s="251">
        <f>IFERROR(AH258/AH33,0)</f>
        <v>0</v>
      </c>
      <c r="AI259" s="251">
        <f>IFERROR(AI258/AI33,0)</f>
        <v>0</v>
      </c>
      <c r="AJ259" s="251">
        <f>IFERROR(AJ258/AJ33,0)</f>
        <v>0</v>
      </c>
      <c r="AK259" s="251">
        <v>1.5255631022615743</v>
      </c>
      <c r="AL259" s="74">
        <v>3.812481134475351E-10</v>
      </c>
      <c r="AM259" s="16">
        <v>4.4219199284155408E-2</v>
      </c>
      <c r="AN259" s="90"/>
      <c r="AO259" s="251">
        <v>1.4933326306131338</v>
      </c>
      <c r="AP259" s="74">
        <v>3.388080867441874E-10</v>
      </c>
      <c r="AQ259" s="16">
        <v>2.2158048717920265E-2</v>
      </c>
    </row>
    <row r="260" spans="1:43" ht="15.75">
      <c r="E260" s="197" t="s">
        <v>307</v>
      </c>
      <c r="I260" s="142" t="s">
        <v>308</v>
      </c>
      <c r="J260" s="137">
        <f>+J258+J128</f>
        <v>4000</v>
      </c>
      <c r="K260" s="137">
        <f>+K258+K128</f>
        <v>4000</v>
      </c>
      <c r="L260" s="137">
        <f>+L258+L128</f>
        <v>0</v>
      </c>
      <c r="M260" s="137">
        <f>+M258+M128</f>
        <v>10000</v>
      </c>
      <c r="N260" s="137">
        <f>+N258+N128</f>
        <v>0</v>
      </c>
      <c r="O260" s="137">
        <f>+O258+O128</f>
        <v>0</v>
      </c>
      <c r="P260" s="137">
        <f>+P258+P128</f>
        <v>0</v>
      </c>
      <c r="Q260" s="137">
        <f>+Q258+Q128</f>
        <v>0</v>
      </c>
      <c r="R260" s="137">
        <f>+R258+R128</f>
        <v>0</v>
      </c>
      <c r="S260" s="137">
        <f>+S258+S128</f>
        <v>0</v>
      </c>
      <c r="T260" s="137">
        <f>+T258+T128</f>
        <v>0</v>
      </c>
      <c r="U260" s="137">
        <f>+U258+U128</f>
        <v>0</v>
      </c>
      <c r="V260" s="137">
        <f>+V258+V128</f>
        <v>18000</v>
      </c>
      <c r="W260" s="171">
        <f>V260/V$6</f>
        <v>8.0402750240394176E-5</v>
      </c>
      <c r="X260" s="91"/>
      <c r="Y260" s="137">
        <f>+Y258+Y128</f>
        <v>0</v>
      </c>
      <c r="Z260" s="137">
        <f>+Z258+Z128</f>
        <v>0</v>
      </c>
      <c r="AA260" s="137">
        <f>+AA258+AA128</f>
        <v>22358.16</v>
      </c>
      <c r="AB260" s="137">
        <f>+AB258+AB128</f>
        <v>0</v>
      </c>
      <c r="AC260" s="137">
        <f>+AC258+AC128</f>
        <v>0</v>
      </c>
      <c r="AD260" s="137">
        <f>+AD258+AD128</f>
        <v>0</v>
      </c>
      <c r="AE260" s="137">
        <f>+AE258+AE128</f>
        <v>0</v>
      </c>
      <c r="AF260" s="137">
        <f>+AF258+AF128</f>
        <v>0</v>
      </c>
      <c r="AG260" s="137">
        <f>+AG258+AG128</f>
        <v>0</v>
      </c>
      <c r="AH260" s="137">
        <f>+AH258+AH128</f>
        <v>0</v>
      </c>
      <c r="AI260" s="137">
        <f>+AI258+AI128</f>
        <v>0</v>
      </c>
      <c r="AJ260" s="137">
        <f>+AJ258+AJ128</f>
        <v>0</v>
      </c>
      <c r="AK260" s="137">
        <v>377367857.93777215</v>
      </c>
      <c r="AL260" s="171">
        <v>9.4306675155705802E-2</v>
      </c>
      <c r="AM260" s="157">
        <v>8.3624477441670342E-2</v>
      </c>
      <c r="AN260" s="91"/>
      <c r="AO260" s="137">
        <v>404271582.4585644</v>
      </c>
      <c r="AP260" s="171">
        <v>9.1721347655541241E-2</v>
      </c>
      <c r="AQ260" s="157">
        <v>0.16087942592720239</v>
      </c>
    </row>
    <row r="261" spans="1:43">
      <c r="I261" s="18" t="s">
        <v>309</v>
      </c>
      <c r="J261" s="266">
        <f>+J260/J33</f>
        <v>-1.1477761836441893</v>
      </c>
      <c r="K261" s="266" t="e">
        <f>+K260/K33</f>
        <v>#DIV/0!</v>
      </c>
      <c r="L261" s="266">
        <f>+L260/L33</f>
        <v>0</v>
      </c>
      <c r="M261" s="266" t="e">
        <f>+M260/M33</f>
        <v>#DIV/0!</v>
      </c>
      <c r="N261" s="266">
        <f>+N260/N33</f>
        <v>0</v>
      </c>
      <c r="O261" s="266">
        <f>+O260/O33</f>
        <v>0</v>
      </c>
      <c r="P261" s="266" t="e">
        <f>+P260/P33</f>
        <v>#DIV/0!</v>
      </c>
      <c r="Q261" s="266" t="e">
        <f>+Q260/Q33</f>
        <v>#DIV/0!</v>
      </c>
      <c r="R261" s="266" t="e">
        <f>+R260/R33</f>
        <v>#DIV/0!</v>
      </c>
      <c r="S261" s="266">
        <f>+S260/S33</f>
        <v>0</v>
      </c>
      <c r="T261" s="266">
        <f>+T260/T33</f>
        <v>0</v>
      </c>
      <c r="U261" s="266">
        <f>+U260/U33</f>
        <v>0</v>
      </c>
      <c r="V261" s="266">
        <f>+V260/V33</f>
        <v>-0.85832816746936247</v>
      </c>
      <c r="W261" s="74">
        <f>V261/V$6</f>
        <v>-3.8339969596296873E-9</v>
      </c>
      <c r="X261" s="90"/>
      <c r="Y261" s="266" t="e">
        <f>+Y260/Y33</f>
        <v>#DIV/0!</v>
      </c>
      <c r="Z261" s="266" t="e">
        <f>+Z260/Z33</f>
        <v>#DIV/0!</v>
      </c>
      <c r="AA261" s="266" t="e">
        <f>+AA260/AA33</f>
        <v>#DIV/0!</v>
      </c>
      <c r="AB261" s="266" t="e">
        <f>+AB260/AB33</f>
        <v>#DIV/0!</v>
      </c>
      <c r="AC261" s="266" t="e">
        <f>+AC260/AC33</f>
        <v>#DIV/0!</v>
      </c>
      <c r="AD261" s="266" t="e">
        <f>+AD260/AD33</f>
        <v>#DIV/0!</v>
      </c>
      <c r="AE261" s="266" t="e">
        <f>+AE260/AE33</f>
        <v>#DIV/0!</v>
      </c>
      <c r="AF261" s="266" t="e">
        <f>+AF260/AF33</f>
        <v>#DIV/0!</v>
      </c>
      <c r="AG261" s="266" t="e">
        <f>+AG260/AG33</f>
        <v>#DIV/0!</v>
      </c>
      <c r="AH261" s="266" t="e">
        <f>+AH260/AH33</f>
        <v>#DIV/0!</v>
      </c>
      <c r="AI261" s="266" t="e">
        <f>+AI260/AI33</f>
        <v>#DIV/0!</v>
      </c>
      <c r="AJ261" s="266" t="e">
        <f>+AJ260/AJ33</f>
        <v>#DIV/0!</v>
      </c>
      <c r="AK261" s="266">
        <v>1.6736766226389115</v>
      </c>
      <c r="AL261" s="74">
        <v>4.1826264279490968E-10</v>
      </c>
      <c r="AM261" s="16">
        <v>4.0512261504143998E-2</v>
      </c>
      <c r="AN261" s="90"/>
      <c r="AO261" s="266">
        <v>1.6438064376184394</v>
      </c>
      <c r="AP261" s="74">
        <v>3.7294766262397614E-10</v>
      </c>
      <c r="AQ261" s="16">
        <v>2.1942190472026724E-2</v>
      </c>
    </row>
    <row r="262" spans="1:43" ht="14.45" hidden="1" customHeight="1">
      <c r="A262" s="12" t="s">
        <v>310</v>
      </c>
      <c r="E262" s="191" t="s">
        <v>99</v>
      </c>
      <c r="I262" s="127" t="s">
        <v>311</v>
      </c>
      <c r="J262" s="241">
        <f>SUM(J263:J275)</f>
        <v>859836.79</v>
      </c>
      <c r="K262" s="241">
        <f t="shared" ref="K262:U262" si="58">SUM(K263:K275)</f>
        <v>3244673.02</v>
      </c>
      <c r="L262" s="241">
        <f t="shared" si="58"/>
        <v>1174330.04</v>
      </c>
      <c r="M262" s="241">
        <f t="shared" si="58"/>
        <v>821944.79</v>
      </c>
      <c r="N262" s="241">
        <f t="shared" si="58"/>
        <v>691603.55999999994</v>
      </c>
      <c r="O262" s="241">
        <f t="shared" si="58"/>
        <v>849960.98</v>
      </c>
      <c r="P262" s="241">
        <f t="shared" si="58"/>
        <v>1353395.83</v>
      </c>
      <c r="Q262" s="241">
        <f t="shared" si="58"/>
        <v>424429.39</v>
      </c>
      <c r="R262" s="241">
        <f t="shared" si="58"/>
        <v>673665.31</v>
      </c>
      <c r="S262" s="241">
        <f t="shared" si="58"/>
        <v>455166.01060000004</v>
      </c>
      <c r="T262" s="241">
        <f t="shared" si="58"/>
        <v>455166.01060000004</v>
      </c>
      <c r="U262" s="241">
        <f t="shared" si="58"/>
        <v>455166.01060000004</v>
      </c>
      <c r="V262" s="241">
        <f>SUM(V263:V275)</f>
        <v>11459337.741799999</v>
      </c>
      <c r="W262" s="72">
        <f>V262/V$6</f>
        <v>5.1186792798570441E-2</v>
      </c>
      <c r="X262" s="89"/>
      <c r="Y262" s="241">
        <f>SUM(Y263:Y275)</f>
        <v>578119</v>
      </c>
      <c r="Z262" s="241">
        <f t="shared" ref="Z262:AJ262" si="59">SUM(Z263:Z275)</f>
        <v>578119</v>
      </c>
      <c r="AA262" s="241">
        <f t="shared" si="59"/>
        <v>578119</v>
      </c>
      <c r="AB262" s="241">
        <f t="shared" si="59"/>
        <v>578119</v>
      </c>
      <c r="AC262" s="241">
        <f t="shared" si="59"/>
        <v>578119</v>
      </c>
      <c r="AD262" s="241">
        <f t="shared" si="59"/>
        <v>578119</v>
      </c>
      <c r="AE262" s="241">
        <f t="shared" si="59"/>
        <v>578119</v>
      </c>
      <c r="AF262" s="241">
        <f t="shared" si="59"/>
        <v>578119</v>
      </c>
      <c r="AG262" s="241">
        <f t="shared" si="59"/>
        <v>578119</v>
      </c>
      <c r="AH262" s="241">
        <f t="shared" si="59"/>
        <v>578119</v>
      </c>
      <c r="AI262" s="241">
        <f t="shared" si="59"/>
        <v>578119</v>
      </c>
      <c r="AJ262" s="241">
        <f t="shared" si="59"/>
        <v>578119</v>
      </c>
      <c r="AK262" s="241">
        <v>6937428</v>
      </c>
      <c r="AL262" s="72">
        <v>1.7358279066088439E-3</v>
      </c>
      <c r="AM262" s="10">
        <v>-0.39460480559059874</v>
      </c>
      <c r="AN262" s="89"/>
      <c r="AO262" s="241">
        <v>6937428</v>
      </c>
      <c r="AP262" s="72">
        <v>1.5777733702514857E-3</v>
      </c>
      <c r="AQ262" s="10">
        <v>-0.39460480559059874</v>
      </c>
    </row>
    <row r="263" spans="1:43" ht="15" customHeight="1" outlineLevel="1">
      <c r="A263" s="12" t="s">
        <v>310</v>
      </c>
      <c r="I263" s="139" t="s">
        <v>312</v>
      </c>
      <c r="J263" s="244">
        <v>3731.07</v>
      </c>
      <c r="K263" s="244">
        <v>0</v>
      </c>
      <c r="L263" s="244">
        <v>0</v>
      </c>
      <c r="M263" s="244">
        <v>2282.66</v>
      </c>
      <c r="N263" s="244">
        <v>0</v>
      </c>
      <c r="O263" s="244">
        <v>2104.92</v>
      </c>
      <c r="P263" s="244">
        <v>0</v>
      </c>
      <c r="Q263" s="244">
        <v>0</v>
      </c>
      <c r="R263" s="244">
        <v>0</v>
      </c>
      <c r="S263" s="244">
        <v>0</v>
      </c>
      <c r="T263" s="244">
        <v>0</v>
      </c>
      <c r="U263" s="244">
        <v>0</v>
      </c>
      <c r="V263" s="245">
        <f>SUM(J263:U263)</f>
        <v>8118.65</v>
      </c>
      <c r="W263" s="73">
        <f>V263/V$6</f>
        <v>3.6264543791065343E-5</v>
      </c>
      <c r="X263" s="89"/>
      <c r="Y263" s="244"/>
      <c r="Z263" s="244"/>
      <c r="AA263" s="244"/>
      <c r="AB263" s="244"/>
      <c r="AC263" s="244"/>
      <c r="AD263" s="244"/>
      <c r="AE263" s="244"/>
      <c r="AF263" s="244"/>
      <c r="AG263" s="244"/>
      <c r="AH263" s="244"/>
      <c r="AI263" s="244"/>
      <c r="AJ263" s="244"/>
      <c r="AK263" s="245">
        <v>0</v>
      </c>
      <c r="AL263" s="73">
        <v>0</v>
      </c>
      <c r="AM263" s="14">
        <v>-1</v>
      </c>
      <c r="AN263" s="89"/>
      <c r="AO263" s="245">
        <v>0</v>
      </c>
      <c r="AP263" s="73">
        <v>0</v>
      </c>
      <c r="AQ263" s="14">
        <v>-1</v>
      </c>
    </row>
    <row r="264" spans="1:43" ht="15" customHeight="1" outlineLevel="1">
      <c r="A264" s="12"/>
      <c r="I264" s="139" t="s">
        <v>313</v>
      </c>
      <c r="J264" s="244">
        <v>12656.760000000009</v>
      </c>
      <c r="K264" s="244">
        <v>-16583.510000000009</v>
      </c>
      <c r="L264" s="244">
        <v>485160.2</v>
      </c>
      <c r="M264" s="244">
        <v>21181.800000000003</v>
      </c>
      <c r="N264" s="244">
        <v>25055.989999999991</v>
      </c>
      <c r="O264" s="244">
        <v>427631.06</v>
      </c>
      <c r="P264" s="244">
        <v>28610.839999999997</v>
      </c>
      <c r="Q264" s="244">
        <v>28933.559999999998</v>
      </c>
      <c r="R264" s="244">
        <v>52874.570000000007</v>
      </c>
      <c r="S264" s="244">
        <v>0</v>
      </c>
      <c r="T264" s="244">
        <v>0</v>
      </c>
      <c r="U264" s="244">
        <v>0</v>
      </c>
      <c r="V264" s="245">
        <f t="shared" ref="V264:V275" si="60">SUM(J264:U264)</f>
        <v>1065521.27</v>
      </c>
      <c r="W264" s="73">
        <f t="shared" ref="W264:W274" si="61">V264/V$6</f>
        <v>4.7594911415354225E-3</v>
      </c>
      <c r="X264" s="89"/>
      <c r="Y264" s="244"/>
      <c r="Z264" s="244"/>
      <c r="AA264" s="244"/>
      <c r="AB264" s="244"/>
      <c r="AC264" s="244"/>
      <c r="AD264" s="244"/>
      <c r="AE264" s="244"/>
      <c r="AF264" s="244"/>
      <c r="AG264" s="244"/>
      <c r="AH264" s="244"/>
      <c r="AI264" s="244"/>
      <c r="AJ264" s="244"/>
      <c r="AK264" s="245">
        <v>0</v>
      </c>
      <c r="AL264" s="73">
        <v>0</v>
      </c>
      <c r="AM264" s="14">
        <v>-1</v>
      </c>
      <c r="AN264" s="89"/>
      <c r="AO264" s="245">
        <v>0</v>
      </c>
      <c r="AP264" s="73">
        <v>0</v>
      </c>
      <c r="AQ264" s="14">
        <v>-1</v>
      </c>
    </row>
    <row r="265" spans="1:43" ht="15" customHeight="1" outlineLevel="1">
      <c r="A265" s="12"/>
      <c r="I265" s="139" t="s">
        <v>314</v>
      </c>
      <c r="J265" s="244">
        <v>0</v>
      </c>
      <c r="K265" s="244">
        <v>0</v>
      </c>
      <c r="L265" s="244">
        <v>18.170000000000002</v>
      </c>
      <c r="M265" s="244">
        <v>438.95</v>
      </c>
      <c r="N265" s="244">
        <v>28.680000000000007</v>
      </c>
      <c r="O265" s="244">
        <v>1018.3700000000001</v>
      </c>
      <c r="P265" s="244">
        <v>18.419999999999845</v>
      </c>
      <c r="Q265" s="244">
        <v>57.330000000000155</v>
      </c>
      <c r="R265" s="244">
        <v>24.3599999999999</v>
      </c>
      <c r="S265" s="244">
        <v>0</v>
      </c>
      <c r="T265" s="244">
        <v>0</v>
      </c>
      <c r="U265" s="244">
        <v>0</v>
      </c>
      <c r="V265" s="245">
        <f t="shared" si="60"/>
        <v>1604.28</v>
      </c>
      <c r="W265" s="73">
        <f t="shared" si="61"/>
        <v>7.1660291197588644E-6</v>
      </c>
      <c r="X265" s="89"/>
      <c r="Y265" s="244"/>
      <c r="Z265" s="244"/>
      <c r="AA265" s="244"/>
      <c r="AB265" s="244"/>
      <c r="AC265" s="244"/>
      <c r="AD265" s="244"/>
      <c r="AE265" s="244"/>
      <c r="AF265" s="244"/>
      <c r="AG265" s="244"/>
      <c r="AH265" s="244"/>
      <c r="AI265" s="244"/>
      <c r="AJ265" s="244"/>
      <c r="AK265" s="245">
        <v>0</v>
      </c>
      <c r="AL265" s="73">
        <v>0</v>
      </c>
      <c r="AM265" s="14">
        <v>-1</v>
      </c>
      <c r="AN265" s="89"/>
      <c r="AO265" s="245">
        <v>0</v>
      </c>
      <c r="AP265" s="73">
        <v>0</v>
      </c>
      <c r="AQ265" s="14">
        <v>-1</v>
      </c>
    </row>
    <row r="266" spans="1:43" ht="15" customHeight="1" outlineLevel="1">
      <c r="A266" s="12"/>
      <c r="I266" s="139" t="s">
        <v>315</v>
      </c>
      <c r="J266" s="244">
        <v>10.79</v>
      </c>
      <c r="K266" s="244">
        <v>30.82</v>
      </c>
      <c r="L266" s="244">
        <v>34.709999999999994</v>
      </c>
      <c r="M266" s="244">
        <v>11.490000000000002</v>
      </c>
      <c r="N266" s="244">
        <v>16</v>
      </c>
      <c r="O266" s="244">
        <v>33.64</v>
      </c>
      <c r="P266" s="244">
        <v>33.14</v>
      </c>
      <c r="Q266" s="244">
        <v>16.5</v>
      </c>
      <c r="R266" s="244">
        <v>54.33</v>
      </c>
      <c r="S266" s="244">
        <v>0</v>
      </c>
      <c r="T266" s="244">
        <v>0</v>
      </c>
      <c r="U266" s="244">
        <v>0</v>
      </c>
      <c r="V266" s="245">
        <f t="shared" si="60"/>
        <v>241.41999999999996</v>
      </c>
      <c r="W266" s="73">
        <f t="shared" si="61"/>
        <v>1.0783795535019976E-6</v>
      </c>
      <c r="X266" s="89"/>
      <c r="Y266" s="244"/>
      <c r="Z266" s="244"/>
      <c r="AA266" s="244"/>
      <c r="AB266" s="244"/>
      <c r="AC266" s="244"/>
      <c r="AD266" s="244"/>
      <c r="AE266" s="244"/>
      <c r="AF266" s="244"/>
      <c r="AG266" s="244"/>
      <c r="AH266" s="244"/>
      <c r="AI266" s="244"/>
      <c r="AJ266" s="244"/>
      <c r="AK266" s="245">
        <v>0</v>
      </c>
      <c r="AL266" s="73">
        <v>0</v>
      </c>
      <c r="AM266" s="14">
        <v>-1</v>
      </c>
      <c r="AN266" s="89"/>
      <c r="AO266" s="245">
        <v>0</v>
      </c>
      <c r="AP266" s="73">
        <v>0</v>
      </c>
      <c r="AQ266" s="14">
        <v>-1</v>
      </c>
    </row>
    <row r="267" spans="1:43" ht="15" customHeight="1" outlineLevel="1">
      <c r="A267" s="12"/>
      <c r="I267" s="139" t="s">
        <v>316</v>
      </c>
      <c r="J267" s="244">
        <v>0</v>
      </c>
      <c r="K267" s="244">
        <v>0</v>
      </c>
      <c r="L267" s="244">
        <v>0</v>
      </c>
      <c r="M267" s="244">
        <v>0</v>
      </c>
      <c r="N267" s="244">
        <v>0</v>
      </c>
      <c r="O267" s="244">
        <v>0</v>
      </c>
      <c r="P267" s="244">
        <v>0</v>
      </c>
      <c r="Q267" s="244">
        <v>0</v>
      </c>
      <c r="R267" s="244">
        <v>0</v>
      </c>
      <c r="S267" s="244">
        <v>0</v>
      </c>
      <c r="T267" s="244">
        <v>0</v>
      </c>
      <c r="U267" s="244">
        <v>0</v>
      </c>
      <c r="V267" s="245">
        <f t="shared" si="60"/>
        <v>0</v>
      </c>
      <c r="W267" s="73">
        <f t="shared" si="61"/>
        <v>0</v>
      </c>
      <c r="X267" s="89"/>
      <c r="Y267" s="244"/>
      <c r="Z267" s="244"/>
      <c r="AA267" s="244"/>
      <c r="AB267" s="244"/>
      <c r="AC267" s="244"/>
      <c r="AD267" s="244"/>
      <c r="AE267" s="244"/>
      <c r="AF267" s="244"/>
      <c r="AG267" s="244"/>
      <c r="AH267" s="244"/>
      <c r="AI267" s="244"/>
      <c r="AJ267" s="244"/>
      <c r="AK267" s="245">
        <v>0</v>
      </c>
      <c r="AL267" s="73">
        <v>0</v>
      </c>
      <c r="AM267" s="14">
        <v>0</v>
      </c>
      <c r="AN267" s="89"/>
      <c r="AO267" s="245">
        <v>0</v>
      </c>
      <c r="AP267" s="73">
        <v>0</v>
      </c>
      <c r="AQ267" s="14">
        <v>0</v>
      </c>
    </row>
    <row r="268" spans="1:43" ht="15" customHeight="1" outlineLevel="1">
      <c r="A268" s="12"/>
      <c r="I268" s="139" t="s">
        <v>317</v>
      </c>
      <c r="J268" s="244">
        <v>237032.78</v>
      </c>
      <c r="K268" s="244">
        <v>309822.94</v>
      </c>
      <c r="L268" s="244">
        <v>231659.82</v>
      </c>
      <c r="M268" s="244">
        <v>196195.47</v>
      </c>
      <c r="N268" s="244">
        <v>232366.27</v>
      </c>
      <c r="O268" s="244">
        <v>149763.84</v>
      </c>
      <c r="P268" s="244">
        <v>274733.43</v>
      </c>
      <c r="Q268" s="244">
        <v>246991</v>
      </c>
      <c r="R268" s="244">
        <v>203490.3</v>
      </c>
      <c r="S268" s="244">
        <v>154126</v>
      </c>
      <c r="T268" s="244">
        <v>154126</v>
      </c>
      <c r="U268" s="244">
        <v>154126</v>
      </c>
      <c r="V268" s="245">
        <f t="shared" si="60"/>
        <v>2544433.85</v>
      </c>
      <c r="W268" s="73">
        <f t="shared" si="61"/>
        <v>1.1365526630264144E-2</v>
      </c>
      <c r="X268" s="89"/>
      <c r="Y268" s="244">
        <v>165343</v>
      </c>
      <c r="Z268" s="244">
        <v>165343</v>
      </c>
      <c r="AA268" s="244">
        <v>165343</v>
      </c>
      <c r="AB268" s="244">
        <v>165343</v>
      </c>
      <c r="AC268" s="244">
        <v>165343</v>
      </c>
      <c r="AD268" s="244">
        <v>165343</v>
      </c>
      <c r="AE268" s="244">
        <v>165343</v>
      </c>
      <c r="AF268" s="244">
        <v>165343</v>
      </c>
      <c r="AG268" s="244">
        <v>165343</v>
      </c>
      <c r="AH268" s="244">
        <v>165343</v>
      </c>
      <c r="AI268" s="244">
        <v>165343</v>
      </c>
      <c r="AJ268" s="244">
        <v>165343</v>
      </c>
      <c r="AK268" s="245">
        <v>1984116</v>
      </c>
      <c r="AL268" s="73">
        <v>4.9644968174792053E-4</v>
      </c>
      <c r="AM268" s="14">
        <v>-0.22021317237231386</v>
      </c>
      <c r="AN268" s="89"/>
      <c r="AO268" s="245">
        <v>1984116</v>
      </c>
      <c r="AP268" s="73">
        <v>4.5124582025066011E-4</v>
      </c>
      <c r="AQ268" s="14">
        <v>-0.22021317237231386</v>
      </c>
    </row>
    <row r="269" spans="1:43" ht="15" customHeight="1" outlineLevel="1">
      <c r="A269" s="12"/>
      <c r="I269" s="139" t="s">
        <v>318</v>
      </c>
      <c r="J269" s="244">
        <v>391407.39</v>
      </c>
      <c r="K269" s="244">
        <v>2660483.77</v>
      </c>
      <c r="L269" s="244">
        <v>37566.14</v>
      </c>
      <c r="M269" s="244">
        <v>324543.52</v>
      </c>
      <c r="N269" s="244">
        <v>296894.44999999995</v>
      </c>
      <c r="O269" s="244">
        <v>286668.98</v>
      </c>
      <c r="P269" s="244">
        <v>1050000</v>
      </c>
      <c r="Q269" s="244">
        <v>0</v>
      </c>
      <c r="R269" s="244">
        <v>0</v>
      </c>
      <c r="S269" s="244">
        <v>301040.01060000004</v>
      </c>
      <c r="T269" s="244">
        <v>301040.01060000004</v>
      </c>
      <c r="U269" s="244">
        <v>301040.01060000004</v>
      </c>
      <c r="V269" s="245">
        <f t="shared" si="60"/>
        <v>5950684.2817999991</v>
      </c>
      <c r="W269" s="73">
        <f t="shared" si="61"/>
        <v>2.6580632337166926E-2</v>
      </c>
      <c r="X269" s="89"/>
      <c r="Y269" s="244">
        <f>58968*7</f>
        <v>412776</v>
      </c>
      <c r="Z269" s="244">
        <f>+Y269</f>
        <v>412776</v>
      </c>
      <c r="AA269" s="244">
        <f t="shared" ref="AA269:AJ269" si="62">+Z269</f>
        <v>412776</v>
      </c>
      <c r="AB269" s="244">
        <f t="shared" si="62"/>
        <v>412776</v>
      </c>
      <c r="AC269" s="244">
        <f t="shared" si="62"/>
        <v>412776</v>
      </c>
      <c r="AD269" s="244">
        <f t="shared" si="62"/>
        <v>412776</v>
      </c>
      <c r="AE269" s="244">
        <f t="shared" si="62"/>
        <v>412776</v>
      </c>
      <c r="AF269" s="244">
        <f t="shared" si="62"/>
        <v>412776</v>
      </c>
      <c r="AG269" s="244">
        <f t="shared" si="62"/>
        <v>412776</v>
      </c>
      <c r="AH269" s="244">
        <f t="shared" si="62"/>
        <v>412776</v>
      </c>
      <c r="AI269" s="244">
        <f t="shared" si="62"/>
        <v>412776</v>
      </c>
      <c r="AJ269" s="244">
        <f t="shared" si="62"/>
        <v>412776</v>
      </c>
      <c r="AK269" s="245">
        <v>4953312</v>
      </c>
      <c r="AL269" s="73">
        <v>1.2393782248609232E-3</v>
      </c>
      <c r="AM269" s="14">
        <v>-0.16760631795748837</v>
      </c>
      <c r="AN269" s="89"/>
      <c r="AO269" s="245">
        <v>4953312</v>
      </c>
      <c r="AP269" s="73">
        <v>1.1265275500008255E-3</v>
      </c>
      <c r="AQ269" s="14">
        <v>-0.16760631795748837</v>
      </c>
    </row>
    <row r="270" spans="1:43" ht="15" customHeight="1" outlineLevel="1">
      <c r="A270" s="12"/>
      <c r="I270" s="139" t="s">
        <v>319</v>
      </c>
      <c r="J270" s="244">
        <v>0</v>
      </c>
      <c r="K270" s="244">
        <v>0</v>
      </c>
      <c r="L270" s="244">
        <v>0</v>
      </c>
      <c r="M270" s="244">
        <v>0</v>
      </c>
      <c r="N270" s="244">
        <v>0</v>
      </c>
      <c r="O270" s="244">
        <v>0</v>
      </c>
      <c r="P270" s="244">
        <v>0</v>
      </c>
      <c r="Q270" s="244">
        <v>0</v>
      </c>
      <c r="R270" s="244">
        <v>0</v>
      </c>
      <c r="S270" s="244">
        <v>0</v>
      </c>
      <c r="T270" s="244">
        <v>0</v>
      </c>
      <c r="U270" s="244">
        <v>0</v>
      </c>
      <c r="V270" s="245">
        <f t="shared" si="60"/>
        <v>0</v>
      </c>
      <c r="W270" s="73">
        <f t="shared" si="61"/>
        <v>0</v>
      </c>
      <c r="X270" s="89"/>
      <c r="Y270" s="244"/>
      <c r="Z270" s="244"/>
      <c r="AA270" s="244"/>
      <c r="AB270" s="244"/>
      <c r="AC270" s="244"/>
      <c r="AD270" s="244"/>
      <c r="AE270" s="244"/>
      <c r="AF270" s="244"/>
      <c r="AG270" s="244"/>
      <c r="AH270" s="244"/>
      <c r="AI270" s="244"/>
      <c r="AJ270" s="244"/>
      <c r="AK270" s="245">
        <v>0</v>
      </c>
      <c r="AL270" s="73">
        <v>0</v>
      </c>
      <c r="AM270" s="14">
        <v>0</v>
      </c>
      <c r="AN270" s="89"/>
      <c r="AO270" s="245">
        <v>0</v>
      </c>
      <c r="AP270" s="73">
        <v>0</v>
      </c>
      <c r="AQ270" s="14">
        <v>0</v>
      </c>
    </row>
    <row r="271" spans="1:43" ht="15" customHeight="1" outlineLevel="1">
      <c r="A271" s="12"/>
      <c r="I271" s="139" t="s">
        <v>320</v>
      </c>
      <c r="J271" s="244">
        <v>223798</v>
      </c>
      <c r="K271" s="244">
        <v>332470</v>
      </c>
      <c r="L271" s="244">
        <v>420366</v>
      </c>
      <c r="M271" s="244">
        <v>314108</v>
      </c>
      <c r="N271" s="244">
        <v>154502</v>
      </c>
      <c r="O271" s="244">
        <v>0</v>
      </c>
      <c r="P271" s="244">
        <v>0</v>
      </c>
      <c r="Q271" s="244">
        <v>148431</v>
      </c>
      <c r="R271" s="244">
        <v>417221.75</v>
      </c>
      <c r="S271" s="244">
        <v>0</v>
      </c>
      <c r="T271" s="244">
        <v>0</v>
      </c>
      <c r="U271" s="244">
        <v>0</v>
      </c>
      <c r="V271" s="245">
        <f t="shared" si="60"/>
        <v>2010896.75</v>
      </c>
      <c r="W271" s="73">
        <f t="shared" si="61"/>
        <v>8.9823127305261319E-3</v>
      </c>
      <c r="X271" s="89"/>
      <c r="Y271" s="244"/>
      <c r="Z271" s="244"/>
      <c r="AA271" s="244"/>
      <c r="AB271" s="244"/>
      <c r="AC271" s="244"/>
      <c r="AD271" s="244"/>
      <c r="AE271" s="244"/>
      <c r="AF271" s="244"/>
      <c r="AG271" s="244"/>
      <c r="AH271" s="244"/>
      <c r="AI271" s="244"/>
      <c r="AJ271" s="244"/>
      <c r="AK271" s="245">
        <v>0</v>
      </c>
      <c r="AL271" s="73">
        <v>0</v>
      </c>
      <c r="AM271" s="14">
        <v>-1</v>
      </c>
      <c r="AN271" s="89"/>
      <c r="AO271" s="245">
        <v>0</v>
      </c>
      <c r="AP271" s="73">
        <v>0</v>
      </c>
      <c r="AQ271" s="14">
        <v>-1</v>
      </c>
    </row>
    <row r="272" spans="1:43" ht="15" customHeight="1" outlineLevel="1">
      <c r="A272" s="12"/>
      <c r="I272" s="139" t="s">
        <v>321</v>
      </c>
      <c r="J272" s="244">
        <v>0</v>
      </c>
      <c r="K272" s="244">
        <v>-3000</v>
      </c>
      <c r="L272" s="244">
        <v>0</v>
      </c>
      <c r="M272" s="244">
        <v>-36817.1</v>
      </c>
      <c r="N272" s="244">
        <v>-17259.830000000002</v>
      </c>
      <c r="O272" s="244">
        <v>-17259.830000000002</v>
      </c>
      <c r="P272" s="244">
        <v>0</v>
      </c>
      <c r="Q272" s="244">
        <v>0</v>
      </c>
      <c r="R272" s="244">
        <v>0</v>
      </c>
      <c r="S272" s="244">
        <v>0</v>
      </c>
      <c r="T272" s="244">
        <v>0</v>
      </c>
      <c r="U272" s="244">
        <v>0</v>
      </c>
      <c r="V272" s="245">
        <f t="shared" si="60"/>
        <v>-74336.760000000009</v>
      </c>
      <c r="W272" s="73">
        <f t="shared" si="61"/>
        <v>-3.3204888599778473E-4</v>
      </c>
      <c r="X272" s="89"/>
      <c r="Y272" s="244"/>
      <c r="Z272" s="244"/>
      <c r="AA272" s="244"/>
      <c r="AB272" s="244"/>
      <c r="AC272" s="244"/>
      <c r="AD272" s="244"/>
      <c r="AE272" s="244"/>
      <c r="AF272" s="244"/>
      <c r="AG272" s="244"/>
      <c r="AH272" s="244"/>
      <c r="AI272" s="244"/>
      <c r="AJ272" s="244"/>
      <c r="AK272" s="245">
        <v>0</v>
      </c>
      <c r="AL272" s="73">
        <v>0</v>
      </c>
      <c r="AM272" s="14">
        <v>-1</v>
      </c>
      <c r="AN272" s="89"/>
      <c r="AO272" s="245">
        <v>0</v>
      </c>
      <c r="AP272" s="73">
        <v>0</v>
      </c>
      <c r="AQ272" s="14">
        <v>-1</v>
      </c>
    </row>
    <row r="273" spans="1:43" ht="15" customHeight="1" outlineLevel="1">
      <c r="A273" s="12"/>
      <c r="I273" s="139" t="s">
        <v>322</v>
      </c>
      <c r="J273" s="244">
        <v>0</v>
      </c>
      <c r="K273" s="244">
        <v>0</v>
      </c>
      <c r="L273" s="244">
        <v>0</v>
      </c>
      <c r="M273" s="244">
        <v>0</v>
      </c>
      <c r="N273" s="244">
        <v>0</v>
      </c>
      <c r="O273" s="244">
        <v>0</v>
      </c>
      <c r="P273" s="244">
        <v>0</v>
      </c>
      <c r="Q273" s="244">
        <v>0</v>
      </c>
      <c r="R273" s="244">
        <v>0</v>
      </c>
      <c r="S273" s="244">
        <v>0</v>
      </c>
      <c r="T273" s="244">
        <v>0</v>
      </c>
      <c r="U273" s="244">
        <v>0</v>
      </c>
      <c r="V273" s="245">
        <f t="shared" si="60"/>
        <v>0</v>
      </c>
      <c r="W273" s="73">
        <f t="shared" si="61"/>
        <v>0</v>
      </c>
      <c r="X273" s="89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5">
        <v>0</v>
      </c>
      <c r="AL273" s="73">
        <v>0</v>
      </c>
      <c r="AM273" s="14">
        <v>0</v>
      </c>
      <c r="AN273" s="89"/>
      <c r="AO273" s="245">
        <v>0</v>
      </c>
      <c r="AP273" s="73">
        <v>0</v>
      </c>
      <c r="AQ273" s="14">
        <v>0</v>
      </c>
    </row>
    <row r="274" spans="1:43" ht="15" customHeight="1" outlineLevel="1">
      <c r="A274" s="12"/>
      <c r="I274" s="139" t="s">
        <v>323</v>
      </c>
      <c r="J274" s="244">
        <v>0</v>
      </c>
      <c r="K274" s="244">
        <v>0</v>
      </c>
      <c r="L274" s="244">
        <v>0</v>
      </c>
      <c r="M274" s="244">
        <v>0</v>
      </c>
      <c r="N274" s="244">
        <v>0</v>
      </c>
      <c r="O274" s="244">
        <v>0</v>
      </c>
      <c r="P274" s="244">
        <v>0</v>
      </c>
      <c r="Q274" s="244">
        <v>0</v>
      </c>
      <c r="R274" s="244">
        <v>0</v>
      </c>
      <c r="S274" s="244">
        <v>0</v>
      </c>
      <c r="T274" s="244">
        <v>0</v>
      </c>
      <c r="U274" s="244">
        <v>0</v>
      </c>
      <c r="V274" s="245">
        <f t="shared" si="60"/>
        <v>0</v>
      </c>
      <c r="W274" s="73">
        <f t="shared" si="61"/>
        <v>0</v>
      </c>
      <c r="X274" s="89"/>
      <c r="Y274" s="244"/>
      <c r="Z274" s="244"/>
      <c r="AA274" s="244"/>
      <c r="AB274" s="244"/>
      <c r="AC274" s="244"/>
      <c r="AD274" s="244"/>
      <c r="AE274" s="244"/>
      <c r="AF274" s="244"/>
      <c r="AG274" s="244"/>
      <c r="AH274" s="244"/>
      <c r="AI274" s="244"/>
      <c r="AJ274" s="244"/>
      <c r="AK274" s="245">
        <v>0</v>
      </c>
      <c r="AL274" s="73">
        <v>0</v>
      </c>
      <c r="AM274" s="14">
        <v>0</v>
      </c>
      <c r="AN274" s="89"/>
      <c r="AO274" s="245">
        <v>0</v>
      </c>
      <c r="AP274" s="73">
        <v>0</v>
      </c>
      <c r="AQ274" s="14">
        <v>0</v>
      </c>
    </row>
    <row r="275" spans="1:43" ht="15" customHeight="1" outlineLevel="1">
      <c r="A275" s="12" t="s">
        <v>310</v>
      </c>
      <c r="I275" s="139" t="s">
        <v>324</v>
      </c>
      <c r="J275" s="244">
        <v>-8800</v>
      </c>
      <c r="K275" s="244">
        <v>-38551</v>
      </c>
      <c r="L275" s="244">
        <v>-475</v>
      </c>
      <c r="M275" s="244">
        <v>0</v>
      </c>
      <c r="N275" s="244">
        <v>0</v>
      </c>
      <c r="O275" s="244">
        <v>0</v>
      </c>
      <c r="P275" s="244">
        <v>0</v>
      </c>
      <c r="Q275" s="244">
        <v>0</v>
      </c>
      <c r="R275" s="244">
        <v>0</v>
      </c>
      <c r="S275" s="244">
        <v>0</v>
      </c>
      <c r="T275" s="244">
        <v>0</v>
      </c>
      <c r="U275" s="244">
        <v>0</v>
      </c>
      <c r="V275" s="245">
        <f t="shared" si="60"/>
        <v>-47826</v>
      </c>
      <c r="W275" s="73">
        <f>V275/V$6</f>
        <v>-2.136301073887273E-4</v>
      </c>
      <c r="X275" s="89"/>
      <c r="Y275" s="244"/>
      <c r="Z275" s="244"/>
      <c r="AA275" s="244"/>
      <c r="AB275" s="244"/>
      <c r="AC275" s="244"/>
      <c r="AD275" s="244"/>
      <c r="AE275" s="244"/>
      <c r="AF275" s="244"/>
      <c r="AG275" s="244"/>
      <c r="AH275" s="244"/>
      <c r="AI275" s="244"/>
      <c r="AJ275" s="244"/>
      <c r="AK275" s="245">
        <v>0</v>
      </c>
      <c r="AL275" s="73">
        <v>0</v>
      </c>
      <c r="AM275" s="14">
        <v>-1</v>
      </c>
      <c r="AN275" s="89"/>
      <c r="AO275" s="245">
        <v>0</v>
      </c>
      <c r="AP275" s="73">
        <v>0</v>
      </c>
      <c r="AQ275" s="14">
        <v>-1</v>
      </c>
    </row>
    <row r="276" spans="1:43" ht="14.45" hidden="1" customHeight="1">
      <c r="A276" s="12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 s="166"/>
      <c r="X276" s="92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 s="166"/>
      <c r="AM276" s="159"/>
      <c r="AN276" s="92"/>
      <c r="AO276"/>
      <c r="AP276" s="166"/>
      <c r="AQ276" s="159"/>
    </row>
    <row r="277" spans="1:43" ht="14.45" hidden="1" customHeight="1">
      <c r="A277" s="12" t="s">
        <v>325</v>
      </c>
      <c r="E277" s="191" t="s">
        <v>111</v>
      </c>
      <c r="I277" s="128" t="s">
        <v>326</v>
      </c>
      <c r="J277" s="241">
        <f>SUM(J278:J281)</f>
        <v>1371470.7199999997</v>
      </c>
      <c r="K277" s="241">
        <f t="shared" ref="K277:U277" si="63">SUM(K278:K281)</f>
        <v>726840.17999999993</v>
      </c>
      <c r="L277" s="241">
        <f t="shared" si="63"/>
        <v>2915088.2</v>
      </c>
      <c r="M277" s="241">
        <f t="shared" si="63"/>
        <v>981232.93</v>
      </c>
      <c r="N277" s="241">
        <f t="shared" si="63"/>
        <v>1898826.27</v>
      </c>
      <c r="O277" s="241">
        <f t="shared" si="63"/>
        <v>1167903.58</v>
      </c>
      <c r="P277" s="241">
        <f t="shared" si="63"/>
        <v>1411867.03</v>
      </c>
      <c r="Q277" s="241">
        <f t="shared" si="63"/>
        <v>1616730.35</v>
      </c>
      <c r="R277" s="241">
        <f t="shared" si="63"/>
        <v>1236566.48</v>
      </c>
      <c r="S277" s="241">
        <f t="shared" si="63"/>
        <v>756323.7123691719</v>
      </c>
      <c r="T277" s="241">
        <f t="shared" si="63"/>
        <v>740821.93434273358</v>
      </c>
      <c r="U277" s="241">
        <f t="shared" si="63"/>
        <v>735575.83931459568</v>
      </c>
      <c r="V277" s="241">
        <f>SUM(V278:V281)</f>
        <v>15559247.226026502</v>
      </c>
      <c r="W277" s="72">
        <f>V277/V$6</f>
        <v>6.9500348257930819E-2</v>
      </c>
      <c r="X277" s="89"/>
      <c r="Y277" s="241">
        <f>SUM(Y278:Y281)</f>
        <v>1547527.4118192592</v>
      </c>
      <c r="Z277" s="241">
        <f t="shared" ref="Z277:AJ277" si="64">SUM(Z278:Z281)</f>
        <v>1540511.9476381629</v>
      </c>
      <c r="AA277" s="241">
        <f t="shared" si="64"/>
        <v>1611951.7744877611</v>
      </c>
      <c r="AB277" s="241">
        <f t="shared" si="64"/>
        <v>1591973.8990217252</v>
      </c>
      <c r="AC277" s="241">
        <f t="shared" si="64"/>
        <v>1696128.1224355008</v>
      </c>
      <c r="AD277" s="241">
        <f t="shared" si="64"/>
        <v>1665929.0358247182</v>
      </c>
      <c r="AE277" s="241">
        <f t="shared" si="64"/>
        <v>1644686.7162324786</v>
      </c>
      <c r="AF277" s="241">
        <f t="shared" si="64"/>
        <v>1678233.080110302</v>
      </c>
      <c r="AG277" s="241">
        <f t="shared" si="64"/>
        <v>1668758.1718174177</v>
      </c>
      <c r="AH277" s="241">
        <f t="shared" si="64"/>
        <v>1682462.8240401393</v>
      </c>
      <c r="AI277" s="241">
        <f t="shared" si="64"/>
        <v>1647274.3140089351</v>
      </c>
      <c r="AJ277" s="241">
        <f t="shared" si="64"/>
        <v>1625817.1740634802</v>
      </c>
      <c r="AK277" s="241">
        <v>18074871.890415367</v>
      </c>
      <c r="AL277" s="72">
        <v>4.5225502932445191E-3</v>
      </c>
      <c r="AM277" s="10">
        <v>0.16168035817188442</v>
      </c>
      <c r="AN277" s="89"/>
      <c r="AO277" s="241">
        <v>19356034.172505777</v>
      </c>
      <c r="AP277" s="72">
        <v>4.4021264467259862E-3</v>
      </c>
      <c r="AQ277" s="10">
        <v>0.24402124931392932</v>
      </c>
    </row>
    <row r="278" spans="1:43" ht="15" customHeight="1" outlineLevel="1">
      <c r="A278" s="12" t="s">
        <v>325</v>
      </c>
      <c r="I278" s="139" t="s">
        <v>327</v>
      </c>
      <c r="J278" s="244">
        <v>136673.18</v>
      </c>
      <c r="K278" s="244">
        <v>20062.939999999999</v>
      </c>
      <c r="L278" s="244">
        <v>1019914.97</v>
      </c>
      <c r="M278" s="244">
        <v>175585.4</v>
      </c>
      <c r="N278" s="244">
        <v>732390.98</v>
      </c>
      <c r="O278" s="244">
        <v>-153969.57999999999</v>
      </c>
      <c r="P278" s="244">
        <v>46029.530000000006</v>
      </c>
      <c r="Q278" s="244">
        <v>102420.45999999999</v>
      </c>
      <c r="R278" s="244">
        <v>82735.760000000009</v>
      </c>
      <c r="S278" s="244">
        <v>0</v>
      </c>
      <c r="T278" s="244">
        <v>0</v>
      </c>
      <c r="U278" s="244">
        <v>0</v>
      </c>
      <c r="V278" s="245">
        <f>SUM(J278:U278)</f>
        <v>2161843.6399999997</v>
      </c>
      <c r="W278" s="73">
        <f>V278/V$6</f>
        <v>9.6565652358724767E-3</v>
      </c>
      <c r="X278" s="89"/>
      <c r="Y278" s="244"/>
      <c r="Z278" s="244"/>
      <c r="AA278" s="244"/>
      <c r="AB278" s="244"/>
      <c r="AC278" s="244"/>
      <c r="AD278" s="244"/>
      <c r="AE278" s="244"/>
      <c r="AF278" s="244"/>
      <c r="AG278" s="244"/>
      <c r="AH278" s="244"/>
      <c r="AI278" s="244"/>
      <c r="AJ278" s="244"/>
      <c r="AK278" s="245">
        <v>0</v>
      </c>
      <c r="AL278" s="73">
        <v>0</v>
      </c>
      <c r="AM278" s="14">
        <v>-1</v>
      </c>
      <c r="AN278" s="89"/>
      <c r="AO278" s="245">
        <v>0</v>
      </c>
      <c r="AP278" s="73">
        <v>0</v>
      </c>
      <c r="AQ278" s="14">
        <v>-1</v>
      </c>
    </row>
    <row r="279" spans="1:43" ht="15" customHeight="1" outlineLevel="1">
      <c r="A279" s="12" t="s">
        <v>325</v>
      </c>
      <c r="I279" s="139" t="s">
        <v>328</v>
      </c>
      <c r="J279" s="244">
        <v>433949.45999999996</v>
      </c>
      <c r="K279" s="244">
        <v>74707.37</v>
      </c>
      <c r="L279" s="244">
        <v>89217.38</v>
      </c>
      <c r="M279" s="244">
        <v>0</v>
      </c>
      <c r="N279" s="244">
        <v>304921.77999999997</v>
      </c>
      <c r="O279" s="244">
        <v>449019.85000000003</v>
      </c>
      <c r="P279" s="244">
        <v>94203.04</v>
      </c>
      <c r="Q279" s="244">
        <v>201635.79</v>
      </c>
      <c r="R279" s="244">
        <v>99429.66</v>
      </c>
      <c r="S279" s="244">
        <v>65000</v>
      </c>
      <c r="T279" s="244">
        <v>65000</v>
      </c>
      <c r="U279" s="244">
        <v>65000</v>
      </c>
      <c r="V279" s="245">
        <f>SUM(J279:U279)</f>
        <v>1942084.33</v>
      </c>
      <c r="W279" s="73">
        <f>V279/V$6</f>
        <v>8.6749400739318475E-3</v>
      </c>
      <c r="X279" s="89"/>
      <c r="Y279" s="244">
        <v>440476.53</v>
      </c>
      <c r="Z279" s="244">
        <f>+Y279</f>
        <v>440476.53</v>
      </c>
      <c r="AA279" s="244">
        <f t="shared" ref="AA279:AJ279" si="65">+Z279</f>
        <v>440476.53</v>
      </c>
      <c r="AB279" s="244">
        <f t="shared" si="65"/>
        <v>440476.53</v>
      </c>
      <c r="AC279" s="244">
        <f t="shared" si="65"/>
        <v>440476.53</v>
      </c>
      <c r="AD279" s="244">
        <f t="shared" si="65"/>
        <v>440476.53</v>
      </c>
      <c r="AE279" s="244">
        <f t="shared" si="65"/>
        <v>440476.53</v>
      </c>
      <c r="AF279" s="244">
        <f t="shared" si="65"/>
        <v>440476.53</v>
      </c>
      <c r="AG279" s="244">
        <f t="shared" si="65"/>
        <v>440476.53</v>
      </c>
      <c r="AH279" s="244">
        <f t="shared" si="65"/>
        <v>440476.53</v>
      </c>
      <c r="AI279" s="244">
        <f t="shared" si="65"/>
        <v>440476.53</v>
      </c>
      <c r="AJ279" s="244">
        <f t="shared" si="65"/>
        <v>440476.53</v>
      </c>
      <c r="AK279" s="245">
        <v>5285718.3600000022</v>
      </c>
      <c r="AL279" s="73">
        <v>1.3225502932445188E-3</v>
      </c>
      <c r="AM279" s="14">
        <v>1.721672935798829</v>
      </c>
      <c r="AN279" s="89"/>
      <c r="AO279" s="245">
        <v>5285718.3600000022</v>
      </c>
      <c r="AP279" s="73">
        <v>1.2021264467259854E-3</v>
      </c>
      <c r="AQ279" s="14">
        <v>1.721672935798829</v>
      </c>
    </row>
    <row r="280" spans="1:43" ht="15" customHeight="1" outlineLevel="1">
      <c r="A280" s="12" t="s">
        <v>325</v>
      </c>
      <c r="I280" s="139" t="s">
        <v>329</v>
      </c>
      <c r="J280" s="244">
        <v>513333.49</v>
      </c>
      <c r="K280" s="244">
        <v>632069.87</v>
      </c>
      <c r="L280" s="244">
        <v>810112.23</v>
      </c>
      <c r="M280" s="244">
        <v>805667.38</v>
      </c>
      <c r="N280" s="244">
        <v>861533.38</v>
      </c>
      <c r="O280" s="244">
        <v>872853.31</v>
      </c>
      <c r="P280" s="244">
        <v>963497.39999999991</v>
      </c>
      <c r="Q280" s="244">
        <v>1312674.1000000001</v>
      </c>
      <c r="R280" s="244">
        <v>1054401.06</v>
      </c>
      <c r="S280" s="244">
        <v>691323.7123691719</v>
      </c>
      <c r="T280" s="244">
        <v>675821.93434273358</v>
      </c>
      <c r="U280" s="244">
        <v>670575.83931459568</v>
      </c>
      <c r="V280" s="245">
        <f>SUM(J280:U280)</f>
        <v>9863863.706026502</v>
      </c>
      <c r="W280" s="73">
        <f>V280/V$6</f>
        <v>4.4060098331163207E-2</v>
      </c>
      <c r="X280" s="89"/>
      <c r="Y280" s="244">
        <f>('[20]TOTAL ESTACIONES'!Y6*20%)*1.6%</f>
        <v>1107050.8818192591</v>
      </c>
      <c r="Z280" s="244">
        <f>('[20]TOTAL ESTACIONES'!Z6*20%)*1.6%</f>
        <v>1100035.4176381628</v>
      </c>
      <c r="AA280" s="244">
        <f>('[20]TOTAL ESTACIONES'!AA6*20%)*1.6%</f>
        <v>1171475.2444877611</v>
      </c>
      <c r="AB280" s="244">
        <f>('[20]TOTAL ESTACIONES'!AB6*20%)*1.6%</f>
        <v>1151497.3690217251</v>
      </c>
      <c r="AC280" s="244">
        <f>('[20]TOTAL ESTACIONES'!AC6*20%)*1.6%</f>
        <v>1255651.5924355008</v>
      </c>
      <c r="AD280" s="244">
        <f>('[20]TOTAL ESTACIONES'!AD6*20%)*1.6%</f>
        <v>1225452.5058247182</v>
      </c>
      <c r="AE280" s="244">
        <f>('[20]TOTAL ESTACIONES'!AE6*20%)*1.6%</f>
        <v>1204210.1862324786</v>
      </c>
      <c r="AF280" s="244">
        <f>('[20]TOTAL ESTACIONES'!AF6*20%)*1.6%</f>
        <v>1237756.5501103019</v>
      </c>
      <c r="AG280" s="244">
        <f>('[20]TOTAL ESTACIONES'!AG6*20%)*1.6%</f>
        <v>1228281.6418174177</v>
      </c>
      <c r="AH280" s="244">
        <f>('[20]TOTAL ESTACIONES'!AH6*20%)*1.6%</f>
        <v>1241986.2940401393</v>
      </c>
      <c r="AI280" s="244">
        <f>('[20]TOTAL ESTACIONES'!AI6*20%)*1.6%</f>
        <v>1206797.7840089351</v>
      </c>
      <c r="AJ280" s="244">
        <f>('[20]TOTAL ESTACIONES'!AJ6*20%)*1.6%</f>
        <v>1185340.6440634802</v>
      </c>
      <c r="AK280" s="245">
        <v>12789153.530415364</v>
      </c>
      <c r="AL280" s="73">
        <v>3.2000000000000006E-3</v>
      </c>
      <c r="AM280" s="14">
        <v>0.29656632649958503</v>
      </c>
      <c r="AN280" s="89"/>
      <c r="AO280" s="245">
        <v>14070315.812505774</v>
      </c>
      <c r="AP280" s="73">
        <v>3.2000000000000006E-3</v>
      </c>
      <c r="AQ280" s="14">
        <v>0.42645075315763603</v>
      </c>
    </row>
    <row r="281" spans="1:43" ht="15" customHeight="1" outlineLevel="1">
      <c r="A281" s="12" t="s">
        <v>325</v>
      </c>
      <c r="I281" s="139" t="s">
        <v>330</v>
      </c>
      <c r="J281" s="244">
        <v>287514.58999999997</v>
      </c>
      <c r="K281" s="244">
        <v>0</v>
      </c>
      <c r="L281" s="244">
        <v>995843.62000000011</v>
      </c>
      <c r="M281" s="244">
        <v>-19.850000000000001</v>
      </c>
      <c r="N281" s="244">
        <v>-19.87</v>
      </c>
      <c r="O281" s="244">
        <v>0</v>
      </c>
      <c r="P281" s="244">
        <v>308137.06</v>
      </c>
      <c r="Q281" s="244">
        <v>0</v>
      </c>
      <c r="R281" s="244">
        <v>0</v>
      </c>
      <c r="S281" s="244">
        <v>0</v>
      </c>
      <c r="T281" s="244">
        <v>0</v>
      </c>
      <c r="U281" s="244">
        <v>0</v>
      </c>
      <c r="V281" s="245">
        <f>SUM(J281:U281)</f>
        <v>1591455.5499999998</v>
      </c>
      <c r="W281" s="73">
        <f>V281/V$6</f>
        <v>7.1087446169632845E-3</v>
      </c>
      <c r="X281" s="89"/>
      <c r="Y281" s="244"/>
      <c r="Z281" s="244"/>
      <c r="AA281" s="244"/>
      <c r="AB281" s="244"/>
      <c r="AC281" s="244"/>
      <c r="AD281" s="244"/>
      <c r="AE281" s="244"/>
      <c r="AF281" s="244"/>
      <c r="AG281" s="244"/>
      <c r="AH281" s="244"/>
      <c r="AI281" s="244"/>
      <c r="AJ281" s="244"/>
      <c r="AK281" s="245">
        <v>0</v>
      </c>
      <c r="AL281" s="73">
        <v>0</v>
      </c>
      <c r="AM281" s="14">
        <v>-1</v>
      </c>
      <c r="AN281" s="89"/>
      <c r="AO281" s="245">
        <v>0</v>
      </c>
      <c r="AP281" s="73">
        <v>0</v>
      </c>
      <c r="AQ281" s="14">
        <v>-1</v>
      </c>
    </row>
    <row r="282" spans="1:43" ht="14.45" hidden="1" customHeight="1">
      <c r="A282" s="12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67"/>
      <c r="X282" s="8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67"/>
      <c r="AM282" s="160"/>
      <c r="AN282" s="89"/>
      <c r="AO282" s="139"/>
      <c r="AP282" s="167"/>
      <c r="AQ282" s="160"/>
    </row>
    <row r="283" spans="1:43" ht="14.45" hidden="1" customHeight="1">
      <c r="A283" s="12"/>
      <c r="E283" s="191" t="s">
        <v>111</v>
      </c>
      <c r="I283" s="128" t="s">
        <v>331</v>
      </c>
      <c r="J283" s="168">
        <f>SUM(J284:J289)</f>
        <v>811744.35</v>
      </c>
      <c r="K283" s="168">
        <f t="shared" ref="K283:U283" si="66">SUM(K284:K289)</f>
        <v>803366.78000000014</v>
      </c>
      <c r="L283" s="168">
        <f t="shared" si="66"/>
        <v>863602.55</v>
      </c>
      <c r="M283" s="168">
        <f t="shared" si="66"/>
        <v>974729.41999999993</v>
      </c>
      <c r="N283" s="168">
        <f t="shared" si="66"/>
        <v>991032.38</v>
      </c>
      <c r="O283" s="168">
        <f t="shared" si="66"/>
        <v>978813.98999999987</v>
      </c>
      <c r="P283" s="168">
        <f t="shared" si="66"/>
        <v>1252950.43</v>
      </c>
      <c r="Q283" s="168">
        <f t="shared" si="66"/>
        <v>1258041.98</v>
      </c>
      <c r="R283" s="168">
        <f t="shared" si="66"/>
        <v>1305688.54</v>
      </c>
      <c r="S283" s="168">
        <f t="shared" si="66"/>
        <v>750702.50000000047</v>
      </c>
      <c r="T283" s="168">
        <f t="shared" si="66"/>
        <v>750702.50000000047</v>
      </c>
      <c r="U283" s="168">
        <f t="shared" si="66"/>
        <v>750702.50000000047</v>
      </c>
      <c r="V283" s="168">
        <f>SUM(V284:V289)</f>
        <v>11492077.920000002</v>
      </c>
      <c r="W283" s="72">
        <f t="shared" ref="W283:W289" si="67">V283/V$6</f>
        <v>5.1333037263606038E-2</v>
      </c>
      <c r="X283" s="89"/>
      <c r="Y283" s="168">
        <f>SUM(Y284:Y289)</f>
        <v>1305688.54</v>
      </c>
      <c r="Z283" s="168">
        <f t="shared" ref="Z283:AJ283" si="68">SUM(Z284:Z289)</f>
        <v>1305688.54</v>
      </c>
      <c r="AA283" s="168">
        <f t="shared" si="68"/>
        <v>1305688.54</v>
      </c>
      <c r="AB283" s="168">
        <f t="shared" si="68"/>
        <v>1305688.54</v>
      </c>
      <c r="AC283" s="168">
        <f t="shared" si="68"/>
        <v>1305688.54</v>
      </c>
      <c r="AD283" s="168">
        <f t="shared" si="68"/>
        <v>1305688.54</v>
      </c>
      <c r="AE283" s="168">
        <f t="shared" si="68"/>
        <v>1305688.54</v>
      </c>
      <c r="AF283" s="168">
        <f t="shared" si="68"/>
        <v>1305688.54</v>
      </c>
      <c r="AG283" s="168">
        <f t="shared" si="68"/>
        <v>1305688.54</v>
      </c>
      <c r="AH283" s="168">
        <f t="shared" si="68"/>
        <v>1305688.54</v>
      </c>
      <c r="AI283" s="168">
        <f t="shared" si="68"/>
        <v>1305688.54</v>
      </c>
      <c r="AJ283" s="168">
        <f t="shared" si="68"/>
        <v>1305688.54</v>
      </c>
      <c r="AK283" s="168">
        <v>15668262.48</v>
      </c>
      <c r="AL283" s="72">
        <v>3.9203876798225932E-3</v>
      </c>
      <c r="AM283" s="10">
        <v>0.3633968190149548</v>
      </c>
      <c r="AN283" s="89"/>
      <c r="AO283" s="168">
        <v>15668262.48</v>
      </c>
      <c r="AP283" s="72">
        <v>3.5634196562550993E-3</v>
      </c>
      <c r="AQ283" s="10">
        <v>0.3633968190149548</v>
      </c>
    </row>
    <row r="284" spans="1:43" ht="15" customHeight="1" outlineLevel="1">
      <c r="A284" s="12" t="s">
        <v>240</v>
      </c>
      <c r="B284" s="8" t="s">
        <v>276</v>
      </c>
      <c r="I284" s="139" t="s">
        <v>332</v>
      </c>
      <c r="J284" s="244">
        <v>67070.779999999984</v>
      </c>
      <c r="K284" s="244">
        <v>67070.789999999994</v>
      </c>
      <c r="L284" s="244">
        <v>59713.440000000002</v>
      </c>
      <c r="M284" s="244">
        <v>108927.7</v>
      </c>
      <c r="N284" s="244">
        <v>108927.7</v>
      </c>
      <c r="O284" s="244">
        <v>102853.93</v>
      </c>
      <c r="P284" s="244">
        <v>102853.93</v>
      </c>
      <c r="Q284" s="244">
        <v>102853.93</v>
      </c>
      <c r="R284" s="244">
        <v>102853.93</v>
      </c>
      <c r="S284" s="244">
        <v>72033.260000000009</v>
      </c>
      <c r="T284" s="244">
        <v>72033.260000000009</v>
      </c>
      <c r="U284" s="244">
        <v>72033.260000000009</v>
      </c>
      <c r="V284" s="245">
        <f t="shared" ref="V284:V289" si="69">SUM(J284:U284)</f>
        <v>1039225.9099999999</v>
      </c>
      <c r="W284" s="73">
        <f t="shared" si="67"/>
        <v>4.6420345158375747E-3</v>
      </c>
      <c r="X284" s="89"/>
      <c r="Y284" s="244">
        <f t="shared" ref="Y284:Y289" si="70">+R284</f>
        <v>102853.93</v>
      </c>
      <c r="Z284" s="244">
        <f>+Y284</f>
        <v>102853.93</v>
      </c>
      <c r="AA284" s="244">
        <f t="shared" ref="AA284:AJ284" si="71">+Z284</f>
        <v>102853.93</v>
      </c>
      <c r="AB284" s="244">
        <f t="shared" si="71"/>
        <v>102853.93</v>
      </c>
      <c r="AC284" s="244">
        <f t="shared" si="71"/>
        <v>102853.93</v>
      </c>
      <c r="AD284" s="244">
        <f t="shared" si="71"/>
        <v>102853.93</v>
      </c>
      <c r="AE284" s="244">
        <f t="shared" si="71"/>
        <v>102853.93</v>
      </c>
      <c r="AF284" s="244">
        <f t="shared" si="71"/>
        <v>102853.93</v>
      </c>
      <c r="AG284" s="244">
        <f t="shared" si="71"/>
        <v>102853.93</v>
      </c>
      <c r="AH284" s="244">
        <f t="shared" si="71"/>
        <v>102853.93</v>
      </c>
      <c r="AI284" s="244">
        <f t="shared" si="71"/>
        <v>102853.93</v>
      </c>
      <c r="AJ284" s="244">
        <f t="shared" si="71"/>
        <v>102853.93</v>
      </c>
      <c r="AK284" s="245">
        <v>1234247.1599999997</v>
      </c>
      <c r="AL284" s="73">
        <v>3.0882348097604909E-4</v>
      </c>
      <c r="AM284" s="14">
        <v>0.18766011136115712</v>
      </c>
      <c r="AN284" s="89"/>
      <c r="AO284" s="245">
        <v>1234247.1599999997</v>
      </c>
      <c r="AP284" s="73">
        <v>2.8070378551770545E-4</v>
      </c>
      <c r="AQ284" s="14">
        <v>0.18766011136115712</v>
      </c>
    </row>
    <row r="285" spans="1:43" ht="15" customHeight="1" outlineLevel="1">
      <c r="A285" s="12" t="s">
        <v>240</v>
      </c>
      <c r="B285" s="8" t="s">
        <v>276</v>
      </c>
      <c r="I285" s="139" t="s">
        <v>333</v>
      </c>
      <c r="J285" s="244">
        <v>168377.39</v>
      </c>
      <c r="K285" s="244">
        <v>168377.37000000002</v>
      </c>
      <c r="L285" s="244">
        <v>171544.61000000002</v>
      </c>
      <c r="M285" s="244">
        <v>174283.94</v>
      </c>
      <c r="N285" s="244">
        <v>176480.66</v>
      </c>
      <c r="O285" s="244">
        <v>177482.28000000003</v>
      </c>
      <c r="P285" s="244">
        <v>179094.96000000002</v>
      </c>
      <c r="Q285" s="244">
        <v>179942.24000000002</v>
      </c>
      <c r="R285" s="244">
        <v>179942.24000000002</v>
      </c>
      <c r="S285" s="244">
        <v>169838.9800000001</v>
      </c>
      <c r="T285" s="244">
        <v>169838.9800000001</v>
      </c>
      <c r="U285" s="244">
        <v>169838.9800000001</v>
      </c>
      <c r="V285" s="245">
        <f t="shared" si="69"/>
        <v>2085042.6300000004</v>
      </c>
      <c r="W285" s="73">
        <f t="shared" si="67"/>
        <v>9.3135089900258129E-3</v>
      </c>
      <c r="X285" s="89"/>
      <c r="Y285" s="244">
        <f t="shared" si="70"/>
        <v>179942.24000000002</v>
      </c>
      <c r="Z285" s="244">
        <f t="shared" ref="Z285:AJ289" si="72">+Y285</f>
        <v>179942.24000000002</v>
      </c>
      <c r="AA285" s="244">
        <f t="shared" si="72"/>
        <v>179942.24000000002</v>
      </c>
      <c r="AB285" s="244">
        <f t="shared" si="72"/>
        <v>179942.24000000002</v>
      </c>
      <c r="AC285" s="244">
        <f t="shared" si="72"/>
        <v>179942.24000000002</v>
      </c>
      <c r="AD285" s="244">
        <f t="shared" si="72"/>
        <v>179942.24000000002</v>
      </c>
      <c r="AE285" s="244">
        <f t="shared" si="72"/>
        <v>179942.24000000002</v>
      </c>
      <c r="AF285" s="244">
        <f t="shared" si="72"/>
        <v>179942.24000000002</v>
      </c>
      <c r="AG285" s="244">
        <f t="shared" si="72"/>
        <v>179942.24000000002</v>
      </c>
      <c r="AH285" s="244">
        <f t="shared" si="72"/>
        <v>179942.24000000002</v>
      </c>
      <c r="AI285" s="244">
        <f t="shared" si="72"/>
        <v>179942.24000000002</v>
      </c>
      <c r="AJ285" s="244">
        <f t="shared" si="72"/>
        <v>179942.24000000002</v>
      </c>
      <c r="AK285" s="245">
        <v>2159306.8800000004</v>
      </c>
      <c r="AL285" s="73">
        <v>5.4028454655478584E-4</v>
      </c>
      <c r="AM285" s="14">
        <v>3.5617617084404696E-2</v>
      </c>
      <c r="AN285" s="89"/>
      <c r="AO285" s="245">
        <v>2159306.8800000004</v>
      </c>
      <c r="AP285" s="73">
        <v>4.9108933360675182E-4</v>
      </c>
      <c r="AQ285" s="14">
        <v>3.5617617084404696E-2</v>
      </c>
    </row>
    <row r="286" spans="1:43" ht="15" customHeight="1" outlineLevel="1">
      <c r="A286" s="12" t="s">
        <v>240</v>
      </c>
      <c r="B286" s="8" t="s">
        <v>276</v>
      </c>
      <c r="I286" s="139" t="s">
        <v>334</v>
      </c>
      <c r="J286" s="244">
        <v>138116.56</v>
      </c>
      <c r="K286" s="244">
        <v>138116.57</v>
      </c>
      <c r="L286" s="244">
        <v>171850.4</v>
      </c>
      <c r="M286" s="244">
        <v>151157.15999999997</v>
      </c>
      <c r="N286" s="244">
        <v>151157.15999999997</v>
      </c>
      <c r="O286" s="244">
        <v>151157.15999999997</v>
      </c>
      <c r="P286" s="244">
        <v>151157.15999999997</v>
      </c>
      <c r="Q286" s="244">
        <v>141548.15</v>
      </c>
      <c r="R286" s="244">
        <v>141548.15</v>
      </c>
      <c r="S286" s="244">
        <v>119019.31000000006</v>
      </c>
      <c r="T286" s="244">
        <v>119019.31000000006</v>
      </c>
      <c r="U286" s="244">
        <v>119019.31000000006</v>
      </c>
      <c r="V286" s="245">
        <f t="shared" si="69"/>
        <v>1692866.3999999997</v>
      </c>
      <c r="W286" s="73">
        <f t="shared" si="67"/>
        <v>7.5617285749752881E-3</v>
      </c>
      <c r="X286" s="89"/>
      <c r="Y286" s="244">
        <f t="shared" si="70"/>
        <v>141548.15</v>
      </c>
      <c r="Z286" s="244">
        <f t="shared" si="72"/>
        <v>141548.15</v>
      </c>
      <c r="AA286" s="244">
        <f t="shared" si="72"/>
        <v>141548.15</v>
      </c>
      <c r="AB286" s="244">
        <f t="shared" si="72"/>
        <v>141548.15</v>
      </c>
      <c r="AC286" s="244">
        <f t="shared" si="72"/>
        <v>141548.15</v>
      </c>
      <c r="AD286" s="244">
        <f t="shared" si="72"/>
        <v>141548.15</v>
      </c>
      <c r="AE286" s="244">
        <f t="shared" si="72"/>
        <v>141548.15</v>
      </c>
      <c r="AF286" s="244">
        <f t="shared" si="72"/>
        <v>141548.15</v>
      </c>
      <c r="AG286" s="244">
        <f t="shared" si="72"/>
        <v>141548.15</v>
      </c>
      <c r="AH286" s="244">
        <f t="shared" si="72"/>
        <v>141548.15</v>
      </c>
      <c r="AI286" s="244">
        <f t="shared" si="72"/>
        <v>141548.15</v>
      </c>
      <c r="AJ286" s="244">
        <f t="shared" si="72"/>
        <v>141548.15</v>
      </c>
      <c r="AK286" s="245">
        <v>1698577.7999999996</v>
      </c>
      <c r="AL286" s="73">
        <v>4.2500459057539115E-4</v>
      </c>
      <c r="AM286" s="14">
        <v>3.373804335652153E-3</v>
      </c>
      <c r="AN286" s="89"/>
      <c r="AO286" s="245">
        <v>1698577.7999999996</v>
      </c>
      <c r="AP286" s="73">
        <v>3.8630610943138485E-4</v>
      </c>
      <c r="AQ286" s="14">
        <v>3.373804335652153E-3</v>
      </c>
    </row>
    <row r="287" spans="1:43" ht="15" customHeight="1" outlineLevel="1">
      <c r="A287" s="12" t="s">
        <v>240</v>
      </c>
      <c r="B287" s="8" t="s">
        <v>276</v>
      </c>
      <c r="I287" s="139" t="s">
        <v>335</v>
      </c>
      <c r="J287" s="244">
        <v>109118.71</v>
      </c>
      <c r="K287" s="244">
        <v>109118.69</v>
      </c>
      <c r="L287" s="244">
        <v>110484.97</v>
      </c>
      <c r="M287" s="244">
        <v>110834.12</v>
      </c>
      <c r="N287" s="244">
        <v>127159.49</v>
      </c>
      <c r="O287" s="244">
        <v>123179.81</v>
      </c>
      <c r="P287" s="244">
        <v>128579.87</v>
      </c>
      <c r="Q287" s="244">
        <v>144626.99</v>
      </c>
      <c r="R287" s="244">
        <v>167057.19</v>
      </c>
      <c r="S287" s="244">
        <v>88081.41</v>
      </c>
      <c r="T287" s="244">
        <v>88081.41</v>
      </c>
      <c r="U287" s="244">
        <v>88081.41</v>
      </c>
      <c r="V287" s="245">
        <f t="shared" si="69"/>
        <v>1394404.0699999998</v>
      </c>
      <c r="W287" s="73">
        <f t="shared" si="67"/>
        <v>6.2285512319110612E-3</v>
      </c>
      <c r="X287" s="89"/>
      <c r="Y287" s="244">
        <f t="shared" si="70"/>
        <v>167057.19</v>
      </c>
      <c r="Z287" s="244">
        <f t="shared" si="72"/>
        <v>167057.19</v>
      </c>
      <c r="AA287" s="244">
        <f t="shared" si="72"/>
        <v>167057.19</v>
      </c>
      <c r="AB287" s="244">
        <f t="shared" si="72"/>
        <v>167057.19</v>
      </c>
      <c r="AC287" s="244">
        <f t="shared" si="72"/>
        <v>167057.19</v>
      </c>
      <c r="AD287" s="244">
        <f t="shared" si="72"/>
        <v>167057.19</v>
      </c>
      <c r="AE287" s="244">
        <f t="shared" si="72"/>
        <v>167057.19</v>
      </c>
      <c r="AF287" s="244">
        <f t="shared" si="72"/>
        <v>167057.19</v>
      </c>
      <c r="AG287" s="244">
        <f t="shared" si="72"/>
        <v>167057.19</v>
      </c>
      <c r="AH287" s="244">
        <f t="shared" si="72"/>
        <v>167057.19</v>
      </c>
      <c r="AI287" s="244">
        <f t="shared" si="72"/>
        <v>167057.19</v>
      </c>
      <c r="AJ287" s="244">
        <f t="shared" si="72"/>
        <v>167057.19</v>
      </c>
      <c r="AK287" s="245">
        <v>2004686.2799999996</v>
      </c>
      <c r="AL287" s="73">
        <v>5.0159661315690338E-4</v>
      </c>
      <c r="AM287" s="14">
        <v>0.43766525294206859</v>
      </c>
      <c r="AN287" s="89"/>
      <c r="AO287" s="245">
        <v>2004686.2799999996</v>
      </c>
      <c r="AP287" s="73">
        <v>4.5592410159680396E-4</v>
      </c>
      <c r="AQ287" s="14">
        <v>0.43766525294206859</v>
      </c>
    </row>
    <row r="288" spans="1:43" ht="15" customHeight="1" outlineLevel="1">
      <c r="A288" s="12" t="s">
        <v>240</v>
      </c>
      <c r="B288" s="8" t="s">
        <v>276</v>
      </c>
      <c r="I288" s="139" t="s">
        <v>336</v>
      </c>
      <c r="J288" s="244">
        <v>298404.99</v>
      </c>
      <c r="K288" s="244">
        <v>290027.44</v>
      </c>
      <c r="L288" s="244">
        <v>317062.09999999998</v>
      </c>
      <c r="M288" s="244">
        <v>396782.35</v>
      </c>
      <c r="N288" s="244">
        <v>393759.47</v>
      </c>
      <c r="O288" s="244">
        <v>390592.90999999992</v>
      </c>
      <c r="P288" s="244">
        <v>575920.69000000006</v>
      </c>
      <c r="Q288" s="244">
        <v>564273.01</v>
      </c>
      <c r="R288" s="244">
        <v>588670.57000000007</v>
      </c>
      <c r="S288" s="244">
        <v>267234.36000000022</v>
      </c>
      <c r="T288" s="244">
        <v>267234.36000000022</v>
      </c>
      <c r="U288" s="244">
        <v>267234.36000000022</v>
      </c>
      <c r="V288" s="245">
        <f t="shared" si="69"/>
        <v>4617196.6100000013</v>
      </c>
      <c r="W288" s="73">
        <f t="shared" si="67"/>
        <v>2.0624183658034707E-2</v>
      </c>
      <c r="X288" s="89"/>
      <c r="Y288" s="244">
        <f t="shared" si="70"/>
        <v>588670.57000000007</v>
      </c>
      <c r="Z288" s="244">
        <f t="shared" si="72"/>
        <v>588670.57000000007</v>
      </c>
      <c r="AA288" s="244">
        <f t="shared" si="72"/>
        <v>588670.57000000007</v>
      </c>
      <c r="AB288" s="244">
        <f t="shared" si="72"/>
        <v>588670.57000000007</v>
      </c>
      <c r="AC288" s="244">
        <f t="shared" si="72"/>
        <v>588670.57000000007</v>
      </c>
      <c r="AD288" s="244">
        <f t="shared" si="72"/>
        <v>588670.57000000007</v>
      </c>
      <c r="AE288" s="244">
        <f t="shared" si="72"/>
        <v>588670.57000000007</v>
      </c>
      <c r="AF288" s="244">
        <f t="shared" si="72"/>
        <v>588670.57000000007</v>
      </c>
      <c r="AG288" s="244">
        <f t="shared" si="72"/>
        <v>588670.57000000007</v>
      </c>
      <c r="AH288" s="244">
        <f t="shared" si="72"/>
        <v>588670.57000000007</v>
      </c>
      <c r="AI288" s="244">
        <f t="shared" si="72"/>
        <v>588670.57000000007</v>
      </c>
      <c r="AJ288" s="244">
        <f t="shared" si="72"/>
        <v>588670.57000000007</v>
      </c>
      <c r="AK288" s="245">
        <v>7064046.8400000026</v>
      </c>
      <c r="AL288" s="73">
        <v>1.7675094629398709E-3</v>
      </c>
      <c r="AM288" s="14">
        <v>0.52994282823057004</v>
      </c>
      <c r="AN288" s="89"/>
      <c r="AO288" s="245">
        <v>7064046.8400000026</v>
      </c>
      <c r="AP288" s="73">
        <v>1.6065701857174101E-3</v>
      </c>
      <c r="AQ288" s="14">
        <v>0.52994282823057004</v>
      </c>
    </row>
    <row r="289" spans="1:43" ht="15" customHeight="1" outlineLevel="1">
      <c r="A289" s="12" t="s">
        <v>240</v>
      </c>
      <c r="B289" s="8" t="s">
        <v>276</v>
      </c>
      <c r="I289" s="139" t="s">
        <v>337</v>
      </c>
      <c r="J289" s="244">
        <v>30655.919999999998</v>
      </c>
      <c r="K289" s="244">
        <v>30655.919999999998</v>
      </c>
      <c r="L289" s="244">
        <v>32947.03</v>
      </c>
      <c r="M289" s="244">
        <v>32744.149999999998</v>
      </c>
      <c r="N289" s="244">
        <v>33547.9</v>
      </c>
      <c r="O289" s="244">
        <v>33547.9</v>
      </c>
      <c r="P289" s="244">
        <v>115343.82</v>
      </c>
      <c r="Q289" s="244">
        <v>124797.66</v>
      </c>
      <c r="R289" s="244">
        <v>125616.46</v>
      </c>
      <c r="S289" s="244">
        <v>34495.180000000008</v>
      </c>
      <c r="T289" s="244">
        <v>34495.180000000008</v>
      </c>
      <c r="U289" s="244">
        <v>34495.180000000008</v>
      </c>
      <c r="V289" s="245">
        <f t="shared" si="69"/>
        <v>663342.30000000016</v>
      </c>
      <c r="W289" s="73">
        <f t="shared" si="67"/>
        <v>2.9630302928215909E-3</v>
      </c>
      <c r="X289" s="89"/>
      <c r="Y289" s="244">
        <f t="shared" si="70"/>
        <v>125616.46</v>
      </c>
      <c r="Z289" s="244">
        <f t="shared" si="72"/>
        <v>125616.46</v>
      </c>
      <c r="AA289" s="244">
        <f t="shared" si="72"/>
        <v>125616.46</v>
      </c>
      <c r="AB289" s="244">
        <f t="shared" si="72"/>
        <v>125616.46</v>
      </c>
      <c r="AC289" s="244">
        <f t="shared" si="72"/>
        <v>125616.46</v>
      </c>
      <c r="AD289" s="244">
        <f t="shared" si="72"/>
        <v>125616.46</v>
      </c>
      <c r="AE289" s="244">
        <f t="shared" si="72"/>
        <v>125616.46</v>
      </c>
      <c r="AF289" s="244">
        <f t="shared" si="72"/>
        <v>125616.46</v>
      </c>
      <c r="AG289" s="244">
        <f t="shared" si="72"/>
        <v>125616.46</v>
      </c>
      <c r="AH289" s="244">
        <f t="shared" si="72"/>
        <v>125616.46</v>
      </c>
      <c r="AI289" s="244">
        <f t="shared" si="72"/>
        <v>125616.46</v>
      </c>
      <c r="AJ289" s="244">
        <f t="shared" si="72"/>
        <v>125616.46</v>
      </c>
      <c r="AK289" s="245">
        <v>1507397.5199999998</v>
      </c>
      <c r="AL289" s="73">
        <v>3.7716898561959309E-4</v>
      </c>
      <c r="AM289" s="14">
        <v>1.2724278551209527</v>
      </c>
      <c r="AN289" s="89"/>
      <c r="AO289" s="245">
        <v>1507397.5199999998</v>
      </c>
      <c r="AP289" s="73">
        <v>3.4282614038504339E-4</v>
      </c>
      <c r="AQ289" s="14">
        <v>1.2724278551209527</v>
      </c>
    </row>
    <row r="290" spans="1:43" ht="14.45" hidden="1" customHeight="1">
      <c r="A290" s="12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67"/>
      <c r="X290" s="8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67"/>
      <c r="AM290" s="160"/>
      <c r="AN290" s="89"/>
      <c r="AO290" s="139"/>
      <c r="AP290" s="167"/>
      <c r="AQ290" s="160"/>
    </row>
    <row r="291" spans="1:43" ht="16.149999999999999" hidden="1" customHeight="1">
      <c r="I291" s="142" t="s">
        <v>338</v>
      </c>
      <c r="J291" s="137">
        <f t="shared" ref="J291:V291" si="73">+J258+J262-J277-J283</f>
        <v>-1319378.2799999998</v>
      </c>
      <c r="K291" s="137">
        <f t="shared" si="73"/>
        <v>1718466.0599999996</v>
      </c>
      <c r="L291" s="137">
        <f t="shared" si="73"/>
        <v>-2604360.71</v>
      </c>
      <c r="M291" s="137">
        <f t="shared" si="73"/>
        <v>-1124017.56</v>
      </c>
      <c r="N291" s="137">
        <f t="shared" si="73"/>
        <v>-2198255.09</v>
      </c>
      <c r="O291" s="137">
        <f t="shared" si="73"/>
        <v>-1296756.5899999999</v>
      </c>
      <c r="P291" s="137">
        <f t="shared" si="73"/>
        <v>-1311421.6299999999</v>
      </c>
      <c r="Q291" s="137">
        <f t="shared" si="73"/>
        <v>-2450342.94</v>
      </c>
      <c r="R291" s="137">
        <f t="shared" si="73"/>
        <v>-1868589.71</v>
      </c>
      <c r="S291" s="137">
        <f t="shared" si="73"/>
        <v>-1051860.2017691722</v>
      </c>
      <c r="T291" s="137">
        <f t="shared" si="73"/>
        <v>-1036358.423742734</v>
      </c>
      <c r="U291" s="137">
        <f t="shared" si="73"/>
        <v>-1031112.3287145961</v>
      </c>
      <c r="V291" s="137">
        <f t="shared" si="73"/>
        <v>-15573987.404226504</v>
      </c>
      <c r="W291" s="171">
        <f>V291/V$6</f>
        <v>-6.9566189972726025E-2</v>
      </c>
      <c r="X291" s="91"/>
      <c r="Y291" s="137">
        <f t="shared" ref="Y291:AJ291" si="74">+Y258+Y262-Y277-Y283</f>
        <v>-2275096.9518192592</v>
      </c>
      <c r="Z291" s="137">
        <f t="shared" si="74"/>
        <v>-2268081.4876381629</v>
      </c>
      <c r="AA291" s="137">
        <f t="shared" si="74"/>
        <v>-2317163.1544877612</v>
      </c>
      <c r="AB291" s="137">
        <f t="shared" si="74"/>
        <v>-2319543.4390217252</v>
      </c>
      <c r="AC291" s="137">
        <f t="shared" si="74"/>
        <v>-2423697.6624355009</v>
      </c>
      <c r="AD291" s="137">
        <f t="shared" si="74"/>
        <v>-2393498.575824718</v>
      </c>
      <c r="AE291" s="137">
        <f t="shared" si="74"/>
        <v>-2372256.2562324787</v>
      </c>
      <c r="AF291" s="137">
        <f t="shared" si="74"/>
        <v>-2405802.6201103022</v>
      </c>
      <c r="AG291" s="137">
        <f t="shared" si="74"/>
        <v>-2396327.7118174178</v>
      </c>
      <c r="AH291" s="137">
        <f t="shared" si="74"/>
        <v>-2410032.3640401391</v>
      </c>
      <c r="AI291" s="137">
        <f t="shared" si="74"/>
        <v>-2374843.8540089354</v>
      </c>
      <c r="AJ291" s="137">
        <f t="shared" si="74"/>
        <v>-2353386.7140634805</v>
      </c>
      <c r="AK291" s="137">
        <v>313618025.96665245</v>
      </c>
      <c r="AL291" s="171">
        <v>7.8471001282967162E-2</v>
      </c>
      <c r="AM291" s="157">
        <v>4.2929372234098651E-2</v>
      </c>
      <c r="AN291" s="91"/>
      <c r="AO291" s="137">
        <v>347429619.69864982</v>
      </c>
      <c r="AP291" s="171">
        <v>7.9015623945521404E-2</v>
      </c>
      <c r="AQ291" s="157">
        <v>0.15536903228379217</v>
      </c>
    </row>
    <row r="292" spans="1:43" ht="14.45" hidden="1" customHeight="1">
      <c r="A292" s="12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67"/>
      <c r="X292" s="8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67"/>
      <c r="AM292" s="160"/>
      <c r="AN292" s="89"/>
      <c r="AO292" s="139"/>
      <c r="AP292" s="167"/>
      <c r="AQ292" s="160"/>
    </row>
    <row r="293" spans="1:43" ht="14.45" hidden="1" customHeight="1">
      <c r="A293" s="12" t="s">
        <v>214</v>
      </c>
      <c r="B293" s="8" t="s">
        <v>101</v>
      </c>
      <c r="C293" s="8" t="s">
        <v>91</v>
      </c>
      <c r="D293" s="140"/>
      <c r="E293" s="191" t="s">
        <v>111</v>
      </c>
      <c r="I293" s="148" t="s">
        <v>339</v>
      </c>
      <c r="J293" s="261">
        <f t="shared" ref="J293:U293" si="75">SUM(J294:J313)</f>
        <v>0</v>
      </c>
      <c r="K293" s="261">
        <f t="shared" si="75"/>
        <v>0</v>
      </c>
      <c r="L293" s="261">
        <f t="shared" si="75"/>
        <v>0</v>
      </c>
      <c r="M293" s="261">
        <f t="shared" si="75"/>
        <v>0</v>
      </c>
      <c r="N293" s="261">
        <f t="shared" si="75"/>
        <v>0</v>
      </c>
      <c r="O293" s="261">
        <f t="shared" si="75"/>
        <v>0</v>
      </c>
      <c r="P293" s="261">
        <f t="shared" si="75"/>
        <v>0</v>
      </c>
      <c r="Q293" s="261">
        <f t="shared" si="75"/>
        <v>0</v>
      </c>
      <c r="R293" s="261">
        <f t="shared" si="75"/>
        <v>0</v>
      </c>
      <c r="S293" s="261">
        <f t="shared" si="75"/>
        <v>0</v>
      </c>
      <c r="T293" s="261">
        <f t="shared" si="75"/>
        <v>0</v>
      </c>
      <c r="U293" s="261">
        <f t="shared" si="75"/>
        <v>0</v>
      </c>
      <c r="V293" s="261">
        <f>SUM(V294:V313)</f>
        <v>0</v>
      </c>
      <c r="W293" s="72">
        <f t="shared" ref="W293:W313" si="76">V293/V$6</f>
        <v>0</v>
      </c>
      <c r="X293" s="89"/>
      <c r="Y293" s="261">
        <f t="shared" ref="Y293:AJ293" si="77">SUM(Y294:Y313)</f>
        <v>0</v>
      </c>
      <c r="Z293" s="261">
        <f t="shared" si="77"/>
        <v>0</v>
      </c>
      <c r="AA293" s="261">
        <f t="shared" si="77"/>
        <v>0</v>
      </c>
      <c r="AB293" s="261">
        <f t="shared" si="77"/>
        <v>0</v>
      </c>
      <c r="AC293" s="261">
        <f t="shared" si="77"/>
        <v>0</v>
      </c>
      <c r="AD293" s="261">
        <f t="shared" si="77"/>
        <v>0</v>
      </c>
      <c r="AE293" s="261">
        <f t="shared" si="77"/>
        <v>0</v>
      </c>
      <c r="AF293" s="261">
        <f t="shared" si="77"/>
        <v>0</v>
      </c>
      <c r="AG293" s="261">
        <f t="shared" si="77"/>
        <v>0</v>
      </c>
      <c r="AH293" s="261">
        <f t="shared" si="77"/>
        <v>0</v>
      </c>
      <c r="AI293" s="261">
        <f t="shared" si="77"/>
        <v>0</v>
      </c>
      <c r="AJ293" s="261">
        <f t="shared" si="77"/>
        <v>0</v>
      </c>
      <c r="AK293" s="261">
        <v>60647284.772128798</v>
      </c>
      <c r="AL293" s="72">
        <v>1.5174679919923455E-2</v>
      </c>
      <c r="AM293" s="10">
        <v>1.5829038842614107E-2</v>
      </c>
      <c r="AN293" s="89"/>
      <c r="AO293" s="261">
        <v>60647284.772128798</v>
      </c>
      <c r="AP293" s="72">
        <v>1.3792960574368953E-2</v>
      </c>
      <c r="AQ293" s="10">
        <v>1.5829038842614107E-2</v>
      </c>
    </row>
    <row r="294" spans="1:43" ht="15" customHeight="1" outlineLevel="2">
      <c r="A294" s="12" t="s">
        <v>91</v>
      </c>
      <c r="I294" t="s">
        <v>340</v>
      </c>
      <c r="J294" s="244">
        <f>SUM([20]S!J210)</f>
        <v>0</v>
      </c>
      <c r="K294" s="244">
        <f>SUM([20]S!K210)</f>
        <v>0</v>
      </c>
      <c r="L294" s="244">
        <f>SUM([20]S!L210)</f>
        <v>0</v>
      </c>
      <c r="M294" s="244">
        <f>SUM([20]S!M210)</f>
        <v>0</v>
      </c>
      <c r="N294" s="244">
        <f>SUM([20]S!N210)</f>
        <v>0</v>
      </c>
      <c r="O294" s="244">
        <f>SUM([20]S!O210)</f>
        <v>0</v>
      </c>
      <c r="P294" s="244">
        <f>SUM([20]S!P210)</f>
        <v>0</v>
      </c>
      <c r="Q294" s="244">
        <f>SUM([20]S!Q210)</f>
        <v>0</v>
      </c>
      <c r="R294" s="244">
        <f>SUM([20]S!R210)</f>
        <v>0</v>
      </c>
      <c r="S294" s="244">
        <f>SUM([20]S!S210)</f>
        <v>0</v>
      </c>
      <c r="T294" s="244">
        <f>SUM([20]S!T210)</f>
        <v>0</v>
      </c>
      <c r="U294" s="244">
        <f>SUM([20]S!U210)</f>
        <v>0</v>
      </c>
      <c r="V294" s="245">
        <f>SUM(J294:U294)</f>
        <v>0</v>
      </c>
      <c r="W294" s="73">
        <f t="shared" si="76"/>
        <v>0</v>
      </c>
      <c r="X294" s="89"/>
      <c r="Y294" s="244">
        <v>0</v>
      </c>
      <c r="Z294" s="244">
        <v>0</v>
      </c>
      <c r="AA294" s="244">
        <v>0</v>
      </c>
      <c r="AB294" s="244">
        <v>0</v>
      </c>
      <c r="AC294" s="244">
        <v>0</v>
      </c>
      <c r="AD294" s="244">
        <v>0</v>
      </c>
      <c r="AE294" s="244">
        <v>0</v>
      </c>
      <c r="AF294" s="244">
        <v>0</v>
      </c>
      <c r="AG294" s="244">
        <v>0</v>
      </c>
      <c r="AH294" s="244">
        <v>0</v>
      </c>
      <c r="AI294" s="244">
        <v>0</v>
      </c>
      <c r="AJ294" s="244">
        <v>0</v>
      </c>
      <c r="AK294" s="245">
        <v>0</v>
      </c>
      <c r="AL294" s="73">
        <v>0</v>
      </c>
      <c r="AM294" s="161">
        <v>-1</v>
      </c>
      <c r="AN294" s="89"/>
      <c r="AO294" s="245">
        <v>0</v>
      </c>
      <c r="AP294" s="73">
        <v>0</v>
      </c>
      <c r="AQ294" s="161">
        <v>-1</v>
      </c>
    </row>
    <row r="295" spans="1:43" ht="15" customHeight="1" outlineLevel="2">
      <c r="A295" s="12" t="s">
        <v>91</v>
      </c>
      <c r="I295" t="s">
        <v>341</v>
      </c>
      <c r="J295" s="244">
        <f>SUM([20]S!J211)</f>
        <v>0</v>
      </c>
      <c r="K295" s="244">
        <f>SUM([20]S!K211)</f>
        <v>0</v>
      </c>
      <c r="L295" s="244">
        <f>SUM([20]S!L211)</f>
        <v>0</v>
      </c>
      <c r="M295" s="244">
        <f>SUM([20]S!M211)</f>
        <v>0</v>
      </c>
      <c r="N295" s="244">
        <f>SUM([20]S!N211)</f>
        <v>0</v>
      </c>
      <c r="O295" s="244">
        <f>SUM([20]S!O211)</f>
        <v>0</v>
      </c>
      <c r="P295" s="244">
        <f>SUM([20]S!P211)</f>
        <v>0</v>
      </c>
      <c r="Q295" s="244">
        <f>SUM([20]S!Q211)</f>
        <v>0</v>
      </c>
      <c r="R295" s="244">
        <f>SUM([20]S!R211)</f>
        <v>0</v>
      </c>
      <c r="S295" s="244">
        <f>SUM([20]S!S211)</f>
        <v>0</v>
      </c>
      <c r="T295" s="244">
        <f>SUM([20]S!T211)</f>
        <v>0</v>
      </c>
      <c r="U295" s="244">
        <f>SUM([20]S!U211)</f>
        <v>0</v>
      </c>
      <c r="V295" s="245">
        <f t="shared" ref="V295:V313" si="78">SUM(J295:U295)</f>
        <v>0</v>
      </c>
      <c r="W295" s="73">
        <f t="shared" si="76"/>
        <v>0</v>
      </c>
      <c r="X295" s="89"/>
      <c r="Y295" s="244">
        <f>SUM([20]S!Y211)</f>
        <v>0</v>
      </c>
      <c r="Z295" s="244">
        <f>SUM([20]S!Z211)</f>
        <v>0</v>
      </c>
      <c r="AA295" s="244">
        <f>SUM([20]S!AA211)</f>
        <v>0</v>
      </c>
      <c r="AB295" s="244">
        <f>SUM([20]S!AB211)</f>
        <v>0</v>
      </c>
      <c r="AC295" s="244">
        <f>SUM([20]S!AC211)</f>
        <v>0</v>
      </c>
      <c r="AD295" s="244">
        <f>SUM([20]S!AD211)</f>
        <v>0</v>
      </c>
      <c r="AE295" s="244">
        <f>SUM([20]S!AE211)</f>
        <v>0</v>
      </c>
      <c r="AF295" s="244">
        <f>SUM([20]S!AF211)</f>
        <v>0</v>
      </c>
      <c r="AG295" s="244">
        <f>SUM([20]S!AG211)</f>
        <v>0</v>
      </c>
      <c r="AH295" s="244">
        <f>SUM([20]S!AH211)</f>
        <v>0</v>
      </c>
      <c r="AI295" s="244">
        <f>SUM([20]S!AI211)</f>
        <v>0</v>
      </c>
      <c r="AJ295" s="244">
        <f>SUM([20]S!AJ211)</f>
        <v>0</v>
      </c>
      <c r="AK295" s="245">
        <v>3607173.4336760826</v>
      </c>
      <c r="AL295" s="73">
        <v>9.0255816855367571E-4</v>
      </c>
      <c r="AM295" s="161">
        <v>-0.27187656623319856</v>
      </c>
      <c r="AN295" s="89"/>
      <c r="AO295" s="245">
        <v>3607173.4336760826</v>
      </c>
      <c r="AP295" s="73">
        <v>8.2037639677597183E-4</v>
      </c>
      <c r="AQ295" s="161">
        <v>-0.27187656623319856</v>
      </c>
    </row>
    <row r="296" spans="1:43" ht="15" customHeight="1" outlineLevel="2">
      <c r="A296" s="12" t="s">
        <v>91</v>
      </c>
      <c r="I296" t="s">
        <v>342</v>
      </c>
      <c r="J296" s="244">
        <f>SUM([20]S!J212)</f>
        <v>0</v>
      </c>
      <c r="K296" s="244">
        <f>SUM([20]S!K212)</f>
        <v>0</v>
      </c>
      <c r="L296" s="244">
        <f>SUM([20]S!L212)</f>
        <v>0</v>
      </c>
      <c r="M296" s="244">
        <f>SUM([20]S!M212)</f>
        <v>0</v>
      </c>
      <c r="N296" s="244">
        <f>SUM([20]S!N212)</f>
        <v>0</v>
      </c>
      <c r="O296" s="244">
        <f>SUM([20]S!O212)</f>
        <v>0</v>
      </c>
      <c r="P296" s="244">
        <f>SUM([20]S!P212)</f>
        <v>0</v>
      </c>
      <c r="Q296" s="244">
        <f>SUM([20]S!Q212)</f>
        <v>0</v>
      </c>
      <c r="R296" s="244">
        <f>SUM([20]S!R212)</f>
        <v>0</v>
      </c>
      <c r="S296" s="244">
        <f>SUM([20]S!S212)</f>
        <v>0</v>
      </c>
      <c r="T296" s="244">
        <f>SUM([20]S!T212)</f>
        <v>0</v>
      </c>
      <c r="U296" s="244">
        <f>SUM([20]S!U212)</f>
        <v>0</v>
      </c>
      <c r="V296" s="245">
        <f t="shared" si="78"/>
        <v>0</v>
      </c>
      <c r="W296" s="73">
        <f t="shared" si="76"/>
        <v>0</v>
      </c>
      <c r="X296" s="89"/>
      <c r="Y296" s="244">
        <f>SUM([20]S!Y212)</f>
        <v>0</v>
      </c>
      <c r="Z296" s="244">
        <f>SUM([20]S!Z212)</f>
        <v>0</v>
      </c>
      <c r="AA296" s="244">
        <f>SUM([20]S!AA212)</f>
        <v>0</v>
      </c>
      <c r="AB296" s="244">
        <f>SUM([20]S!AB212)</f>
        <v>0</v>
      </c>
      <c r="AC296" s="244">
        <f>SUM([20]S!AC212)</f>
        <v>0</v>
      </c>
      <c r="AD296" s="244">
        <f>SUM([20]S!AD212)</f>
        <v>0</v>
      </c>
      <c r="AE296" s="244">
        <f>SUM([20]S!AE212)</f>
        <v>0</v>
      </c>
      <c r="AF296" s="244">
        <f>SUM([20]S!AF212)</f>
        <v>0</v>
      </c>
      <c r="AG296" s="244">
        <f>SUM([20]S!AG212)</f>
        <v>0</v>
      </c>
      <c r="AH296" s="244">
        <f>SUM([20]S!AH212)</f>
        <v>0</v>
      </c>
      <c r="AI296" s="244">
        <f>SUM([20]S!AI212)</f>
        <v>0</v>
      </c>
      <c r="AJ296" s="244">
        <f>SUM([20]S!AJ212)</f>
        <v>0</v>
      </c>
      <c r="AK296" s="245">
        <v>0</v>
      </c>
      <c r="AL296" s="73">
        <v>0</v>
      </c>
      <c r="AM296" s="161">
        <v>-1</v>
      </c>
      <c r="AN296" s="89"/>
      <c r="AO296" s="245">
        <v>0</v>
      </c>
      <c r="AP296" s="73">
        <v>0</v>
      </c>
      <c r="AQ296" s="161">
        <v>-1</v>
      </c>
    </row>
    <row r="297" spans="1:43" ht="15" customHeight="1" outlineLevel="2">
      <c r="A297" s="12" t="s">
        <v>91</v>
      </c>
      <c r="I297" t="s">
        <v>343</v>
      </c>
      <c r="J297" s="244">
        <f>SUM([20]S!J213)</f>
        <v>0</v>
      </c>
      <c r="K297" s="244">
        <f>SUM([20]S!K213)</f>
        <v>0</v>
      </c>
      <c r="L297" s="244">
        <f>SUM([20]S!L213)</f>
        <v>0</v>
      </c>
      <c r="M297" s="244">
        <f>SUM([20]S!M213)</f>
        <v>0</v>
      </c>
      <c r="N297" s="244">
        <f>SUM([20]S!N213)</f>
        <v>0</v>
      </c>
      <c r="O297" s="244">
        <f>SUM([20]S!O213)</f>
        <v>0</v>
      </c>
      <c r="P297" s="244">
        <f>SUM([20]S!P213)</f>
        <v>0</v>
      </c>
      <c r="Q297" s="244">
        <f>SUM([20]S!Q213)</f>
        <v>0</v>
      </c>
      <c r="R297" s="244">
        <f>SUM([20]S!R213)</f>
        <v>0</v>
      </c>
      <c r="S297" s="244">
        <f>SUM([20]S!S213)</f>
        <v>0</v>
      </c>
      <c r="T297" s="244">
        <f>SUM([20]S!T213)</f>
        <v>0</v>
      </c>
      <c r="U297" s="244">
        <f>SUM([20]S!U213)</f>
        <v>0</v>
      </c>
      <c r="V297" s="245">
        <f t="shared" si="78"/>
        <v>0</v>
      </c>
      <c r="W297" s="73">
        <f t="shared" si="76"/>
        <v>0</v>
      </c>
      <c r="X297" s="89"/>
      <c r="Y297" s="244">
        <f>SUM([20]S!Y213)</f>
        <v>0</v>
      </c>
      <c r="Z297" s="244">
        <f>SUM([20]S!Z213)</f>
        <v>0</v>
      </c>
      <c r="AA297" s="244">
        <f>SUM([20]S!AA213)</f>
        <v>0</v>
      </c>
      <c r="AB297" s="244">
        <f>SUM([20]S!AB213)</f>
        <v>0</v>
      </c>
      <c r="AC297" s="244">
        <f>SUM([20]S!AC213)</f>
        <v>0</v>
      </c>
      <c r="AD297" s="244">
        <f>SUM([20]S!AD213)</f>
        <v>0</v>
      </c>
      <c r="AE297" s="244">
        <f>SUM([20]S!AE213)</f>
        <v>0</v>
      </c>
      <c r="AF297" s="244">
        <f>SUM([20]S!AF213)</f>
        <v>0</v>
      </c>
      <c r="AG297" s="244">
        <f>SUM([20]S!AG213)</f>
        <v>0</v>
      </c>
      <c r="AH297" s="244">
        <f>SUM([20]S!AH213)</f>
        <v>0</v>
      </c>
      <c r="AI297" s="244">
        <f>SUM([20]S!AI213)</f>
        <v>0</v>
      </c>
      <c r="AJ297" s="244">
        <f>SUM([20]S!AJ213)</f>
        <v>0</v>
      </c>
      <c r="AK297" s="245">
        <v>1918369.3747139999</v>
      </c>
      <c r="AL297" s="73">
        <v>4.7999908551300553E-4</v>
      </c>
      <c r="AM297" s="161">
        <v>9.0757567074263967E-2</v>
      </c>
      <c r="AN297" s="89"/>
      <c r="AO297" s="245">
        <v>1918369.3747139999</v>
      </c>
      <c r="AP297" s="73">
        <v>4.3629312098514647E-4</v>
      </c>
      <c r="AQ297" s="161">
        <v>9.0757567074263967E-2</v>
      </c>
    </row>
    <row r="298" spans="1:43" ht="15" customHeight="1" outlineLevel="2">
      <c r="A298" s="12" t="s">
        <v>91</v>
      </c>
      <c r="I298" t="s">
        <v>344</v>
      </c>
      <c r="J298" s="244">
        <f>SUM([20]S!J214)</f>
        <v>0</v>
      </c>
      <c r="K298" s="244">
        <f>SUM([20]S!K214)</f>
        <v>0</v>
      </c>
      <c r="L298" s="244">
        <f>SUM([20]S!L214)</f>
        <v>0</v>
      </c>
      <c r="M298" s="244">
        <f>SUM([20]S!M214)</f>
        <v>0</v>
      </c>
      <c r="N298" s="244">
        <f>SUM([20]S!N214)</f>
        <v>0</v>
      </c>
      <c r="O298" s="244">
        <f>SUM([20]S!O214)</f>
        <v>0</v>
      </c>
      <c r="P298" s="244">
        <f>SUM([20]S!P214)</f>
        <v>0</v>
      </c>
      <c r="Q298" s="244">
        <f>SUM([20]S!Q214)</f>
        <v>0</v>
      </c>
      <c r="R298" s="244">
        <f>SUM([20]S!R214)</f>
        <v>0</v>
      </c>
      <c r="S298" s="244">
        <f>SUM([20]S!S214)</f>
        <v>0</v>
      </c>
      <c r="T298" s="244">
        <f>SUM([20]S!T214)</f>
        <v>0</v>
      </c>
      <c r="U298" s="244">
        <f>SUM([20]S!U214)</f>
        <v>0</v>
      </c>
      <c r="V298" s="245">
        <f t="shared" si="78"/>
        <v>0</v>
      </c>
      <c r="W298" s="73">
        <f t="shared" si="76"/>
        <v>0</v>
      </c>
      <c r="X298" s="89"/>
      <c r="Y298" s="244">
        <f>SUM([20]S!Y214)</f>
        <v>0</v>
      </c>
      <c r="Z298" s="244">
        <f>SUM([20]S!Z214)</f>
        <v>0</v>
      </c>
      <c r="AA298" s="244">
        <f>SUM([20]S!AA214)</f>
        <v>0</v>
      </c>
      <c r="AB298" s="244">
        <f>SUM([20]S!AB214)</f>
        <v>0</v>
      </c>
      <c r="AC298" s="244">
        <f>SUM([20]S!AC214)</f>
        <v>0</v>
      </c>
      <c r="AD298" s="244">
        <f>SUM([20]S!AD214)</f>
        <v>0</v>
      </c>
      <c r="AE298" s="244">
        <f>SUM([20]S!AE214)</f>
        <v>0</v>
      </c>
      <c r="AF298" s="244">
        <f>SUM([20]S!AF214)</f>
        <v>0</v>
      </c>
      <c r="AG298" s="244">
        <f>SUM([20]S!AG214)</f>
        <v>0</v>
      </c>
      <c r="AH298" s="244">
        <f>SUM([20]S!AH214)</f>
        <v>0</v>
      </c>
      <c r="AI298" s="244">
        <f>SUM([20]S!AI214)</f>
        <v>0</v>
      </c>
      <c r="AJ298" s="244">
        <f>SUM([20]S!AJ214)</f>
        <v>0</v>
      </c>
      <c r="AK298" s="245">
        <v>0</v>
      </c>
      <c r="AL298" s="73">
        <v>0</v>
      </c>
      <c r="AM298" s="161">
        <v>-1</v>
      </c>
      <c r="AN298" s="89"/>
      <c r="AO298" s="245">
        <v>0</v>
      </c>
      <c r="AP298" s="73">
        <v>0</v>
      </c>
      <c r="AQ298" s="161">
        <v>-1</v>
      </c>
    </row>
    <row r="299" spans="1:43" ht="15" customHeight="1" outlineLevel="2">
      <c r="A299" s="12" t="s">
        <v>91</v>
      </c>
      <c r="I299" t="s">
        <v>345</v>
      </c>
      <c r="J299" s="244">
        <f>SUM([20]S!J215)</f>
        <v>0</v>
      </c>
      <c r="K299" s="244">
        <f>SUM([20]S!K215)</f>
        <v>0</v>
      </c>
      <c r="L299" s="244">
        <f>SUM([20]S!L215)</f>
        <v>0</v>
      </c>
      <c r="M299" s="244">
        <f>SUM([20]S!M215)</f>
        <v>0</v>
      </c>
      <c r="N299" s="244">
        <f>SUM([20]S!N215)</f>
        <v>0</v>
      </c>
      <c r="O299" s="244">
        <f>SUM([20]S!O215)</f>
        <v>0</v>
      </c>
      <c r="P299" s="244">
        <f>SUM([20]S!P215)</f>
        <v>0</v>
      </c>
      <c r="Q299" s="244">
        <f>SUM([20]S!Q215)</f>
        <v>0</v>
      </c>
      <c r="R299" s="244">
        <f>SUM([20]S!R215)</f>
        <v>0</v>
      </c>
      <c r="S299" s="244">
        <f>SUM([20]S!S215)</f>
        <v>0</v>
      </c>
      <c r="T299" s="244">
        <f>SUM([20]S!T215)</f>
        <v>0</v>
      </c>
      <c r="U299" s="244">
        <f>SUM([20]S!U215)</f>
        <v>0</v>
      </c>
      <c r="V299" s="245">
        <f t="shared" si="78"/>
        <v>0</v>
      </c>
      <c r="W299" s="73">
        <f t="shared" si="76"/>
        <v>0</v>
      </c>
      <c r="X299" s="89"/>
      <c r="Y299" s="244">
        <f>SUM([20]S!Y215)</f>
        <v>0</v>
      </c>
      <c r="Z299" s="244">
        <f>SUM([20]S!Z215)</f>
        <v>0</v>
      </c>
      <c r="AA299" s="244">
        <f>SUM([20]S!AA215)</f>
        <v>0</v>
      </c>
      <c r="AB299" s="244">
        <f>SUM([20]S!AB215)</f>
        <v>0</v>
      </c>
      <c r="AC299" s="244">
        <f>SUM([20]S!AC215)</f>
        <v>0</v>
      </c>
      <c r="AD299" s="244">
        <f>SUM([20]S!AD215)</f>
        <v>0</v>
      </c>
      <c r="AE299" s="244">
        <f>SUM([20]S!AE215)</f>
        <v>0</v>
      </c>
      <c r="AF299" s="244">
        <f>SUM([20]S!AF215)</f>
        <v>0</v>
      </c>
      <c r="AG299" s="244">
        <f>SUM([20]S!AG215)</f>
        <v>0</v>
      </c>
      <c r="AH299" s="244">
        <f>SUM([20]S!AH215)</f>
        <v>0</v>
      </c>
      <c r="AI299" s="244">
        <f>SUM([20]S!AI215)</f>
        <v>0</v>
      </c>
      <c r="AJ299" s="244">
        <f>SUM([20]S!AJ215)</f>
        <v>0</v>
      </c>
      <c r="AK299" s="245">
        <v>0</v>
      </c>
      <c r="AL299" s="73">
        <v>0</v>
      </c>
      <c r="AM299" s="161">
        <v>-1</v>
      </c>
      <c r="AN299" s="89"/>
      <c r="AO299" s="245">
        <v>0</v>
      </c>
      <c r="AP299" s="73">
        <v>0</v>
      </c>
      <c r="AQ299" s="161">
        <v>-1</v>
      </c>
    </row>
    <row r="300" spans="1:43" ht="15" customHeight="1" outlineLevel="2">
      <c r="A300" s="12" t="s">
        <v>91</v>
      </c>
      <c r="I300" t="s">
        <v>346</v>
      </c>
      <c r="J300" s="244">
        <f>SUM([20]S!J216)</f>
        <v>0</v>
      </c>
      <c r="K300" s="244">
        <f>SUM([20]S!K216)</f>
        <v>0</v>
      </c>
      <c r="L300" s="244">
        <f>SUM([20]S!L216)</f>
        <v>0</v>
      </c>
      <c r="M300" s="244">
        <f>SUM([20]S!M216)</f>
        <v>0</v>
      </c>
      <c r="N300" s="244">
        <f>SUM([20]S!N216)</f>
        <v>0</v>
      </c>
      <c r="O300" s="244">
        <f>SUM([20]S!O216)</f>
        <v>0</v>
      </c>
      <c r="P300" s="244">
        <f>SUM([20]S!P216)</f>
        <v>0</v>
      </c>
      <c r="Q300" s="244">
        <f>SUM([20]S!Q216)</f>
        <v>0</v>
      </c>
      <c r="R300" s="244">
        <f>SUM([20]S!R216)</f>
        <v>0</v>
      </c>
      <c r="S300" s="244">
        <f>SUM([20]S!S216)</f>
        <v>0</v>
      </c>
      <c r="T300" s="244">
        <f>SUM([20]S!T216)</f>
        <v>0</v>
      </c>
      <c r="U300" s="244">
        <f>SUM([20]S!U216)</f>
        <v>0</v>
      </c>
      <c r="V300" s="245">
        <f t="shared" si="78"/>
        <v>0</v>
      </c>
      <c r="W300" s="73">
        <f t="shared" si="76"/>
        <v>0</v>
      </c>
      <c r="X300" s="89"/>
      <c r="Y300" s="244">
        <f>SUM([20]S!Y216)</f>
        <v>0</v>
      </c>
      <c r="Z300" s="244">
        <f>SUM([20]S!Z216)</f>
        <v>0</v>
      </c>
      <c r="AA300" s="244">
        <f>SUM([20]S!AA216)</f>
        <v>0</v>
      </c>
      <c r="AB300" s="244">
        <f>SUM([20]S!AB216)</f>
        <v>0</v>
      </c>
      <c r="AC300" s="244">
        <f>SUM([20]S!AC216)</f>
        <v>0</v>
      </c>
      <c r="AD300" s="244">
        <f>SUM([20]S!AD216)</f>
        <v>0</v>
      </c>
      <c r="AE300" s="244">
        <f>SUM([20]S!AE216)</f>
        <v>0</v>
      </c>
      <c r="AF300" s="244">
        <f>SUM([20]S!AF216)</f>
        <v>0</v>
      </c>
      <c r="AG300" s="244">
        <f>SUM([20]S!AG216)</f>
        <v>0</v>
      </c>
      <c r="AH300" s="244">
        <f>SUM([20]S!AH216)</f>
        <v>0</v>
      </c>
      <c r="AI300" s="244">
        <f>SUM([20]S!AI216)</f>
        <v>0</v>
      </c>
      <c r="AJ300" s="244">
        <f>SUM([20]S!AJ216)</f>
        <v>0</v>
      </c>
      <c r="AK300" s="245">
        <v>3197282.2911900003</v>
      </c>
      <c r="AL300" s="73">
        <v>7.9999847585500937E-4</v>
      </c>
      <c r="AM300" s="161">
        <v>0.26484835091477965</v>
      </c>
      <c r="AN300" s="89"/>
      <c r="AO300" s="245">
        <v>3197282.2911900003</v>
      </c>
      <c r="AP300" s="73">
        <v>7.271552016419109E-4</v>
      </c>
      <c r="AQ300" s="161">
        <v>0.26484835091477965</v>
      </c>
    </row>
    <row r="301" spans="1:43" ht="15" customHeight="1" outlineLevel="2">
      <c r="A301" s="12" t="s">
        <v>91</v>
      </c>
      <c r="I301" t="s">
        <v>347</v>
      </c>
      <c r="J301" s="244">
        <f>SUM([20]S!J217)</f>
        <v>0</v>
      </c>
      <c r="K301" s="244">
        <f>SUM([20]S!K217)</f>
        <v>0</v>
      </c>
      <c r="L301" s="244">
        <f>SUM([20]S!L217)</f>
        <v>0</v>
      </c>
      <c r="M301" s="244">
        <f>SUM([20]S!M217)</f>
        <v>0</v>
      </c>
      <c r="N301" s="244">
        <f>SUM([20]S!N217)</f>
        <v>0</v>
      </c>
      <c r="O301" s="244">
        <f>SUM([20]S!O217)</f>
        <v>0</v>
      </c>
      <c r="P301" s="244">
        <f>SUM([20]S!P217)</f>
        <v>0</v>
      </c>
      <c r="Q301" s="244">
        <f>SUM([20]S!Q217)</f>
        <v>0</v>
      </c>
      <c r="R301" s="244">
        <f>SUM([20]S!R217)</f>
        <v>0</v>
      </c>
      <c r="S301" s="244">
        <f>SUM([20]S!S217)</f>
        <v>0</v>
      </c>
      <c r="T301" s="244">
        <f>SUM([20]S!T217)</f>
        <v>0</v>
      </c>
      <c r="U301" s="244">
        <f>SUM([20]S!U217)</f>
        <v>0</v>
      </c>
      <c r="V301" s="245">
        <f t="shared" si="78"/>
        <v>0</v>
      </c>
      <c r="W301" s="73">
        <f t="shared" si="76"/>
        <v>0</v>
      </c>
      <c r="X301" s="89"/>
      <c r="Y301" s="244">
        <f>SUM([20]S!Y217)</f>
        <v>0</v>
      </c>
      <c r="Z301" s="244">
        <f>SUM([20]S!Z217)</f>
        <v>0</v>
      </c>
      <c r="AA301" s="244">
        <f>SUM([20]S!AA217)</f>
        <v>0</v>
      </c>
      <c r="AB301" s="244">
        <f>SUM([20]S!AB217)</f>
        <v>0</v>
      </c>
      <c r="AC301" s="244">
        <f>SUM([20]S!AC217)</f>
        <v>0</v>
      </c>
      <c r="AD301" s="244">
        <f>SUM([20]S!AD217)</f>
        <v>0</v>
      </c>
      <c r="AE301" s="244">
        <f>SUM([20]S!AE217)</f>
        <v>0</v>
      </c>
      <c r="AF301" s="244">
        <f>SUM([20]S!AF217)</f>
        <v>0</v>
      </c>
      <c r="AG301" s="244">
        <f>SUM([20]S!AG217)</f>
        <v>0</v>
      </c>
      <c r="AH301" s="244">
        <f>SUM([20]S!AH217)</f>
        <v>0</v>
      </c>
      <c r="AI301" s="244">
        <f>SUM([20]S!AI217)</f>
        <v>0</v>
      </c>
      <c r="AJ301" s="244">
        <f>SUM([20]S!AJ217)</f>
        <v>0</v>
      </c>
      <c r="AK301" s="245">
        <v>3197282.2911900003</v>
      </c>
      <c r="AL301" s="73">
        <v>7.9999847585500937E-4</v>
      </c>
      <c r="AM301" s="161">
        <v>0.55168113982333344</v>
      </c>
      <c r="AN301" s="89"/>
      <c r="AO301" s="245">
        <v>3197282.2911900003</v>
      </c>
      <c r="AP301" s="73">
        <v>7.271552016419109E-4</v>
      </c>
      <c r="AQ301" s="161">
        <v>0.55168113982333344</v>
      </c>
    </row>
    <row r="302" spans="1:43" ht="15" customHeight="1" outlineLevel="2">
      <c r="A302" s="12" t="s">
        <v>91</v>
      </c>
      <c r="I302" t="s">
        <v>348</v>
      </c>
      <c r="J302" s="244">
        <f>SUM([20]S!J218)</f>
        <v>0</v>
      </c>
      <c r="K302" s="244">
        <f>SUM([20]S!K218)</f>
        <v>0</v>
      </c>
      <c r="L302" s="244">
        <f>SUM([20]S!L218)</f>
        <v>0</v>
      </c>
      <c r="M302" s="244">
        <f>SUM([20]S!M218)</f>
        <v>0</v>
      </c>
      <c r="N302" s="244">
        <f>SUM([20]S!N218)</f>
        <v>0</v>
      </c>
      <c r="O302" s="244">
        <f>SUM([20]S!O218)</f>
        <v>0</v>
      </c>
      <c r="P302" s="244">
        <f>SUM([20]S!P218)</f>
        <v>0</v>
      </c>
      <c r="Q302" s="244">
        <f>SUM([20]S!Q218)</f>
        <v>0</v>
      </c>
      <c r="R302" s="244">
        <f>SUM([20]S!R218)</f>
        <v>0</v>
      </c>
      <c r="S302" s="244">
        <f>SUM([20]S!S218)</f>
        <v>0</v>
      </c>
      <c r="T302" s="244">
        <f>SUM([20]S!T218)</f>
        <v>0</v>
      </c>
      <c r="U302" s="244">
        <f>SUM([20]S!U218)</f>
        <v>0</v>
      </c>
      <c r="V302" s="245">
        <f t="shared" si="78"/>
        <v>0</v>
      </c>
      <c r="W302" s="73">
        <f t="shared" si="76"/>
        <v>0</v>
      </c>
      <c r="X302" s="89"/>
      <c r="Y302" s="244">
        <f>SUM([20]S!Y218)</f>
        <v>0</v>
      </c>
      <c r="Z302" s="244">
        <f>SUM([20]S!Z218)</f>
        <v>0</v>
      </c>
      <c r="AA302" s="244">
        <f>SUM([20]S!AA218)</f>
        <v>0</v>
      </c>
      <c r="AB302" s="244">
        <f>SUM([20]S!AB218)</f>
        <v>0</v>
      </c>
      <c r="AC302" s="244">
        <f>SUM([20]S!AC218)</f>
        <v>0</v>
      </c>
      <c r="AD302" s="244">
        <f>SUM([20]S!AD218)</f>
        <v>0</v>
      </c>
      <c r="AE302" s="244">
        <f>SUM([20]S!AE218)</f>
        <v>0</v>
      </c>
      <c r="AF302" s="244">
        <f>SUM([20]S!AF218)</f>
        <v>0</v>
      </c>
      <c r="AG302" s="244">
        <f>SUM([20]S!AG218)</f>
        <v>0</v>
      </c>
      <c r="AH302" s="244">
        <f>SUM([20]S!AH218)</f>
        <v>0</v>
      </c>
      <c r="AI302" s="244">
        <f>SUM([20]S!AI218)</f>
        <v>0</v>
      </c>
      <c r="AJ302" s="244">
        <f>SUM([20]S!AJ218)</f>
        <v>0</v>
      </c>
      <c r="AK302" s="245">
        <v>0</v>
      </c>
      <c r="AL302" s="73">
        <v>0</v>
      </c>
      <c r="AM302" s="161">
        <v>-1</v>
      </c>
      <c r="AN302" s="89"/>
      <c r="AO302" s="245">
        <v>0</v>
      </c>
      <c r="AP302" s="73">
        <v>0</v>
      </c>
      <c r="AQ302" s="161">
        <v>-1</v>
      </c>
    </row>
    <row r="303" spans="1:43" ht="15" customHeight="1" outlineLevel="2">
      <c r="A303" s="12" t="s">
        <v>91</v>
      </c>
      <c r="I303" t="s">
        <v>349</v>
      </c>
      <c r="J303" s="244">
        <f>SUM([20]S!J219)</f>
        <v>0</v>
      </c>
      <c r="K303" s="244">
        <f>SUM([20]S!K219)</f>
        <v>0</v>
      </c>
      <c r="L303" s="244">
        <f>SUM([20]S!L219)</f>
        <v>0</v>
      </c>
      <c r="M303" s="244">
        <f>SUM([20]S!M219)</f>
        <v>0</v>
      </c>
      <c r="N303" s="244">
        <f>SUM([20]S!N219)</f>
        <v>0</v>
      </c>
      <c r="O303" s="244">
        <f>SUM([20]S!O219)</f>
        <v>0</v>
      </c>
      <c r="P303" s="244">
        <f>SUM([20]S!P219)</f>
        <v>0</v>
      </c>
      <c r="Q303" s="244">
        <f>SUM([20]S!Q219)</f>
        <v>0</v>
      </c>
      <c r="R303" s="244">
        <f>SUM([20]S!R219)</f>
        <v>0</v>
      </c>
      <c r="S303" s="244">
        <f>SUM([20]S!S219)</f>
        <v>0</v>
      </c>
      <c r="T303" s="244">
        <f>SUM([20]S!T219)</f>
        <v>0</v>
      </c>
      <c r="U303" s="244">
        <f>SUM([20]S!U219)</f>
        <v>0</v>
      </c>
      <c r="V303" s="245">
        <f t="shared" si="78"/>
        <v>0</v>
      </c>
      <c r="W303" s="73">
        <f t="shared" si="76"/>
        <v>0</v>
      </c>
      <c r="X303" s="89"/>
      <c r="Y303" s="244">
        <f>SUM([20]S!Y219)</f>
        <v>0</v>
      </c>
      <c r="Z303" s="244">
        <f>SUM([20]S!Z219)</f>
        <v>0</v>
      </c>
      <c r="AA303" s="244">
        <f>SUM([20]S!AA219)</f>
        <v>0</v>
      </c>
      <c r="AB303" s="244">
        <f>SUM([20]S!AB219)</f>
        <v>0</v>
      </c>
      <c r="AC303" s="244">
        <f>SUM([20]S!AC219)</f>
        <v>0</v>
      </c>
      <c r="AD303" s="244">
        <f>SUM([20]S!AD219)</f>
        <v>0</v>
      </c>
      <c r="AE303" s="244">
        <f>SUM([20]S!AE219)</f>
        <v>0</v>
      </c>
      <c r="AF303" s="244">
        <f>SUM([20]S!AF219)</f>
        <v>0</v>
      </c>
      <c r="AG303" s="244">
        <f>SUM([20]S!AG219)</f>
        <v>0</v>
      </c>
      <c r="AH303" s="244">
        <f>SUM([20]S!AH219)</f>
        <v>0</v>
      </c>
      <c r="AI303" s="244">
        <f>SUM([20]S!AI219)</f>
        <v>0</v>
      </c>
      <c r="AJ303" s="244">
        <f>SUM([20]S!AJ219)</f>
        <v>0</v>
      </c>
      <c r="AK303" s="245">
        <v>0</v>
      </c>
      <c r="AL303" s="73">
        <v>0</v>
      </c>
      <c r="AM303" s="161">
        <v>-1</v>
      </c>
      <c r="AN303" s="89"/>
      <c r="AO303" s="245">
        <v>0</v>
      </c>
      <c r="AP303" s="73">
        <v>0</v>
      </c>
      <c r="AQ303" s="161">
        <v>-1</v>
      </c>
    </row>
    <row r="304" spans="1:43" ht="15" customHeight="1" outlineLevel="2">
      <c r="A304" s="12" t="s">
        <v>91</v>
      </c>
      <c r="I304" t="s">
        <v>350</v>
      </c>
      <c r="J304" s="244">
        <f>SUM([20]S!J220)</f>
        <v>0</v>
      </c>
      <c r="K304" s="244">
        <f>SUM([20]S!K220)</f>
        <v>0</v>
      </c>
      <c r="L304" s="244">
        <f>SUM([20]S!L220)</f>
        <v>0</v>
      </c>
      <c r="M304" s="244">
        <f>SUM([20]S!M220)</f>
        <v>0</v>
      </c>
      <c r="N304" s="244">
        <f>SUM([20]S!N220)</f>
        <v>0</v>
      </c>
      <c r="O304" s="244">
        <f>SUM([20]S!O220)</f>
        <v>0</v>
      </c>
      <c r="P304" s="244">
        <f>SUM([20]S!P220)</f>
        <v>0</v>
      </c>
      <c r="Q304" s="244">
        <f>SUM([20]S!Q220)</f>
        <v>0</v>
      </c>
      <c r="R304" s="244">
        <f>SUM([20]S!R220)</f>
        <v>0</v>
      </c>
      <c r="S304" s="244">
        <f>SUM([20]S!S220)</f>
        <v>0</v>
      </c>
      <c r="T304" s="244">
        <f>SUM([20]S!T220)</f>
        <v>0</v>
      </c>
      <c r="U304" s="244">
        <f>SUM([20]S!U220)</f>
        <v>0</v>
      </c>
      <c r="V304" s="245">
        <f t="shared" si="78"/>
        <v>0</v>
      </c>
      <c r="W304" s="73">
        <f t="shared" si="76"/>
        <v>0</v>
      </c>
      <c r="X304" s="89"/>
      <c r="Y304" s="244">
        <f>SUM([20]S!Y220)</f>
        <v>0</v>
      </c>
      <c r="Z304" s="244">
        <f>SUM([20]S!Z220)</f>
        <v>0</v>
      </c>
      <c r="AA304" s="244">
        <f>SUM([20]S!AA220)</f>
        <v>0</v>
      </c>
      <c r="AB304" s="244">
        <f>SUM([20]S!AB220)</f>
        <v>0</v>
      </c>
      <c r="AC304" s="244">
        <f>SUM([20]S!AC220)</f>
        <v>0</v>
      </c>
      <c r="AD304" s="244">
        <f>SUM([20]S!AD220)</f>
        <v>0</v>
      </c>
      <c r="AE304" s="244">
        <f>SUM([20]S!AE220)</f>
        <v>0</v>
      </c>
      <c r="AF304" s="244">
        <f>SUM([20]S!AF220)</f>
        <v>0</v>
      </c>
      <c r="AG304" s="244">
        <f>SUM([20]S!AG220)</f>
        <v>0</v>
      </c>
      <c r="AH304" s="244">
        <f>SUM([20]S!AH220)</f>
        <v>0</v>
      </c>
      <c r="AI304" s="244">
        <f>SUM([20]S!AI220)</f>
        <v>0</v>
      </c>
      <c r="AJ304" s="244">
        <f>SUM([20]S!AJ220)</f>
        <v>0</v>
      </c>
      <c r="AK304" s="245">
        <v>350387.10040438356</v>
      </c>
      <c r="AL304" s="73">
        <v>8.7671065847124311E-5</v>
      </c>
      <c r="AM304" s="161">
        <v>0.16899239956424661</v>
      </c>
      <c r="AN304" s="89"/>
      <c r="AO304" s="245">
        <v>350387.10040438356</v>
      </c>
      <c r="AP304" s="73">
        <v>7.9688241275825843E-5</v>
      </c>
      <c r="AQ304" s="161">
        <v>0.16899239956424661</v>
      </c>
    </row>
    <row r="305" spans="1:43" ht="15" customHeight="1" outlineLevel="2">
      <c r="A305" s="12" t="s">
        <v>91</v>
      </c>
      <c r="I305" t="s">
        <v>351</v>
      </c>
      <c r="J305" s="244">
        <f>SUM([20]S!J221)</f>
        <v>0</v>
      </c>
      <c r="K305" s="244">
        <f>SUM([20]S!K221)</f>
        <v>0</v>
      </c>
      <c r="L305" s="244">
        <f>SUM([20]S!L221)</f>
        <v>0</v>
      </c>
      <c r="M305" s="244">
        <f>SUM([20]S!M221)</f>
        <v>0</v>
      </c>
      <c r="N305" s="244">
        <f>SUM([20]S!N221)</f>
        <v>0</v>
      </c>
      <c r="O305" s="244">
        <f>SUM([20]S!O221)</f>
        <v>0</v>
      </c>
      <c r="P305" s="244">
        <f>SUM([20]S!P221)</f>
        <v>0</v>
      </c>
      <c r="Q305" s="244">
        <f>SUM([20]S!Q221)</f>
        <v>0</v>
      </c>
      <c r="R305" s="244">
        <f>SUM([20]S!R221)</f>
        <v>0</v>
      </c>
      <c r="S305" s="244">
        <f>SUM([20]S!S221)</f>
        <v>0</v>
      </c>
      <c r="T305" s="244">
        <f>SUM([20]S!T221)</f>
        <v>0</v>
      </c>
      <c r="U305" s="244">
        <f>SUM([20]S!U221)</f>
        <v>0</v>
      </c>
      <c r="V305" s="245">
        <f t="shared" si="78"/>
        <v>0</v>
      </c>
      <c r="W305" s="73">
        <f t="shared" si="76"/>
        <v>0</v>
      </c>
      <c r="X305" s="89"/>
      <c r="Y305" s="244">
        <f>SUM([20]S!Y221)</f>
        <v>0</v>
      </c>
      <c r="Z305" s="244">
        <f>SUM([20]S!Z221)</f>
        <v>0</v>
      </c>
      <c r="AA305" s="244">
        <f>SUM([20]S!AA221)</f>
        <v>0</v>
      </c>
      <c r="AB305" s="244">
        <f>SUM([20]S!AB221)</f>
        <v>0</v>
      </c>
      <c r="AC305" s="244">
        <f>SUM([20]S!AC221)</f>
        <v>0</v>
      </c>
      <c r="AD305" s="244">
        <f>SUM([20]S!AD221)</f>
        <v>0</v>
      </c>
      <c r="AE305" s="244">
        <f>SUM([20]S!AE221)</f>
        <v>0</v>
      </c>
      <c r="AF305" s="244">
        <f>SUM([20]S!AF221)</f>
        <v>0</v>
      </c>
      <c r="AG305" s="244">
        <f>SUM([20]S!AG221)</f>
        <v>0</v>
      </c>
      <c r="AH305" s="244">
        <f>SUM([20]S!AH221)</f>
        <v>0</v>
      </c>
      <c r="AI305" s="244">
        <f>SUM([20]S!AI221)</f>
        <v>0</v>
      </c>
      <c r="AJ305" s="244">
        <f>SUM([20]S!AJ221)</f>
        <v>0</v>
      </c>
      <c r="AK305" s="245">
        <v>0</v>
      </c>
      <c r="AL305" s="73">
        <v>0</v>
      </c>
      <c r="AM305" s="161">
        <v>-1</v>
      </c>
      <c r="AN305" s="89"/>
      <c r="AO305" s="245">
        <v>0</v>
      </c>
      <c r="AP305" s="73">
        <v>0</v>
      </c>
      <c r="AQ305" s="161">
        <v>-1</v>
      </c>
    </row>
    <row r="306" spans="1:43" ht="15" customHeight="1" outlineLevel="2">
      <c r="A306" s="12" t="s">
        <v>91</v>
      </c>
      <c r="I306" t="s">
        <v>352</v>
      </c>
      <c r="J306" s="244">
        <f>SUM([20]S!J222)</f>
        <v>0</v>
      </c>
      <c r="K306" s="244">
        <f>SUM([20]S!K222)</f>
        <v>0</v>
      </c>
      <c r="L306" s="244">
        <f>SUM([20]S!L222)</f>
        <v>0</v>
      </c>
      <c r="M306" s="244">
        <f>SUM([20]S!M222)</f>
        <v>0</v>
      </c>
      <c r="N306" s="244">
        <f>SUM([20]S!N222)</f>
        <v>0</v>
      </c>
      <c r="O306" s="244">
        <f>SUM([20]S!O222)</f>
        <v>0</v>
      </c>
      <c r="P306" s="244">
        <f>SUM([20]S!P222)</f>
        <v>0</v>
      </c>
      <c r="Q306" s="244">
        <f>SUM([20]S!Q222)</f>
        <v>0</v>
      </c>
      <c r="R306" s="244">
        <f>SUM([20]S!R222)</f>
        <v>0</v>
      </c>
      <c r="S306" s="244">
        <f>SUM([20]S!S222)</f>
        <v>0</v>
      </c>
      <c r="T306" s="244">
        <f>SUM([20]S!T222)</f>
        <v>0</v>
      </c>
      <c r="U306" s="244">
        <f>SUM([20]S!U222)</f>
        <v>0</v>
      </c>
      <c r="V306" s="245">
        <f t="shared" si="78"/>
        <v>0</v>
      </c>
      <c r="W306" s="73">
        <f t="shared" si="76"/>
        <v>0</v>
      </c>
      <c r="X306" s="89"/>
      <c r="Y306" s="244">
        <f>SUM([20]S!Y222)</f>
        <v>0</v>
      </c>
      <c r="Z306" s="244">
        <f>SUM([20]S!Z222)</f>
        <v>0</v>
      </c>
      <c r="AA306" s="244">
        <f>SUM([20]S!AA222)</f>
        <v>0</v>
      </c>
      <c r="AB306" s="244">
        <f>SUM([20]S!AB222)</f>
        <v>0</v>
      </c>
      <c r="AC306" s="244">
        <f>SUM([20]S!AC222)</f>
        <v>0</v>
      </c>
      <c r="AD306" s="244">
        <f>SUM([20]S!AD222)</f>
        <v>0</v>
      </c>
      <c r="AE306" s="244">
        <f>SUM([20]S!AE222)</f>
        <v>0</v>
      </c>
      <c r="AF306" s="244">
        <f>SUM([20]S!AF222)</f>
        <v>0</v>
      </c>
      <c r="AG306" s="244">
        <f>SUM([20]S!AG222)</f>
        <v>0</v>
      </c>
      <c r="AH306" s="244">
        <f>SUM([20]S!AH222)</f>
        <v>0</v>
      </c>
      <c r="AI306" s="244">
        <f>SUM([20]S!AI222)</f>
        <v>0</v>
      </c>
      <c r="AJ306" s="244">
        <f>SUM([20]S!AJ222)</f>
        <v>0</v>
      </c>
      <c r="AK306" s="245">
        <v>0</v>
      </c>
      <c r="AL306" s="73">
        <v>0</v>
      </c>
      <c r="AM306" s="161">
        <v>0</v>
      </c>
      <c r="AN306" s="89"/>
      <c r="AO306" s="245">
        <v>0</v>
      </c>
      <c r="AP306" s="73">
        <v>0</v>
      </c>
      <c r="AQ306" s="161">
        <v>0</v>
      </c>
    </row>
    <row r="307" spans="1:43" ht="15" customHeight="1" outlineLevel="2">
      <c r="A307" s="12" t="s">
        <v>91</v>
      </c>
      <c r="I307" t="s">
        <v>353</v>
      </c>
      <c r="J307" s="244">
        <f>SUM([20]S!J223)</f>
        <v>0</v>
      </c>
      <c r="K307" s="244">
        <f>SUM([20]S!K223)</f>
        <v>0</v>
      </c>
      <c r="L307" s="244">
        <f>SUM([20]S!L223)</f>
        <v>0</v>
      </c>
      <c r="M307" s="244">
        <f>SUM([20]S!M223)</f>
        <v>0</v>
      </c>
      <c r="N307" s="244">
        <f>SUM([20]S!N223)</f>
        <v>0</v>
      </c>
      <c r="O307" s="244">
        <f>SUM([20]S!O223)</f>
        <v>0</v>
      </c>
      <c r="P307" s="244">
        <f>SUM([20]S!P223)</f>
        <v>0</v>
      </c>
      <c r="Q307" s="244">
        <f>SUM([20]S!Q223)</f>
        <v>0</v>
      </c>
      <c r="R307" s="244">
        <f>SUM([20]S!R223)</f>
        <v>0</v>
      </c>
      <c r="S307" s="244">
        <f>SUM([20]S!S223)</f>
        <v>0</v>
      </c>
      <c r="T307" s="244">
        <f>SUM([20]S!T223)</f>
        <v>0</v>
      </c>
      <c r="U307" s="244">
        <f>SUM([20]S!U223)</f>
        <v>0</v>
      </c>
      <c r="V307" s="245">
        <f t="shared" si="78"/>
        <v>0</v>
      </c>
      <c r="W307" s="73">
        <f t="shared" si="76"/>
        <v>0</v>
      </c>
      <c r="X307" s="89"/>
      <c r="Y307" s="244">
        <f>SUM([20]S!Y223)</f>
        <v>0</v>
      </c>
      <c r="Z307" s="244">
        <f>SUM([20]S!Z223)</f>
        <v>0</v>
      </c>
      <c r="AA307" s="244">
        <f>SUM([20]S!AA223)</f>
        <v>0</v>
      </c>
      <c r="AB307" s="244">
        <f>SUM([20]S!AB223)</f>
        <v>0</v>
      </c>
      <c r="AC307" s="244">
        <f>SUM([20]S!AC223)</f>
        <v>0</v>
      </c>
      <c r="AD307" s="244">
        <f>SUM([20]S!AD223)</f>
        <v>0</v>
      </c>
      <c r="AE307" s="244">
        <f>SUM([20]S!AE223)</f>
        <v>0</v>
      </c>
      <c r="AF307" s="244">
        <f>SUM([20]S!AF223)</f>
        <v>0</v>
      </c>
      <c r="AG307" s="244">
        <f>SUM([20]S!AG223)</f>
        <v>0</v>
      </c>
      <c r="AH307" s="244">
        <f>SUM([20]S!AH223)</f>
        <v>0</v>
      </c>
      <c r="AI307" s="244">
        <f>SUM([20]S!AI223)</f>
        <v>0</v>
      </c>
      <c r="AJ307" s="244">
        <f>SUM([20]S!AJ223)</f>
        <v>0</v>
      </c>
      <c r="AK307" s="245">
        <v>31972822.911899995</v>
      </c>
      <c r="AL307" s="73">
        <v>7.9999847585500924E-3</v>
      </c>
      <c r="AM307" s="161">
        <v>0.12897793399805346</v>
      </c>
      <c r="AN307" s="89"/>
      <c r="AO307" s="245">
        <v>31972822.911899995</v>
      </c>
      <c r="AP307" s="73">
        <v>7.2715520164191071E-3</v>
      </c>
      <c r="AQ307" s="161">
        <v>0.12897793399805346</v>
      </c>
    </row>
    <row r="308" spans="1:43" ht="15" customHeight="1" outlineLevel="2">
      <c r="A308" s="12" t="s">
        <v>91</v>
      </c>
      <c r="I308" t="s">
        <v>354</v>
      </c>
      <c r="J308" s="244">
        <f>SUM([20]S!J224)</f>
        <v>0</v>
      </c>
      <c r="K308" s="244">
        <f>SUM([20]S!K224)</f>
        <v>0</v>
      </c>
      <c r="L308" s="244">
        <f>SUM([20]S!L224)</f>
        <v>0</v>
      </c>
      <c r="M308" s="244">
        <f>SUM([20]S!M224)</f>
        <v>0</v>
      </c>
      <c r="N308" s="244">
        <f>SUM([20]S!N224)</f>
        <v>0</v>
      </c>
      <c r="O308" s="244">
        <f>SUM([20]S!O224)</f>
        <v>0</v>
      </c>
      <c r="P308" s="244">
        <f>SUM([20]S!P224)</f>
        <v>0</v>
      </c>
      <c r="Q308" s="244">
        <f>SUM([20]S!Q224)</f>
        <v>0</v>
      </c>
      <c r="R308" s="244">
        <f>SUM([20]S!R224)</f>
        <v>0</v>
      </c>
      <c r="S308" s="244">
        <f>SUM([20]S!S224)</f>
        <v>0</v>
      </c>
      <c r="T308" s="244">
        <f>SUM([20]S!T224)</f>
        <v>0</v>
      </c>
      <c r="U308" s="244">
        <f>SUM([20]S!U224)</f>
        <v>0</v>
      </c>
      <c r="V308" s="245">
        <f t="shared" si="78"/>
        <v>0</v>
      </c>
      <c r="W308" s="73">
        <f t="shared" si="76"/>
        <v>0</v>
      </c>
      <c r="X308" s="89"/>
      <c r="Y308" s="244">
        <f>SUM([20]S!Y224)</f>
        <v>0</v>
      </c>
      <c r="Z308" s="244">
        <f>SUM([20]S!Z224)</f>
        <v>0</v>
      </c>
      <c r="AA308" s="244">
        <f>SUM([20]S!AA224)</f>
        <v>0</v>
      </c>
      <c r="AB308" s="244">
        <f>SUM([20]S!AB224)</f>
        <v>0</v>
      </c>
      <c r="AC308" s="244">
        <f>SUM([20]S!AC224)</f>
        <v>0</v>
      </c>
      <c r="AD308" s="244">
        <f>SUM([20]S!AD224)</f>
        <v>0</v>
      </c>
      <c r="AE308" s="244">
        <f>SUM([20]S!AE224)</f>
        <v>0</v>
      </c>
      <c r="AF308" s="244">
        <f>SUM([20]S!AF224)</f>
        <v>0</v>
      </c>
      <c r="AG308" s="244">
        <f>SUM([20]S!AG224)</f>
        <v>0</v>
      </c>
      <c r="AH308" s="244">
        <f>SUM([20]S!AH224)</f>
        <v>0</v>
      </c>
      <c r="AI308" s="244">
        <f>SUM([20]S!AI224)</f>
        <v>0</v>
      </c>
      <c r="AJ308" s="244">
        <f>SUM([20]S!AJ224)</f>
        <v>0</v>
      </c>
      <c r="AK308" s="245">
        <v>0</v>
      </c>
      <c r="AL308" s="73">
        <v>0</v>
      </c>
      <c r="AM308" s="161">
        <v>-1</v>
      </c>
      <c r="AN308" s="89"/>
      <c r="AO308" s="245">
        <v>0</v>
      </c>
      <c r="AP308" s="73">
        <v>0</v>
      </c>
      <c r="AQ308" s="161">
        <v>-1</v>
      </c>
    </row>
    <row r="309" spans="1:43" ht="15" customHeight="1" outlineLevel="2">
      <c r="A309" s="12" t="s">
        <v>91</v>
      </c>
      <c r="D309" s="140"/>
      <c r="I309" t="s">
        <v>355</v>
      </c>
      <c r="J309" s="244">
        <f>SUM([20]S!J225)</f>
        <v>0</v>
      </c>
      <c r="K309" s="244">
        <f>SUM([20]S!K225)</f>
        <v>0</v>
      </c>
      <c r="L309" s="244">
        <f>SUM([20]S!L225)</f>
        <v>0</v>
      </c>
      <c r="M309" s="244">
        <f>SUM([20]S!M225)</f>
        <v>0</v>
      </c>
      <c r="N309" s="244">
        <f>SUM([20]S!N225)</f>
        <v>0</v>
      </c>
      <c r="O309" s="244">
        <f>SUM([20]S!O225)</f>
        <v>0</v>
      </c>
      <c r="P309" s="244">
        <f>SUM([20]S!P225)</f>
        <v>0</v>
      </c>
      <c r="Q309" s="244">
        <f>SUM([20]S!Q225)</f>
        <v>0</v>
      </c>
      <c r="R309" s="244">
        <f>SUM([20]S!R225)</f>
        <v>0</v>
      </c>
      <c r="S309" s="244">
        <f>SUM([20]S!S225)</f>
        <v>0</v>
      </c>
      <c r="T309" s="244">
        <f>SUM([20]S!T225)</f>
        <v>0</v>
      </c>
      <c r="U309" s="244">
        <f>SUM([20]S!U225)</f>
        <v>0</v>
      </c>
      <c r="V309" s="245">
        <f t="shared" si="78"/>
        <v>0</v>
      </c>
      <c r="W309" s="73">
        <f t="shared" si="76"/>
        <v>0</v>
      </c>
      <c r="X309" s="89"/>
      <c r="Y309" s="244">
        <f>SUM([20]S!Y225)</f>
        <v>0</v>
      </c>
      <c r="Z309" s="244">
        <f>SUM([20]S!Z225)</f>
        <v>0</v>
      </c>
      <c r="AA309" s="244">
        <f>SUM([20]S!AA225)</f>
        <v>0</v>
      </c>
      <c r="AB309" s="244">
        <f>SUM([20]S!AB225)</f>
        <v>0</v>
      </c>
      <c r="AC309" s="244">
        <f>SUM([20]S!AC225)</f>
        <v>0</v>
      </c>
      <c r="AD309" s="244">
        <f>SUM([20]S!AD225)</f>
        <v>0</v>
      </c>
      <c r="AE309" s="244">
        <f>SUM([20]S!AE225)</f>
        <v>0</v>
      </c>
      <c r="AF309" s="244">
        <f>SUM([20]S!AF225)</f>
        <v>0</v>
      </c>
      <c r="AG309" s="244">
        <f>SUM([20]S!AG225)</f>
        <v>0</v>
      </c>
      <c r="AH309" s="244">
        <f>SUM([20]S!AH225)</f>
        <v>0</v>
      </c>
      <c r="AI309" s="244">
        <f>SUM([20]S!AI225)</f>
        <v>0</v>
      </c>
      <c r="AJ309" s="244">
        <f>SUM([20]S!AJ225)</f>
        <v>0</v>
      </c>
      <c r="AK309" s="245">
        <v>0</v>
      </c>
      <c r="AL309" s="73">
        <v>0</v>
      </c>
      <c r="AM309" s="161">
        <v>-1</v>
      </c>
      <c r="AN309" s="89"/>
      <c r="AO309" s="245">
        <v>0</v>
      </c>
      <c r="AP309" s="73">
        <v>0</v>
      </c>
      <c r="AQ309" s="161">
        <v>-1</v>
      </c>
    </row>
    <row r="310" spans="1:43" ht="15" customHeight="1" outlineLevel="2">
      <c r="A310" s="12" t="s">
        <v>91</v>
      </c>
      <c r="D310" s="140"/>
      <c r="I310" t="s">
        <v>356</v>
      </c>
      <c r="J310" s="244">
        <f>SUM([20]S!J226)</f>
        <v>0</v>
      </c>
      <c r="K310" s="244">
        <f>SUM([20]S!K226)</f>
        <v>0</v>
      </c>
      <c r="L310" s="244">
        <f>SUM([20]S!L226)</f>
        <v>0</v>
      </c>
      <c r="M310" s="244">
        <f>SUM([20]S!M226)</f>
        <v>0</v>
      </c>
      <c r="N310" s="244">
        <f>SUM([20]S!N226)</f>
        <v>0</v>
      </c>
      <c r="O310" s="244">
        <f>SUM([20]S!O226)</f>
        <v>0</v>
      </c>
      <c r="P310" s="244">
        <f>SUM([20]S!P226)</f>
        <v>0</v>
      </c>
      <c r="Q310" s="244">
        <f>SUM([20]S!Q226)</f>
        <v>0</v>
      </c>
      <c r="R310" s="244">
        <f>SUM([20]S!R226)</f>
        <v>0</v>
      </c>
      <c r="S310" s="244">
        <f>SUM([20]S!S226)</f>
        <v>0</v>
      </c>
      <c r="T310" s="244">
        <f>SUM([20]S!T226)</f>
        <v>0</v>
      </c>
      <c r="U310" s="244">
        <f>SUM([20]S!U226)</f>
        <v>0</v>
      </c>
      <c r="V310" s="245">
        <f t="shared" si="78"/>
        <v>0</v>
      </c>
      <c r="W310" s="73">
        <f t="shared" si="76"/>
        <v>0</v>
      </c>
      <c r="X310" s="89"/>
      <c r="Y310" s="244">
        <f>SUM([20]S!Y226)</f>
        <v>0</v>
      </c>
      <c r="Z310" s="244">
        <f>SUM([20]S!Z226)</f>
        <v>0</v>
      </c>
      <c r="AA310" s="244">
        <f>SUM([20]S!AA226)</f>
        <v>0</v>
      </c>
      <c r="AB310" s="244">
        <f>SUM([20]S!AB226)</f>
        <v>0</v>
      </c>
      <c r="AC310" s="244">
        <f>SUM([20]S!AC226)</f>
        <v>0</v>
      </c>
      <c r="AD310" s="244">
        <f>SUM([20]S!AD226)</f>
        <v>0</v>
      </c>
      <c r="AE310" s="244">
        <f>SUM([20]S!AE226)</f>
        <v>0</v>
      </c>
      <c r="AF310" s="244">
        <f>SUM([20]S!AF226)</f>
        <v>0</v>
      </c>
      <c r="AG310" s="244">
        <f>SUM([20]S!AG226)</f>
        <v>0</v>
      </c>
      <c r="AH310" s="244">
        <f>SUM([20]S!AH226)</f>
        <v>0</v>
      </c>
      <c r="AI310" s="244">
        <f>SUM([20]S!AI226)</f>
        <v>0</v>
      </c>
      <c r="AJ310" s="244">
        <f>SUM([20]S!AJ226)</f>
        <v>0</v>
      </c>
      <c r="AK310" s="245">
        <v>8386931.5063773058</v>
      </c>
      <c r="AL310" s="73">
        <v>2.0985111138575674E-3</v>
      </c>
      <c r="AM310" s="161">
        <v>1.4211280549497829E-2</v>
      </c>
      <c r="AN310" s="89"/>
      <c r="AO310" s="245">
        <v>8386931.5063773058</v>
      </c>
      <c r="AP310" s="73">
        <v>1.9074327241861524E-3</v>
      </c>
      <c r="AQ310" s="161">
        <v>1.4211280549497829E-2</v>
      </c>
    </row>
    <row r="311" spans="1:43" ht="15" customHeight="1" outlineLevel="2">
      <c r="A311" s="12" t="s">
        <v>91</v>
      </c>
      <c r="D311" s="140"/>
      <c r="I311" t="s">
        <v>357</v>
      </c>
      <c r="J311" s="244">
        <f>SUM([20]S!J227)</f>
        <v>0</v>
      </c>
      <c r="K311" s="244">
        <f>SUM([20]S!K227)</f>
        <v>0</v>
      </c>
      <c r="L311" s="244">
        <f>SUM([20]S!L227)</f>
        <v>0</v>
      </c>
      <c r="M311" s="244">
        <f>SUM([20]S!M227)</f>
        <v>0</v>
      </c>
      <c r="N311" s="244">
        <f>SUM([20]S!N227)</f>
        <v>0</v>
      </c>
      <c r="O311" s="244">
        <f>SUM([20]S!O227)</f>
        <v>0</v>
      </c>
      <c r="P311" s="244">
        <f>SUM([20]S!P227)</f>
        <v>0</v>
      </c>
      <c r="Q311" s="244">
        <f>SUM([20]S!Q227)</f>
        <v>0</v>
      </c>
      <c r="R311" s="244">
        <f>SUM([20]S!R227)</f>
        <v>0</v>
      </c>
      <c r="S311" s="244">
        <f>SUM([20]S!S227)</f>
        <v>0</v>
      </c>
      <c r="T311" s="244">
        <f>SUM([20]S!T227)</f>
        <v>0</v>
      </c>
      <c r="U311" s="244">
        <f>SUM([20]S!U227)</f>
        <v>0</v>
      </c>
      <c r="V311" s="245">
        <f t="shared" si="78"/>
        <v>0</v>
      </c>
      <c r="W311" s="73">
        <f t="shared" si="76"/>
        <v>0</v>
      </c>
      <c r="X311" s="89"/>
      <c r="Y311" s="244">
        <f>SUM([20]S!Y227)</f>
        <v>0</v>
      </c>
      <c r="Z311" s="244">
        <f>SUM([20]S!Z227)</f>
        <v>0</v>
      </c>
      <c r="AA311" s="244">
        <f>SUM([20]S!AA227)</f>
        <v>0</v>
      </c>
      <c r="AB311" s="244">
        <f>SUM([20]S!AB227)</f>
        <v>0</v>
      </c>
      <c r="AC311" s="244">
        <f>SUM([20]S!AC227)</f>
        <v>0</v>
      </c>
      <c r="AD311" s="244">
        <f>SUM([20]S!AD227)</f>
        <v>0</v>
      </c>
      <c r="AE311" s="244">
        <f>SUM([20]S!AE227)</f>
        <v>0</v>
      </c>
      <c r="AF311" s="244">
        <f>SUM([20]S!AF227)</f>
        <v>0</v>
      </c>
      <c r="AG311" s="244">
        <f>SUM([20]S!AG227)</f>
        <v>0</v>
      </c>
      <c r="AH311" s="244">
        <f>SUM([20]S!AH227)</f>
        <v>0</v>
      </c>
      <c r="AI311" s="244">
        <f>SUM([20]S!AI227)</f>
        <v>0</v>
      </c>
      <c r="AJ311" s="244">
        <f>SUM([20]S!AJ227)</f>
        <v>0</v>
      </c>
      <c r="AK311" s="245">
        <v>2037275.0233398813</v>
      </c>
      <c r="AL311" s="73">
        <v>5.0975070861283887E-4</v>
      </c>
      <c r="AM311" s="161">
        <v>0.26847080741528817</v>
      </c>
      <c r="AN311" s="89"/>
      <c r="AO311" s="245">
        <v>2037275.0233398813</v>
      </c>
      <c r="AP311" s="73">
        <v>4.6333573187413817E-4</v>
      </c>
      <c r="AQ311" s="161">
        <v>0.26847080741528817</v>
      </c>
    </row>
    <row r="312" spans="1:43" ht="15" customHeight="1" outlineLevel="2">
      <c r="A312" s="12" t="s">
        <v>91</v>
      </c>
      <c r="D312" s="140"/>
      <c r="I312" t="s">
        <v>358</v>
      </c>
      <c r="J312" s="244">
        <f>SUM([20]S!J228)</f>
        <v>0</v>
      </c>
      <c r="K312" s="244">
        <f>SUM([20]S!K228)</f>
        <v>0</v>
      </c>
      <c r="L312" s="244">
        <f>SUM([20]S!L228)</f>
        <v>0</v>
      </c>
      <c r="M312" s="244">
        <f>SUM([20]S!M228)</f>
        <v>0</v>
      </c>
      <c r="N312" s="244">
        <f>SUM([20]S!N228)</f>
        <v>0</v>
      </c>
      <c r="O312" s="244">
        <f>SUM([20]S!O228)</f>
        <v>0</v>
      </c>
      <c r="P312" s="244">
        <f>SUM([20]S!P228)</f>
        <v>0</v>
      </c>
      <c r="Q312" s="244">
        <f>SUM([20]S!Q228)</f>
        <v>0</v>
      </c>
      <c r="R312" s="244">
        <f>SUM([20]S!R228)</f>
        <v>0</v>
      </c>
      <c r="S312" s="244">
        <f>SUM([20]S!S228)</f>
        <v>0</v>
      </c>
      <c r="T312" s="244">
        <f>SUM([20]S!T228)</f>
        <v>0</v>
      </c>
      <c r="U312" s="244">
        <f>SUM([20]S!U228)</f>
        <v>0</v>
      </c>
      <c r="V312" s="245">
        <f t="shared" si="78"/>
        <v>0</v>
      </c>
      <c r="W312" s="73">
        <f t="shared" si="76"/>
        <v>0</v>
      </c>
      <c r="X312" s="89"/>
      <c r="Y312" s="244">
        <f>SUM([20]S!Y228)</f>
        <v>0</v>
      </c>
      <c r="Z312" s="244">
        <f>SUM([20]S!Z228)</f>
        <v>0</v>
      </c>
      <c r="AA312" s="244">
        <f>SUM([20]S!AA228)</f>
        <v>0</v>
      </c>
      <c r="AB312" s="244">
        <f>SUM([20]S!AB228)</f>
        <v>0</v>
      </c>
      <c r="AC312" s="244">
        <f>SUM([20]S!AC228)</f>
        <v>0</v>
      </c>
      <c r="AD312" s="244">
        <f>SUM([20]S!AD228)</f>
        <v>0</v>
      </c>
      <c r="AE312" s="244">
        <f>SUM([20]S!AE228)</f>
        <v>0</v>
      </c>
      <c r="AF312" s="244">
        <f>SUM([20]S!AF228)</f>
        <v>0</v>
      </c>
      <c r="AG312" s="244">
        <f>SUM([20]S!AG228)</f>
        <v>0</v>
      </c>
      <c r="AH312" s="244">
        <f>SUM([20]S!AH228)</f>
        <v>0</v>
      </c>
      <c r="AI312" s="244">
        <f>SUM([20]S!AI228)</f>
        <v>0</v>
      </c>
      <c r="AJ312" s="244">
        <f>SUM([20]S!AJ228)</f>
        <v>0</v>
      </c>
      <c r="AK312" s="245">
        <v>2542926.68413284</v>
      </c>
      <c r="AL312" s="73">
        <v>6.3627083449054554E-4</v>
      </c>
      <c r="AM312" s="161">
        <v>0.34533570389229284</v>
      </c>
      <c r="AN312" s="89"/>
      <c r="AO312" s="245">
        <v>2542926.68413284</v>
      </c>
      <c r="AP312" s="73">
        <v>5.783356605252993E-4</v>
      </c>
      <c r="AQ312" s="161">
        <v>0.34533570389229284</v>
      </c>
    </row>
    <row r="313" spans="1:43" ht="15" customHeight="1" outlineLevel="2">
      <c r="A313" s="12" t="s">
        <v>91</v>
      </c>
      <c r="D313" s="140"/>
      <c r="I313" t="s">
        <v>359</v>
      </c>
      <c r="J313" s="244">
        <f>SUM([20]S!J229)</f>
        <v>0</v>
      </c>
      <c r="K313" s="244">
        <f>SUM([20]S!K229)</f>
        <v>0</v>
      </c>
      <c r="L313" s="244">
        <f>SUM([20]S!L229)</f>
        <v>0</v>
      </c>
      <c r="M313" s="244">
        <f>SUM([20]S!M229)</f>
        <v>0</v>
      </c>
      <c r="N313" s="244">
        <f>SUM([20]S!N229)</f>
        <v>0</v>
      </c>
      <c r="O313" s="244">
        <f>SUM([20]S!O229)</f>
        <v>0</v>
      </c>
      <c r="P313" s="244">
        <f>SUM([20]S!P229)</f>
        <v>0</v>
      </c>
      <c r="Q313" s="244">
        <f>SUM([20]S!Q229)</f>
        <v>0</v>
      </c>
      <c r="R313" s="244">
        <f>SUM([20]S!R229)</f>
        <v>0</v>
      </c>
      <c r="S313" s="244">
        <f>SUM([20]S!S229)</f>
        <v>0</v>
      </c>
      <c r="T313" s="244">
        <f>SUM([20]S!T229)</f>
        <v>0</v>
      </c>
      <c r="U313" s="244">
        <f>SUM([20]S!U229)</f>
        <v>0</v>
      </c>
      <c r="V313" s="245">
        <f t="shared" si="78"/>
        <v>0</v>
      </c>
      <c r="W313" s="73">
        <f t="shared" si="76"/>
        <v>0</v>
      </c>
      <c r="X313" s="89"/>
      <c r="Y313" s="244">
        <f>SUM([20]S!Y229)</f>
        <v>0</v>
      </c>
      <c r="Z313" s="244">
        <f>SUM([20]S!Z229)</f>
        <v>0</v>
      </c>
      <c r="AA313" s="244">
        <f>SUM([20]S!AA229)</f>
        <v>0</v>
      </c>
      <c r="AB313" s="244">
        <f>SUM([20]S!AB229)</f>
        <v>0</v>
      </c>
      <c r="AC313" s="244">
        <f>SUM([20]S!AC229)</f>
        <v>0</v>
      </c>
      <c r="AD313" s="244">
        <f>SUM([20]S!AD229)</f>
        <v>0</v>
      </c>
      <c r="AE313" s="244">
        <f>SUM([20]S!AE229)</f>
        <v>0</v>
      </c>
      <c r="AF313" s="244">
        <f>SUM([20]S!AF229)</f>
        <v>0</v>
      </c>
      <c r="AG313" s="244">
        <f>SUM([20]S!AG229)</f>
        <v>0</v>
      </c>
      <c r="AH313" s="244">
        <f>SUM([20]S!AH229)</f>
        <v>0</v>
      </c>
      <c r="AI313" s="244">
        <f>SUM([20]S!AI229)</f>
        <v>0</v>
      </c>
      <c r="AJ313" s="244">
        <f>SUM([20]S!AJ229)</f>
        <v>0</v>
      </c>
      <c r="AK313" s="245">
        <v>3436834.1552043082</v>
      </c>
      <c r="AL313" s="73">
        <v>8.5993723278858796E-4</v>
      </c>
      <c r="AM313" s="161">
        <v>8.6286907835201987E-2</v>
      </c>
      <c r="AN313" s="89"/>
      <c r="AO313" s="245">
        <v>3436834.1552043082</v>
      </c>
      <c r="AP313" s="73">
        <v>7.8163627904348975E-4</v>
      </c>
      <c r="AQ313" s="161">
        <v>8.6286907835201987E-2</v>
      </c>
    </row>
    <row r="314" spans="1:43" ht="14.45" hidden="1" customHeight="1">
      <c r="A314" s="12"/>
      <c r="D314" s="140"/>
      <c r="I314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79"/>
      <c r="X314" s="89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79"/>
      <c r="AM314" s="162"/>
      <c r="AN314" s="89"/>
      <c r="AO314" s="262"/>
      <c r="AP314" s="79"/>
      <c r="AQ314" s="162"/>
    </row>
    <row r="315" spans="1:43" ht="14.45" hidden="1" customHeight="1">
      <c r="A315" s="12"/>
      <c r="D315" s="140"/>
      <c r="E315" s="191" t="s">
        <v>111</v>
      </c>
      <c r="I315" s="144" t="s">
        <v>360</v>
      </c>
      <c r="J315" s="262">
        <f t="shared" ref="J315:V315" si="79">SUM(J316:J337)</f>
        <v>733587.83</v>
      </c>
      <c r="K315" s="262">
        <f t="shared" si="79"/>
        <v>397702.33999999997</v>
      </c>
      <c r="L315" s="262">
        <f t="shared" si="79"/>
        <v>226420.5</v>
      </c>
      <c r="M315" s="262">
        <f t="shared" si="79"/>
        <v>640647.39</v>
      </c>
      <c r="N315" s="262">
        <f t="shared" si="79"/>
        <v>224502.66</v>
      </c>
      <c r="O315" s="262">
        <f t="shared" si="79"/>
        <v>308304.25</v>
      </c>
      <c r="P315" s="262">
        <f t="shared" si="79"/>
        <v>669889.73999999987</v>
      </c>
      <c r="Q315" s="262">
        <f t="shared" si="79"/>
        <v>959994.58</v>
      </c>
      <c r="R315" s="262">
        <f t="shared" si="79"/>
        <v>1243492.75</v>
      </c>
      <c r="S315" s="262">
        <f t="shared" si="79"/>
        <v>0</v>
      </c>
      <c r="T315" s="262">
        <f t="shared" si="79"/>
        <v>0</v>
      </c>
      <c r="U315" s="262">
        <f t="shared" si="79"/>
        <v>0</v>
      </c>
      <c r="V315" s="262">
        <f t="shared" si="79"/>
        <v>47044.959999999999</v>
      </c>
      <c r="W315" s="79">
        <f>V315/V$6</f>
        <v>2.1014134271940747E-4</v>
      </c>
      <c r="X315" s="89"/>
      <c r="Y315" s="262">
        <f t="shared" ref="Y315:AJ315" si="80">SUM(Y316:Y337)</f>
        <v>0</v>
      </c>
      <c r="Z315" s="262">
        <f t="shared" si="80"/>
        <v>0</v>
      </c>
      <c r="AA315" s="262">
        <f t="shared" si="80"/>
        <v>0</v>
      </c>
      <c r="AB315" s="262">
        <f t="shared" si="80"/>
        <v>0</v>
      </c>
      <c r="AC315" s="262">
        <f t="shared" si="80"/>
        <v>0</v>
      </c>
      <c r="AD315" s="262">
        <f t="shared" si="80"/>
        <v>0</v>
      </c>
      <c r="AE315" s="262">
        <f t="shared" si="80"/>
        <v>0</v>
      </c>
      <c r="AF315" s="262">
        <f t="shared" si="80"/>
        <v>0</v>
      </c>
      <c r="AG315" s="262">
        <f t="shared" si="80"/>
        <v>0</v>
      </c>
      <c r="AH315" s="262">
        <f t="shared" si="80"/>
        <v>0</v>
      </c>
      <c r="AI315" s="262">
        <f t="shared" si="80"/>
        <v>0</v>
      </c>
      <c r="AJ315" s="262">
        <f t="shared" si="80"/>
        <v>0</v>
      </c>
      <c r="AK315" s="262">
        <v>274128.72000000003</v>
      </c>
      <c r="AL315" s="79">
        <v>6.8590302080102583E-5</v>
      </c>
      <c r="AM315" s="10">
        <v>4.8269519200356434</v>
      </c>
      <c r="AN315" s="89"/>
      <c r="AO315" s="262">
        <v>274128.72000000003</v>
      </c>
      <c r="AP315" s="79">
        <v>6.2344862452932975E-5</v>
      </c>
      <c r="AQ315" s="10">
        <v>4.8269519200356434</v>
      </c>
    </row>
    <row r="316" spans="1:43" ht="15" customHeight="1" outlineLevel="1">
      <c r="A316" s="12" t="s">
        <v>361</v>
      </c>
      <c r="I316" s="139" t="s">
        <v>362</v>
      </c>
      <c r="J316" s="244">
        <v>0</v>
      </c>
      <c r="K316" s="244">
        <v>0</v>
      </c>
      <c r="L316" s="244">
        <v>444.96</v>
      </c>
      <c r="M316" s="244">
        <v>46600</v>
      </c>
      <c r="N316" s="244">
        <v>0</v>
      </c>
      <c r="O316" s="244">
        <v>0</v>
      </c>
      <c r="P316" s="244">
        <v>0</v>
      </c>
      <c r="Q316" s="244">
        <v>0</v>
      </c>
      <c r="R316" s="244">
        <v>0</v>
      </c>
      <c r="S316" s="244">
        <v>0</v>
      </c>
      <c r="T316" s="244">
        <v>0</v>
      </c>
      <c r="U316" s="244">
        <v>0</v>
      </c>
      <c r="V316" s="245">
        <f>SUM(J316:U316)</f>
        <v>47044.959999999999</v>
      </c>
      <c r="W316" s="73">
        <f>V316/V$6</f>
        <v>2.1014134271940747E-4</v>
      </c>
      <c r="X316" s="89"/>
      <c r="Y316" s="244">
        <f>SUM([20]S!Y232)</f>
        <v>0</v>
      </c>
      <c r="Z316" s="244">
        <f>SUM([20]S!Z232)</f>
        <v>0</v>
      </c>
      <c r="AA316" s="244">
        <f>SUM([20]S!AA232)</f>
        <v>0</v>
      </c>
      <c r="AB316" s="244">
        <f>SUM([20]S!AB232)</f>
        <v>0</v>
      </c>
      <c r="AC316" s="244">
        <f>SUM([20]S!AC232)</f>
        <v>0</v>
      </c>
      <c r="AD316" s="244">
        <f>SUM([20]S!AD232)</f>
        <v>0</v>
      </c>
      <c r="AE316" s="244">
        <f>SUM([20]S!AE232)</f>
        <v>0</v>
      </c>
      <c r="AF316" s="244">
        <f>SUM([20]S!AF232)</f>
        <v>0</v>
      </c>
      <c r="AG316" s="244">
        <f>SUM([20]S!AG232)</f>
        <v>0</v>
      </c>
      <c r="AH316" s="244">
        <f>SUM([20]S!AH232)</f>
        <v>0</v>
      </c>
      <c r="AI316" s="244">
        <f>SUM([20]S!AI232)</f>
        <v>0</v>
      </c>
      <c r="AJ316" s="244">
        <f>SUM([20]S!AJ232)</f>
        <v>0</v>
      </c>
      <c r="AK316" s="245">
        <v>274128.72000000003</v>
      </c>
      <c r="AL316" s="73">
        <v>6.8590302080102583E-5</v>
      </c>
      <c r="AM316" s="14">
        <v>4.8269519200356434</v>
      </c>
      <c r="AN316" s="89"/>
      <c r="AO316" s="245">
        <v>274128.72000000003</v>
      </c>
      <c r="AP316" s="73">
        <v>6.2344862452932975E-5</v>
      </c>
      <c r="AQ316" s="14">
        <v>4.8269519200356434</v>
      </c>
    </row>
    <row r="317" spans="1:43" ht="15" customHeight="1" outlineLevel="1">
      <c r="A317" s="12"/>
      <c r="I317" s="139" t="s">
        <v>363</v>
      </c>
      <c r="J317" s="244">
        <v>0</v>
      </c>
      <c r="K317" s="244">
        <v>0</v>
      </c>
      <c r="L317" s="244">
        <v>0</v>
      </c>
      <c r="M317" s="244">
        <v>280912.8</v>
      </c>
      <c r="N317" s="244">
        <v>0</v>
      </c>
      <c r="O317" s="244">
        <v>0</v>
      </c>
      <c r="P317" s="244">
        <v>0</v>
      </c>
      <c r="Q317" s="244">
        <v>0</v>
      </c>
      <c r="R317" s="244">
        <v>0</v>
      </c>
      <c r="S317" s="244">
        <v>0</v>
      </c>
      <c r="T317" s="244">
        <v>0</v>
      </c>
      <c r="U317" s="244">
        <v>0</v>
      </c>
      <c r="V317" s="245"/>
      <c r="W317" s="73"/>
      <c r="X317" s="89"/>
      <c r="Y317" s="244"/>
      <c r="Z317" s="244"/>
      <c r="AA317" s="244"/>
      <c r="AB317" s="244"/>
      <c r="AC317" s="244"/>
      <c r="AD317" s="244"/>
      <c r="AE317" s="244"/>
      <c r="AF317" s="244"/>
      <c r="AG317" s="244"/>
      <c r="AH317" s="244"/>
      <c r="AI317" s="244"/>
      <c r="AJ317" s="244"/>
      <c r="AK317" s="245"/>
      <c r="AL317" s="73"/>
      <c r="AM317" s="14"/>
      <c r="AN317" s="89"/>
      <c r="AO317" s="245"/>
      <c r="AP317" s="73"/>
      <c r="AQ317" s="14"/>
    </row>
    <row r="318" spans="1:43" ht="15" customHeight="1" outlineLevel="1">
      <c r="A318" s="12"/>
      <c r="I318" s="139" t="s">
        <v>364</v>
      </c>
      <c r="J318" s="244">
        <v>0</v>
      </c>
      <c r="K318" s="244">
        <v>0</v>
      </c>
      <c r="L318" s="244">
        <v>0</v>
      </c>
      <c r="M318" s="244">
        <v>0</v>
      </c>
      <c r="N318" s="244">
        <v>12474.85</v>
      </c>
      <c r="O318" s="244">
        <v>2767.35</v>
      </c>
      <c r="P318" s="244">
        <v>14301</v>
      </c>
      <c r="Q318" s="244">
        <v>290</v>
      </c>
      <c r="R318" s="244">
        <v>0</v>
      </c>
      <c r="S318" s="244">
        <v>0</v>
      </c>
      <c r="T318" s="244">
        <v>0</v>
      </c>
      <c r="U318" s="244">
        <v>0</v>
      </c>
      <c r="V318" s="245"/>
      <c r="W318" s="73"/>
      <c r="X318" s="89"/>
      <c r="Y318" s="244"/>
      <c r="Z318" s="244"/>
      <c r="AA318" s="244"/>
      <c r="AB318" s="244"/>
      <c r="AC318" s="244"/>
      <c r="AD318" s="244"/>
      <c r="AE318" s="244"/>
      <c r="AF318" s="244"/>
      <c r="AG318" s="244"/>
      <c r="AH318" s="244"/>
      <c r="AI318" s="244"/>
      <c r="AJ318" s="244"/>
      <c r="AK318" s="245"/>
      <c r="AL318" s="73"/>
      <c r="AM318" s="14"/>
      <c r="AN318" s="89"/>
      <c r="AO318" s="245"/>
      <c r="AP318" s="73"/>
      <c r="AQ318" s="14"/>
    </row>
    <row r="319" spans="1:43" ht="15" customHeight="1" outlineLevel="1">
      <c r="A319" s="12"/>
      <c r="I319" s="139" t="s">
        <v>365</v>
      </c>
      <c r="J319" s="244">
        <v>505996.16</v>
      </c>
      <c r="K319" s="244">
        <v>27505.5</v>
      </c>
      <c r="L319" s="244">
        <v>0</v>
      </c>
      <c r="M319" s="244">
        <v>72030.41</v>
      </c>
      <c r="N319" s="244">
        <v>0</v>
      </c>
      <c r="O319" s="244">
        <v>0</v>
      </c>
      <c r="P319" s="244">
        <v>0</v>
      </c>
      <c r="Q319" s="244">
        <v>0</v>
      </c>
      <c r="R319" s="244">
        <v>0</v>
      </c>
      <c r="S319" s="244">
        <v>0</v>
      </c>
      <c r="T319" s="244">
        <v>0</v>
      </c>
      <c r="U319" s="244">
        <v>0</v>
      </c>
      <c r="V319" s="245"/>
      <c r="W319" s="73"/>
      <c r="X319" s="89"/>
      <c r="Y319" s="244"/>
      <c r="Z319" s="244"/>
      <c r="AA319" s="244"/>
      <c r="AB319" s="244"/>
      <c r="AC319" s="244"/>
      <c r="AD319" s="244"/>
      <c r="AE319" s="244"/>
      <c r="AF319" s="244"/>
      <c r="AG319" s="244"/>
      <c r="AH319" s="244"/>
      <c r="AI319" s="244"/>
      <c r="AJ319" s="244"/>
      <c r="AK319" s="245"/>
      <c r="AL319" s="73"/>
      <c r="AM319" s="14"/>
      <c r="AN319" s="89"/>
      <c r="AO319" s="245"/>
      <c r="AP319" s="73"/>
      <c r="AQ319" s="14"/>
    </row>
    <row r="320" spans="1:43" ht="15" customHeight="1" outlineLevel="1">
      <c r="A320" s="12"/>
      <c r="I320" s="139" t="s">
        <v>366</v>
      </c>
      <c r="J320" s="244">
        <v>2981.0800000000004</v>
      </c>
      <c r="K320" s="244">
        <v>54776.020000000004</v>
      </c>
      <c r="L320" s="244">
        <v>47683.69</v>
      </c>
      <c r="M320" s="244">
        <v>13586.689999999999</v>
      </c>
      <c r="N320" s="244">
        <v>1909.7000000000003</v>
      </c>
      <c r="O320" s="244">
        <v>10000</v>
      </c>
      <c r="P320" s="244">
        <v>0</v>
      </c>
      <c r="Q320" s="244">
        <v>-10000</v>
      </c>
      <c r="R320" s="244">
        <v>-10000</v>
      </c>
      <c r="S320" s="244">
        <v>0</v>
      </c>
      <c r="T320" s="244">
        <v>0</v>
      </c>
      <c r="U320" s="244">
        <v>0</v>
      </c>
      <c r="V320" s="245"/>
      <c r="W320" s="73"/>
      <c r="X320" s="89"/>
      <c r="Y320" s="244"/>
      <c r="Z320" s="244"/>
      <c r="AA320" s="244"/>
      <c r="AB320" s="244"/>
      <c r="AC320" s="244"/>
      <c r="AD320" s="244"/>
      <c r="AE320" s="244"/>
      <c r="AF320" s="244"/>
      <c r="AG320" s="244"/>
      <c r="AH320" s="244"/>
      <c r="AI320" s="244"/>
      <c r="AJ320" s="244"/>
      <c r="AK320" s="245"/>
      <c r="AL320" s="73"/>
      <c r="AM320" s="14"/>
      <c r="AN320" s="89"/>
      <c r="AO320" s="245"/>
      <c r="AP320" s="73"/>
      <c r="AQ320" s="14"/>
    </row>
    <row r="321" spans="1:43" ht="15" customHeight="1" outlineLevel="1">
      <c r="A321" s="12"/>
      <c r="I321" s="139" t="s">
        <v>367</v>
      </c>
      <c r="J321" s="244">
        <v>2070</v>
      </c>
      <c r="K321" s="244">
        <v>2130</v>
      </c>
      <c r="L321" s="244">
        <v>2190</v>
      </c>
      <c r="M321" s="244">
        <v>2384</v>
      </c>
      <c r="N321" s="244">
        <v>3740</v>
      </c>
      <c r="O321" s="244">
        <v>2874</v>
      </c>
      <c r="P321" s="244">
        <v>4330.63</v>
      </c>
      <c r="Q321" s="244">
        <v>271880.39999999997</v>
      </c>
      <c r="R321" s="244">
        <v>33424</v>
      </c>
      <c r="S321" s="244">
        <v>0</v>
      </c>
      <c r="T321" s="244">
        <v>0</v>
      </c>
      <c r="U321" s="244">
        <v>0</v>
      </c>
      <c r="V321" s="245"/>
      <c r="W321" s="73"/>
      <c r="X321" s="89"/>
      <c r="Y321" s="244"/>
      <c r="Z321" s="244"/>
      <c r="AA321" s="244"/>
      <c r="AB321" s="244"/>
      <c r="AC321" s="244"/>
      <c r="AD321" s="244"/>
      <c r="AE321" s="244"/>
      <c r="AF321" s="244"/>
      <c r="AG321" s="244"/>
      <c r="AH321" s="244"/>
      <c r="AI321" s="244"/>
      <c r="AJ321" s="244"/>
      <c r="AK321" s="245"/>
      <c r="AL321" s="73"/>
      <c r="AM321" s="14"/>
      <c r="AN321" s="89"/>
      <c r="AO321" s="245"/>
      <c r="AP321" s="73"/>
      <c r="AQ321" s="14"/>
    </row>
    <row r="322" spans="1:43" ht="15" customHeight="1" outlineLevel="1">
      <c r="A322" s="12"/>
      <c r="I322" s="139" t="s">
        <v>368</v>
      </c>
      <c r="J322" s="244">
        <v>58086.200000000004</v>
      </c>
      <c r="K322" s="244">
        <v>150627.91999999998</v>
      </c>
      <c r="L322" s="244">
        <v>81031.86</v>
      </c>
      <c r="M322" s="244">
        <v>62335.049999999996</v>
      </c>
      <c r="N322" s="244">
        <v>102645.64</v>
      </c>
      <c r="O322" s="244">
        <v>91968.200000000012</v>
      </c>
      <c r="P322" s="244">
        <v>93498.609999999986</v>
      </c>
      <c r="Q322" s="244">
        <v>171863.46000000002</v>
      </c>
      <c r="R322" s="244">
        <v>1049383.6200000001</v>
      </c>
      <c r="S322" s="244">
        <v>0</v>
      </c>
      <c r="T322" s="244">
        <v>0</v>
      </c>
      <c r="U322" s="244">
        <v>0</v>
      </c>
      <c r="V322" s="245"/>
      <c r="W322" s="73"/>
      <c r="X322" s="89"/>
      <c r="Y322" s="244"/>
      <c r="Z322" s="244"/>
      <c r="AA322" s="244"/>
      <c r="AB322" s="244"/>
      <c r="AC322" s="244"/>
      <c r="AD322" s="244"/>
      <c r="AE322" s="244"/>
      <c r="AF322" s="244"/>
      <c r="AG322" s="244"/>
      <c r="AH322" s="244"/>
      <c r="AI322" s="244"/>
      <c r="AJ322" s="244"/>
      <c r="AK322" s="245"/>
      <c r="AL322" s="73"/>
      <c r="AM322" s="14"/>
      <c r="AN322" s="89"/>
      <c r="AO322" s="245"/>
      <c r="AP322" s="73"/>
      <c r="AQ322" s="14"/>
    </row>
    <row r="323" spans="1:43" ht="15" customHeight="1" outlineLevel="1">
      <c r="A323" s="12"/>
      <c r="I323" s="139" t="s">
        <v>369</v>
      </c>
      <c r="J323" s="244">
        <v>0</v>
      </c>
      <c r="K323" s="244">
        <v>0</v>
      </c>
      <c r="L323" s="244">
        <v>0</v>
      </c>
      <c r="M323" s="244">
        <v>0</v>
      </c>
      <c r="N323" s="244">
        <v>0</v>
      </c>
      <c r="O323" s="244">
        <v>0</v>
      </c>
      <c r="P323" s="244">
        <v>0</v>
      </c>
      <c r="Q323" s="244">
        <v>0</v>
      </c>
      <c r="R323" s="244">
        <v>0</v>
      </c>
      <c r="S323" s="244">
        <v>0</v>
      </c>
      <c r="T323" s="244">
        <v>0</v>
      </c>
      <c r="U323" s="244">
        <v>0</v>
      </c>
      <c r="V323" s="245"/>
      <c r="W323" s="73"/>
      <c r="X323" s="89"/>
      <c r="Y323" s="244"/>
      <c r="Z323" s="244"/>
      <c r="AA323" s="244"/>
      <c r="AB323" s="244"/>
      <c r="AC323" s="244"/>
      <c r="AD323" s="244"/>
      <c r="AE323" s="244"/>
      <c r="AF323" s="244"/>
      <c r="AG323" s="244"/>
      <c r="AH323" s="244"/>
      <c r="AI323" s="244"/>
      <c r="AJ323" s="244"/>
      <c r="AK323" s="245"/>
      <c r="AL323" s="73"/>
      <c r="AM323" s="14"/>
      <c r="AN323" s="89"/>
      <c r="AO323" s="245"/>
      <c r="AP323" s="73"/>
      <c r="AQ323" s="14"/>
    </row>
    <row r="324" spans="1:43" ht="15" customHeight="1" outlineLevel="1">
      <c r="A324" s="12"/>
      <c r="I324" s="139" t="s">
        <v>370</v>
      </c>
      <c r="J324" s="244">
        <v>20948.5</v>
      </c>
      <c r="K324" s="244">
        <v>20565.37</v>
      </c>
      <c r="L324" s="244">
        <v>-2217.8200000000011</v>
      </c>
      <c r="M324" s="244">
        <v>21021.74</v>
      </c>
      <c r="N324" s="244">
        <v>16049.93</v>
      </c>
      <c r="O324" s="244">
        <v>12528.529999999999</v>
      </c>
      <c r="P324" s="244">
        <v>47849.34</v>
      </c>
      <c r="Q324" s="244">
        <v>-16981.830000000002</v>
      </c>
      <c r="R324" s="244">
        <v>17707.5</v>
      </c>
      <c r="S324" s="244">
        <v>0</v>
      </c>
      <c r="T324" s="244">
        <v>0</v>
      </c>
      <c r="U324" s="244">
        <v>0</v>
      </c>
      <c r="V324" s="245"/>
      <c r="W324" s="73"/>
      <c r="X324" s="89"/>
      <c r="Y324" s="244"/>
      <c r="Z324" s="244"/>
      <c r="AA324" s="244"/>
      <c r="AB324" s="244"/>
      <c r="AC324" s="244"/>
      <c r="AD324" s="244"/>
      <c r="AE324" s="244"/>
      <c r="AF324" s="244"/>
      <c r="AG324" s="244"/>
      <c r="AH324" s="244"/>
      <c r="AI324" s="244"/>
      <c r="AJ324" s="244"/>
      <c r="AK324" s="245"/>
      <c r="AL324" s="73"/>
      <c r="AM324" s="14"/>
      <c r="AN324" s="89"/>
      <c r="AO324" s="245"/>
      <c r="AP324" s="73"/>
      <c r="AQ324" s="14"/>
    </row>
    <row r="325" spans="1:43" ht="15" customHeight="1" outlineLevel="1">
      <c r="A325" s="12"/>
      <c r="I325" s="139" t="s">
        <v>371</v>
      </c>
      <c r="J325" s="244">
        <v>0</v>
      </c>
      <c r="K325" s="244">
        <v>0</v>
      </c>
      <c r="L325" s="244">
        <v>750</v>
      </c>
      <c r="M325" s="244">
        <v>0</v>
      </c>
      <c r="N325" s="244">
        <v>0</v>
      </c>
      <c r="O325" s="244">
        <v>0</v>
      </c>
      <c r="P325" s="244">
        <v>0</v>
      </c>
      <c r="Q325" s="244">
        <v>0</v>
      </c>
      <c r="R325" s="244">
        <v>0</v>
      </c>
      <c r="S325" s="244">
        <v>0</v>
      </c>
      <c r="T325" s="244">
        <v>0</v>
      </c>
      <c r="U325" s="244">
        <v>0</v>
      </c>
      <c r="V325" s="245"/>
      <c r="W325" s="73"/>
      <c r="X325" s="89"/>
      <c r="Y325" s="244"/>
      <c r="Z325" s="244"/>
      <c r="AA325" s="244"/>
      <c r="AB325" s="244"/>
      <c r="AC325" s="244"/>
      <c r="AD325" s="244"/>
      <c r="AE325" s="244"/>
      <c r="AF325" s="244"/>
      <c r="AG325" s="244"/>
      <c r="AH325" s="244"/>
      <c r="AI325" s="244"/>
      <c r="AJ325" s="244"/>
      <c r="AK325" s="245"/>
      <c r="AL325" s="73"/>
      <c r="AM325" s="14"/>
      <c r="AN325" s="89"/>
      <c r="AO325" s="245"/>
      <c r="AP325" s="73"/>
      <c r="AQ325" s="14"/>
    </row>
    <row r="326" spans="1:43" ht="15" customHeight="1" outlineLevel="1">
      <c r="A326" s="12"/>
      <c r="I326" s="139" t="s">
        <v>372</v>
      </c>
      <c r="J326" s="244">
        <v>65000</v>
      </c>
      <c r="K326" s="244">
        <v>63339.85</v>
      </c>
      <c r="L326" s="244">
        <v>13546.93</v>
      </c>
      <c r="M326" s="244">
        <v>15834.61</v>
      </c>
      <c r="N326" s="244">
        <v>11169.630000000001</v>
      </c>
      <c r="O326" s="244">
        <v>40652.07</v>
      </c>
      <c r="P326" s="244">
        <v>21599.69</v>
      </c>
      <c r="Q326" s="244">
        <v>16118.52</v>
      </c>
      <c r="R326" s="244">
        <v>3893.9899999999993</v>
      </c>
      <c r="S326" s="244">
        <v>0</v>
      </c>
      <c r="T326" s="244">
        <v>0</v>
      </c>
      <c r="U326" s="244">
        <v>0</v>
      </c>
      <c r="V326" s="245"/>
      <c r="W326" s="73"/>
      <c r="X326" s="89"/>
      <c r="Y326" s="244"/>
      <c r="Z326" s="244"/>
      <c r="AA326" s="244"/>
      <c r="AB326" s="244"/>
      <c r="AC326" s="244"/>
      <c r="AD326" s="244"/>
      <c r="AE326" s="244"/>
      <c r="AF326" s="244"/>
      <c r="AG326" s="244"/>
      <c r="AH326" s="244"/>
      <c r="AI326" s="244"/>
      <c r="AJ326" s="244"/>
      <c r="AK326" s="245"/>
      <c r="AL326" s="73"/>
      <c r="AM326" s="14"/>
      <c r="AN326" s="89"/>
      <c r="AO326" s="245"/>
      <c r="AP326" s="73"/>
      <c r="AQ326" s="14"/>
    </row>
    <row r="327" spans="1:43" ht="15" customHeight="1" outlineLevel="1">
      <c r="A327" s="12"/>
      <c r="I327" s="139" t="s">
        <v>373</v>
      </c>
      <c r="J327" s="244">
        <v>0</v>
      </c>
      <c r="K327" s="244">
        <v>10000</v>
      </c>
      <c r="L327" s="244">
        <v>13000</v>
      </c>
      <c r="M327" s="244">
        <v>29400</v>
      </c>
      <c r="N327" s="244">
        <v>0</v>
      </c>
      <c r="O327" s="244">
        <v>0</v>
      </c>
      <c r="P327" s="244">
        <v>0</v>
      </c>
      <c r="Q327" s="244">
        <v>0</v>
      </c>
      <c r="R327" s="244">
        <v>0</v>
      </c>
      <c r="S327" s="244">
        <v>0</v>
      </c>
      <c r="T327" s="244">
        <v>0</v>
      </c>
      <c r="U327" s="244">
        <v>0</v>
      </c>
      <c r="V327" s="245"/>
      <c r="W327" s="73"/>
      <c r="X327" s="89"/>
      <c r="Y327" s="244"/>
      <c r="Z327" s="244"/>
      <c r="AA327" s="244"/>
      <c r="AB327" s="244"/>
      <c r="AC327" s="244"/>
      <c r="AD327" s="244"/>
      <c r="AE327" s="244"/>
      <c r="AF327" s="244"/>
      <c r="AG327" s="244"/>
      <c r="AH327" s="244"/>
      <c r="AI327" s="244"/>
      <c r="AJ327" s="244"/>
      <c r="AK327" s="245"/>
      <c r="AL327" s="73"/>
      <c r="AM327" s="14"/>
      <c r="AN327" s="89"/>
      <c r="AO327" s="245"/>
      <c r="AP327" s="73"/>
      <c r="AQ327" s="14"/>
    </row>
    <row r="328" spans="1:43" ht="15" customHeight="1" outlineLevel="1">
      <c r="A328" s="12"/>
      <c r="I328" s="139" t="s">
        <v>374</v>
      </c>
      <c r="J328" s="244">
        <v>0</v>
      </c>
      <c r="K328" s="244">
        <v>0</v>
      </c>
      <c r="L328" s="244">
        <v>0</v>
      </c>
      <c r="M328" s="244">
        <v>0</v>
      </c>
      <c r="N328" s="244">
        <v>0</v>
      </c>
      <c r="O328" s="244">
        <v>0</v>
      </c>
      <c r="P328" s="244">
        <v>0</v>
      </c>
      <c r="Q328" s="244">
        <v>290818.08</v>
      </c>
      <c r="R328" s="244">
        <v>0</v>
      </c>
      <c r="S328" s="244">
        <v>0</v>
      </c>
      <c r="T328" s="244">
        <v>0</v>
      </c>
      <c r="U328" s="244">
        <v>0</v>
      </c>
      <c r="V328" s="245"/>
      <c r="W328" s="73"/>
      <c r="X328" s="89"/>
      <c r="Y328" s="244"/>
      <c r="Z328" s="244"/>
      <c r="AA328" s="244"/>
      <c r="AB328" s="244"/>
      <c r="AC328" s="244"/>
      <c r="AD328" s="244"/>
      <c r="AE328" s="244"/>
      <c r="AF328" s="244"/>
      <c r="AG328" s="244"/>
      <c r="AH328" s="244"/>
      <c r="AI328" s="244"/>
      <c r="AJ328" s="244"/>
      <c r="AK328" s="245"/>
      <c r="AL328" s="73"/>
      <c r="AM328" s="14"/>
      <c r="AN328" s="89"/>
      <c r="AO328" s="245"/>
      <c r="AP328" s="73"/>
      <c r="AQ328" s="14"/>
    </row>
    <row r="329" spans="1:43" ht="15" customHeight="1" outlineLevel="1">
      <c r="A329" s="12"/>
      <c r="I329" s="139" t="s">
        <v>375</v>
      </c>
      <c r="J329" s="244">
        <v>0</v>
      </c>
      <c r="K329" s="244">
        <v>0</v>
      </c>
      <c r="L329" s="244">
        <v>0</v>
      </c>
      <c r="M329" s="244">
        <v>0</v>
      </c>
      <c r="N329" s="244">
        <v>0</v>
      </c>
      <c r="O329" s="244">
        <v>0</v>
      </c>
      <c r="P329" s="244">
        <v>0</v>
      </c>
      <c r="Q329" s="244">
        <v>195000</v>
      </c>
      <c r="R329" s="244">
        <v>0</v>
      </c>
      <c r="S329" s="244">
        <v>0</v>
      </c>
      <c r="T329" s="244">
        <v>0</v>
      </c>
      <c r="U329" s="244">
        <v>0</v>
      </c>
      <c r="V329" s="245"/>
      <c r="W329" s="73"/>
      <c r="X329" s="89"/>
      <c r="Y329" s="244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5"/>
      <c r="AL329" s="73"/>
      <c r="AM329" s="14"/>
      <c r="AN329" s="89"/>
      <c r="AO329" s="245"/>
      <c r="AP329" s="73"/>
      <c r="AQ329" s="14"/>
    </row>
    <row r="330" spans="1:43" ht="15" customHeight="1" outlineLevel="1">
      <c r="A330" s="12"/>
      <c r="I330" s="139" t="s">
        <v>376</v>
      </c>
      <c r="J330" s="244">
        <v>0</v>
      </c>
      <c r="K330" s="244">
        <v>0</v>
      </c>
      <c r="L330" s="244">
        <v>0</v>
      </c>
      <c r="M330" s="244">
        <v>0</v>
      </c>
      <c r="N330" s="244">
        <v>0</v>
      </c>
      <c r="O330" s="244">
        <v>0</v>
      </c>
      <c r="P330" s="244">
        <v>0</v>
      </c>
      <c r="Q330" s="244">
        <v>0</v>
      </c>
      <c r="R330" s="244">
        <v>0</v>
      </c>
      <c r="S330" s="244">
        <v>0</v>
      </c>
      <c r="T330" s="244">
        <v>0</v>
      </c>
      <c r="U330" s="244">
        <v>0</v>
      </c>
      <c r="V330" s="245"/>
      <c r="W330" s="73"/>
      <c r="X330" s="89"/>
      <c r="Y330" s="24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5"/>
      <c r="AL330" s="73"/>
      <c r="AM330" s="14"/>
      <c r="AN330" s="89"/>
      <c r="AO330" s="245"/>
      <c r="AP330" s="73"/>
      <c r="AQ330" s="14"/>
    </row>
    <row r="331" spans="1:43" ht="15" customHeight="1" outlineLevel="1">
      <c r="A331" s="12"/>
      <c r="I331" s="139" t="s">
        <v>377</v>
      </c>
      <c r="J331" s="244">
        <v>0</v>
      </c>
      <c r="K331" s="244">
        <v>0</v>
      </c>
      <c r="L331" s="244">
        <v>0</v>
      </c>
      <c r="M331" s="244">
        <v>0</v>
      </c>
      <c r="N331" s="244">
        <v>0</v>
      </c>
      <c r="O331" s="244">
        <v>0</v>
      </c>
      <c r="P331" s="244">
        <v>0</v>
      </c>
      <c r="Q331" s="244">
        <v>0</v>
      </c>
      <c r="R331" s="244">
        <v>0</v>
      </c>
      <c r="S331" s="244">
        <v>0</v>
      </c>
      <c r="T331" s="244">
        <v>0</v>
      </c>
      <c r="U331" s="244">
        <v>0</v>
      </c>
      <c r="V331" s="245"/>
      <c r="W331" s="73"/>
      <c r="X331" s="89"/>
      <c r="Y331" s="244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5"/>
      <c r="AL331" s="73"/>
      <c r="AM331" s="14"/>
      <c r="AN331" s="89"/>
      <c r="AO331" s="245"/>
      <c r="AP331" s="73"/>
      <c r="AQ331" s="14"/>
    </row>
    <row r="332" spans="1:43" ht="15" customHeight="1" outlineLevel="1">
      <c r="A332" s="12"/>
      <c r="I332" s="139" t="s">
        <v>378</v>
      </c>
      <c r="J332" s="244">
        <v>0</v>
      </c>
      <c r="K332" s="244">
        <v>60</v>
      </c>
      <c r="L332" s="244">
        <v>0</v>
      </c>
      <c r="M332" s="244">
        <v>0</v>
      </c>
      <c r="N332" s="244">
        <v>0</v>
      </c>
      <c r="O332" s="244">
        <v>0</v>
      </c>
      <c r="P332" s="244">
        <v>0</v>
      </c>
      <c r="Q332" s="244">
        <v>0</v>
      </c>
      <c r="R332" s="244">
        <v>0</v>
      </c>
      <c r="S332" s="244">
        <v>0</v>
      </c>
      <c r="T332" s="244">
        <v>0</v>
      </c>
      <c r="U332" s="244">
        <v>0</v>
      </c>
      <c r="V332" s="245"/>
      <c r="W332" s="73"/>
      <c r="X332" s="89"/>
      <c r="Y332" s="244"/>
      <c r="Z332" s="244"/>
      <c r="AA332" s="244"/>
      <c r="AB332" s="244"/>
      <c r="AC332" s="244"/>
      <c r="AD332" s="244"/>
      <c r="AE332" s="244"/>
      <c r="AF332" s="244"/>
      <c r="AG332" s="244"/>
      <c r="AH332" s="244"/>
      <c r="AI332" s="244"/>
      <c r="AJ332" s="244"/>
      <c r="AK332" s="245"/>
      <c r="AL332" s="73"/>
      <c r="AM332" s="14"/>
      <c r="AN332" s="89"/>
      <c r="AO332" s="245"/>
      <c r="AP332" s="73"/>
      <c r="AQ332" s="14"/>
    </row>
    <row r="333" spans="1:43" ht="15" customHeight="1" outlineLevel="1">
      <c r="A333" s="12"/>
      <c r="I333" s="139" t="s">
        <v>379</v>
      </c>
      <c r="J333" s="244">
        <v>0</v>
      </c>
      <c r="K333" s="244">
        <v>0</v>
      </c>
      <c r="L333" s="244">
        <v>0</v>
      </c>
      <c r="M333" s="244">
        <v>0</v>
      </c>
      <c r="N333" s="244">
        <v>0</v>
      </c>
      <c r="O333" s="244">
        <v>0</v>
      </c>
      <c r="P333" s="244">
        <v>0</v>
      </c>
      <c r="Q333" s="244">
        <v>0</v>
      </c>
      <c r="R333" s="244">
        <v>0</v>
      </c>
      <c r="S333" s="244">
        <v>0</v>
      </c>
      <c r="T333" s="244">
        <v>0</v>
      </c>
      <c r="U333" s="244">
        <v>0</v>
      </c>
      <c r="V333" s="245"/>
      <c r="W333" s="73"/>
      <c r="X333" s="89"/>
      <c r="Y333" s="244"/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5"/>
      <c r="AL333" s="73"/>
      <c r="AM333" s="14"/>
      <c r="AN333" s="89"/>
      <c r="AO333" s="245"/>
      <c r="AP333" s="73"/>
      <c r="AQ333" s="14"/>
    </row>
    <row r="334" spans="1:43" ht="15" customHeight="1" outlineLevel="1">
      <c r="A334" s="12"/>
      <c r="I334" s="139" t="s">
        <v>380</v>
      </c>
      <c r="J334" s="244">
        <v>78505.89</v>
      </c>
      <c r="K334" s="244">
        <v>68697.680000000008</v>
      </c>
      <c r="L334" s="244">
        <v>69990.880000000005</v>
      </c>
      <c r="M334" s="244">
        <v>53116.529999999992</v>
      </c>
      <c r="N334" s="244">
        <v>70046.91</v>
      </c>
      <c r="O334" s="244">
        <v>83714.100000000006</v>
      </c>
      <c r="P334" s="244">
        <v>479837.25999999995</v>
      </c>
      <c r="Q334" s="244">
        <v>64792.58</v>
      </c>
      <c r="R334" s="244">
        <v>57110.229999999996</v>
      </c>
      <c r="S334" s="244">
        <v>0</v>
      </c>
      <c r="T334" s="244">
        <v>0</v>
      </c>
      <c r="U334" s="244">
        <v>0</v>
      </c>
      <c r="V334" s="245"/>
      <c r="W334" s="73"/>
      <c r="X334" s="89"/>
      <c r="Y334" s="244"/>
      <c r="Z334" s="244"/>
      <c r="AA334" s="244"/>
      <c r="AB334" s="244"/>
      <c r="AC334" s="244"/>
      <c r="AD334" s="244"/>
      <c r="AE334" s="244"/>
      <c r="AF334" s="244"/>
      <c r="AG334" s="244"/>
      <c r="AH334" s="244"/>
      <c r="AI334" s="244"/>
      <c r="AJ334" s="244"/>
      <c r="AK334" s="245"/>
      <c r="AL334" s="73"/>
      <c r="AM334" s="14"/>
      <c r="AN334" s="89"/>
      <c r="AO334" s="245"/>
      <c r="AP334" s="73"/>
      <c r="AQ334" s="14"/>
    </row>
    <row r="335" spans="1:43" ht="15" customHeight="1" outlineLevel="1">
      <c r="A335" s="12"/>
      <c r="I335" s="139" t="s">
        <v>381</v>
      </c>
      <c r="J335" s="244">
        <v>0</v>
      </c>
      <c r="K335" s="244">
        <v>0</v>
      </c>
      <c r="L335" s="244">
        <v>0</v>
      </c>
      <c r="M335" s="244">
        <v>18425.560000000001</v>
      </c>
      <c r="N335" s="244">
        <v>6466</v>
      </c>
      <c r="O335" s="244">
        <v>0</v>
      </c>
      <c r="P335" s="244">
        <v>0</v>
      </c>
      <c r="Q335" s="244">
        <v>0</v>
      </c>
      <c r="R335" s="244">
        <v>0</v>
      </c>
      <c r="S335" s="244">
        <v>0</v>
      </c>
      <c r="T335" s="244">
        <v>0</v>
      </c>
      <c r="U335" s="244">
        <v>0</v>
      </c>
      <c r="V335" s="245"/>
      <c r="W335" s="73"/>
      <c r="X335" s="89"/>
      <c r="Y335" s="244"/>
      <c r="Z335" s="244"/>
      <c r="AA335" s="244"/>
      <c r="AB335" s="244"/>
      <c r="AC335" s="244"/>
      <c r="AD335" s="244"/>
      <c r="AE335" s="244"/>
      <c r="AF335" s="244"/>
      <c r="AG335" s="244"/>
      <c r="AH335" s="244"/>
      <c r="AI335" s="244"/>
      <c r="AJ335" s="244"/>
      <c r="AK335" s="245"/>
      <c r="AL335" s="73"/>
      <c r="AM335" s="14"/>
      <c r="AN335" s="89"/>
      <c r="AO335" s="245"/>
      <c r="AP335" s="73"/>
      <c r="AQ335" s="14"/>
    </row>
    <row r="336" spans="1:43" ht="15" customHeight="1" outlineLevel="1">
      <c r="A336" s="12"/>
      <c r="I336" s="139" t="s">
        <v>382</v>
      </c>
      <c r="J336" s="244">
        <v>0</v>
      </c>
      <c r="K336" s="244">
        <v>0</v>
      </c>
      <c r="L336" s="244">
        <v>0</v>
      </c>
      <c r="M336" s="244">
        <v>0</v>
      </c>
      <c r="N336" s="244">
        <v>0</v>
      </c>
      <c r="O336" s="244">
        <v>0</v>
      </c>
      <c r="P336" s="244">
        <v>0</v>
      </c>
      <c r="Q336" s="244">
        <v>0</v>
      </c>
      <c r="R336" s="244">
        <v>53827.88</v>
      </c>
      <c r="S336" s="244">
        <v>0</v>
      </c>
      <c r="T336" s="244">
        <v>0</v>
      </c>
      <c r="U336" s="244">
        <v>0</v>
      </c>
      <c r="V336" s="245"/>
      <c r="W336" s="73"/>
      <c r="X336" s="89"/>
      <c r="Y336" s="244"/>
      <c r="Z336" s="244"/>
      <c r="AA336" s="244"/>
      <c r="AB336" s="244"/>
      <c r="AC336" s="244"/>
      <c r="AD336" s="244"/>
      <c r="AE336" s="244"/>
      <c r="AF336" s="244"/>
      <c r="AG336" s="244"/>
      <c r="AH336" s="244"/>
      <c r="AI336" s="244"/>
      <c r="AJ336" s="244"/>
      <c r="AK336" s="245"/>
      <c r="AL336" s="73"/>
      <c r="AM336" s="14"/>
      <c r="AN336" s="89"/>
      <c r="AO336" s="245"/>
      <c r="AP336" s="73"/>
      <c r="AQ336" s="14"/>
    </row>
    <row r="337" spans="1:43" ht="15" customHeight="1" outlineLevel="1">
      <c r="A337" s="12"/>
      <c r="I337" s="139" t="s">
        <v>383</v>
      </c>
      <c r="J337" s="244">
        <v>0</v>
      </c>
      <c r="K337" s="244">
        <v>0</v>
      </c>
      <c r="L337" s="244">
        <v>0</v>
      </c>
      <c r="M337" s="244">
        <v>25000</v>
      </c>
      <c r="N337" s="244">
        <v>0</v>
      </c>
      <c r="O337" s="244">
        <v>63800</v>
      </c>
      <c r="P337" s="244">
        <v>8473.2100000000009</v>
      </c>
      <c r="Q337" s="244">
        <v>-23786.63</v>
      </c>
      <c r="R337" s="244">
        <v>38145.53</v>
      </c>
      <c r="S337" s="244">
        <v>0</v>
      </c>
      <c r="T337" s="244">
        <v>0</v>
      </c>
      <c r="U337" s="244">
        <v>0</v>
      </c>
      <c r="V337" s="245"/>
      <c r="W337" s="73"/>
      <c r="X337" s="89"/>
      <c r="Y337" s="244"/>
      <c r="Z337" s="244"/>
      <c r="AA337" s="244"/>
      <c r="AB337" s="244"/>
      <c r="AC337" s="244"/>
      <c r="AD337" s="244"/>
      <c r="AE337" s="244"/>
      <c r="AF337" s="244"/>
      <c r="AG337" s="244"/>
      <c r="AH337" s="244"/>
      <c r="AI337" s="244"/>
      <c r="AJ337" s="244"/>
      <c r="AK337" s="245"/>
      <c r="AL337" s="73"/>
      <c r="AM337" s="14"/>
      <c r="AN337" s="89"/>
      <c r="AO337" s="245"/>
      <c r="AP337" s="73"/>
      <c r="AQ337" s="14"/>
    </row>
    <row r="338" spans="1:43" ht="16.149999999999999" hidden="1" customHeight="1">
      <c r="I338" s="153" t="s">
        <v>384</v>
      </c>
      <c r="J338" s="154">
        <f t="shared" ref="J338:V338" si="81">+J291-J293-J315</f>
        <v>-2052966.1099999999</v>
      </c>
      <c r="K338" s="154">
        <f t="shared" si="81"/>
        <v>1320763.7199999997</v>
      </c>
      <c r="L338" s="154">
        <f t="shared" si="81"/>
        <v>-2830781.21</v>
      </c>
      <c r="M338" s="154">
        <f t="shared" si="81"/>
        <v>-1764664.9500000002</v>
      </c>
      <c r="N338" s="154">
        <f t="shared" si="81"/>
        <v>-2422757.75</v>
      </c>
      <c r="O338" s="154">
        <f t="shared" si="81"/>
        <v>-1605060.8399999999</v>
      </c>
      <c r="P338" s="154">
        <f t="shared" si="81"/>
        <v>-1981311.3699999996</v>
      </c>
      <c r="Q338" s="154">
        <f t="shared" si="81"/>
        <v>-3410337.52</v>
      </c>
      <c r="R338" s="154">
        <f t="shared" si="81"/>
        <v>-3112082.46</v>
      </c>
      <c r="S338" s="154">
        <f t="shared" si="81"/>
        <v>-1051860.2017691722</v>
      </c>
      <c r="T338" s="154">
        <f t="shared" si="81"/>
        <v>-1036358.423742734</v>
      </c>
      <c r="U338" s="154">
        <f t="shared" si="81"/>
        <v>-1031112.3287145961</v>
      </c>
      <c r="V338" s="154">
        <f t="shared" si="81"/>
        <v>-15621032.364226505</v>
      </c>
      <c r="W338" s="80">
        <f>V338/V$6</f>
        <v>-6.9776331315445431E-2</v>
      </c>
      <c r="X338" s="89"/>
      <c r="Y338" s="154">
        <f t="shared" ref="Y338:AJ338" si="82">+Y291-Y293-Y315</f>
        <v>-2275096.9518192592</v>
      </c>
      <c r="Z338" s="154">
        <f t="shared" si="82"/>
        <v>-2268081.4876381629</v>
      </c>
      <c r="AA338" s="154">
        <f t="shared" si="82"/>
        <v>-2317163.1544877612</v>
      </c>
      <c r="AB338" s="154">
        <f t="shared" si="82"/>
        <v>-2319543.4390217252</v>
      </c>
      <c r="AC338" s="154">
        <f t="shared" si="82"/>
        <v>-2423697.6624355009</v>
      </c>
      <c r="AD338" s="154">
        <f t="shared" si="82"/>
        <v>-2393498.575824718</v>
      </c>
      <c r="AE338" s="154">
        <f t="shared" si="82"/>
        <v>-2372256.2562324787</v>
      </c>
      <c r="AF338" s="154">
        <f t="shared" si="82"/>
        <v>-2405802.6201103022</v>
      </c>
      <c r="AG338" s="154">
        <f t="shared" si="82"/>
        <v>-2396327.7118174178</v>
      </c>
      <c r="AH338" s="154">
        <f t="shared" si="82"/>
        <v>-2410032.3640401391</v>
      </c>
      <c r="AI338" s="154">
        <f t="shared" si="82"/>
        <v>-2374843.8540089354</v>
      </c>
      <c r="AJ338" s="154">
        <f t="shared" si="82"/>
        <v>-2353386.7140634805</v>
      </c>
      <c r="AK338" s="154">
        <v>252696612.47452366</v>
      </c>
      <c r="AL338" s="80">
        <v>6.3227731060963605E-2</v>
      </c>
      <c r="AM338" s="163">
        <v>4.8709957592940389E-2</v>
      </c>
      <c r="AN338" s="89"/>
      <c r="AO338" s="154">
        <v>286508206.20652097</v>
      </c>
      <c r="AP338" s="80">
        <v>6.5160318508699508E-2</v>
      </c>
      <c r="AQ338" s="163">
        <v>0.18903061595715753</v>
      </c>
    </row>
    <row r="339" spans="1:43" ht="18.75" hidden="1" customHeight="1">
      <c r="W339" s="75"/>
      <c r="X339" s="89"/>
      <c r="AL339" s="75"/>
      <c r="AM339" s="13"/>
      <c r="AN339" s="89"/>
      <c r="AP339" s="75"/>
      <c r="AQ339" s="13"/>
    </row>
    <row r="340" spans="1:43" ht="14.45" hidden="1" customHeight="1">
      <c r="A340" s="12" t="s">
        <v>385</v>
      </c>
      <c r="E340" s="191" t="s">
        <v>111</v>
      </c>
      <c r="I340" s="145" t="s">
        <v>386</v>
      </c>
      <c r="J340" s="244">
        <v>11746705.630000001</v>
      </c>
      <c r="K340" s="244">
        <v>13442074.410000002</v>
      </c>
      <c r="L340" s="244">
        <v>27855928.039999995</v>
      </c>
      <c r="M340" s="244">
        <v>24424309.870000001</v>
      </c>
      <c r="N340" s="244">
        <v>23520749.170000002</v>
      </c>
      <c r="O340" s="244">
        <v>24913927.149999999</v>
      </c>
      <c r="P340" s="244">
        <v>15603451.410000002</v>
      </c>
      <c r="Q340" s="244">
        <v>25015859.829999998</v>
      </c>
      <c r="R340" s="244">
        <v>22061742.260000002</v>
      </c>
      <c r="S340" s="244">
        <v>13159238.367802087</v>
      </c>
      <c r="T340" s="244">
        <v>12898808.496957922</v>
      </c>
      <c r="U340" s="244">
        <v>12810674.100485206</v>
      </c>
      <c r="V340" s="252">
        <f>SUM(J340:U340)</f>
        <v>227453468.7352452</v>
      </c>
      <c r="W340" s="172">
        <f>V340/V$6</f>
        <v>1.0159935798906237</v>
      </c>
      <c r="X340" s="89"/>
      <c r="Y340" s="244">
        <f>+[20]CORP!Y244+[20]CORP!Y182</f>
        <v>0</v>
      </c>
      <c r="Z340" s="244">
        <f>+[20]CORP!Z244+[20]CORP!Z182</f>
        <v>0</v>
      </c>
      <c r="AA340" s="244">
        <f>+[20]CORP!AA244+[20]CORP!AA182</f>
        <v>0</v>
      </c>
      <c r="AB340" s="244">
        <f>+[20]CORP!AB244+[20]CORP!AB182</f>
        <v>0</v>
      </c>
      <c r="AC340" s="244">
        <f>+[20]CORP!AC244+[20]CORP!AC182</f>
        <v>0</v>
      </c>
      <c r="AD340" s="244">
        <f>+[20]CORP!AD244+[20]CORP!AD182</f>
        <v>0</v>
      </c>
      <c r="AE340" s="244">
        <f>+[20]CORP!AE244+[20]CORP!AE182</f>
        <v>0</v>
      </c>
      <c r="AF340" s="244">
        <f>+[20]CORP!AF244+[20]CORP!AF182</f>
        <v>0</v>
      </c>
      <c r="AG340" s="244">
        <f>+[20]CORP!AG244+[20]CORP!AG182</f>
        <v>0</v>
      </c>
      <c r="AH340" s="244">
        <f>+[20]CORP!AH244+[20]CORP!AH182</f>
        <v>0</v>
      </c>
      <c r="AI340" s="244">
        <f>+[20]CORP!AI244+[20]CORP!AI182</f>
        <v>0</v>
      </c>
      <c r="AJ340" s="244">
        <f>+[20]CORP!AJ244+[20]CORP!AJ182</f>
        <v>0</v>
      </c>
      <c r="AK340" s="252" t="e">
        <v>#N/A</v>
      </c>
      <c r="AL340" s="172" t="e">
        <v>#N/A</v>
      </c>
      <c r="AM340" s="10">
        <v>0</v>
      </c>
      <c r="AN340" s="89"/>
      <c r="AO340" s="252" t="e">
        <v>#N/A</v>
      </c>
      <c r="AP340" s="172" t="e">
        <v>#N/A</v>
      </c>
      <c r="AQ340" s="10">
        <v>0</v>
      </c>
    </row>
    <row r="341" spans="1:43" ht="16.149999999999999" hidden="1" customHeight="1">
      <c r="I341" s="155" t="s">
        <v>387</v>
      </c>
      <c r="J341" s="156">
        <f>+J338-J340</f>
        <v>-13799671.74</v>
      </c>
      <c r="K341" s="156">
        <f t="shared" ref="K341:V341" si="83">+K338-K340</f>
        <v>-12121310.690000001</v>
      </c>
      <c r="L341" s="156">
        <f t="shared" si="83"/>
        <v>-30686709.249999996</v>
      </c>
      <c r="M341" s="156">
        <f t="shared" si="83"/>
        <v>-26188974.82</v>
      </c>
      <c r="N341" s="156">
        <f t="shared" si="83"/>
        <v>-25943506.920000002</v>
      </c>
      <c r="O341" s="156">
        <f t="shared" si="83"/>
        <v>-26518987.989999998</v>
      </c>
      <c r="P341" s="156">
        <f t="shared" si="83"/>
        <v>-17584762.780000001</v>
      </c>
      <c r="Q341" s="156">
        <f t="shared" si="83"/>
        <v>-28426197.349999998</v>
      </c>
      <c r="R341" s="156">
        <f t="shared" si="83"/>
        <v>-25173824.720000003</v>
      </c>
      <c r="S341" s="156">
        <f t="shared" si="83"/>
        <v>-14211098.56957126</v>
      </c>
      <c r="T341" s="156">
        <f t="shared" si="83"/>
        <v>-13935166.920700656</v>
      </c>
      <c r="U341" s="156">
        <f t="shared" si="83"/>
        <v>-13841786.429199802</v>
      </c>
      <c r="V341" s="156">
        <f t="shared" si="83"/>
        <v>-243074501.09947169</v>
      </c>
      <c r="W341" s="173">
        <f>V341/V$6</f>
        <v>-1.085769911206069</v>
      </c>
      <c r="X341" s="89"/>
      <c r="Y341" s="156">
        <f>+Y338-Y340</f>
        <v>-2275096.9518192592</v>
      </c>
      <c r="Z341" s="156">
        <f t="shared" ref="Z341:AJ341" si="84">+Z338-Z340</f>
        <v>-2268081.4876381629</v>
      </c>
      <c r="AA341" s="156">
        <f t="shared" si="84"/>
        <v>-2317163.1544877612</v>
      </c>
      <c r="AB341" s="156">
        <f t="shared" si="84"/>
        <v>-2319543.4390217252</v>
      </c>
      <c r="AC341" s="156">
        <f t="shared" si="84"/>
        <v>-2423697.6624355009</v>
      </c>
      <c r="AD341" s="156">
        <f t="shared" si="84"/>
        <v>-2393498.575824718</v>
      </c>
      <c r="AE341" s="156">
        <f t="shared" si="84"/>
        <v>-2372256.2562324787</v>
      </c>
      <c r="AF341" s="156">
        <f t="shared" si="84"/>
        <v>-2405802.6201103022</v>
      </c>
      <c r="AG341" s="156">
        <f t="shared" si="84"/>
        <v>-2396327.7118174178</v>
      </c>
      <c r="AH341" s="156">
        <f t="shared" si="84"/>
        <v>-2410032.3640401391</v>
      </c>
      <c r="AI341" s="156">
        <f t="shared" si="84"/>
        <v>-2374843.8540089354</v>
      </c>
      <c r="AJ341" s="156">
        <f t="shared" si="84"/>
        <v>-2353386.7140634805</v>
      </c>
      <c r="AK341" s="156" t="e">
        <v>#N/A</v>
      </c>
      <c r="AL341" s="173" t="e">
        <v>#N/A</v>
      </c>
      <c r="AM341" s="164">
        <v>0</v>
      </c>
      <c r="AN341" s="89"/>
      <c r="AO341" s="156" t="e">
        <v>#N/A</v>
      </c>
      <c r="AP341" s="173" t="e">
        <v>#N/A</v>
      </c>
      <c r="AQ341" s="164">
        <v>0</v>
      </c>
    </row>
    <row r="342" spans="1:43" ht="14.45" hidden="1" customHeight="1">
      <c r="I342" s="143"/>
      <c r="J342" s="135"/>
      <c r="K342" s="135"/>
      <c r="L342" s="135"/>
      <c r="M342" s="135"/>
      <c r="N342" s="136"/>
      <c r="O342" s="136"/>
      <c r="P342" s="136"/>
      <c r="Q342" s="135"/>
      <c r="R342" s="136"/>
      <c r="S342" s="136"/>
      <c r="T342" s="136"/>
      <c r="U342" s="135"/>
      <c r="V342" s="135"/>
      <c r="W342" s="81"/>
      <c r="Y342" s="135"/>
      <c r="Z342" s="135"/>
      <c r="AA342" s="135"/>
      <c r="AB342" s="135"/>
      <c r="AC342" s="136"/>
      <c r="AD342" s="136"/>
      <c r="AE342" s="136"/>
      <c r="AF342" s="135"/>
      <c r="AG342" s="136"/>
      <c r="AH342" s="136"/>
      <c r="AI342" s="136"/>
      <c r="AJ342" s="135"/>
      <c r="AK342" s="135"/>
      <c r="AL342" s="81"/>
      <c r="AM342" s="165"/>
      <c r="AO342" s="135"/>
      <c r="AP342" s="81"/>
      <c r="AQ342" s="165"/>
    </row>
    <row r="343" spans="1:43">
      <c r="J343" s="138"/>
      <c r="K343" s="138"/>
      <c r="L343" s="138"/>
      <c r="M343" s="138"/>
      <c r="N343" s="138"/>
      <c r="O343" s="138"/>
      <c r="P343" s="138"/>
      <c r="Q343" s="138"/>
      <c r="U343" s="138"/>
      <c r="V343" s="138"/>
      <c r="W343" s="82"/>
      <c r="X343" s="94"/>
      <c r="Y343" s="138"/>
      <c r="Z343" s="138"/>
      <c r="AA343" s="138"/>
      <c r="AB343" s="138"/>
      <c r="AC343" s="138"/>
      <c r="AD343" s="138"/>
      <c r="AE343" s="138"/>
      <c r="AF343" s="138"/>
      <c r="AJ343" s="138"/>
      <c r="AK343" s="138"/>
      <c r="AL343" s="82"/>
      <c r="AN343" s="94"/>
      <c r="AO343" s="138"/>
      <c r="AP343" s="82"/>
    </row>
    <row r="344" spans="1:43">
      <c r="AK344" s="267"/>
      <c r="AO344" s="267"/>
    </row>
    <row r="345" spans="1:43">
      <c r="AK345" s="201"/>
      <c r="AO345" s="201"/>
    </row>
    <row r="346" spans="1:43">
      <c r="AK346" s="268"/>
      <c r="AO346" s="268"/>
    </row>
    <row r="347" spans="1:43">
      <c r="AK347" s="202"/>
      <c r="AO347" s="202"/>
    </row>
  </sheetData>
  <mergeCells count="5">
    <mergeCell ref="J2:U2"/>
    <mergeCell ref="V2:W2"/>
    <mergeCell ref="Y2:AJ2"/>
    <mergeCell ref="AK2:AM2"/>
    <mergeCell ref="AO2:AQ2"/>
  </mergeCells>
  <conditionalFormatting sqref="AM290 AM262:AM283 AM292:AM1048576 AM1 AQ110:AQ136 AQ102:AQ108 AQ138:AQ165 AM160:AM165">
    <cfRule type="cellIs" dxfId="210" priority="84" operator="lessThan">
      <formula>0</formula>
    </cfRule>
  </conditionalFormatting>
  <conditionalFormatting sqref="AM291">
    <cfRule type="cellIs" dxfId="209" priority="83" operator="lessThan">
      <formula>0</formula>
    </cfRule>
  </conditionalFormatting>
  <conditionalFormatting sqref="AM274">
    <cfRule type="cellIs" dxfId="208" priority="82" operator="lessThan">
      <formula>0</formula>
    </cfRule>
  </conditionalFormatting>
  <conditionalFormatting sqref="AM284:AM289">
    <cfRule type="cellIs" dxfId="207" priority="81" operator="lessThan">
      <formula>0</formula>
    </cfRule>
  </conditionalFormatting>
  <conditionalFormatting sqref="AQ290 AQ185:AQ186 AQ202 AQ189:AQ200 AQ41:AQ70 AQ251:AQ253 AQ262:AQ283 AQ258:AQ259 AQ292:AQ1048576 AQ1 AQ74:AQ97 AQ205:AQ238 AQ240:AQ249 AQ170:AQ173 AQ175:AQ183 AQ3:AQ36">
    <cfRule type="cellIs" dxfId="206" priority="79" operator="lessThan">
      <formula>0</formula>
    </cfRule>
  </conditionalFormatting>
  <conditionalFormatting sqref="AQ291">
    <cfRule type="cellIs" dxfId="205" priority="78" operator="lessThan">
      <formula>0</formula>
    </cfRule>
  </conditionalFormatting>
  <conditionalFormatting sqref="AQ98">
    <cfRule type="cellIs" dxfId="204" priority="77" operator="lessThan">
      <formula>0</formula>
    </cfRule>
  </conditionalFormatting>
  <conditionalFormatting sqref="AQ99">
    <cfRule type="cellIs" dxfId="203" priority="76" operator="lessThan">
      <formula>0</formula>
    </cfRule>
  </conditionalFormatting>
  <conditionalFormatting sqref="AQ100">
    <cfRule type="cellIs" dxfId="202" priority="75" operator="lessThan">
      <formula>0</formula>
    </cfRule>
  </conditionalFormatting>
  <conditionalFormatting sqref="AQ101">
    <cfRule type="cellIs" dxfId="201" priority="74" operator="lessThan">
      <formula>0</formula>
    </cfRule>
  </conditionalFormatting>
  <conditionalFormatting sqref="AQ274">
    <cfRule type="cellIs" dxfId="200" priority="73" operator="lessThan">
      <formula>0</formula>
    </cfRule>
  </conditionalFormatting>
  <conditionalFormatting sqref="AQ284:AQ289">
    <cfRule type="cellIs" dxfId="199" priority="72" operator="lessThan">
      <formula>0</formula>
    </cfRule>
  </conditionalFormatting>
  <conditionalFormatting sqref="AQ50">
    <cfRule type="cellIs" dxfId="198" priority="71" operator="lessThan">
      <formula>0</formula>
    </cfRule>
  </conditionalFormatting>
  <conditionalFormatting sqref="AQ71">
    <cfRule type="cellIs" dxfId="197" priority="70" operator="lessThan">
      <formula>0</formula>
    </cfRule>
  </conditionalFormatting>
  <conditionalFormatting sqref="AQ73">
    <cfRule type="cellIs" dxfId="196" priority="69" operator="lessThan">
      <formula>0</formula>
    </cfRule>
  </conditionalFormatting>
  <conditionalFormatting sqref="AQ72">
    <cfRule type="cellIs" dxfId="195" priority="68" operator="lessThan">
      <formula>0</formula>
    </cfRule>
  </conditionalFormatting>
  <conditionalFormatting sqref="AQ188">
    <cfRule type="cellIs" dxfId="194" priority="67" operator="lessThan">
      <formula>0</formula>
    </cfRule>
  </conditionalFormatting>
  <conditionalFormatting sqref="AQ166">
    <cfRule type="cellIs" dxfId="193" priority="66" operator="lessThan">
      <formula>0</formula>
    </cfRule>
  </conditionalFormatting>
  <conditionalFormatting sqref="AQ184">
    <cfRule type="cellIs" dxfId="192" priority="65" operator="lessThan">
      <formula>0</formula>
    </cfRule>
  </conditionalFormatting>
  <conditionalFormatting sqref="AQ204">
    <cfRule type="cellIs" dxfId="191" priority="64" operator="lessThan">
      <formula>0</formula>
    </cfRule>
  </conditionalFormatting>
  <conditionalFormatting sqref="AQ187">
    <cfRule type="cellIs" dxfId="190" priority="63" operator="lessThan">
      <formula>0</formula>
    </cfRule>
  </conditionalFormatting>
  <conditionalFormatting sqref="AQ201">
    <cfRule type="cellIs" dxfId="189" priority="62" operator="lessThan">
      <formula>0</formula>
    </cfRule>
  </conditionalFormatting>
  <conditionalFormatting sqref="AQ203">
    <cfRule type="cellIs" dxfId="188" priority="61" operator="lessThan">
      <formula>0</formula>
    </cfRule>
  </conditionalFormatting>
  <conditionalFormatting sqref="AQ174">
    <cfRule type="cellIs" dxfId="187" priority="60" operator="lessThan">
      <formula>0</formula>
    </cfRule>
  </conditionalFormatting>
  <conditionalFormatting sqref="AQ239">
    <cfRule type="cellIs" dxfId="186" priority="59" operator="lessThan">
      <formula>0</formula>
    </cfRule>
  </conditionalFormatting>
  <conditionalFormatting sqref="AQ250">
    <cfRule type="cellIs" dxfId="185" priority="58" operator="lessThan">
      <formula>0</formula>
    </cfRule>
  </conditionalFormatting>
  <conditionalFormatting sqref="AQ37:AQ40">
    <cfRule type="cellIs" dxfId="184" priority="57" operator="lessThan">
      <formula>0</formula>
    </cfRule>
  </conditionalFormatting>
  <conditionalFormatting sqref="AQ260">
    <cfRule type="cellIs" dxfId="183" priority="56" operator="lessThan">
      <formula>0</formula>
    </cfRule>
  </conditionalFormatting>
  <conditionalFormatting sqref="AQ109">
    <cfRule type="cellIs" dxfId="182" priority="55" operator="lessThan">
      <formula>0</formula>
    </cfRule>
  </conditionalFormatting>
  <conditionalFormatting sqref="AP33">
    <cfRule type="cellIs" dxfId="181" priority="54" operator="lessThan">
      <formula>0</formula>
    </cfRule>
  </conditionalFormatting>
  <conditionalFormatting sqref="AQ261">
    <cfRule type="cellIs" dxfId="180" priority="53" operator="lessThan">
      <formula>0</formula>
    </cfRule>
  </conditionalFormatting>
  <conditionalFormatting sqref="AQ254 AQ256">
    <cfRule type="cellIs" dxfId="179" priority="52" operator="lessThan">
      <formula>0</formula>
    </cfRule>
  </conditionalFormatting>
  <conditionalFormatting sqref="AQ257">
    <cfRule type="cellIs" dxfId="178" priority="51" operator="lessThan">
      <formula>0</formula>
    </cfRule>
  </conditionalFormatting>
  <conditionalFormatting sqref="AQ255">
    <cfRule type="cellIs" dxfId="177" priority="50" operator="lessThan">
      <formula>0</formula>
    </cfRule>
  </conditionalFormatting>
  <conditionalFormatting sqref="AQ167">
    <cfRule type="cellIs" dxfId="176" priority="49" operator="lessThan">
      <formula>0</formula>
    </cfRule>
  </conditionalFormatting>
  <conditionalFormatting sqref="AQ168">
    <cfRule type="cellIs" dxfId="175" priority="48" operator="lessThan">
      <formula>0</formula>
    </cfRule>
  </conditionalFormatting>
  <conditionalFormatting sqref="AQ169">
    <cfRule type="cellIs" dxfId="174" priority="47" operator="lessThan">
      <formula>0</formula>
    </cfRule>
  </conditionalFormatting>
  <conditionalFormatting sqref="AQ137">
    <cfRule type="cellIs" dxfId="173" priority="46" operator="lessThan">
      <formula>0</formula>
    </cfRule>
  </conditionalFormatting>
  <conditionalFormatting sqref="AM185:AM186 AM202 AM189:AM200 AM251:AM253 AM258:AM259 AM3:AM5 AM205:AM238 AM240:AM249 AM170:AM173 AM175:AM183">
    <cfRule type="cellIs" dxfId="172" priority="45" operator="lessThan">
      <formula>0</formula>
    </cfRule>
  </conditionalFormatting>
  <conditionalFormatting sqref="AM188">
    <cfRule type="cellIs" dxfId="171" priority="36" operator="lessThan">
      <formula>0</formula>
    </cfRule>
  </conditionalFormatting>
  <conditionalFormatting sqref="AM166">
    <cfRule type="cellIs" dxfId="170" priority="35" operator="lessThan">
      <formula>0</formula>
    </cfRule>
  </conditionalFormatting>
  <conditionalFormatting sqref="AM184">
    <cfRule type="cellIs" dxfId="169" priority="34" operator="lessThan">
      <formula>0</formula>
    </cfRule>
  </conditionalFormatting>
  <conditionalFormatting sqref="AM204">
    <cfRule type="cellIs" dxfId="168" priority="33" operator="lessThan">
      <formula>0</formula>
    </cfRule>
  </conditionalFormatting>
  <conditionalFormatting sqref="AM187">
    <cfRule type="cellIs" dxfId="167" priority="32" operator="lessThan">
      <formula>0</formula>
    </cfRule>
  </conditionalFormatting>
  <conditionalFormatting sqref="AM201">
    <cfRule type="cellIs" dxfId="166" priority="31" operator="lessThan">
      <formula>0</formula>
    </cfRule>
  </conditionalFormatting>
  <conditionalFormatting sqref="AM203">
    <cfRule type="cellIs" dxfId="165" priority="30" operator="lessThan">
      <formula>0</formula>
    </cfRule>
  </conditionalFormatting>
  <conditionalFormatting sqref="AM174">
    <cfRule type="cellIs" dxfId="164" priority="29" operator="lessThan">
      <formula>0</formula>
    </cfRule>
  </conditionalFormatting>
  <conditionalFormatting sqref="AM239">
    <cfRule type="cellIs" dxfId="163" priority="28" operator="lessThan">
      <formula>0</formula>
    </cfRule>
  </conditionalFormatting>
  <conditionalFormatting sqref="AM250">
    <cfRule type="cellIs" dxfId="162" priority="27" operator="lessThan">
      <formula>0</formula>
    </cfRule>
  </conditionalFormatting>
  <conditionalFormatting sqref="AM260">
    <cfRule type="cellIs" dxfId="161" priority="25" operator="lessThan">
      <formula>0</formula>
    </cfRule>
  </conditionalFormatting>
  <conditionalFormatting sqref="AM261">
    <cfRule type="cellIs" dxfId="160" priority="22" operator="lessThan">
      <formula>0</formula>
    </cfRule>
  </conditionalFormatting>
  <conditionalFormatting sqref="AM254 AM256">
    <cfRule type="cellIs" dxfId="159" priority="21" operator="lessThan">
      <formula>0</formula>
    </cfRule>
  </conditionalFormatting>
  <conditionalFormatting sqref="AM257">
    <cfRule type="cellIs" dxfId="158" priority="20" operator="lessThan">
      <formula>0</formula>
    </cfRule>
  </conditionalFormatting>
  <conditionalFormatting sqref="AM255">
    <cfRule type="cellIs" dxfId="157" priority="19" operator="lessThan">
      <formula>0</formula>
    </cfRule>
  </conditionalFormatting>
  <conditionalFormatting sqref="AM167">
    <cfRule type="cellIs" dxfId="156" priority="18" operator="lessThan">
      <formula>0</formula>
    </cfRule>
  </conditionalFormatting>
  <conditionalFormatting sqref="AM168">
    <cfRule type="cellIs" dxfId="155" priority="17" operator="lessThan">
      <formula>0</formula>
    </cfRule>
  </conditionalFormatting>
  <conditionalFormatting sqref="AM169">
    <cfRule type="cellIs" dxfId="154" priority="16" operator="lessThan">
      <formula>0</formula>
    </cfRule>
  </conditionalFormatting>
  <conditionalFormatting sqref="AM47:AM55 AM39:AM42 AM57:AM69 AM91:AM107 AM159 AM112:AM118 AM6:AM37 AM139:AM156">
    <cfRule type="cellIs" dxfId="153" priority="14" operator="lessThan">
      <formula>0</formula>
    </cfRule>
  </conditionalFormatting>
  <conditionalFormatting sqref="AM108">
    <cfRule type="cellIs" dxfId="152" priority="13" operator="lessThan">
      <formula>0</formula>
    </cfRule>
  </conditionalFormatting>
  <conditionalFormatting sqref="AM109">
    <cfRule type="cellIs" dxfId="151" priority="12" operator="lessThan">
      <formula>0</formula>
    </cfRule>
  </conditionalFormatting>
  <conditionalFormatting sqref="AM110">
    <cfRule type="cellIs" dxfId="150" priority="11" operator="lessThan">
      <formula>0</formula>
    </cfRule>
  </conditionalFormatting>
  <conditionalFormatting sqref="AM111">
    <cfRule type="cellIs" dxfId="149" priority="10" operator="lessThan">
      <formula>0</formula>
    </cfRule>
  </conditionalFormatting>
  <conditionalFormatting sqref="AM56">
    <cfRule type="cellIs" dxfId="148" priority="9" operator="lessThan">
      <formula>0</formula>
    </cfRule>
  </conditionalFormatting>
  <conditionalFormatting sqref="AM70">
    <cfRule type="cellIs" dxfId="147" priority="8" operator="lessThan">
      <formula>0</formula>
    </cfRule>
  </conditionalFormatting>
  <conditionalFormatting sqref="AM71:AM90">
    <cfRule type="cellIs" dxfId="146" priority="7" operator="lessThan">
      <formula>0</formula>
    </cfRule>
  </conditionalFormatting>
  <conditionalFormatting sqref="AM43:AM46">
    <cfRule type="cellIs" dxfId="145" priority="6" operator="lessThan">
      <formula>0</formula>
    </cfRule>
  </conditionalFormatting>
  <conditionalFormatting sqref="AM38">
    <cfRule type="cellIs" dxfId="144" priority="5" operator="lessThan">
      <formula>0</formula>
    </cfRule>
  </conditionalFormatting>
  <conditionalFormatting sqref="AM157">
    <cfRule type="cellIs" dxfId="143" priority="4" operator="lessThan">
      <formula>0</formula>
    </cfRule>
  </conditionalFormatting>
  <conditionalFormatting sqref="AM119:AM138">
    <cfRule type="cellIs" dxfId="142" priority="3" operator="lessThan">
      <formula>0</formula>
    </cfRule>
  </conditionalFormatting>
  <conditionalFormatting sqref="AM119:AM138">
    <cfRule type="cellIs" dxfId="141" priority="2" operator="lessThan">
      <formula>0</formula>
    </cfRule>
  </conditionalFormatting>
  <conditionalFormatting sqref="AM158">
    <cfRule type="cellIs" dxfId="14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tabColor rgb="FF002060"/>
  </sheetPr>
  <dimension ref="A1"/>
  <sheetViews>
    <sheetView workbookViewId="0">
      <selection activeCell="M15" sqref="M15"/>
    </sheetView>
  </sheetViews>
  <sheetFormatPr defaultColWidth="11.5703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7700-436F-468B-8EA9-5536F67E9CE5}">
  <sheetPr>
    <tabColor rgb="FF00B050"/>
    <outlinePr summaryBelow="0" summaryRight="0"/>
  </sheetPr>
  <dimension ref="A1:DN355"/>
  <sheetViews>
    <sheetView showGridLines="0" zoomScale="70" zoomScaleNormal="70" workbookViewId="0">
      <pane xSplit="9" ySplit="3" topLeftCell="V38" activePane="bottomRight" state="frozen"/>
      <selection pane="bottomRight" activeCell="I42" sqref="I42"/>
      <selection pane="bottomLeft" activeCell="O31" sqref="O31"/>
      <selection pane="topRight" activeCell="O31" sqref="O31"/>
    </sheetView>
  </sheetViews>
  <sheetFormatPr defaultColWidth="11.42578125" defaultRowHeight="15" outlineLevelRow="2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42" style="5" customWidth="1" collapsed="1"/>
    <col min="10" max="10" width="13.5703125" style="4" hidden="1" customWidth="1" outlineLevel="1"/>
    <col min="11" max="12" width="12.85546875" style="4" hidden="1" customWidth="1" outlineLevel="1"/>
    <col min="13" max="13" width="14.28515625" style="3" hidden="1" customWidth="1" outlineLevel="1"/>
    <col min="14" max="15" width="13.5703125" style="3" hidden="1" customWidth="1" outlineLevel="1"/>
    <col min="16" max="16" width="12.85546875" style="3" hidden="1" customWidth="1" outlineLevel="1"/>
    <col min="17" max="17" width="14.5703125" style="4" hidden="1" customWidth="1" outlineLevel="1"/>
    <col min="18" max="18" width="12.42578125" style="3" hidden="1" customWidth="1" outlineLevel="1"/>
    <col min="19" max="19" width="12.7109375" style="3" hidden="1" customWidth="1" outlineLevel="1"/>
    <col min="20" max="20" width="12.42578125" style="3" hidden="1" customWidth="1" outlineLevel="1"/>
    <col min="21" max="21" width="14.5703125" style="4" hidden="1" customWidth="1" outlineLevel="1"/>
    <col min="22" max="22" width="18" style="4" bestFit="1" customWidth="1"/>
    <col min="23" max="23" width="6.5703125" style="83" bestFit="1" customWidth="1"/>
    <col min="24" max="24" width="1.140625" style="93" customWidth="1" collapsed="1"/>
    <col min="25" max="27" width="17.7109375" style="4" hidden="1" customWidth="1" outlineLevel="1"/>
    <col min="28" max="28" width="17.28515625" style="3" hidden="1" customWidth="1" outlineLevel="1"/>
    <col min="29" max="31" width="17.7109375" style="3" hidden="1" customWidth="1" outlineLevel="1"/>
    <col min="32" max="32" width="17.7109375" style="4" hidden="1" customWidth="1" outlineLevel="1"/>
    <col min="33" max="33" width="17.28515625" style="3" hidden="1" customWidth="1" outlineLevel="1"/>
    <col min="34" max="34" width="16.85546875" style="3" hidden="1" customWidth="1" outlineLevel="1"/>
    <col min="35" max="35" width="17.7109375" style="3" hidden="1" customWidth="1" outlineLevel="1"/>
    <col min="36" max="36" width="17.7109375" style="4" hidden="1" customWidth="1" outlineLevel="1"/>
    <col min="37" max="37" width="19.42578125" style="4" bestFit="1" customWidth="1"/>
    <col min="38" max="38" width="6.570312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/>
      <c r="F1" s="6"/>
      <c r="G1" s="6"/>
      <c r="H1" s="6"/>
      <c r="I1" s="60" t="s">
        <v>91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v>3</v>
      </c>
      <c r="AA1" s="59">
        <v>4</v>
      </c>
      <c r="AB1" s="59">
        <v>5</v>
      </c>
      <c r="AC1" s="59">
        <v>6</v>
      </c>
      <c r="AD1" s="59">
        <v>7</v>
      </c>
      <c r="AE1" s="59">
        <v>8</v>
      </c>
      <c r="AF1" s="59">
        <v>9</v>
      </c>
      <c r="AG1" s="59">
        <v>10</v>
      </c>
      <c r="AH1" s="59">
        <v>11</v>
      </c>
      <c r="AI1" s="59">
        <v>12</v>
      </c>
      <c r="AJ1" s="59">
        <v>13</v>
      </c>
      <c r="AK1" s="59"/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284">
        <v>2024</v>
      </c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6"/>
      <c r="V2" s="287" t="s">
        <v>92</v>
      </c>
      <c r="W2" s="288"/>
      <c r="X2" s="85"/>
      <c r="Y2" s="284">
        <v>2025</v>
      </c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6"/>
      <c r="AK2" s="287" t="s">
        <v>92</v>
      </c>
      <c r="AL2" s="289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4" t="s">
        <v>69</v>
      </c>
      <c r="K3" s="64" t="s">
        <v>70</v>
      </c>
      <c r="L3" s="64" t="s">
        <v>71</v>
      </c>
      <c r="M3" s="61" t="s">
        <v>72</v>
      </c>
      <c r="N3" s="61" t="s">
        <v>73</v>
      </c>
      <c r="O3" s="61" t="s">
        <v>74</v>
      </c>
      <c r="P3" s="61" t="s">
        <v>75</v>
      </c>
      <c r="Q3" s="63" t="s">
        <v>76</v>
      </c>
      <c r="R3" s="61" t="s">
        <v>77</v>
      </c>
      <c r="S3" s="61" t="s">
        <v>78</v>
      </c>
      <c r="T3" s="61" t="s">
        <v>79</v>
      </c>
      <c r="U3" s="62" t="s">
        <v>80</v>
      </c>
      <c r="V3" s="46">
        <v>2024</v>
      </c>
      <c r="W3" s="69" t="s">
        <v>95</v>
      </c>
      <c r="X3" s="86"/>
      <c r="Y3" s="134" t="s">
        <v>69</v>
      </c>
      <c r="Z3" s="64" t="s">
        <v>70</v>
      </c>
      <c r="AA3" s="64" t="s">
        <v>71</v>
      </c>
      <c r="AB3" s="61" t="s">
        <v>72</v>
      </c>
      <c r="AC3" s="61" t="s">
        <v>73</v>
      </c>
      <c r="AD3" s="61" t="s">
        <v>74</v>
      </c>
      <c r="AE3" s="61" t="s">
        <v>75</v>
      </c>
      <c r="AF3" s="63" t="s">
        <v>76</v>
      </c>
      <c r="AG3" s="61" t="s">
        <v>77</v>
      </c>
      <c r="AH3" s="61" t="s">
        <v>78</v>
      </c>
      <c r="AI3" s="61" t="s">
        <v>79</v>
      </c>
      <c r="AJ3" s="62" t="s">
        <v>80</v>
      </c>
      <c r="AK3" s="46">
        <v>2025</v>
      </c>
      <c r="AL3" s="69" t="s">
        <v>95</v>
      </c>
      <c r="AM3" s="45" t="s">
        <v>96</v>
      </c>
    </row>
    <row r="4" spans="1:40">
      <c r="I4" s="43" t="s">
        <v>97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>
      <c r="A5" s="8"/>
      <c r="D5" s="8"/>
      <c r="E5" s="42"/>
      <c r="F5" s="8"/>
      <c r="G5" s="8"/>
      <c r="H5" s="8"/>
      <c r="I5" s="41"/>
      <c r="J5" s="241"/>
      <c r="K5" s="241"/>
      <c r="L5" s="241"/>
      <c r="M5" s="241"/>
      <c r="N5" s="241"/>
      <c r="O5" s="241"/>
      <c r="P5" s="1"/>
      <c r="Q5" s="241"/>
      <c r="R5" s="1"/>
      <c r="S5" s="1"/>
      <c r="T5" s="1"/>
      <c r="U5" s="241"/>
      <c r="V5" s="241"/>
      <c r="W5" s="242"/>
      <c r="X5" s="243"/>
      <c r="Y5" s="241"/>
      <c r="Z5" s="241"/>
      <c r="AA5" s="241"/>
      <c r="AB5" s="241"/>
      <c r="AC5" s="241"/>
      <c r="AD5" s="241"/>
      <c r="AE5" s="1"/>
      <c r="AF5" s="241"/>
      <c r="AG5" s="1"/>
      <c r="AH5" s="1"/>
      <c r="AI5" s="1"/>
      <c r="AJ5" s="241"/>
      <c r="AK5" s="241"/>
      <c r="AL5" s="242"/>
      <c r="AM5" s="40"/>
    </row>
    <row r="6" spans="1:40" collapsed="1">
      <c r="A6" s="12" t="s">
        <v>98</v>
      </c>
      <c r="B6" s="19"/>
      <c r="C6" s="19"/>
      <c r="D6" s="12"/>
      <c r="E6" s="7" t="s">
        <v>99</v>
      </c>
      <c r="I6" s="146" t="s">
        <v>100</v>
      </c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>
        <f t="shared" ref="V6:V31" si="0">SUM(J6:U6)</f>
        <v>0</v>
      </c>
      <c r="W6" s="72" t="e">
        <f t="shared" ref="W6:W32" si="1">V6/V$6</f>
        <v>#DIV/0!</v>
      </c>
      <c r="X6" s="89"/>
      <c r="Y6" s="241">
        <f>SUM(Y7:Y10)</f>
        <v>0</v>
      </c>
      <c r="Z6" s="241">
        <f t="shared" ref="Z6:AJ6" si="2">SUM(Z7:Z10)</f>
        <v>0</v>
      </c>
      <c r="AA6" s="241">
        <f t="shared" si="2"/>
        <v>0</v>
      </c>
      <c r="AB6" s="241">
        <f t="shared" si="2"/>
        <v>0</v>
      </c>
      <c r="AC6" s="241">
        <f t="shared" si="2"/>
        <v>0</v>
      </c>
      <c r="AD6" s="241">
        <f t="shared" si="2"/>
        <v>0</v>
      </c>
      <c r="AE6" s="241">
        <f t="shared" si="2"/>
        <v>0</v>
      </c>
      <c r="AF6" s="241">
        <f t="shared" si="2"/>
        <v>0</v>
      </c>
      <c r="AG6" s="241">
        <f t="shared" si="2"/>
        <v>0</v>
      </c>
      <c r="AH6" s="241">
        <f t="shared" si="2"/>
        <v>0</v>
      </c>
      <c r="AI6" s="241">
        <f t="shared" si="2"/>
        <v>0</v>
      </c>
      <c r="AJ6" s="241">
        <f t="shared" si="2"/>
        <v>0</v>
      </c>
      <c r="AK6" s="241">
        <f t="shared" ref="AK6:AK31" si="3">SUM(Y6:AJ6)</f>
        <v>0</v>
      </c>
      <c r="AL6" s="72" t="e">
        <f t="shared" ref="AL6:AL32" si="4">AK6/AK$6</f>
        <v>#DIV/0!</v>
      </c>
      <c r="AM6" s="10">
        <f>IFERROR(AK6/V6-1,0)</f>
        <v>0</v>
      </c>
      <c r="AN6" s="9"/>
    </row>
    <row r="7" spans="1:40" ht="15" hidden="1" customHeight="1" outlineLevel="1">
      <c r="A7" s="12" t="s">
        <v>98</v>
      </c>
      <c r="B7" s="19" t="s">
        <v>101</v>
      </c>
      <c r="C7" s="19" t="s">
        <v>102</v>
      </c>
      <c r="D7" s="12" t="s">
        <v>103</v>
      </c>
      <c r="E7" s="20"/>
      <c r="F7" s="12"/>
      <c r="G7" s="12"/>
      <c r="H7" s="12"/>
      <c r="I7" s="147" t="s">
        <v>388</v>
      </c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5">
        <f t="shared" si="0"/>
        <v>0</v>
      </c>
      <c r="W7" s="73" t="e">
        <f t="shared" si="1"/>
        <v>#DIV/0!</v>
      </c>
      <c r="X7" s="89"/>
      <c r="Y7" s="244">
        <v>0</v>
      </c>
      <c r="Z7" s="244">
        <v>0</v>
      </c>
      <c r="AA7" s="244">
        <v>0</v>
      </c>
      <c r="AB7" s="244">
        <v>0</v>
      </c>
      <c r="AC7" s="244">
        <v>0</v>
      </c>
      <c r="AD7" s="244">
        <v>0</v>
      </c>
      <c r="AE7" s="244">
        <v>0</v>
      </c>
      <c r="AF7" s="244">
        <v>0</v>
      </c>
      <c r="AG7" s="244">
        <v>0</v>
      </c>
      <c r="AH7" s="244">
        <v>0</v>
      </c>
      <c r="AI7" s="244">
        <v>0</v>
      </c>
      <c r="AJ7" s="244">
        <v>0</v>
      </c>
      <c r="AK7" s="245">
        <f t="shared" si="3"/>
        <v>0</v>
      </c>
      <c r="AL7" s="73" t="e">
        <f t="shared" si="4"/>
        <v>#DIV/0!</v>
      </c>
      <c r="AM7" s="14">
        <f t="shared" ref="AM7:AM91" si="5">IFERROR(AK7/V7-1,0)</f>
        <v>0</v>
      </c>
      <c r="AN7" s="9"/>
    </row>
    <row r="8" spans="1:40" ht="15" hidden="1" customHeight="1" outlineLevel="1">
      <c r="A8" s="12" t="s">
        <v>98</v>
      </c>
      <c r="B8" s="19" t="s">
        <v>101</v>
      </c>
      <c r="C8" s="19" t="s">
        <v>104</v>
      </c>
      <c r="D8" s="12" t="s">
        <v>105</v>
      </c>
      <c r="E8" s="20"/>
      <c r="F8" s="12"/>
      <c r="G8" s="12"/>
      <c r="H8" s="12"/>
      <c r="I8" s="147" t="s">
        <v>389</v>
      </c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5">
        <f t="shared" si="0"/>
        <v>0</v>
      </c>
      <c r="W8" s="73" t="e">
        <f t="shared" si="1"/>
        <v>#DIV/0!</v>
      </c>
      <c r="X8" s="89"/>
      <c r="Y8" s="244">
        <v>0</v>
      </c>
      <c r="Z8" s="244">
        <v>0</v>
      </c>
      <c r="AA8" s="244">
        <v>0</v>
      </c>
      <c r="AB8" s="244">
        <v>0</v>
      </c>
      <c r="AC8" s="244">
        <v>0</v>
      </c>
      <c r="AD8" s="244">
        <v>0</v>
      </c>
      <c r="AE8" s="244">
        <v>0</v>
      </c>
      <c r="AF8" s="244">
        <v>0</v>
      </c>
      <c r="AG8" s="244">
        <v>0</v>
      </c>
      <c r="AH8" s="244">
        <v>0</v>
      </c>
      <c r="AI8" s="244">
        <v>0</v>
      </c>
      <c r="AJ8" s="244">
        <v>0</v>
      </c>
      <c r="AK8" s="245">
        <f t="shared" si="3"/>
        <v>0</v>
      </c>
      <c r="AL8" s="73" t="e">
        <f t="shared" si="4"/>
        <v>#DIV/0!</v>
      </c>
      <c r="AM8" s="14">
        <f t="shared" si="5"/>
        <v>0</v>
      </c>
      <c r="AN8" s="9"/>
    </row>
    <row r="9" spans="1:40" ht="15" hidden="1" customHeight="1" outlineLevel="1">
      <c r="A9" s="12" t="s">
        <v>98</v>
      </c>
      <c r="B9" s="19" t="s">
        <v>101</v>
      </c>
      <c r="C9" s="19" t="s">
        <v>106</v>
      </c>
      <c r="D9" s="12" t="s">
        <v>107</v>
      </c>
      <c r="E9" s="20"/>
      <c r="F9" s="12"/>
      <c r="G9" s="12"/>
      <c r="H9" s="12"/>
      <c r="I9" s="147" t="s">
        <v>390</v>
      </c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5">
        <f t="shared" si="0"/>
        <v>0</v>
      </c>
      <c r="W9" s="73" t="e">
        <f t="shared" si="1"/>
        <v>#DIV/0!</v>
      </c>
      <c r="X9" s="89"/>
      <c r="Y9" s="244">
        <v>0</v>
      </c>
      <c r="Z9" s="244">
        <v>0</v>
      </c>
      <c r="AA9" s="244">
        <v>0</v>
      </c>
      <c r="AB9" s="244">
        <v>0</v>
      </c>
      <c r="AC9" s="244">
        <v>0</v>
      </c>
      <c r="AD9" s="244">
        <v>0</v>
      </c>
      <c r="AE9" s="244">
        <v>0</v>
      </c>
      <c r="AF9" s="244">
        <v>0</v>
      </c>
      <c r="AG9" s="244">
        <v>0</v>
      </c>
      <c r="AH9" s="244">
        <v>0</v>
      </c>
      <c r="AI9" s="244">
        <v>0</v>
      </c>
      <c r="AJ9" s="244">
        <v>0</v>
      </c>
      <c r="AK9" s="245">
        <f t="shared" si="3"/>
        <v>0</v>
      </c>
      <c r="AL9" s="73" t="e">
        <f t="shared" si="4"/>
        <v>#DIV/0!</v>
      </c>
      <c r="AM9" s="14">
        <f t="shared" si="5"/>
        <v>0</v>
      </c>
      <c r="AN9" s="9"/>
    </row>
    <row r="10" spans="1:40" ht="15" hidden="1" customHeight="1" outlineLevel="1">
      <c r="A10" s="12" t="s">
        <v>98</v>
      </c>
      <c r="B10" s="19" t="s">
        <v>101</v>
      </c>
      <c r="C10" s="19" t="s">
        <v>391</v>
      </c>
      <c r="D10" s="12" t="s">
        <v>392</v>
      </c>
      <c r="E10" s="20"/>
      <c r="F10" s="12" t="s">
        <v>393</v>
      </c>
      <c r="G10" s="12" t="s">
        <v>394</v>
      </c>
      <c r="H10" s="12" t="s">
        <v>395</v>
      </c>
      <c r="I10" s="212" t="s">
        <v>396</v>
      </c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5">
        <f t="shared" si="0"/>
        <v>0</v>
      </c>
      <c r="W10" s="73" t="e">
        <f t="shared" si="1"/>
        <v>#DIV/0!</v>
      </c>
      <c r="X10" s="89"/>
      <c r="Y10" s="244">
        <v>0</v>
      </c>
      <c r="Z10" s="244">
        <v>0</v>
      </c>
      <c r="AA10" s="244">
        <v>0</v>
      </c>
      <c r="AB10" s="244">
        <v>0</v>
      </c>
      <c r="AC10" s="244">
        <v>0</v>
      </c>
      <c r="AD10" s="244">
        <v>0</v>
      </c>
      <c r="AE10" s="244">
        <v>0</v>
      </c>
      <c r="AF10" s="244">
        <v>0</v>
      </c>
      <c r="AG10" s="244">
        <v>0</v>
      </c>
      <c r="AH10" s="244">
        <v>0</v>
      </c>
      <c r="AI10" s="244">
        <v>0</v>
      </c>
      <c r="AJ10" s="244">
        <v>0</v>
      </c>
      <c r="AK10" s="245">
        <f t="shared" si="3"/>
        <v>0</v>
      </c>
      <c r="AL10" s="73" t="e">
        <f t="shared" si="4"/>
        <v>#DIV/0!</v>
      </c>
      <c r="AM10" s="14">
        <f t="shared" si="5"/>
        <v>0</v>
      </c>
      <c r="AN10" s="9"/>
    </row>
    <row r="11" spans="1:40" ht="15" hidden="1" customHeight="1" outlineLevel="1">
      <c r="A11" s="12" t="s">
        <v>98</v>
      </c>
      <c r="B11" s="19" t="s">
        <v>101</v>
      </c>
      <c r="C11" s="19" t="s">
        <v>391</v>
      </c>
      <c r="D11" s="12" t="s">
        <v>392</v>
      </c>
      <c r="E11" s="20" t="s">
        <v>397</v>
      </c>
      <c r="F11" s="12" t="s">
        <v>393</v>
      </c>
      <c r="G11" s="12" t="s">
        <v>394</v>
      </c>
      <c r="H11" s="12" t="s">
        <v>395</v>
      </c>
      <c r="I11" s="147" t="s">
        <v>108</v>
      </c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5">
        <f t="shared" si="0"/>
        <v>0</v>
      </c>
      <c r="W11" s="73" t="e">
        <f t="shared" si="1"/>
        <v>#DIV/0!</v>
      </c>
      <c r="X11" s="89"/>
      <c r="Y11" s="244">
        <v>0</v>
      </c>
      <c r="Z11" s="244">
        <v>0</v>
      </c>
      <c r="AA11" s="244">
        <v>0</v>
      </c>
      <c r="AB11" s="244">
        <v>0</v>
      </c>
      <c r="AC11" s="244">
        <v>0</v>
      </c>
      <c r="AD11" s="244">
        <v>0</v>
      </c>
      <c r="AE11" s="244">
        <v>0</v>
      </c>
      <c r="AF11" s="244">
        <v>0</v>
      </c>
      <c r="AG11" s="244">
        <v>0</v>
      </c>
      <c r="AH11" s="244">
        <v>0</v>
      </c>
      <c r="AI11" s="244">
        <v>0</v>
      </c>
      <c r="AJ11" s="244">
        <v>0</v>
      </c>
      <c r="AK11" s="245">
        <f t="shared" si="3"/>
        <v>0</v>
      </c>
      <c r="AL11" s="73" t="e">
        <f t="shared" si="4"/>
        <v>#DIV/0!</v>
      </c>
      <c r="AM11" s="14">
        <f t="shared" si="5"/>
        <v>0</v>
      </c>
      <c r="AN11" s="9"/>
    </row>
    <row r="12" spans="1:40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47" t="s">
        <v>398</v>
      </c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5"/>
      <c r="W12" s="73"/>
      <c r="X12" s="89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5"/>
      <c r="AL12" s="73"/>
      <c r="AM12" s="14"/>
      <c r="AN12" s="9"/>
    </row>
    <row r="13" spans="1:40" ht="15" hidden="1" customHeight="1" outlineLevel="1">
      <c r="A13" s="12"/>
      <c r="B13" s="19"/>
      <c r="C13" s="19"/>
      <c r="D13" s="12"/>
      <c r="E13" s="20"/>
      <c r="F13" s="12"/>
      <c r="G13" s="12"/>
      <c r="H13" s="12"/>
      <c r="I13" s="147" t="s">
        <v>131</v>
      </c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5"/>
      <c r="W13" s="73"/>
      <c r="X13" s="89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5"/>
      <c r="AL13" s="73"/>
      <c r="AM13" s="14"/>
      <c r="AN13" s="9"/>
    </row>
    <row r="14" spans="1:40" ht="15" hidden="1" customHeight="1" outlineLevel="1">
      <c r="A14" s="12"/>
      <c r="B14" s="19"/>
      <c r="C14" s="19"/>
      <c r="D14" s="12"/>
      <c r="E14" s="20"/>
      <c r="F14" s="12"/>
      <c r="G14" s="12"/>
      <c r="H14" s="12"/>
      <c r="I14" s="147" t="s">
        <v>133</v>
      </c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5"/>
      <c r="W14" s="73"/>
      <c r="X14" s="89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5"/>
      <c r="AL14" s="73"/>
      <c r="AM14" s="14"/>
      <c r="AN14" s="9"/>
    </row>
    <row r="15" spans="1:40" collapsed="1">
      <c r="A15" s="12" t="s">
        <v>110</v>
      </c>
      <c r="B15" s="19"/>
      <c r="E15" s="7" t="s">
        <v>111</v>
      </c>
      <c r="I15" s="146" t="s">
        <v>112</v>
      </c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>
        <f t="shared" si="0"/>
        <v>0</v>
      </c>
      <c r="W15" s="72" t="e">
        <f t="shared" si="1"/>
        <v>#DIV/0!</v>
      </c>
      <c r="X15" s="89"/>
      <c r="Y15" s="241">
        <f>SUM(Y16:Y31)</f>
        <v>0</v>
      </c>
      <c r="Z15" s="241">
        <f t="shared" ref="Z15:AJ15" si="6">SUM(Z16:Z31)</f>
        <v>0</v>
      </c>
      <c r="AA15" s="241">
        <f t="shared" si="6"/>
        <v>0</v>
      </c>
      <c r="AB15" s="241">
        <f t="shared" si="6"/>
        <v>0</v>
      </c>
      <c r="AC15" s="241">
        <f t="shared" si="6"/>
        <v>0</v>
      </c>
      <c r="AD15" s="241">
        <f t="shared" si="6"/>
        <v>0</v>
      </c>
      <c r="AE15" s="241">
        <f t="shared" si="6"/>
        <v>0</v>
      </c>
      <c r="AF15" s="241">
        <f t="shared" si="6"/>
        <v>0</v>
      </c>
      <c r="AG15" s="241">
        <f t="shared" si="6"/>
        <v>0</v>
      </c>
      <c r="AH15" s="241">
        <f t="shared" si="6"/>
        <v>0</v>
      </c>
      <c r="AI15" s="241">
        <f t="shared" si="6"/>
        <v>0</v>
      </c>
      <c r="AJ15" s="241">
        <f t="shared" si="6"/>
        <v>0</v>
      </c>
      <c r="AK15" s="241">
        <f t="shared" si="3"/>
        <v>0</v>
      </c>
      <c r="AL15" s="72" t="e">
        <f t="shared" si="4"/>
        <v>#DIV/0!</v>
      </c>
      <c r="AM15" s="10">
        <f t="shared" si="5"/>
        <v>0</v>
      </c>
      <c r="AN15" s="9"/>
    </row>
    <row r="16" spans="1:40" hidden="1" outlineLevel="1">
      <c r="A16" s="37" t="s">
        <v>110</v>
      </c>
      <c r="B16" s="39"/>
      <c r="C16" s="39" t="s">
        <v>113</v>
      </c>
      <c r="D16" s="37" t="s">
        <v>114</v>
      </c>
      <c r="E16" s="38"/>
      <c r="F16" s="37"/>
      <c r="G16" s="37"/>
      <c r="H16" s="37"/>
      <c r="I16" s="213" t="s">
        <v>115</v>
      </c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5">
        <f t="shared" si="0"/>
        <v>0</v>
      </c>
      <c r="W16" s="73" t="e">
        <f t="shared" si="1"/>
        <v>#DIV/0!</v>
      </c>
      <c r="X16" s="89"/>
      <c r="Y16" s="244">
        <v>0</v>
      </c>
      <c r="Z16" s="244">
        <v>0</v>
      </c>
      <c r="AA16" s="244">
        <v>0</v>
      </c>
      <c r="AB16" s="244">
        <v>0</v>
      </c>
      <c r="AC16" s="244">
        <v>0</v>
      </c>
      <c r="AD16" s="244">
        <v>0</v>
      </c>
      <c r="AE16" s="244">
        <v>0</v>
      </c>
      <c r="AF16" s="244">
        <v>0</v>
      </c>
      <c r="AG16" s="244">
        <v>0</v>
      </c>
      <c r="AH16" s="244">
        <v>0</v>
      </c>
      <c r="AI16" s="244">
        <v>0</v>
      </c>
      <c r="AJ16" s="244">
        <v>0</v>
      </c>
      <c r="AK16" s="245">
        <f t="shared" si="3"/>
        <v>0</v>
      </c>
      <c r="AL16" s="73" t="e">
        <f t="shared" si="4"/>
        <v>#DIV/0!</v>
      </c>
      <c r="AM16" s="14">
        <f t="shared" si="5"/>
        <v>0</v>
      </c>
      <c r="AN16" s="9"/>
    </row>
    <row r="17" spans="1:40" hidden="1" outlineLevel="1">
      <c r="A17" s="37" t="s">
        <v>110</v>
      </c>
      <c r="B17" s="39"/>
      <c r="C17" s="39" t="s">
        <v>116</v>
      </c>
      <c r="D17" s="37" t="s">
        <v>117</v>
      </c>
      <c r="E17" s="38"/>
      <c r="F17" s="37"/>
      <c r="G17" s="37"/>
      <c r="H17" s="37"/>
      <c r="I17" s="213" t="s">
        <v>118</v>
      </c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5">
        <f t="shared" si="0"/>
        <v>0</v>
      </c>
      <c r="W17" s="73" t="e">
        <f t="shared" si="1"/>
        <v>#DIV/0!</v>
      </c>
      <c r="X17" s="89"/>
      <c r="Y17" s="244">
        <v>0</v>
      </c>
      <c r="Z17" s="244">
        <v>0</v>
      </c>
      <c r="AA17" s="244">
        <v>0</v>
      </c>
      <c r="AB17" s="244">
        <v>0</v>
      </c>
      <c r="AC17" s="244">
        <v>0</v>
      </c>
      <c r="AD17" s="244">
        <v>0</v>
      </c>
      <c r="AE17" s="244">
        <v>0</v>
      </c>
      <c r="AF17" s="244">
        <v>0</v>
      </c>
      <c r="AG17" s="244">
        <v>0</v>
      </c>
      <c r="AH17" s="244">
        <v>0</v>
      </c>
      <c r="AI17" s="244">
        <v>0</v>
      </c>
      <c r="AJ17" s="244">
        <v>0</v>
      </c>
      <c r="AK17" s="245">
        <f t="shared" si="3"/>
        <v>0</v>
      </c>
      <c r="AL17" s="73" t="e">
        <f t="shared" si="4"/>
        <v>#DIV/0!</v>
      </c>
      <c r="AM17" s="14">
        <f t="shared" si="5"/>
        <v>0</v>
      </c>
      <c r="AN17" s="9"/>
    </row>
    <row r="18" spans="1:40" hidden="1" outlineLevel="1">
      <c r="A18" s="37" t="s">
        <v>110</v>
      </c>
      <c r="B18" s="39"/>
      <c r="C18" s="39" t="s">
        <v>119</v>
      </c>
      <c r="D18" s="37" t="s">
        <v>120</v>
      </c>
      <c r="E18" s="38"/>
      <c r="F18" s="37"/>
      <c r="G18" s="37"/>
      <c r="H18" s="37"/>
      <c r="I18" s="213" t="s">
        <v>5</v>
      </c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5">
        <f t="shared" si="0"/>
        <v>0</v>
      </c>
      <c r="W18" s="73" t="e">
        <f t="shared" si="1"/>
        <v>#DIV/0!</v>
      </c>
      <c r="X18" s="89"/>
      <c r="Y18" s="244">
        <v>0</v>
      </c>
      <c r="Z18" s="244">
        <v>0</v>
      </c>
      <c r="AA18" s="244">
        <v>0</v>
      </c>
      <c r="AB18" s="244">
        <v>0</v>
      </c>
      <c r="AC18" s="244">
        <v>0</v>
      </c>
      <c r="AD18" s="244">
        <v>0</v>
      </c>
      <c r="AE18" s="244">
        <v>0</v>
      </c>
      <c r="AF18" s="244">
        <v>0</v>
      </c>
      <c r="AG18" s="244">
        <v>0</v>
      </c>
      <c r="AH18" s="244">
        <v>0</v>
      </c>
      <c r="AI18" s="244">
        <v>0</v>
      </c>
      <c r="AJ18" s="244">
        <v>0</v>
      </c>
      <c r="AK18" s="245">
        <f t="shared" si="3"/>
        <v>0</v>
      </c>
      <c r="AL18" s="73" t="e">
        <f t="shared" si="4"/>
        <v>#DIV/0!</v>
      </c>
      <c r="AM18" s="14">
        <f t="shared" si="5"/>
        <v>0</v>
      </c>
      <c r="AN18" s="9"/>
    </row>
    <row r="19" spans="1:40" hidden="1" outlineLevel="1">
      <c r="A19" s="37" t="s">
        <v>110</v>
      </c>
      <c r="B19" s="39"/>
      <c r="C19" s="39" t="s">
        <v>121</v>
      </c>
      <c r="D19" s="37"/>
      <c r="E19" s="38"/>
      <c r="F19" s="37"/>
      <c r="G19" s="37"/>
      <c r="H19" s="37"/>
      <c r="I19" s="213" t="s">
        <v>122</v>
      </c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5">
        <f t="shared" si="0"/>
        <v>0</v>
      </c>
      <c r="W19" s="73" t="e">
        <f t="shared" si="1"/>
        <v>#DIV/0!</v>
      </c>
      <c r="X19" s="89"/>
      <c r="Y19" s="246">
        <v>0</v>
      </c>
      <c r="Z19" s="246">
        <v>0</v>
      </c>
      <c r="AA19" s="246">
        <v>0</v>
      </c>
      <c r="AB19" s="246">
        <v>0</v>
      </c>
      <c r="AC19" s="246">
        <v>0</v>
      </c>
      <c r="AD19" s="246">
        <v>0</v>
      </c>
      <c r="AE19" s="246">
        <v>0</v>
      </c>
      <c r="AF19" s="246">
        <v>0</v>
      </c>
      <c r="AG19" s="246">
        <v>0</v>
      </c>
      <c r="AH19" s="246">
        <v>0</v>
      </c>
      <c r="AI19" s="246">
        <v>0</v>
      </c>
      <c r="AJ19" s="246">
        <v>0</v>
      </c>
      <c r="AK19" s="245">
        <f t="shared" si="3"/>
        <v>0</v>
      </c>
      <c r="AL19" s="73" t="e">
        <f t="shared" si="4"/>
        <v>#DIV/0!</v>
      </c>
      <c r="AM19" s="14">
        <f t="shared" si="5"/>
        <v>0</v>
      </c>
      <c r="AN19" s="9"/>
    </row>
    <row r="20" spans="1:40" hidden="1" outlineLevel="1">
      <c r="A20" s="37" t="s">
        <v>110</v>
      </c>
      <c r="B20" s="39"/>
      <c r="C20" s="39" t="s">
        <v>123</v>
      </c>
      <c r="D20" s="37"/>
      <c r="E20" s="38"/>
      <c r="F20" s="37"/>
      <c r="G20" s="37"/>
      <c r="H20" s="37"/>
      <c r="I20" s="213" t="s">
        <v>124</v>
      </c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5">
        <f t="shared" si="0"/>
        <v>0</v>
      </c>
      <c r="W20" s="73" t="e">
        <f t="shared" si="1"/>
        <v>#DIV/0!</v>
      </c>
      <c r="X20" s="89"/>
      <c r="Y20" s="246">
        <v>0</v>
      </c>
      <c r="Z20" s="246">
        <v>0</v>
      </c>
      <c r="AA20" s="246">
        <v>0</v>
      </c>
      <c r="AB20" s="246">
        <v>0</v>
      </c>
      <c r="AC20" s="246">
        <v>0</v>
      </c>
      <c r="AD20" s="246">
        <v>0</v>
      </c>
      <c r="AE20" s="246">
        <v>0</v>
      </c>
      <c r="AF20" s="246">
        <v>0</v>
      </c>
      <c r="AG20" s="246">
        <v>0</v>
      </c>
      <c r="AH20" s="246">
        <v>0</v>
      </c>
      <c r="AI20" s="246">
        <v>0</v>
      </c>
      <c r="AJ20" s="246">
        <v>0</v>
      </c>
      <c r="AK20" s="245">
        <f t="shared" si="3"/>
        <v>0</v>
      </c>
      <c r="AL20" s="73" t="e">
        <f t="shared" si="4"/>
        <v>#DIV/0!</v>
      </c>
      <c r="AM20" s="14">
        <f t="shared" si="5"/>
        <v>0</v>
      </c>
      <c r="AN20" s="9"/>
    </row>
    <row r="21" spans="1:40" hidden="1" outlineLevel="1">
      <c r="A21" s="37" t="s">
        <v>110</v>
      </c>
      <c r="B21" s="39"/>
      <c r="C21" s="39" t="s">
        <v>125</v>
      </c>
      <c r="D21" s="37"/>
      <c r="E21" s="38"/>
      <c r="F21" s="37"/>
      <c r="G21" s="37"/>
      <c r="H21" s="37"/>
      <c r="I21" s="213" t="s">
        <v>126</v>
      </c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5">
        <f t="shared" si="0"/>
        <v>0</v>
      </c>
      <c r="W21" s="73" t="e">
        <f t="shared" si="1"/>
        <v>#DIV/0!</v>
      </c>
      <c r="X21" s="89"/>
      <c r="Y21" s="246">
        <v>0</v>
      </c>
      <c r="Z21" s="246">
        <v>0</v>
      </c>
      <c r="AA21" s="246">
        <v>0</v>
      </c>
      <c r="AB21" s="246">
        <v>0</v>
      </c>
      <c r="AC21" s="246">
        <v>0</v>
      </c>
      <c r="AD21" s="246">
        <v>0</v>
      </c>
      <c r="AE21" s="246">
        <v>0</v>
      </c>
      <c r="AF21" s="246">
        <v>0</v>
      </c>
      <c r="AG21" s="246">
        <v>0</v>
      </c>
      <c r="AH21" s="246">
        <v>0</v>
      </c>
      <c r="AI21" s="246">
        <v>0</v>
      </c>
      <c r="AJ21" s="246">
        <v>0</v>
      </c>
      <c r="AK21" s="245">
        <f t="shared" si="3"/>
        <v>0</v>
      </c>
      <c r="AL21" s="73" t="e">
        <f t="shared" si="4"/>
        <v>#DIV/0!</v>
      </c>
      <c r="AM21" s="14">
        <f t="shared" si="5"/>
        <v>0</v>
      </c>
      <c r="AN21" s="9"/>
    </row>
    <row r="22" spans="1:40" hidden="1" outlineLevel="1">
      <c r="A22" s="37" t="s">
        <v>110</v>
      </c>
      <c r="B22" s="39"/>
      <c r="C22" s="39" t="s">
        <v>127</v>
      </c>
      <c r="D22" s="37" t="s">
        <v>128</v>
      </c>
      <c r="E22" s="38"/>
      <c r="F22" s="37"/>
      <c r="G22" s="37"/>
      <c r="H22" s="37"/>
      <c r="I22" s="213" t="s">
        <v>135</v>
      </c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5">
        <f t="shared" si="0"/>
        <v>0</v>
      </c>
      <c r="W22" s="73" t="e">
        <f t="shared" si="1"/>
        <v>#DIV/0!</v>
      </c>
      <c r="X22" s="89"/>
      <c r="Y22" s="244">
        <v>0</v>
      </c>
      <c r="Z22" s="244">
        <v>0</v>
      </c>
      <c r="AA22" s="244">
        <v>0</v>
      </c>
      <c r="AB22" s="244">
        <v>0</v>
      </c>
      <c r="AC22" s="244">
        <v>0</v>
      </c>
      <c r="AD22" s="244">
        <v>0</v>
      </c>
      <c r="AE22" s="244">
        <v>0</v>
      </c>
      <c r="AF22" s="244">
        <v>0</v>
      </c>
      <c r="AG22" s="244">
        <v>0</v>
      </c>
      <c r="AH22" s="244">
        <v>0</v>
      </c>
      <c r="AI22" s="244">
        <v>0</v>
      </c>
      <c r="AJ22" s="244">
        <v>0</v>
      </c>
      <c r="AK22" s="245">
        <f t="shared" si="3"/>
        <v>0</v>
      </c>
      <c r="AL22" s="73" t="e">
        <f t="shared" si="4"/>
        <v>#DIV/0!</v>
      </c>
      <c r="AM22" s="14">
        <f t="shared" si="5"/>
        <v>0</v>
      </c>
      <c r="AN22" s="9"/>
    </row>
    <row r="23" spans="1:40" hidden="1" outlineLevel="1">
      <c r="A23" s="37" t="s">
        <v>110</v>
      </c>
      <c r="B23" s="39"/>
      <c r="C23" s="39" t="s">
        <v>130</v>
      </c>
      <c r="D23" s="37"/>
      <c r="E23" s="38"/>
      <c r="F23" s="37"/>
      <c r="G23" s="37"/>
      <c r="H23" s="37"/>
      <c r="I23" s="213" t="s">
        <v>137</v>
      </c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5">
        <f t="shared" si="0"/>
        <v>0</v>
      </c>
      <c r="W23" s="73" t="e">
        <f t="shared" si="1"/>
        <v>#DIV/0!</v>
      </c>
      <c r="X23" s="89"/>
      <c r="Y23" s="244">
        <v>0</v>
      </c>
      <c r="Z23" s="244">
        <v>0</v>
      </c>
      <c r="AA23" s="244">
        <v>0</v>
      </c>
      <c r="AB23" s="244">
        <v>0</v>
      </c>
      <c r="AC23" s="244">
        <v>0</v>
      </c>
      <c r="AD23" s="244">
        <v>0</v>
      </c>
      <c r="AE23" s="244">
        <v>0</v>
      </c>
      <c r="AF23" s="244">
        <v>0</v>
      </c>
      <c r="AG23" s="244">
        <v>0</v>
      </c>
      <c r="AH23" s="244">
        <v>0</v>
      </c>
      <c r="AI23" s="244">
        <v>0</v>
      </c>
      <c r="AJ23" s="244">
        <v>0</v>
      </c>
      <c r="AK23" s="245">
        <f t="shared" si="3"/>
        <v>0</v>
      </c>
      <c r="AL23" s="73" t="e">
        <f t="shared" si="4"/>
        <v>#DIV/0!</v>
      </c>
      <c r="AM23" s="14">
        <f t="shared" si="5"/>
        <v>0</v>
      </c>
      <c r="AN23" s="9"/>
    </row>
    <row r="24" spans="1:40" hidden="1" outlineLevel="1">
      <c r="A24" s="37" t="s">
        <v>110</v>
      </c>
      <c r="B24" s="39"/>
      <c r="C24" s="39" t="s">
        <v>132</v>
      </c>
      <c r="D24" s="37"/>
      <c r="E24" s="38"/>
      <c r="F24" s="37"/>
      <c r="G24" s="37"/>
      <c r="H24" s="37"/>
      <c r="I24" s="213" t="s">
        <v>139</v>
      </c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5">
        <f t="shared" si="0"/>
        <v>0</v>
      </c>
      <c r="W24" s="73" t="e">
        <f t="shared" si="1"/>
        <v>#DIV/0!</v>
      </c>
      <c r="X24" s="89"/>
      <c r="Y24" s="244">
        <v>0</v>
      </c>
      <c r="Z24" s="244">
        <v>0</v>
      </c>
      <c r="AA24" s="244">
        <v>0</v>
      </c>
      <c r="AB24" s="244">
        <v>0</v>
      </c>
      <c r="AC24" s="244">
        <v>0</v>
      </c>
      <c r="AD24" s="244">
        <v>0</v>
      </c>
      <c r="AE24" s="244">
        <v>0</v>
      </c>
      <c r="AF24" s="244">
        <v>0</v>
      </c>
      <c r="AG24" s="244">
        <v>0</v>
      </c>
      <c r="AH24" s="244">
        <v>0</v>
      </c>
      <c r="AI24" s="244">
        <v>0</v>
      </c>
      <c r="AJ24" s="244">
        <v>0</v>
      </c>
      <c r="AK24" s="245">
        <f t="shared" si="3"/>
        <v>0</v>
      </c>
      <c r="AL24" s="73" t="e">
        <f t="shared" si="4"/>
        <v>#DIV/0!</v>
      </c>
      <c r="AM24" s="14">
        <f t="shared" si="5"/>
        <v>0</v>
      </c>
      <c r="AN24" s="9"/>
    </row>
    <row r="25" spans="1:40" hidden="1" outlineLevel="1">
      <c r="A25" s="37" t="s">
        <v>110</v>
      </c>
      <c r="B25" s="39"/>
      <c r="C25" s="39" t="s">
        <v>134</v>
      </c>
      <c r="D25" s="37"/>
      <c r="E25" s="38"/>
      <c r="F25" s="37"/>
      <c r="G25" s="37"/>
      <c r="H25" s="37"/>
      <c r="I25" s="213" t="s">
        <v>140</v>
      </c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5">
        <f t="shared" si="0"/>
        <v>0</v>
      </c>
      <c r="W25" s="73" t="e">
        <f t="shared" si="1"/>
        <v>#DIV/0!</v>
      </c>
      <c r="X25" s="89"/>
      <c r="Y25" s="244">
        <v>0</v>
      </c>
      <c r="Z25" s="244">
        <v>0</v>
      </c>
      <c r="AA25" s="244">
        <v>0</v>
      </c>
      <c r="AB25" s="244">
        <v>0</v>
      </c>
      <c r="AC25" s="244">
        <v>0</v>
      </c>
      <c r="AD25" s="244">
        <v>0</v>
      </c>
      <c r="AE25" s="244">
        <v>0</v>
      </c>
      <c r="AF25" s="244">
        <v>0</v>
      </c>
      <c r="AG25" s="244">
        <v>0</v>
      </c>
      <c r="AH25" s="244">
        <v>0</v>
      </c>
      <c r="AI25" s="244">
        <v>0</v>
      </c>
      <c r="AJ25" s="244">
        <v>0</v>
      </c>
      <c r="AK25" s="245">
        <f t="shared" si="3"/>
        <v>0</v>
      </c>
      <c r="AL25" s="73" t="e">
        <f t="shared" si="4"/>
        <v>#DIV/0!</v>
      </c>
      <c r="AM25" s="14">
        <f t="shared" si="5"/>
        <v>0</v>
      </c>
      <c r="AN25" s="9"/>
    </row>
    <row r="26" spans="1:40" hidden="1" outlineLevel="1">
      <c r="A26" s="37" t="s">
        <v>110</v>
      </c>
      <c r="B26" s="39"/>
      <c r="C26" s="39" t="s">
        <v>136</v>
      </c>
      <c r="D26" s="37"/>
      <c r="E26" s="38"/>
      <c r="F26" s="37"/>
      <c r="G26" s="37"/>
      <c r="H26" s="37"/>
      <c r="I26" s="213" t="s">
        <v>136</v>
      </c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5">
        <f t="shared" si="0"/>
        <v>0</v>
      </c>
      <c r="W26" s="73" t="e">
        <f t="shared" si="1"/>
        <v>#DIV/0!</v>
      </c>
      <c r="X26" s="89"/>
      <c r="Y26" s="244">
        <v>0</v>
      </c>
      <c r="Z26" s="244">
        <v>0</v>
      </c>
      <c r="AA26" s="244">
        <v>0</v>
      </c>
      <c r="AB26" s="244">
        <v>0</v>
      </c>
      <c r="AC26" s="244">
        <v>0</v>
      </c>
      <c r="AD26" s="244">
        <v>0</v>
      </c>
      <c r="AE26" s="244">
        <v>0</v>
      </c>
      <c r="AF26" s="244">
        <v>0</v>
      </c>
      <c r="AG26" s="244">
        <v>0</v>
      </c>
      <c r="AH26" s="244">
        <v>0</v>
      </c>
      <c r="AI26" s="244">
        <v>0</v>
      </c>
      <c r="AJ26" s="244">
        <v>0</v>
      </c>
      <c r="AK26" s="245">
        <f t="shared" si="3"/>
        <v>0</v>
      </c>
      <c r="AL26" s="73" t="e">
        <f t="shared" si="4"/>
        <v>#DIV/0!</v>
      </c>
      <c r="AM26" s="14">
        <f t="shared" si="5"/>
        <v>0</v>
      </c>
      <c r="AN26" s="9"/>
    </row>
    <row r="27" spans="1:40" hidden="1" outlineLevel="1">
      <c r="A27" s="37" t="s">
        <v>110</v>
      </c>
      <c r="B27" s="39"/>
      <c r="C27" s="39" t="s">
        <v>138</v>
      </c>
      <c r="D27" s="37" t="s">
        <v>103</v>
      </c>
      <c r="E27" s="38"/>
      <c r="F27" s="37"/>
      <c r="G27" s="37"/>
      <c r="H27" s="37"/>
      <c r="I27" s="213" t="s">
        <v>141</v>
      </c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5">
        <f t="shared" si="0"/>
        <v>0</v>
      </c>
      <c r="W27" s="73" t="e">
        <f t="shared" si="1"/>
        <v>#DIV/0!</v>
      </c>
      <c r="X27" s="89"/>
      <c r="Y27" s="246">
        <v>0</v>
      </c>
      <c r="Z27" s="246">
        <v>0</v>
      </c>
      <c r="AA27" s="246">
        <v>0</v>
      </c>
      <c r="AB27" s="246">
        <v>0</v>
      </c>
      <c r="AC27" s="246">
        <v>0</v>
      </c>
      <c r="AD27" s="246">
        <v>0</v>
      </c>
      <c r="AE27" s="246">
        <v>0</v>
      </c>
      <c r="AF27" s="246">
        <v>0</v>
      </c>
      <c r="AG27" s="246">
        <v>0</v>
      </c>
      <c r="AH27" s="246">
        <v>0</v>
      </c>
      <c r="AI27" s="246">
        <v>0</v>
      </c>
      <c r="AJ27" s="246">
        <v>0</v>
      </c>
      <c r="AK27" s="245">
        <f t="shared" si="3"/>
        <v>0</v>
      </c>
      <c r="AL27" s="73" t="e">
        <f t="shared" si="4"/>
        <v>#DIV/0!</v>
      </c>
      <c r="AM27" s="14">
        <f t="shared" si="5"/>
        <v>0</v>
      </c>
      <c r="AN27" s="9"/>
    </row>
    <row r="28" spans="1:40" hidden="1" outlineLevel="1">
      <c r="A28" s="37" t="s">
        <v>110</v>
      </c>
      <c r="B28" s="39"/>
      <c r="C28" s="39" t="s">
        <v>399</v>
      </c>
      <c r="D28" s="37" t="s">
        <v>103</v>
      </c>
      <c r="E28" s="38"/>
      <c r="F28" s="37"/>
      <c r="G28" s="37"/>
      <c r="H28" s="37"/>
      <c r="I28" s="213" t="s">
        <v>142</v>
      </c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5">
        <f t="shared" si="0"/>
        <v>0</v>
      </c>
      <c r="W28" s="73" t="e">
        <f t="shared" si="1"/>
        <v>#DIV/0!</v>
      </c>
      <c r="X28" s="89"/>
      <c r="Y28" s="246">
        <v>0</v>
      </c>
      <c r="Z28" s="246">
        <v>0</v>
      </c>
      <c r="AA28" s="246">
        <v>0</v>
      </c>
      <c r="AB28" s="246">
        <v>0</v>
      </c>
      <c r="AC28" s="246">
        <v>0</v>
      </c>
      <c r="AD28" s="246">
        <v>0</v>
      </c>
      <c r="AE28" s="246">
        <v>0</v>
      </c>
      <c r="AF28" s="246">
        <v>0</v>
      </c>
      <c r="AG28" s="246">
        <v>0</v>
      </c>
      <c r="AH28" s="246">
        <v>0</v>
      </c>
      <c r="AI28" s="246">
        <v>0</v>
      </c>
      <c r="AJ28" s="246">
        <v>0</v>
      </c>
      <c r="AK28" s="245">
        <f t="shared" si="3"/>
        <v>0</v>
      </c>
      <c r="AL28" s="73" t="e">
        <f t="shared" si="4"/>
        <v>#DIV/0!</v>
      </c>
      <c r="AM28" s="14">
        <f t="shared" si="5"/>
        <v>0</v>
      </c>
      <c r="AN28" s="9"/>
    </row>
    <row r="29" spans="1:40" hidden="1" outlineLevel="1">
      <c r="A29" s="37"/>
      <c r="B29" s="39"/>
      <c r="C29" s="39"/>
      <c r="D29" s="37"/>
      <c r="E29" s="38"/>
      <c r="F29" s="37"/>
      <c r="G29" s="37"/>
      <c r="H29" s="37"/>
      <c r="I29" s="213" t="s">
        <v>400</v>
      </c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5"/>
      <c r="W29" s="73"/>
      <c r="X29" s="89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5"/>
      <c r="AL29" s="73"/>
      <c r="AM29" s="14"/>
      <c r="AN29" s="9"/>
    </row>
    <row r="30" spans="1:40" hidden="1" outlineLevel="1">
      <c r="A30" s="37"/>
      <c r="B30" s="39"/>
      <c r="C30" s="39"/>
      <c r="D30" s="37"/>
      <c r="E30" s="38"/>
      <c r="F30" s="37"/>
      <c r="G30" s="37"/>
      <c r="H30" s="37"/>
      <c r="I30" s="213" t="s">
        <v>401</v>
      </c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5"/>
      <c r="W30" s="73"/>
      <c r="X30" s="89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5"/>
      <c r="AL30" s="73"/>
      <c r="AM30" s="14"/>
      <c r="AN30" s="9"/>
    </row>
    <row r="31" spans="1:40" hidden="1" outlineLevel="1">
      <c r="A31" s="37"/>
      <c r="B31" s="39"/>
      <c r="C31" s="39"/>
      <c r="D31" s="37"/>
      <c r="E31" s="38"/>
      <c r="F31" s="37"/>
      <c r="G31" s="37"/>
      <c r="H31" s="37"/>
      <c r="I31" s="213" t="s">
        <v>143</v>
      </c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5">
        <f t="shared" si="0"/>
        <v>0</v>
      </c>
      <c r="W31" s="73" t="e">
        <f t="shared" si="1"/>
        <v>#DIV/0!</v>
      </c>
      <c r="X31" s="89"/>
      <c r="Y31" s="244">
        <v>0</v>
      </c>
      <c r="Z31" s="244">
        <v>0</v>
      </c>
      <c r="AA31" s="244">
        <v>0</v>
      </c>
      <c r="AB31" s="244">
        <v>0</v>
      </c>
      <c r="AC31" s="244">
        <v>0</v>
      </c>
      <c r="AD31" s="244">
        <v>0</v>
      </c>
      <c r="AE31" s="244">
        <v>0</v>
      </c>
      <c r="AF31" s="244">
        <v>0</v>
      </c>
      <c r="AG31" s="244">
        <v>0</v>
      </c>
      <c r="AH31" s="244">
        <v>0</v>
      </c>
      <c r="AI31" s="244">
        <v>0</v>
      </c>
      <c r="AJ31" s="244">
        <v>0</v>
      </c>
      <c r="AK31" s="245">
        <f t="shared" si="3"/>
        <v>0</v>
      </c>
      <c r="AL31" s="73" t="e">
        <f t="shared" si="4"/>
        <v>#DIV/0!</v>
      </c>
      <c r="AM31" s="14">
        <f t="shared" si="5"/>
        <v>0</v>
      </c>
      <c r="AN31" s="9"/>
    </row>
    <row r="32" spans="1:40" ht="15.75" collapsed="1">
      <c r="I32" s="36" t="s">
        <v>147</v>
      </c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>
        <f>V6-V15</f>
        <v>0</v>
      </c>
      <c r="W32" s="73" t="e">
        <f t="shared" si="1"/>
        <v>#DIV/0!</v>
      </c>
      <c r="X32" s="89"/>
      <c r="Y32" s="247">
        <f t="shared" ref="Y32:AK32" si="7">Y6-Y15</f>
        <v>0</v>
      </c>
      <c r="Z32" s="247">
        <f t="shared" si="7"/>
        <v>0</v>
      </c>
      <c r="AA32" s="247">
        <f t="shared" si="7"/>
        <v>0</v>
      </c>
      <c r="AB32" s="247">
        <f t="shared" si="7"/>
        <v>0</v>
      </c>
      <c r="AC32" s="247">
        <f t="shared" si="7"/>
        <v>0</v>
      </c>
      <c r="AD32" s="247">
        <f t="shared" si="7"/>
        <v>0</v>
      </c>
      <c r="AE32" s="247">
        <f t="shared" si="7"/>
        <v>0</v>
      </c>
      <c r="AF32" s="247">
        <f t="shared" si="7"/>
        <v>0</v>
      </c>
      <c r="AG32" s="247">
        <f t="shared" si="7"/>
        <v>0</v>
      </c>
      <c r="AH32" s="247">
        <f t="shared" si="7"/>
        <v>0</v>
      </c>
      <c r="AI32" s="247">
        <f t="shared" si="7"/>
        <v>0</v>
      </c>
      <c r="AJ32" s="247">
        <f t="shared" si="7"/>
        <v>0</v>
      </c>
      <c r="AK32" s="247">
        <f t="shared" si="7"/>
        <v>0</v>
      </c>
      <c r="AL32" s="73" t="e">
        <f t="shared" si="4"/>
        <v>#DIV/0!</v>
      </c>
      <c r="AM32" s="34">
        <f t="shared" si="5"/>
        <v>0</v>
      </c>
      <c r="AN32" s="9"/>
    </row>
    <row r="33" spans="1:40" hidden="1" outlineLevel="1">
      <c r="I33" s="31" t="s">
        <v>402</v>
      </c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9">
        <f>SUM(J33:U33)</f>
        <v>0</v>
      </c>
      <c r="W33" s="74"/>
      <c r="X33" s="90"/>
      <c r="Y33" s="248">
        <f t="shared" ref="Y33:AJ35" si="8">+Y43*Y39</f>
        <v>0</v>
      </c>
      <c r="Z33" s="248">
        <f t="shared" si="8"/>
        <v>0</v>
      </c>
      <c r="AA33" s="248">
        <f t="shared" si="8"/>
        <v>0</v>
      </c>
      <c r="AB33" s="248">
        <f t="shared" si="8"/>
        <v>0</v>
      </c>
      <c r="AC33" s="248">
        <f t="shared" si="8"/>
        <v>0</v>
      </c>
      <c r="AD33" s="248">
        <f t="shared" si="8"/>
        <v>0</v>
      </c>
      <c r="AE33" s="248">
        <f t="shared" si="8"/>
        <v>0</v>
      </c>
      <c r="AF33" s="248">
        <f t="shared" si="8"/>
        <v>0</v>
      </c>
      <c r="AG33" s="248">
        <f t="shared" si="8"/>
        <v>0</v>
      </c>
      <c r="AH33" s="248">
        <f t="shared" si="8"/>
        <v>0</v>
      </c>
      <c r="AI33" s="248">
        <f t="shared" si="8"/>
        <v>0</v>
      </c>
      <c r="AJ33" s="248">
        <f t="shared" si="8"/>
        <v>0</v>
      </c>
      <c r="AK33" s="249">
        <f>SUM(Y33:AJ33)</f>
        <v>0</v>
      </c>
      <c r="AL33" s="74"/>
      <c r="AM33" s="29">
        <f>IFERROR(AK33/V33-1,0)</f>
        <v>0</v>
      </c>
      <c r="AN33" s="9"/>
    </row>
    <row r="34" spans="1:40" hidden="1" outlineLevel="1">
      <c r="I34" s="31" t="s">
        <v>403</v>
      </c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9">
        <f>SUM(J34:U34)</f>
        <v>0</v>
      </c>
      <c r="W34" s="74"/>
      <c r="X34" s="90"/>
      <c r="Y34" s="248">
        <f t="shared" si="8"/>
        <v>0</v>
      </c>
      <c r="Z34" s="248">
        <f t="shared" si="8"/>
        <v>0</v>
      </c>
      <c r="AA34" s="248">
        <f t="shared" si="8"/>
        <v>0</v>
      </c>
      <c r="AB34" s="248">
        <f t="shared" si="8"/>
        <v>0</v>
      </c>
      <c r="AC34" s="248">
        <f t="shared" si="8"/>
        <v>0</v>
      </c>
      <c r="AD34" s="248">
        <f t="shared" si="8"/>
        <v>0</v>
      </c>
      <c r="AE34" s="248">
        <f t="shared" si="8"/>
        <v>0</v>
      </c>
      <c r="AF34" s="248">
        <f t="shared" si="8"/>
        <v>0</v>
      </c>
      <c r="AG34" s="248">
        <f t="shared" si="8"/>
        <v>0</v>
      </c>
      <c r="AH34" s="248">
        <f t="shared" si="8"/>
        <v>0</v>
      </c>
      <c r="AI34" s="248">
        <f t="shared" si="8"/>
        <v>0</v>
      </c>
      <c r="AJ34" s="248">
        <f t="shared" si="8"/>
        <v>0</v>
      </c>
      <c r="AK34" s="249">
        <f>SUM(Y34:AJ34)</f>
        <v>0</v>
      </c>
      <c r="AL34" s="74"/>
      <c r="AM34" s="29">
        <f>IFERROR(AK34/V34-1,0)</f>
        <v>0</v>
      </c>
      <c r="AN34" s="9"/>
    </row>
    <row r="35" spans="1:40" hidden="1" outlineLevel="1">
      <c r="I35" s="31" t="s">
        <v>155</v>
      </c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9">
        <f>SUM(J35:U35)</f>
        <v>0</v>
      </c>
      <c r="W35" s="74"/>
      <c r="X35" s="90"/>
      <c r="Y35" s="248">
        <f t="shared" si="8"/>
        <v>0</v>
      </c>
      <c r="Z35" s="248">
        <f t="shared" si="8"/>
        <v>0</v>
      </c>
      <c r="AA35" s="248">
        <f t="shared" si="8"/>
        <v>0</v>
      </c>
      <c r="AB35" s="248">
        <f t="shared" si="8"/>
        <v>0</v>
      </c>
      <c r="AC35" s="248">
        <f t="shared" si="8"/>
        <v>0</v>
      </c>
      <c r="AD35" s="248">
        <f t="shared" si="8"/>
        <v>0</v>
      </c>
      <c r="AE35" s="248">
        <f t="shared" si="8"/>
        <v>0</v>
      </c>
      <c r="AF35" s="248">
        <f t="shared" si="8"/>
        <v>0</v>
      </c>
      <c r="AG35" s="248">
        <f t="shared" si="8"/>
        <v>0</v>
      </c>
      <c r="AH35" s="248">
        <f t="shared" si="8"/>
        <v>0</v>
      </c>
      <c r="AI35" s="248">
        <f t="shared" si="8"/>
        <v>0</v>
      </c>
      <c r="AJ35" s="248">
        <f t="shared" si="8"/>
        <v>0</v>
      </c>
      <c r="AK35" s="249">
        <f>SUM(Y35:AJ35)</f>
        <v>0</v>
      </c>
      <c r="AL35" s="74"/>
      <c r="AM35" s="29">
        <f>IFERROR(AK35/V35-1,0)</f>
        <v>0</v>
      </c>
      <c r="AN35" s="9"/>
    </row>
    <row r="36" spans="1:40" hidden="1" outlineLevel="1">
      <c r="I36" s="31" t="s">
        <v>404</v>
      </c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9"/>
      <c r="W36" s="74"/>
      <c r="X36" s="90"/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9"/>
      <c r="AL36" s="74"/>
      <c r="AM36" s="29"/>
      <c r="AN36" s="9"/>
    </row>
    <row r="37" spans="1:40" hidden="1" outlineLevel="1">
      <c r="I37" s="31" t="s">
        <v>151</v>
      </c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9"/>
      <c r="W37" s="74"/>
      <c r="X37" s="90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9"/>
      <c r="AL37" s="74"/>
      <c r="AM37" s="29"/>
      <c r="AN37" s="9"/>
    </row>
    <row r="38" spans="1:40" collapsed="1">
      <c r="I38" s="18" t="s">
        <v>152</v>
      </c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>
        <f>SUM(J38:U38)</f>
        <v>0</v>
      </c>
      <c r="W38" s="74" t="e">
        <f>V38/V$38</f>
        <v>#DIV/0!</v>
      </c>
      <c r="X38" s="90"/>
      <c r="Y38" s="250">
        <f t="shared" ref="Y38:AJ38" si="9">SUM(Y39:Y41)</f>
        <v>0</v>
      </c>
      <c r="Z38" s="250">
        <f t="shared" si="9"/>
        <v>0</v>
      </c>
      <c r="AA38" s="250">
        <f t="shared" si="9"/>
        <v>0</v>
      </c>
      <c r="AB38" s="250">
        <f t="shared" si="9"/>
        <v>0</v>
      </c>
      <c r="AC38" s="250">
        <f t="shared" si="9"/>
        <v>0</v>
      </c>
      <c r="AD38" s="250">
        <f t="shared" si="9"/>
        <v>0</v>
      </c>
      <c r="AE38" s="250">
        <f t="shared" si="9"/>
        <v>0</v>
      </c>
      <c r="AF38" s="250">
        <f t="shared" si="9"/>
        <v>0</v>
      </c>
      <c r="AG38" s="250">
        <f t="shared" si="9"/>
        <v>0</v>
      </c>
      <c r="AH38" s="250">
        <f t="shared" si="9"/>
        <v>0</v>
      </c>
      <c r="AI38" s="250">
        <f t="shared" si="9"/>
        <v>0</v>
      </c>
      <c r="AJ38" s="250">
        <f t="shared" si="9"/>
        <v>0</v>
      </c>
      <c r="AK38" s="250">
        <f>SUM(Y38:AJ38)</f>
        <v>0</v>
      </c>
      <c r="AL38" s="74" t="e">
        <f>AK38/AK$38</f>
        <v>#DIV/0!</v>
      </c>
      <c r="AM38" s="16">
        <f t="shared" si="5"/>
        <v>0</v>
      </c>
      <c r="AN38" s="9"/>
    </row>
    <row r="39" spans="1:40" hidden="1" outlineLevel="1">
      <c r="I39" s="31" t="s">
        <v>402</v>
      </c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>
        <f>SUM(J39:U39)</f>
        <v>0</v>
      </c>
      <c r="W39" s="74" t="e">
        <f>V39/V$38</f>
        <v>#DIV/0!</v>
      </c>
      <c r="X39" s="90"/>
      <c r="Y39" s="249">
        <v>0</v>
      </c>
      <c r="Z39" s="249">
        <v>0</v>
      </c>
      <c r="AA39" s="249">
        <v>0</v>
      </c>
      <c r="AB39" s="249">
        <v>0</v>
      </c>
      <c r="AC39" s="249">
        <v>0</v>
      </c>
      <c r="AD39" s="249">
        <v>0</v>
      </c>
      <c r="AE39" s="249">
        <v>0</v>
      </c>
      <c r="AF39" s="249">
        <v>0</v>
      </c>
      <c r="AG39" s="249">
        <v>0</v>
      </c>
      <c r="AH39" s="249">
        <v>0</v>
      </c>
      <c r="AI39" s="249">
        <v>0</v>
      </c>
      <c r="AJ39" s="249">
        <v>0</v>
      </c>
      <c r="AK39" s="249">
        <f>SUM(Y39:AJ39)</f>
        <v>0</v>
      </c>
      <c r="AL39" s="74" t="e">
        <f>AK39/AK$38</f>
        <v>#DIV/0!</v>
      </c>
      <c r="AM39" s="29">
        <f t="shared" si="5"/>
        <v>0</v>
      </c>
      <c r="AN39" s="9"/>
    </row>
    <row r="40" spans="1:40" hidden="1" outlineLevel="1">
      <c r="I40" s="31" t="s">
        <v>403</v>
      </c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>
        <f>SUM(J40:U40)</f>
        <v>0</v>
      </c>
      <c r="W40" s="74" t="e">
        <f>V40/V$38</f>
        <v>#DIV/0!</v>
      </c>
      <c r="X40" s="90"/>
      <c r="Y40" s="249">
        <v>0</v>
      </c>
      <c r="Z40" s="249">
        <v>0</v>
      </c>
      <c r="AA40" s="249">
        <v>0</v>
      </c>
      <c r="AB40" s="249">
        <v>0</v>
      </c>
      <c r="AC40" s="249">
        <v>0</v>
      </c>
      <c r="AD40" s="249">
        <v>0</v>
      </c>
      <c r="AE40" s="249">
        <v>0</v>
      </c>
      <c r="AF40" s="249">
        <v>0</v>
      </c>
      <c r="AG40" s="249">
        <v>0</v>
      </c>
      <c r="AH40" s="249">
        <v>0</v>
      </c>
      <c r="AI40" s="249">
        <v>0</v>
      </c>
      <c r="AJ40" s="249">
        <v>0</v>
      </c>
      <c r="AK40" s="249">
        <f>SUM(Y40:AJ40)</f>
        <v>0</v>
      </c>
      <c r="AL40" s="74" t="e">
        <f>AK40/AK$38</f>
        <v>#DIV/0!</v>
      </c>
      <c r="AM40" s="29">
        <f t="shared" si="5"/>
        <v>0</v>
      </c>
      <c r="AN40" s="9"/>
    </row>
    <row r="41" spans="1:40" hidden="1" outlineLevel="1">
      <c r="I41" s="31" t="s">
        <v>155</v>
      </c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>
        <f>SUM(J41:U41)</f>
        <v>0</v>
      </c>
      <c r="W41" s="74" t="e">
        <f>V41/V$38</f>
        <v>#DIV/0!</v>
      </c>
      <c r="X41" s="90"/>
      <c r="Y41" s="249">
        <v>0</v>
      </c>
      <c r="Z41" s="249">
        <v>0</v>
      </c>
      <c r="AA41" s="249">
        <v>0</v>
      </c>
      <c r="AB41" s="249">
        <v>0</v>
      </c>
      <c r="AC41" s="249">
        <v>0</v>
      </c>
      <c r="AD41" s="249">
        <v>0</v>
      </c>
      <c r="AE41" s="249">
        <v>0</v>
      </c>
      <c r="AF41" s="249">
        <v>0</v>
      </c>
      <c r="AG41" s="249">
        <v>0</v>
      </c>
      <c r="AH41" s="249">
        <v>0</v>
      </c>
      <c r="AI41" s="249">
        <v>0</v>
      </c>
      <c r="AJ41" s="249">
        <v>0</v>
      </c>
      <c r="AK41" s="249">
        <f>SUM(Y41:AJ41)</f>
        <v>0</v>
      </c>
      <c r="AL41" s="74" t="e">
        <f>AK41/AK$38</f>
        <v>#DIV/0!</v>
      </c>
      <c r="AM41" s="29">
        <f t="shared" si="5"/>
        <v>0</v>
      </c>
      <c r="AN41" s="9"/>
    </row>
    <row r="42" spans="1:40" collapsed="1">
      <c r="I42" s="18" t="s">
        <v>405</v>
      </c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0">
        <f>SUM(J42:U42)</f>
        <v>0</v>
      </c>
      <c r="W42" s="74"/>
      <c r="X42" s="90"/>
      <c r="Y42" s="251">
        <f t="shared" ref="Y42:AJ42" si="10">IFERROR(Y32/Y38,0)</f>
        <v>0</v>
      </c>
      <c r="Z42" s="251">
        <f t="shared" si="10"/>
        <v>0</v>
      </c>
      <c r="AA42" s="251">
        <f t="shared" si="10"/>
        <v>0</v>
      </c>
      <c r="AB42" s="251">
        <f t="shared" si="10"/>
        <v>0</v>
      </c>
      <c r="AC42" s="251">
        <f t="shared" si="10"/>
        <v>0</v>
      </c>
      <c r="AD42" s="251">
        <f t="shared" si="10"/>
        <v>0</v>
      </c>
      <c r="AE42" s="251">
        <f t="shared" si="10"/>
        <v>0</v>
      </c>
      <c r="AF42" s="251">
        <f t="shared" si="10"/>
        <v>0</v>
      </c>
      <c r="AG42" s="251">
        <f t="shared" si="10"/>
        <v>0</v>
      </c>
      <c r="AH42" s="251">
        <f t="shared" si="10"/>
        <v>0</v>
      </c>
      <c r="AI42" s="251">
        <f t="shared" si="10"/>
        <v>0</v>
      </c>
      <c r="AJ42" s="251">
        <f t="shared" si="10"/>
        <v>0</v>
      </c>
      <c r="AK42" s="250">
        <f>SUM(Y42:AJ42)</f>
        <v>0</v>
      </c>
      <c r="AL42" s="74"/>
      <c r="AM42" s="16">
        <f t="shared" si="5"/>
        <v>0</v>
      </c>
      <c r="AN42" s="9"/>
    </row>
    <row r="43" spans="1:40" hidden="1" outlineLevel="1">
      <c r="I43" s="31" t="s">
        <v>402</v>
      </c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>
        <f>IFERROR((V7-(V16+V19+V22+V24+V27))/V39,0)</f>
        <v>0</v>
      </c>
      <c r="W43" s="74"/>
      <c r="X43" s="90"/>
      <c r="Y43" s="248">
        <f t="shared" ref="Y43:AK44" si="11">IFERROR((Y7-(Y16+Y19+Y22+Y24+Y27))/Y39,0)</f>
        <v>0</v>
      </c>
      <c r="Z43" s="248">
        <f t="shared" si="11"/>
        <v>0</v>
      </c>
      <c r="AA43" s="248">
        <f t="shared" si="11"/>
        <v>0</v>
      </c>
      <c r="AB43" s="248">
        <f t="shared" si="11"/>
        <v>0</v>
      </c>
      <c r="AC43" s="248">
        <f t="shared" si="11"/>
        <v>0</v>
      </c>
      <c r="AD43" s="248">
        <f t="shared" si="11"/>
        <v>0</v>
      </c>
      <c r="AE43" s="248">
        <f t="shared" si="11"/>
        <v>0</v>
      </c>
      <c r="AF43" s="248">
        <f t="shared" si="11"/>
        <v>0</v>
      </c>
      <c r="AG43" s="248">
        <f t="shared" si="11"/>
        <v>0</v>
      </c>
      <c r="AH43" s="248">
        <f t="shared" si="11"/>
        <v>0</v>
      </c>
      <c r="AI43" s="248">
        <f t="shared" si="11"/>
        <v>0</v>
      </c>
      <c r="AJ43" s="248">
        <f t="shared" si="11"/>
        <v>0</v>
      </c>
      <c r="AK43" s="248">
        <f t="shared" si="11"/>
        <v>0</v>
      </c>
      <c r="AL43" s="74"/>
      <c r="AM43" s="29">
        <f t="shared" si="5"/>
        <v>0</v>
      </c>
      <c r="AN43" s="9"/>
    </row>
    <row r="44" spans="1:40" hidden="1" outlineLevel="1">
      <c r="I44" s="31" t="s">
        <v>403</v>
      </c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>
        <f>IFERROR((V8-(V17+V20+V23+V25+V28))/V40,0)</f>
        <v>0</v>
      </c>
      <c r="W44" s="74"/>
      <c r="X44" s="90"/>
      <c r="Y44" s="248">
        <f t="shared" si="11"/>
        <v>0</v>
      </c>
      <c r="Z44" s="248">
        <f t="shared" si="11"/>
        <v>0</v>
      </c>
      <c r="AA44" s="248">
        <f t="shared" si="11"/>
        <v>0</v>
      </c>
      <c r="AB44" s="248">
        <f t="shared" si="11"/>
        <v>0</v>
      </c>
      <c r="AC44" s="248">
        <f t="shared" si="11"/>
        <v>0</v>
      </c>
      <c r="AD44" s="248">
        <f t="shared" si="11"/>
        <v>0</v>
      </c>
      <c r="AE44" s="248">
        <f t="shared" si="11"/>
        <v>0</v>
      </c>
      <c r="AF44" s="248">
        <f t="shared" si="11"/>
        <v>0</v>
      </c>
      <c r="AG44" s="248">
        <f t="shared" si="11"/>
        <v>0</v>
      </c>
      <c r="AH44" s="248">
        <f t="shared" si="11"/>
        <v>0</v>
      </c>
      <c r="AI44" s="248">
        <f t="shared" si="11"/>
        <v>0</v>
      </c>
      <c r="AJ44" s="248">
        <f t="shared" si="11"/>
        <v>0</v>
      </c>
      <c r="AK44" s="248">
        <f t="shared" si="11"/>
        <v>0</v>
      </c>
      <c r="AL44" s="74"/>
      <c r="AM44" s="29">
        <f t="shared" si="5"/>
        <v>0</v>
      </c>
      <c r="AN44" s="9"/>
    </row>
    <row r="45" spans="1:40" hidden="1" outlineLevel="1">
      <c r="I45" s="31" t="s">
        <v>155</v>
      </c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>
        <f>IFERROR((V9-(V18+V21+V26))/V41,0)</f>
        <v>0</v>
      </c>
      <c r="W45" s="74"/>
      <c r="X45" s="90"/>
      <c r="Y45" s="248">
        <f t="shared" ref="Y45:AK45" si="12">IFERROR((Y9-(Y18+Y21+Y26))/Y41,0)</f>
        <v>0</v>
      </c>
      <c r="Z45" s="248">
        <f t="shared" si="12"/>
        <v>0</v>
      </c>
      <c r="AA45" s="248">
        <f t="shared" si="12"/>
        <v>0</v>
      </c>
      <c r="AB45" s="248">
        <f t="shared" si="12"/>
        <v>0</v>
      </c>
      <c r="AC45" s="248">
        <f t="shared" si="12"/>
        <v>0</v>
      </c>
      <c r="AD45" s="248">
        <f t="shared" si="12"/>
        <v>0</v>
      </c>
      <c r="AE45" s="248">
        <f t="shared" si="12"/>
        <v>0</v>
      </c>
      <c r="AF45" s="248">
        <f t="shared" si="12"/>
        <v>0</v>
      </c>
      <c r="AG45" s="248">
        <f t="shared" si="12"/>
        <v>0</v>
      </c>
      <c r="AH45" s="248">
        <f t="shared" si="12"/>
        <v>0</v>
      </c>
      <c r="AI45" s="248">
        <f t="shared" si="12"/>
        <v>0</v>
      </c>
      <c r="AJ45" s="248">
        <f t="shared" si="12"/>
        <v>0</v>
      </c>
      <c r="AK45" s="248">
        <f t="shared" si="12"/>
        <v>0</v>
      </c>
      <c r="AL45" s="74"/>
      <c r="AM45" s="29">
        <f t="shared" si="5"/>
        <v>0</v>
      </c>
      <c r="AN45" s="9"/>
    </row>
    <row r="47" spans="1:40">
      <c r="A47" s="21"/>
      <c r="B47" s="21"/>
      <c r="C47" s="21"/>
      <c r="D47" s="21"/>
      <c r="E47" s="7" t="s">
        <v>111</v>
      </c>
      <c r="I47" s="141" t="s">
        <v>159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0" ht="6" customHeight="1">
      <c r="A48" s="21"/>
      <c r="B48" s="21"/>
      <c r="C48" s="21"/>
      <c r="D48" s="21"/>
      <c r="E48" s="22"/>
      <c r="F48" s="21"/>
      <c r="G48" s="21"/>
      <c r="H48" s="21"/>
      <c r="I48" s="141"/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collapsed="1">
      <c r="A49" s="12" t="s">
        <v>157</v>
      </c>
      <c r="B49" s="19" t="s">
        <v>101</v>
      </c>
      <c r="I49" s="149" t="s">
        <v>161</v>
      </c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>
        <f>SUM(V50:V87)</f>
        <v>0</v>
      </c>
      <c r="W49" s="72" t="e">
        <f t="shared" ref="W49:W155" si="13">V49/V$6</f>
        <v>#DIV/0!</v>
      </c>
      <c r="X49" s="89"/>
      <c r="Y49" s="241">
        <f t="shared" ref="Y49:AK49" si="14">SUM(Y50:Y87)</f>
        <v>0</v>
      </c>
      <c r="Z49" s="241">
        <f t="shared" si="14"/>
        <v>0</v>
      </c>
      <c r="AA49" s="241">
        <f t="shared" si="14"/>
        <v>0</v>
      </c>
      <c r="AB49" s="241">
        <f t="shared" si="14"/>
        <v>0</v>
      </c>
      <c r="AC49" s="241">
        <f t="shared" si="14"/>
        <v>0</v>
      </c>
      <c r="AD49" s="241">
        <f t="shared" si="14"/>
        <v>0</v>
      </c>
      <c r="AE49" s="241">
        <f t="shared" si="14"/>
        <v>0</v>
      </c>
      <c r="AF49" s="241">
        <f t="shared" si="14"/>
        <v>0</v>
      </c>
      <c r="AG49" s="241">
        <f t="shared" si="14"/>
        <v>0</v>
      </c>
      <c r="AH49" s="241">
        <f t="shared" si="14"/>
        <v>0</v>
      </c>
      <c r="AI49" s="241">
        <f t="shared" si="14"/>
        <v>0</v>
      </c>
      <c r="AJ49" s="241">
        <f t="shared" si="14"/>
        <v>0</v>
      </c>
      <c r="AK49" s="241">
        <f t="shared" si="14"/>
        <v>0</v>
      </c>
      <c r="AL49" s="72" t="e">
        <f t="shared" ref="AL49:AL155" si="15">AK49/AK$6</f>
        <v>#DIV/0!</v>
      </c>
      <c r="AM49" s="10">
        <f t="shared" si="5"/>
        <v>0</v>
      </c>
      <c r="AN49" s="9"/>
    </row>
    <row r="50" spans="1:40" hidden="1" outlineLevel="1">
      <c r="A50" s="12" t="s">
        <v>157</v>
      </c>
      <c r="B50" s="8" t="s">
        <v>101</v>
      </c>
      <c r="C50" s="19" t="s">
        <v>158</v>
      </c>
      <c r="D50" s="12"/>
      <c r="E50" s="20"/>
      <c r="F50" s="12"/>
      <c r="G50" s="12"/>
      <c r="H50" s="12"/>
      <c r="I50" t="s">
        <v>162</v>
      </c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5">
        <f>SUM(J50:U50)</f>
        <v>0</v>
      </c>
      <c r="W50" s="73" t="e">
        <f t="shared" si="13"/>
        <v>#DIV/0!</v>
      </c>
      <c r="X50" s="89"/>
      <c r="Y50" s="244">
        <v>0</v>
      </c>
      <c r="Z50" s="244">
        <v>0</v>
      </c>
      <c r="AA50" s="244">
        <v>0</v>
      </c>
      <c r="AB50" s="244">
        <v>0</v>
      </c>
      <c r="AC50" s="244">
        <v>0</v>
      </c>
      <c r="AD50" s="244">
        <v>0</v>
      </c>
      <c r="AE50" s="244">
        <v>0</v>
      </c>
      <c r="AF50" s="244">
        <v>0</v>
      </c>
      <c r="AG50" s="244">
        <v>0</v>
      </c>
      <c r="AH50" s="244">
        <v>0</v>
      </c>
      <c r="AI50" s="244">
        <v>0</v>
      </c>
      <c r="AJ50" s="244">
        <v>0</v>
      </c>
      <c r="AK50" s="245">
        <f>SUM(Y50:AJ50)</f>
        <v>0</v>
      </c>
      <c r="AL50" s="73" t="e">
        <f t="shared" si="15"/>
        <v>#DIV/0!</v>
      </c>
      <c r="AM50" s="14">
        <f t="shared" si="5"/>
        <v>0</v>
      </c>
      <c r="AN50" s="9"/>
    </row>
    <row r="51" spans="1:40" hidden="1" outlineLevel="1">
      <c r="A51" s="12" t="s">
        <v>157</v>
      </c>
      <c r="B51" s="8" t="s">
        <v>101</v>
      </c>
      <c r="I51" t="s">
        <v>158</v>
      </c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5">
        <f t="shared" ref="V51:V72" si="16">SUM(J51:U51)</f>
        <v>0</v>
      </c>
      <c r="W51" s="73" t="e">
        <f t="shared" si="13"/>
        <v>#DIV/0!</v>
      </c>
      <c r="X51" s="89"/>
      <c r="Y51" s="244">
        <v>0</v>
      </c>
      <c r="Z51" s="244">
        <v>0</v>
      </c>
      <c r="AA51" s="244">
        <v>0</v>
      </c>
      <c r="AB51" s="244">
        <v>0</v>
      </c>
      <c r="AC51" s="244">
        <v>0</v>
      </c>
      <c r="AD51" s="244">
        <v>0</v>
      </c>
      <c r="AE51" s="244">
        <v>0</v>
      </c>
      <c r="AF51" s="244">
        <v>0</v>
      </c>
      <c r="AG51" s="244">
        <v>0</v>
      </c>
      <c r="AH51" s="244">
        <v>0</v>
      </c>
      <c r="AI51" s="244">
        <v>0</v>
      </c>
      <c r="AJ51" s="244">
        <v>0</v>
      </c>
      <c r="AK51" s="245">
        <f t="shared" ref="AK51:AK72" si="17">SUM(Y51:AJ51)</f>
        <v>0</v>
      </c>
      <c r="AL51" s="73" t="e">
        <f t="shared" si="15"/>
        <v>#DIV/0!</v>
      </c>
      <c r="AM51" s="14">
        <f t="shared" si="5"/>
        <v>0</v>
      </c>
      <c r="AN51" s="9"/>
    </row>
    <row r="52" spans="1:40" hidden="1" outlineLevel="1">
      <c r="A52" s="12" t="s">
        <v>157</v>
      </c>
      <c r="B52" s="8" t="s">
        <v>101</v>
      </c>
      <c r="I52" t="s">
        <v>199</v>
      </c>
      <c r="J52" s="244"/>
      <c r="K52" s="244"/>
      <c r="L52" s="244"/>
      <c r="M52" s="244"/>
      <c r="N52" s="244"/>
      <c r="O52" s="244"/>
      <c r="P52" s="244"/>
      <c r="Q52" s="244"/>
      <c r="R52" s="244"/>
      <c r="S52" s="244"/>
      <c r="T52" s="244"/>
      <c r="U52" s="244"/>
      <c r="V52" s="245">
        <f t="shared" si="16"/>
        <v>0</v>
      </c>
      <c r="W52" s="73" t="e">
        <f t="shared" si="13"/>
        <v>#DIV/0!</v>
      </c>
      <c r="X52" s="89"/>
      <c r="Y52" s="244">
        <v>0</v>
      </c>
      <c r="Z52" s="244">
        <v>0</v>
      </c>
      <c r="AA52" s="244">
        <v>0</v>
      </c>
      <c r="AB52" s="244">
        <v>0</v>
      </c>
      <c r="AC52" s="244">
        <v>0</v>
      </c>
      <c r="AD52" s="244">
        <v>0</v>
      </c>
      <c r="AE52" s="244">
        <v>0</v>
      </c>
      <c r="AF52" s="244">
        <v>0</v>
      </c>
      <c r="AG52" s="244">
        <v>0</v>
      </c>
      <c r="AH52" s="244">
        <v>0</v>
      </c>
      <c r="AI52" s="244">
        <v>0</v>
      </c>
      <c r="AJ52" s="244">
        <v>0</v>
      </c>
      <c r="AK52" s="245">
        <f t="shared" si="17"/>
        <v>0</v>
      </c>
      <c r="AL52" s="73" t="e">
        <f t="shared" si="15"/>
        <v>#DIV/0!</v>
      </c>
      <c r="AM52" s="14">
        <f t="shared" si="5"/>
        <v>0</v>
      </c>
      <c r="AN52" s="9"/>
    </row>
    <row r="53" spans="1:40" hidden="1" outlineLevel="1">
      <c r="A53" s="12" t="s">
        <v>157</v>
      </c>
      <c r="B53" s="8" t="s">
        <v>101</v>
      </c>
      <c r="I53" t="s">
        <v>164</v>
      </c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5">
        <f t="shared" si="16"/>
        <v>0</v>
      </c>
      <c r="W53" s="73" t="e">
        <f t="shared" si="13"/>
        <v>#DIV/0!</v>
      </c>
      <c r="X53" s="89"/>
      <c r="Y53" s="244">
        <v>0</v>
      </c>
      <c r="Z53" s="244">
        <v>0</v>
      </c>
      <c r="AA53" s="244">
        <v>0</v>
      </c>
      <c r="AB53" s="244">
        <v>0</v>
      </c>
      <c r="AC53" s="244">
        <v>0</v>
      </c>
      <c r="AD53" s="244">
        <v>0</v>
      </c>
      <c r="AE53" s="244">
        <v>0</v>
      </c>
      <c r="AF53" s="244">
        <v>0</v>
      </c>
      <c r="AG53" s="244">
        <v>0</v>
      </c>
      <c r="AH53" s="244">
        <v>0</v>
      </c>
      <c r="AI53" s="244">
        <v>0</v>
      </c>
      <c r="AJ53" s="244">
        <v>0</v>
      </c>
      <c r="AK53" s="245">
        <f t="shared" si="17"/>
        <v>0</v>
      </c>
      <c r="AL53" s="73" t="e">
        <f t="shared" si="15"/>
        <v>#DIV/0!</v>
      </c>
      <c r="AM53" s="14">
        <f t="shared" si="5"/>
        <v>0</v>
      </c>
      <c r="AN53" s="9"/>
    </row>
    <row r="54" spans="1:40" hidden="1" outlineLevel="1">
      <c r="A54" s="12" t="s">
        <v>157</v>
      </c>
      <c r="B54" s="8" t="s">
        <v>101</v>
      </c>
      <c r="C54" s="8" t="s">
        <v>160</v>
      </c>
      <c r="I54" t="s">
        <v>165</v>
      </c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5">
        <f t="shared" si="16"/>
        <v>0</v>
      </c>
      <c r="W54" s="73" t="e">
        <f t="shared" si="13"/>
        <v>#DIV/0!</v>
      </c>
      <c r="X54" s="89"/>
      <c r="Y54" s="244">
        <v>0</v>
      </c>
      <c r="Z54" s="244">
        <v>0</v>
      </c>
      <c r="AA54" s="244">
        <v>0</v>
      </c>
      <c r="AB54" s="244">
        <v>0</v>
      </c>
      <c r="AC54" s="244">
        <v>0</v>
      </c>
      <c r="AD54" s="244">
        <v>0</v>
      </c>
      <c r="AE54" s="244">
        <v>0</v>
      </c>
      <c r="AF54" s="244">
        <v>0</v>
      </c>
      <c r="AG54" s="244">
        <v>0</v>
      </c>
      <c r="AH54" s="244">
        <v>0</v>
      </c>
      <c r="AI54" s="244">
        <v>0</v>
      </c>
      <c r="AJ54" s="244">
        <v>0</v>
      </c>
      <c r="AK54" s="245">
        <f t="shared" si="17"/>
        <v>0</v>
      </c>
      <c r="AL54" s="73" t="e">
        <f t="shared" si="15"/>
        <v>#DIV/0!</v>
      </c>
      <c r="AM54" s="14">
        <f t="shared" si="5"/>
        <v>0</v>
      </c>
      <c r="AN54" s="9"/>
    </row>
    <row r="55" spans="1:40" hidden="1" outlineLevel="1">
      <c r="A55" s="12" t="s">
        <v>157</v>
      </c>
      <c r="B55" s="8" t="s">
        <v>101</v>
      </c>
      <c r="I55" t="s">
        <v>289</v>
      </c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5">
        <f t="shared" si="16"/>
        <v>0</v>
      </c>
      <c r="W55" s="73" t="e">
        <f t="shared" si="13"/>
        <v>#DIV/0!</v>
      </c>
      <c r="X55" s="89"/>
      <c r="Y55" s="244">
        <v>0</v>
      </c>
      <c r="Z55" s="244">
        <v>0</v>
      </c>
      <c r="AA55" s="244">
        <v>0</v>
      </c>
      <c r="AB55" s="244">
        <v>0</v>
      </c>
      <c r="AC55" s="244">
        <v>0</v>
      </c>
      <c r="AD55" s="244">
        <v>0</v>
      </c>
      <c r="AE55" s="244">
        <v>0</v>
      </c>
      <c r="AF55" s="244">
        <v>0</v>
      </c>
      <c r="AG55" s="244">
        <v>0</v>
      </c>
      <c r="AH55" s="244">
        <v>0</v>
      </c>
      <c r="AI55" s="244">
        <v>0</v>
      </c>
      <c r="AJ55" s="244">
        <v>0</v>
      </c>
      <c r="AK55" s="245">
        <f t="shared" si="17"/>
        <v>0</v>
      </c>
      <c r="AL55" s="73" t="e">
        <f t="shared" si="15"/>
        <v>#DIV/0!</v>
      </c>
      <c r="AM55" s="14">
        <f t="shared" si="5"/>
        <v>0</v>
      </c>
      <c r="AN55" s="9"/>
    </row>
    <row r="56" spans="1:40" hidden="1" outlineLevel="1">
      <c r="A56" s="12" t="s">
        <v>157</v>
      </c>
      <c r="B56" s="8" t="s">
        <v>101</v>
      </c>
      <c r="I56" t="s">
        <v>166</v>
      </c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5">
        <f t="shared" si="16"/>
        <v>0</v>
      </c>
      <c r="W56" s="73" t="e">
        <f t="shared" si="13"/>
        <v>#DIV/0!</v>
      </c>
      <c r="X56" s="89"/>
      <c r="Y56" s="244">
        <v>0</v>
      </c>
      <c r="Z56" s="244">
        <v>0</v>
      </c>
      <c r="AA56" s="244">
        <v>0</v>
      </c>
      <c r="AB56" s="244">
        <v>0</v>
      </c>
      <c r="AC56" s="244">
        <v>0</v>
      </c>
      <c r="AD56" s="244">
        <v>0</v>
      </c>
      <c r="AE56" s="244">
        <v>0</v>
      </c>
      <c r="AF56" s="244">
        <v>0</v>
      </c>
      <c r="AG56" s="244">
        <v>0</v>
      </c>
      <c r="AH56" s="244">
        <v>0</v>
      </c>
      <c r="AI56" s="244">
        <v>0</v>
      </c>
      <c r="AJ56" s="244">
        <v>0</v>
      </c>
      <c r="AK56" s="245">
        <f t="shared" si="17"/>
        <v>0</v>
      </c>
      <c r="AL56" s="73" t="e">
        <f t="shared" si="15"/>
        <v>#DIV/0!</v>
      </c>
      <c r="AM56" s="14">
        <f t="shared" si="5"/>
        <v>0</v>
      </c>
      <c r="AN56" s="9"/>
    </row>
    <row r="57" spans="1:40" hidden="1" outlineLevel="1">
      <c r="A57" s="12" t="s">
        <v>157</v>
      </c>
      <c r="B57" s="8" t="s">
        <v>101</v>
      </c>
      <c r="I57" t="s">
        <v>167</v>
      </c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4"/>
      <c r="U57" s="244"/>
      <c r="V57" s="245">
        <f t="shared" si="16"/>
        <v>0</v>
      </c>
      <c r="W57" s="73" t="e">
        <f t="shared" si="13"/>
        <v>#DIV/0!</v>
      </c>
      <c r="X57" s="89"/>
      <c r="Y57" s="244">
        <v>0</v>
      </c>
      <c r="Z57" s="244">
        <v>0</v>
      </c>
      <c r="AA57" s="244">
        <v>0</v>
      </c>
      <c r="AB57" s="244">
        <v>0</v>
      </c>
      <c r="AC57" s="244">
        <v>0</v>
      </c>
      <c r="AD57" s="244">
        <v>0</v>
      </c>
      <c r="AE57" s="244">
        <v>0</v>
      </c>
      <c r="AF57" s="244">
        <v>0</v>
      </c>
      <c r="AG57" s="244">
        <v>0</v>
      </c>
      <c r="AH57" s="244">
        <v>0</v>
      </c>
      <c r="AI57" s="244">
        <v>0</v>
      </c>
      <c r="AJ57" s="244">
        <v>0</v>
      </c>
      <c r="AK57" s="245">
        <f t="shared" si="17"/>
        <v>0</v>
      </c>
      <c r="AL57" s="73" t="e">
        <f t="shared" si="15"/>
        <v>#DIV/0!</v>
      </c>
      <c r="AM57" s="14">
        <f t="shared" si="5"/>
        <v>0</v>
      </c>
      <c r="AN57" s="9"/>
    </row>
    <row r="58" spans="1:40" hidden="1" outlineLevel="1">
      <c r="A58" s="12" t="s">
        <v>157</v>
      </c>
      <c r="B58" s="8" t="s">
        <v>101</v>
      </c>
      <c r="I58" t="s">
        <v>287</v>
      </c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5">
        <f t="shared" si="16"/>
        <v>0</v>
      </c>
      <c r="W58" s="73" t="e">
        <f t="shared" si="13"/>
        <v>#DIV/0!</v>
      </c>
      <c r="X58" s="89"/>
      <c r="Y58" s="244">
        <v>0</v>
      </c>
      <c r="Z58" s="244">
        <v>0</v>
      </c>
      <c r="AA58" s="244">
        <v>0</v>
      </c>
      <c r="AB58" s="244">
        <v>0</v>
      </c>
      <c r="AC58" s="244">
        <v>0</v>
      </c>
      <c r="AD58" s="244">
        <v>0</v>
      </c>
      <c r="AE58" s="244">
        <v>0</v>
      </c>
      <c r="AF58" s="244">
        <v>0</v>
      </c>
      <c r="AG58" s="244">
        <v>0</v>
      </c>
      <c r="AH58" s="244">
        <v>0</v>
      </c>
      <c r="AI58" s="244">
        <v>0</v>
      </c>
      <c r="AJ58" s="244">
        <v>0</v>
      </c>
      <c r="AK58" s="245">
        <f t="shared" si="17"/>
        <v>0</v>
      </c>
      <c r="AL58" s="73" t="e">
        <f t="shared" si="15"/>
        <v>#DIV/0!</v>
      </c>
      <c r="AM58" s="14">
        <f t="shared" si="5"/>
        <v>0</v>
      </c>
      <c r="AN58" s="9"/>
    </row>
    <row r="59" spans="1:40" hidden="1" outlineLevel="1">
      <c r="A59" s="12" t="s">
        <v>157</v>
      </c>
      <c r="B59" s="8" t="s">
        <v>101</v>
      </c>
      <c r="I59" t="s">
        <v>172</v>
      </c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5">
        <f t="shared" si="16"/>
        <v>0</v>
      </c>
      <c r="W59" s="73" t="e">
        <f t="shared" si="13"/>
        <v>#DIV/0!</v>
      </c>
      <c r="X59" s="89"/>
      <c r="Y59" s="244">
        <v>0</v>
      </c>
      <c r="Z59" s="244">
        <v>0</v>
      </c>
      <c r="AA59" s="244">
        <v>0</v>
      </c>
      <c r="AB59" s="244">
        <v>0</v>
      </c>
      <c r="AC59" s="244">
        <v>0</v>
      </c>
      <c r="AD59" s="244">
        <v>0</v>
      </c>
      <c r="AE59" s="244">
        <v>0</v>
      </c>
      <c r="AF59" s="244">
        <v>0</v>
      </c>
      <c r="AG59" s="244">
        <v>0</v>
      </c>
      <c r="AH59" s="244">
        <v>0</v>
      </c>
      <c r="AI59" s="244">
        <v>0</v>
      </c>
      <c r="AJ59" s="244">
        <v>0</v>
      </c>
      <c r="AK59" s="245">
        <f t="shared" si="17"/>
        <v>0</v>
      </c>
      <c r="AL59" s="73" t="e">
        <f t="shared" si="15"/>
        <v>#DIV/0!</v>
      </c>
      <c r="AM59" s="14">
        <f t="shared" si="5"/>
        <v>0</v>
      </c>
      <c r="AN59" s="9"/>
    </row>
    <row r="60" spans="1:40" hidden="1" outlineLevel="1">
      <c r="A60" s="12" t="s">
        <v>157</v>
      </c>
      <c r="B60" s="8" t="s">
        <v>101</v>
      </c>
      <c r="I60" t="s">
        <v>163</v>
      </c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5">
        <f t="shared" si="16"/>
        <v>0</v>
      </c>
      <c r="W60" s="73" t="e">
        <f t="shared" si="13"/>
        <v>#DIV/0!</v>
      </c>
      <c r="X60" s="89"/>
      <c r="Y60" s="244">
        <v>0</v>
      </c>
      <c r="Z60" s="244">
        <v>0</v>
      </c>
      <c r="AA60" s="244">
        <v>0</v>
      </c>
      <c r="AB60" s="244">
        <v>0</v>
      </c>
      <c r="AC60" s="244">
        <v>0</v>
      </c>
      <c r="AD60" s="244">
        <v>0</v>
      </c>
      <c r="AE60" s="244">
        <v>0</v>
      </c>
      <c r="AF60" s="244">
        <v>0</v>
      </c>
      <c r="AG60" s="244">
        <v>0</v>
      </c>
      <c r="AH60" s="244">
        <v>0</v>
      </c>
      <c r="AI60" s="244">
        <v>0</v>
      </c>
      <c r="AJ60" s="244">
        <v>0</v>
      </c>
      <c r="AK60" s="245">
        <f t="shared" si="17"/>
        <v>0</v>
      </c>
      <c r="AL60" s="73" t="e">
        <f t="shared" si="15"/>
        <v>#DIV/0!</v>
      </c>
      <c r="AM60" s="14">
        <f t="shared" si="5"/>
        <v>0</v>
      </c>
      <c r="AN60" s="9"/>
    </row>
    <row r="61" spans="1:40" hidden="1" outlineLevel="1">
      <c r="A61" s="12" t="s">
        <v>157</v>
      </c>
      <c r="B61" s="8" t="s">
        <v>101</v>
      </c>
      <c r="I61" t="s">
        <v>173</v>
      </c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5">
        <f t="shared" si="16"/>
        <v>0</v>
      </c>
      <c r="W61" s="73" t="e">
        <f t="shared" si="13"/>
        <v>#DIV/0!</v>
      </c>
      <c r="X61" s="89"/>
      <c r="Y61" s="244">
        <v>0</v>
      </c>
      <c r="Z61" s="244">
        <v>0</v>
      </c>
      <c r="AA61" s="244">
        <v>0</v>
      </c>
      <c r="AB61" s="244">
        <v>0</v>
      </c>
      <c r="AC61" s="244">
        <v>0</v>
      </c>
      <c r="AD61" s="244">
        <v>0</v>
      </c>
      <c r="AE61" s="244">
        <v>0</v>
      </c>
      <c r="AF61" s="244">
        <v>0</v>
      </c>
      <c r="AG61" s="244">
        <v>0</v>
      </c>
      <c r="AH61" s="244">
        <v>0</v>
      </c>
      <c r="AI61" s="244">
        <v>0</v>
      </c>
      <c r="AJ61" s="244">
        <v>0</v>
      </c>
      <c r="AK61" s="245">
        <f t="shared" si="17"/>
        <v>0</v>
      </c>
      <c r="AL61" s="73" t="e">
        <f t="shared" si="15"/>
        <v>#DIV/0!</v>
      </c>
      <c r="AM61" s="14">
        <f t="shared" si="5"/>
        <v>0</v>
      </c>
      <c r="AN61" s="9"/>
    </row>
    <row r="62" spans="1:40" hidden="1" outlineLevel="1">
      <c r="A62" s="12" t="s">
        <v>157</v>
      </c>
      <c r="B62" s="8" t="s">
        <v>101</v>
      </c>
      <c r="I62" t="s">
        <v>174</v>
      </c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5">
        <f t="shared" si="16"/>
        <v>0</v>
      </c>
      <c r="W62" s="73" t="e">
        <f t="shared" si="13"/>
        <v>#DIV/0!</v>
      </c>
      <c r="X62" s="89"/>
      <c r="Y62" s="244">
        <v>0</v>
      </c>
      <c r="Z62" s="244">
        <v>0</v>
      </c>
      <c r="AA62" s="244">
        <v>0</v>
      </c>
      <c r="AB62" s="244">
        <v>0</v>
      </c>
      <c r="AC62" s="244">
        <v>0</v>
      </c>
      <c r="AD62" s="244">
        <v>0</v>
      </c>
      <c r="AE62" s="244">
        <v>0</v>
      </c>
      <c r="AF62" s="244">
        <v>0</v>
      </c>
      <c r="AG62" s="244">
        <v>0</v>
      </c>
      <c r="AH62" s="244">
        <v>0</v>
      </c>
      <c r="AI62" s="244">
        <v>0</v>
      </c>
      <c r="AJ62" s="244">
        <v>0</v>
      </c>
      <c r="AK62" s="245">
        <f t="shared" si="17"/>
        <v>0</v>
      </c>
      <c r="AL62" s="73" t="e">
        <f t="shared" si="15"/>
        <v>#DIV/0!</v>
      </c>
      <c r="AM62" s="14">
        <f t="shared" si="5"/>
        <v>0</v>
      </c>
      <c r="AN62" s="9"/>
    </row>
    <row r="63" spans="1:40" hidden="1" outlineLevel="1">
      <c r="A63" s="12" t="s">
        <v>157</v>
      </c>
      <c r="B63" s="8" t="s">
        <v>101</v>
      </c>
      <c r="I63" t="s">
        <v>175</v>
      </c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5">
        <f t="shared" si="16"/>
        <v>0</v>
      </c>
      <c r="W63" s="73" t="e">
        <f t="shared" si="13"/>
        <v>#DIV/0!</v>
      </c>
      <c r="X63" s="89"/>
      <c r="Y63" s="244">
        <v>0</v>
      </c>
      <c r="Z63" s="244">
        <v>0</v>
      </c>
      <c r="AA63" s="244">
        <v>0</v>
      </c>
      <c r="AB63" s="244">
        <v>0</v>
      </c>
      <c r="AC63" s="244">
        <v>0</v>
      </c>
      <c r="AD63" s="244">
        <v>0</v>
      </c>
      <c r="AE63" s="244">
        <v>0</v>
      </c>
      <c r="AF63" s="244">
        <v>0</v>
      </c>
      <c r="AG63" s="244">
        <v>0</v>
      </c>
      <c r="AH63" s="244">
        <v>0</v>
      </c>
      <c r="AI63" s="244">
        <v>0</v>
      </c>
      <c r="AJ63" s="244">
        <v>0</v>
      </c>
      <c r="AK63" s="245">
        <f t="shared" si="17"/>
        <v>0</v>
      </c>
      <c r="AL63" s="73" t="e">
        <f t="shared" si="15"/>
        <v>#DIV/0!</v>
      </c>
      <c r="AM63" s="14">
        <f t="shared" si="5"/>
        <v>0</v>
      </c>
      <c r="AN63" s="9"/>
    </row>
    <row r="64" spans="1:40" hidden="1" outlineLevel="1">
      <c r="A64" s="12" t="s">
        <v>157</v>
      </c>
      <c r="B64" s="8" t="s">
        <v>101</v>
      </c>
      <c r="I64" t="s">
        <v>284</v>
      </c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5">
        <f t="shared" si="16"/>
        <v>0</v>
      </c>
      <c r="W64" s="73" t="e">
        <f t="shared" si="13"/>
        <v>#DIV/0!</v>
      </c>
      <c r="X64" s="89"/>
      <c r="Y64" s="244">
        <v>0</v>
      </c>
      <c r="Z64" s="244">
        <v>0</v>
      </c>
      <c r="AA64" s="244">
        <v>0</v>
      </c>
      <c r="AB64" s="244">
        <v>0</v>
      </c>
      <c r="AC64" s="244">
        <v>0</v>
      </c>
      <c r="AD64" s="244">
        <v>0</v>
      </c>
      <c r="AE64" s="244">
        <v>0</v>
      </c>
      <c r="AF64" s="244">
        <v>0</v>
      </c>
      <c r="AG64" s="244">
        <v>0</v>
      </c>
      <c r="AH64" s="244">
        <v>0</v>
      </c>
      <c r="AI64" s="244">
        <v>0</v>
      </c>
      <c r="AJ64" s="244">
        <v>0</v>
      </c>
      <c r="AK64" s="245">
        <f t="shared" si="17"/>
        <v>0</v>
      </c>
      <c r="AL64" s="73" t="e">
        <f t="shared" si="15"/>
        <v>#DIV/0!</v>
      </c>
      <c r="AM64" s="14">
        <f t="shared" si="5"/>
        <v>0</v>
      </c>
      <c r="AN64" s="9"/>
    </row>
    <row r="65" spans="1:40" hidden="1" outlineLevel="1">
      <c r="A65" s="12" t="s">
        <v>157</v>
      </c>
      <c r="B65" s="8" t="s">
        <v>101</v>
      </c>
      <c r="I65" t="s">
        <v>176</v>
      </c>
      <c r="J65" s="244"/>
      <c r="K65" s="244"/>
      <c r="L65" s="244"/>
      <c r="M65" s="244"/>
      <c r="N65" s="244"/>
      <c r="O65" s="244"/>
      <c r="P65" s="244"/>
      <c r="Q65" s="244"/>
      <c r="R65" s="244"/>
      <c r="S65" s="244"/>
      <c r="T65" s="244"/>
      <c r="U65" s="244"/>
      <c r="V65" s="245">
        <f t="shared" si="16"/>
        <v>0</v>
      </c>
      <c r="W65" s="73" t="e">
        <f t="shared" si="13"/>
        <v>#DIV/0!</v>
      </c>
      <c r="X65" s="89"/>
      <c r="Y65" s="244">
        <v>0</v>
      </c>
      <c r="Z65" s="244">
        <v>0</v>
      </c>
      <c r="AA65" s="244">
        <v>0</v>
      </c>
      <c r="AB65" s="244">
        <v>0</v>
      </c>
      <c r="AC65" s="244">
        <v>0</v>
      </c>
      <c r="AD65" s="244">
        <v>0</v>
      </c>
      <c r="AE65" s="244">
        <v>0</v>
      </c>
      <c r="AF65" s="244">
        <v>0</v>
      </c>
      <c r="AG65" s="244">
        <v>0</v>
      </c>
      <c r="AH65" s="244">
        <v>0</v>
      </c>
      <c r="AI65" s="244">
        <v>0</v>
      </c>
      <c r="AJ65" s="244">
        <v>0</v>
      </c>
      <c r="AK65" s="245">
        <f t="shared" si="17"/>
        <v>0</v>
      </c>
      <c r="AL65" s="73" t="e">
        <f t="shared" si="15"/>
        <v>#DIV/0!</v>
      </c>
      <c r="AM65" s="14">
        <f t="shared" si="5"/>
        <v>0</v>
      </c>
      <c r="AN65" s="9"/>
    </row>
    <row r="66" spans="1:40" hidden="1" outlineLevel="1">
      <c r="A66" s="12" t="s">
        <v>157</v>
      </c>
      <c r="B66" s="8" t="s">
        <v>101</v>
      </c>
      <c r="I66" t="s">
        <v>177</v>
      </c>
      <c r="J66" s="244"/>
      <c r="K66" s="244"/>
      <c r="L66" s="244"/>
      <c r="M66" s="244"/>
      <c r="N66" s="244"/>
      <c r="O66" s="244"/>
      <c r="P66" s="244"/>
      <c r="Q66" s="244"/>
      <c r="R66" s="244"/>
      <c r="S66" s="244"/>
      <c r="T66" s="244"/>
      <c r="U66" s="244"/>
      <c r="V66" s="245">
        <f t="shared" si="16"/>
        <v>0</v>
      </c>
      <c r="W66" s="73" t="e">
        <f t="shared" si="13"/>
        <v>#DIV/0!</v>
      </c>
      <c r="X66" s="89"/>
      <c r="Y66" s="244">
        <v>0</v>
      </c>
      <c r="Z66" s="244">
        <v>0</v>
      </c>
      <c r="AA66" s="244">
        <v>0</v>
      </c>
      <c r="AB66" s="244">
        <v>0</v>
      </c>
      <c r="AC66" s="244">
        <v>0</v>
      </c>
      <c r="AD66" s="244">
        <v>0</v>
      </c>
      <c r="AE66" s="244">
        <v>0</v>
      </c>
      <c r="AF66" s="244">
        <v>0</v>
      </c>
      <c r="AG66" s="244">
        <v>0</v>
      </c>
      <c r="AH66" s="244">
        <v>0</v>
      </c>
      <c r="AI66" s="244">
        <v>0</v>
      </c>
      <c r="AJ66" s="244">
        <v>0</v>
      </c>
      <c r="AK66" s="245">
        <f t="shared" si="17"/>
        <v>0</v>
      </c>
      <c r="AL66" s="73" t="e">
        <f t="shared" si="15"/>
        <v>#DIV/0!</v>
      </c>
      <c r="AM66" s="14">
        <f t="shared" si="5"/>
        <v>0</v>
      </c>
      <c r="AN66" s="9"/>
    </row>
    <row r="67" spans="1:40" hidden="1" outlineLevel="1">
      <c r="A67" s="12" t="s">
        <v>157</v>
      </c>
      <c r="B67" s="8" t="s">
        <v>101</v>
      </c>
      <c r="I67" t="s">
        <v>178</v>
      </c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5">
        <f t="shared" si="16"/>
        <v>0</v>
      </c>
      <c r="W67" s="73" t="e">
        <f t="shared" si="13"/>
        <v>#DIV/0!</v>
      </c>
      <c r="X67" s="89"/>
      <c r="Y67" s="244">
        <v>0</v>
      </c>
      <c r="Z67" s="244">
        <v>0</v>
      </c>
      <c r="AA67" s="244">
        <v>0</v>
      </c>
      <c r="AB67" s="244">
        <v>0</v>
      </c>
      <c r="AC67" s="244">
        <v>0</v>
      </c>
      <c r="AD67" s="244">
        <v>0</v>
      </c>
      <c r="AE67" s="244">
        <v>0</v>
      </c>
      <c r="AF67" s="244">
        <v>0</v>
      </c>
      <c r="AG67" s="244">
        <v>0</v>
      </c>
      <c r="AH67" s="244">
        <v>0</v>
      </c>
      <c r="AI67" s="244">
        <v>0</v>
      </c>
      <c r="AJ67" s="244">
        <v>0</v>
      </c>
      <c r="AK67" s="245">
        <f t="shared" si="17"/>
        <v>0</v>
      </c>
      <c r="AL67" s="73" t="e">
        <f t="shared" si="15"/>
        <v>#DIV/0!</v>
      </c>
      <c r="AM67" s="14">
        <f t="shared" si="5"/>
        <v>0</v>
      </c>
      <c r="AN67" s="9"/>
    </row>
    <row r="68" spans="1:40" hidden="1" outlineLevel="1">
      <c r="A68" s="12" t="s">
        <v>157</v>
      </c>
      <c r="B68" s="8" t="s">
        <v>101</v>
      </c>
      <c r="I68" t="s">
        <v>179</v>
      </c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5">
        <f t="shared" si="16"/>
        <v>0</v>
      </c>
      <c r="W68" s="73" t="e">
        <f t="shared" si="13"/>
        <v>#DIV/0!</v>
      </c>
      <c r="X68" s="89"/>
      <c r="Y68" s="244">
        <v>0</v>
      </c>
      <c r="Z68" s="244">
        <v>0</v>
      </c>
      <c r="AA68" s="244">
        <v>0</v>
      </c>
      <c r="AB68" s="244">
        <v>0</v>
      </c>
      <c r="AC68" s="244">
        <v>0</v>
      </c>
      <c r="AD68" s="244">
        <v>0</v>
      </c>
      <c r="AE68" s="244">
        <v>0</v>
      </c>
      <c r="AF68" s="244">
        <v>0</v>
      </c>
      <c r="AG68" s="244">
        <v>0</v>
      </c>
      <c r="AH68" s="244">
        <v>0</v>
      </c>
      <c r="AI68" s="244">
        <v>0</v>
      </c>
      <c r="AJ68" s="244">
        <v>0</v>
      </c>
      <c r="AK68" s="245">
        <f t="shared" si="17"/>
        <v>0</v>
      </c>
      <c r="AL68" s="73" t="e">
        <f t="shared" si="15"/>
        <v>#DIV/0!</v>
      </c>
      <c r="AM68" s="14">
        <f t="shared" si="5"/>
        <v>0</v>
      </c>
      <c r="AN68" s="9"/>
    </row>
    <row r="69" spans="1:40" hidden="1" outlineLevel="1">
      <c r="A69" s="12" t="s">
        <v>157</v>
      </c>
      <c r="B69" s="8" t="s">
        <v>101</v>
      </c>
      <c r="I69" t="s">
        <v>181</v>
      </c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5">
        <f t="shared" si="16"/>
        <v>0</v>
      </c>
      <c r="W69" s="73" t="e">
        <f t="shared" si="13"/>
        <v>#DIV/0!</v>
      </c>
      <c r="X69" s="89"/>
      <c r="Y69" s="244">
        <v>0</v>
      </c>
      <c r="Z69" s="244">
        <v>0</v>
      </c>
      <c r="AA69" s="244">
        <v>0</v>
      </c>
      <c r="AB69" s="244">
        <v>0</v>
      </c>
      <c r="AC69" s="244">
        <v>0</v>
      </c>
      <c r="AD69" s="244">
        <v>0</v>
      </c>
      <c r="AE69" s="244">
        <v>0</v>
      </c>
      <c r="AF69" s="244">
        <v>0</v>
      </c>
      <c r="AG69" s="244">
        <v>0</v>
      </c>
      <c r="AH69" s="244">
        <v>0</v>
      </c>
      <c r="AI69" s="244">
        <v>0</v>
      </c>
      <c r="AJ69" s="244">
        <v>0</v>
      </c>
      <c r="AK69" s="245">
        <f t="shared" si="17"/>
        <v>0</v>
      </c>
      <c r="AL69" s="73" t="e">
        <f t="shared" si="15"/>
        <v>#DIV/0!</v>
      </c>
      <c r="AM69" s="14">
        <f t="shared" si="5"/>
        <v>0</v>
      </c>
      <c r="AN69" s="9"/>
    </row>
    <row r="70" spans="1:40" hidden="1" outlineLevel="1">
      <c r="A70" s="12" t="s">
        <v>157</v>
      </c>
      <c r="B70" s="8" t="s">
        <v>101</v>
      </c>
      <c r="I70" t="s">
        <v>182</v>
      </c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5">
        <f t="shared" si="16"/>
        <v>0</v>
      </c>
      <c r="W70" s="73" t="e">
        <f t="shared" si="13"/>
        <v>#DIV/0!</v>
      </c>
      <c r="X70" s="89"/>
      <c r="Y70" s="244">
        <v>0</v>
      </c>
      <c r="Z70" s="244">
        <v>0</v>
      </c>
      <c r="AA70" s="244">
        <v>0</v>
      </c>
      <c r="AB70" s="244">
        <v>0</v>
      </c>
      <c r="AC70" s="244">
        <v>0</v>
      </c>
      <c r="AD70" s="244">
        <v>0</v>
      </c>
      <c r="AE70" s="244">
        <v>0</v>
      </c>
      <c r="AF70" s="244">
        <v>0</v>
      </c>
      <c r="AG70" s="244">
        <v>0</v>
      </c>
      <c r="AH70" s="244">
        <v>0</v>
      </c>
      <c r="AI70" s="244">
        <v>0</v>
      </c>
      <c r="AJ70" s="244">
        <v>0</v>
      </c>
      <c r="AK70" s="245">
        <f t="shared" si="17"/>
        <v>0</v>
      </c>
      <c r="AL70" s="73" t="e">
        <f t="shared" si="15"/>
        <v>#DIV/0!</v>
      </c>
      <c r="AM70" s="14">
        <f t="shared" si="5"/>
        <v>0</v>
      </c>
      <c r="AN70" s="9"/>
    </row>
    <row r="71" spans="1:40" hidden="1" outlineLevel="1">
      <c r="A71" s="12" t="s">
        <v>157</v>
      </c>
      <c r="B71" s="8" t="s">
        <v>101</v>
      </c>
      <c r="I71" t="s">
        <v>184</v>
      </c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244"/>
      <c r="U71" s="244"/>
      <c r="V71" s="245">
        <f t="shared" si="16"/>
        <v>0</v>
      </c>
      <c r="W71" s="73" t="e">
        <f t="shared" si="13"/>
        <v>#DIV/0!</v>
      </c>
      <c r="X71" s="89"/>
      <c r="Y71" s="244">
        <v>0</v>
      </c>
      <c r="Z71" s="244">
        <v>0</v>
      </c>
      <c r="AA71" s="244">
        <v>0</v>
      </c>
      <c r="AB71" s="244">
        <v>0</v>
      </c>
      <c r="AC71" s="244">
        <v>0</v>
      </c>
      <c r="AD71" s="244">
        <v>0</v>
      </c>
      <c r="AE71" s="244">
        <v>0</v>
      </c>
      <c r="AF71" s="244">
        <v>0</v>
      </c>
      <c r="AG71" s="244">
        <v>0</v>
      </c>
      <c r="AH71" s="244">
        <v>0</v>
      </c>
      <c r="AI71" s="244">
        <v>0</v>
      </c>
      <c r="AJ71" s="244">
        <v>0</v>
      </c>
      <c r="AK71" s="245">
        <f t="shared" si="17"/>
        <v>0</v>
      </c>
      <c r="AL71" s="73" t="e">
        <f t="shared" si="15"/>
        <v>#DIV/0!</v>
      </c>
      <c r="AM71" s="14">
        <f t="shared" si="5"/>
        <v>0</v>
      </c>
      <c r="AN71" s="9"/>
    </row>
    <row r="72" spans="1:40" hidden="1" outlineLevel="1">
      <c r="A72" s="12" t="s">
        <v>157</v>
      </c>
      <c r="B72" s="8" t="s">
        <v>101</v>
      </c>
      <c r="I72" t="s">
        <v>171</v>
      </c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244"/>
      <c r="U72" s="244"/>
      <c r="V72" s="245">
        <f t="shared" si="16"/>
        <v>0</v>
      </c>
      <c r="W72" s="73" t="e">
        <f t="shared" si="13"/>
        <v>#DIV/0!</v>
      </c>
      <c r="X72" s="89"/>
      <c r="Y72" s="244">
        <v>0</v>
      </c>
      <c r="Z72" s="244">
        <v>0</v>
      </c>
      <c r="AA72" s="244">
        <v>0</v>
      </c>
      <c r="AB72" s="244">
        <v>0</v>
      </c>
      <c r="AC72" s="244">
        <v>0</v>
      </c>
      <c r="AD72" s="244">
        <v>0</v>
      </c>
      <c r="AE72" s="244">
        <v>0</v>
      </c>
      <c r="AF72" s="244">
        <v>0</v>
      </c>
      <c r="AG72" s="244">
        <v>0</v>
      </c>
      <c r="AH72" s="244">
        <v>0</v>
      </c>
      <c r="AI72" s="244">
        <v>0</v>
      </c>
      <c r="AJ72" s="244">
        <v>0</v>
      </c>
      <c r="AK72" s="245">
        <f t="shared" si="17"/>
        <v>0</v>
      </c>
      <c r="AL72" s="73" t="e">
        <f t="shared" si="15"/>
        <v>#DIV/0!</v>
      </c>
      <c r="AM72" s="14">
        <f t="shared" si="5"/>
        <v>0</v>
      </c>
      <c r="AN72" s="9"/>
    </row>
    <row r="73" spans="1:40" hidden="1" outlineLevel="1">
      <c r="A73" s="12"/>
      <c r="I73" t="s">
        <v>283</v>
      </c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5"/>
      <c r="W73" s="73"/>
      <c r="X73" s="89"/>
      <c r="Y73" s="244"/>
      <c r="Z73" s="244"/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5"/>
      <c r="AL73" s="73"/>
      <c r="AM73" s="14"/>
      <c r="AN73" s="9"/>
    </row>
    <row r="74" spans="1:40" hidden="1" outlineLevel="1">
      <c r="A74" s="12"/>
      <c r="I74" t="s">
        <v>185</v>
      </c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244"/>
      <c r="U74" s="244"/>
      <c r="V74" s="245"/>
      <c r="W74" s="73"/>
      <c r="X74" s="89"/>
      <c r="Y74" s="244"/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5"/>
      <c r="AL74" s="73"/>
      <c r="AM74" s="14"/>
      <c r="AN74" s="9"/>
    </row>
    <row r="75" spans="1:40" hidden="1" outlineLevel="1">
      <c r="A75" s="12"/>
      <c r="I75" t="s">
        <v>186</v>
      </c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244"/>
      <c r="U75" s="244"/>
      <c r="V75" s="245"/>
      <c r="W75" s="73"/>
      <c r="X75" s="89"/>
      <c r="Y75" s="244"/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5"/>
      <c r="AL75" s="73"/>
      <c r="AM75" s="14"/>
      <c r="AN75" s="9"/>
    </row>
    <row r="76" spans="1:40" hidden="1" outlineLevel="1">
      <c r="A76" s="12"/>
      <c r="I76" t="s">
        <v>187</v>
      </c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244"/>
      <c r="U76" s="244"/>
      <c r="V76" s="245"/>
      <c r="W76" s="73"/>
      <c r="X76" s="89"/>
      <c r="Y76" s="244"/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5"/>
      <c r="AL76" s="73"/>
      <c r="AM76" s="14"/>
      <c r="AN76" s="9"/>
    </row>
    <row r="77" spans="1:40" hidden="1" outlineLevel="1">
      <c r="A77" s="12"/>
      <c r="I77" t="s">
        <v>188</v>
      </c>
      <c r="J77" s="244"/>
      <c r="K77" s="244"/>
      <c r="L77" s="244"/>
      <c r="M77" s="244"/>
      <c r="N77" s="244"/>
      <c r="O77" s="244"/>
      <c r="P77" s="244"/>
      <c r="Q77" s="244"/>
      <c r="R77" s="244"/>
      <c r="S77" s="244"/>
      <c r="T77" s="244"/>
      <c r="U77" s="244"/>
      <c r="V77" s="245"/>
      <c r="W77" s="73"/>
      <c r="X77" s="89"/>
      <c r="Y77" s="244"/>
      <c r="Z77" s="244"/>
      <c r="AA77" s="244"/>
      <c r="AB77" s="244"/>
      <c r="AC77" s="244"/>
      <c r="AD77" s="244"/>
      <c r="AE77" s="244"/>
      <c r="AF77" s="244"/>
      <c r="AG77" s="244"/>
      <c r="AH77" s="244"/>
      <c r="AI77" s="244"/>
      <c r="AJ77" s="244"/>
      <c r="AK77" s="245"/>
      <c r="AL77" s="73"/>
      <c r="AM77" s="14"/>
      <c r="AN77" s="9"/>
    </row>
    <row r="78" spans="1:40" hidden="1" outlineLevel="1">
      <c r="A78" s="12"/>
      <c r="I78" t="s">
        <v>189</v>
      </c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5"/>
      <c r="W78" s="73"/>
      <c r="X78" s="89"/>
      <c r="Y78" s="244"/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5"/>
      <c r="AL78" s="73"/>
      <c r="AM78" s="14"/>
      <c r="AN78" s="9"/>
    </row>
    <row r="79" spans="1:40" hidden="1" outlineLevel="1">
      <c r="A79" s="12"/>
      <c r="I79" t="s">
        <v>190</v>
      </c>
      <c r="J79" s="244"/>
      <c r="K79" s="244"/>
      <c r="L79" s="244"/>
      <c r="M79" s="244"/>
      <c r="N79" s="244"/>
      <c r="O79" s="244"/>
      <c r="P79" s="244"/>
      <c r="Q79" s="244"/>
      <c r="R79" s="244"/>
      <c r="S79" s="244"/>
      <c r="T79" s="244"/>
      <c r="U79" s="244"/>
      <c r="V79" s="245"/>
      <c r="W79" s="73"/>
      <c r="X79" s="89"/>
      <c r="Y79" s="24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5"/>
      <c r="AL79" s="73"/>
      <c r="AM79" s="14"/>
      <c r="AN79" s="9"/>
    </row>
    <row r="80" spans="1:40" hidden="1" outlineLevel="1">
      <c r="A80" s="12"/>
      <c r="I80" t="s">
        <v>169</v>
      </c>
      <c r="J80" s="244"/>
      <c r="K80" s="244"/>
      <c r="L80" s="244"/>
      <c r="M80" s="244"/>
      <c r="N80" s="244"/>
      <c r="O80" s="244"/>
      <c r="P80" s="244"/>
      <c r="Q80" s="244"/>
      <c r="R80" s="244"/>
      <c r="S80" s="244"/>
      <c r="T80" s="244"/>
      <c r="U80" s="244"/>
      <c r="V80" s="245"/>
      <c r="W80" s="73"/>
      <c r="X80" s="89"/>
      <c r="Y80" s="24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5"/>
      <c r="AL80" s="73"/>
      <c r="AM80" s="14"/>
      <c r="AN80" s="9"/>
    </row>
    <row r="81" spans="1:40" hidden="1" outlineLevel="1">
      <c r="A81" s="12"/>
      <c r="I81" t="s">
        <v>170</v>
      </c>
      <c r="J81" s="244"/>
      <c r="K81" s="244"/>
      <c r="L81" s="244"/>
      <c r="M81" s="244"/>
      <c r="N81" s="244"/>
      <c r="O81" s="244"/>
      <c r="P81" s="244"/>
      <c r="Q81" s="244"/>
      <c r="R81" s="244"/>
      <c r="S81" s="244"/>
      <c r="T81" s="244"/>
      <c r="U81" s="244"/>
      <c r="V81" s="245"/>
      <c r="W81" s="73"/>
      <c r="X81" s="89"/>
      <c r="Y81" s="24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5"/>
      <c r="AL81" s="73"/>
      <c r="AM81" s="14"/>
      <c r="AN81" s="9"/>
    </row>
    <row r="82" spans="1:40" hidden="1" outlineLevel="1">
      <c r="A82" s="12"/>
      <c r="I82" t="s">
        <v>280</v>
      </c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5"/>
      <c r="W82" s="73"/>
      <c r="X82" s="89"/>
      <c r="Y82" s="244"/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5"/>
      <c r="AL82" s="73"/>
      <c r="AM82" s="14"/>
      <c r="AN82" s="9"/>
    </row>
    <row r="83" spans="1:40" hidden="1" outlineLevel="1">
      <c r="A83" s="12"/>
      <c r="I83" t="s">
        <v>195</v>
      </c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5"/>
      <c r="W83" s="73"/>
      <c r="X83" s="89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5"/>
      <c r="AL83" s="73"/>
      <c r="AM83" s="14"/>
      <c r="AN83" s="9"/>
    </row>
    <row r="84" spans="1:40" hidden="1" outlineLevel="1">
      <c r="A84" s="12"/>
      <c r="I84" t="s">
        <v>180</v>
      </c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5"/>
      <c r="W84" s="73"/>
      <c r="X84" s="89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5"/>
      <c r="AL84" s="73"/>
      <c r="AM84" s="14"/>
      <c r="AN84" s="9"/>
    </row>
    <row r="85" spans="1:40" hidden="1" outlineLevel="1">
      <c r="A85" s="12"/>
      <c r="I85" t="s">
        <v>192</v>
      </c>
      <c r="J85" s="244"/>
      <c r="K85" s="244"/>
      <c r="L85" s="244"/>
      <c r="M85" s="244"/>
      <c r="N85" s="244"/>
      <c r="O85" s="244"/>
      <c r="P85" s="244"/>
      <c r="Q85" s="244"/>
      <c r="R85" s="244"/>
      <c r="S85" s="244"/>
      <c r="T85" s="244"/>
      <c r="U85" s="244"/>
      <c r="V85" s="245"/>
      <c r="W85" s="73"/>
      <c r="X85" s="89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5"/>
      <c r="AL85" s="73"/>
      <c r="AM85" s="14"/>
      <c r="AN85" s="9"/>
    </row>
    <row r="86" spans="1:40" hidden="1" outlineLevel="1">
      <c r="A86" s="12"/>
      <c r="I86" t="s">
        <v>193</v>
      </c>
      <c r="J86" s="244"/>
      <c r="K86" s="244"/>
      <c r="L86" s="244"/>
      <c r="M86" s="244"/>
      <c r="N86" s="244"/>
      <c r="O86" s="244"/>
      <c r="P86" s="244"/>
      <c r="Q86" s="244"/>
      <c r="R86" s="244"/>
      <c r="S86" s="244"/>
      <c r="T86" s="244"/>
      <c r="U86" s="244"/>
      <c r="V86" s="245"/>
      <c r="W86" s="73"/>
      <c r="X86" s="89"/>
      <c r="Y86" s="244"/>
      <c r="Z86" s="244"/>
      <c r="AA86" s="244"/>
      <c r="AB86" s="244"/>
      <c r="AC86" s="244"/>
      <c r="AD86" s="244"/>
      <c r="AE86" s="244"/>
      <c r="AF86" s="244"/>
      <c r="AG86" s="244"/>
      <c r="AH86" s="244"/>
      <c r="AI86" s="244"/>
      <c r="AJ86" s="244"/>
      <c r="AK86" s="245"/>
      <c r="AL86" s="73"/>
      <c r="AM86" s="14"/>
      <c r="AN86" s="9"/>
    </row>
    <row r="87" spans="1:40" hidden="1" outlineLevel="1">
      <c r="A87" s="12"/>
      <c r="I87" t="s">
        <v>201</v>
      </c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244"/>
      <c r="U87" s="244"/>
      <c r="V87" s="245"/>
      <c r="W87" s="73"/>
      <c r="X87" s="89"/>
      <c r="Y87" s="244"/>
      <c r="Z87" s="244"/>
      <c r="AA87" s="244"/>
      <c r="AB87" s="244"/>
      <c r="AC87" s="244"/>
      <c r="AD87" s="244"/>
      <c r="AE87" s="244"/>
      <c r="AF87" s="244"/>
      <c r="AG87" s="244"/>
      <c r="AH87" s="244"/>
      <c r="AI87" s="244"/>
      <c r="AJ87" s="244"/>
      <c r="AK87" s="245"/>
      <c r="AL87" s="73"/>
      <c r="AM87" s="14"/>
      <c r="AN87" s="9"/>
    </row>
    <row r="88" spans="1:40" collapsed="1">
      <c r="A88" s="12" t="s">
        <v>191</v>
      </c>
      <c r="B88" s="8" t="s">
        <v>101</v>
      </c>
      <c r="I88" s="146" t="s">
        <v>202</v>
      </c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>
        <f>SUM(V89:V103)</f>
        <v>0</v>
      </c>
      <c r="W88" s="72" t="e">
        <f t="shared" si="13"/>
        <v>#DIV/0!</v>
      </c>
      <c r="X88" s="89"/>
      <c r="Y88" s="241">
        <f t="shared" ref="Y88:AK88" si="18">SUM(Y89:Y103)</f>
        <v>0</v>
      </c>
      <c r="Z88" s="241">
        <f t="shared" si="18"/>
        <v>0</v>
      </c>
      <c r="AA88" s="241">
        <f t="shared" si="18"/>
        <v>0</v>
      </c>
      <c r="AB88" s="241">
        <f t="shared" si="18"/>
        <v>0</v>
      </c>
      <c r="AC88" s="241">
        <f t="shared" si="18"/>
        <v>0</v>
      </c>
      <c r="AD88" s="241">
        <f t="shared" si="18"/>
        <v>0</v>
      </c>
      <c r="AE88" s="241">
        <f t="shared" si="18"/>
        <v>0</v>
      </c>
      <c r="AF88" s="241">
        <f t="shared" si="18"/>
        <v>0</v>
      </c>
      <c r="AG88" s="241">
        <f t="shared" si="18"/>
        <v>0</v>
      </c>
      <c r="AH88" s="241">
        <f t="shared" si="18"/>
        <v>0</v>
      </c>
      <c r="AI88" s="241">
        <f t="shared" si="18"/>
        <v>0</v>
      </c>
      <c r="AJ88" s="241">
        <f t="shared" si="18"/>
        <v>0</v>
      </c>
      <c r="AK88" s="241">
        <f t="shared" si="18"/>
        <v>0</v>
      </c>
      <c r="AL88" s="72" t="e">
        <f t="shared" si="15"/>
        <v>#DIV/0!</v>
      </c>
      <c r="AM88" s="10">
        <f t="shared" si="5"/>
        <v>0</v>
      </c>
      <c r="AN88" s="9"/>
    </row>
    <row r="89" spans="1:40" hidden="1" outlineLevel="1">
      <c r="A89" s="12" t="s">
        <v>191</v>
      </c>
      <c r="B89" s="8" t="s">
        <v>101</v>
      </c>
      <c r="E89" s="129"/>
      <c r="I89" t="s">
        <v>203</v>
      </c>
      <c r="J89" s="244"/>
      <c r="K89" s="244"/>
      <c r="L89" s="244"/>
      <c r="M89" s="244"/>
      <c r="N89" s="244"/>
      <c r="O89" s="244"/>
      <c r="P89" s="244"/>
      <c r="Q89" s="244"/>
      <c r="R89" s="244"/>
      <c r="S89" s="244"/>
      <c r="T89" s="244"/>
      <c r="U89" s="244"/>
      <c r="V89" s="245">
        <f>SUM(J89:U89)</f>
        <v>0</v>
      </c>
      <c r="W89" s="73" t="e">
        <f t="shared" si="13"/>
        <v>#DIV/0!</v>
      </c>
      <c r="X89" s="89"/>
      <c r="Y89" s="24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5">
        <f>SUM(Y89:AJ89)</f>
        <v>0</v>
      </c>
      <c r="AL89" s="73" t="e">
        <f t="shared" si="15"/>
        <v>#DIV/0!</v>
      </c>
      <c r="AM89" s="14">
        <f t="shared" si="5"/>
        <v>0</v>
      </c>
      <c r="AN89" s="9"/>
    </row>
    <row r="90" spans="1:40" hidden="1" outlineLevel="1">
      <c r="A90" s="12" t="s">
        <v>191</v>
      </c>
      <c r="B90" s="8" t="s">
        <v>101</v>
      </c>
      <c r="E90" s="129"/>
      <c r="I90" t="s">
        <v>204</v>
      </c>
      <c r="J90" s="244"/>
      <c r="K90" s="244"/>
      <c r="L90" s="244"/>
      <c r="M90" s="244"/>
      <c r="N90" s="244"/>
      <c r="O90" s="244"/>
      <c r="P90" s="244"/>
      <c r="Q90" s="244"/>
      <c r="R90" s="244"/>
      <c r="S90" s="244"/>
      <c r="T90" s="244"/>
      <c r="U90" s="244"/>
      <c r="V90" s="245">
        <f t="shared" ref="V90:V103" si="19">SUM(J90:U90)</f>
        <v>0</v>
      </c>
      <c r="W90" s="73" t="e">
        <f t="shared" si="13"/>
        <v>#DIV/0!</v>
      </c>
      <c r="X90" s="89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5">
        <f t="shared" ref="AK90:AK103" si="20">SUM(Y90:AJ90)</f>
        <v>0</v>
      </c>
      <c r="AL90" s="73" t="e">
        <f t="shared" si="15"/>
        <v>#DIV/0!</v>
      </c>
      <c r="AM90" s="14">
        <f t="shared" si="5"/>
        <v>0</v>
      </c>
      <c r="AN90" s="9"/>
    </row>
    <row r="91" spans="1:40" hidden="1" outlineLevel="1">
      <c r="A91" s="12" t="s">
        <v>191</v>
      </c>
      <c r="B91" s="8" t="s">
        <v>101</v>
      </c>
      <c r="E91" s="129"/>
      <c r="I91" t="s">
        <v>205</v>
      </c>
      <c r="J91" s="244"/>
      <c r="K91" s="244"/>
      <c r="L91" s="244"/>
      <c r="M91" s="244"/>
      <c r="N91" s="244"/>
      <c r="O91" s="244"/>
      <c r="P91" s="244"/>
      <c r="Q91" s="244"/>
      <c r="R91" s="244"/>
      <c r="S91" s="244"/>
      <c r="T91" s="244"/>
      <c r="U91" s="244"/>
      <c r="V91" s="245">
        <f t="shared" si="19"/>
        <v>0</v>
      </c>
      <c r="W91" s="73" t="e">
        <f t="shared" si="13"/>
        <v>#DIV/0!</v>
      </c>
      <c r="X91" s="89"/>
      <c r="Y91" s="244"/>
      <c r="Z91" s="244"/>
      <c r="AA91" s="244"/>
      <c r="AB91" s="244"/>
      <c r="AC91" s="244"/>
      <c r="AD91" s="244"/>
      <c r="AE91" s="244"/>
      <c r="AF91" s="244"/>
      <c r="AG91" s="244"/>
      <c r="AH91" s="244"/>
      <c r="AI91" s="244"/>
      <c r="AJ91" s="244"/>
      <c r="AK91" s="245">
        <f t="shared" si="20"/>
        <v>0</v>
      </c>
      <c r="AL91" s="73" t="e">
        <f t="shared" si="15"/>
        <v>#DIV/0!</v>
      </c>
      <c r="AM91" s="14">
        <f t="shared" si="5"/>
        <v>0</v>
      </c>
      <c r="AN91" s="9"/>
    </row>
    <row r="92" spans="1:40" hidden="1" outlineLevel="1">
      <c r="A92" s="12" t="s">
        <v>191</v>
      </c>
      <c r="B92" s="8" t="s">
        <v>101</v>
      </c>
      <c r="E92" s="129"/>
      <c r="I92" t="s">
        <v>206</v>
      </c>
      <c r="J92" s="244"/>
      <c r="K92" s="244"/>
      <c r="L92" s="244"/>
      <c r="M92" s="244"/>
      <c r="N92" s="244"/>
      <c r="O92" s="244"/>
      <c r="P92" s="244"/>
      <c r="Q92" s="244"/>
      <c r="R92" s="244"/>
      <c r="S92" s="244"/>
      <c r="T92" s="244"/>
      <c r="U92" s="244"/>
      <c r="V92" s="245">
        <f t="shared" si="19"/>
        <v>0</v>
      </c>
      <c r="W92" s="73" t="e">
        <f t="shared" si="13"/>
        <v>#DIV/0!</v>
      </c>
      <c r="X92" s="89"/>
      <c r="Y92" s="244"/>
      <c r="Z92" s="244"/>
      <c r="AA92" s="244"/>
      <c r="AB92" s="244"/>
      <c r="AC92" s="244"/>
      <c r="AD92" s="244"/>
      <c r="AE92" s="244"/>
      <c r="AF92" s="244"/>
      <c r="AG92" s="244"/>
      <c r="AH92" s="244"/>
      <c r="AI92" s="244"/>
      <c r="AJ92" s="244"/>
      <c r="AK92" s="245">
        <f t="shared" si="20"/>
        <v>0</v>
      </c>
      <c r="AL92" s="73" t="e">
        <f t="shared" si="15"/>
        <v>#DIV/0!</v>
      </c>
      <c r="AM92" s="14">
        <f t="shared" ref="AM92:AM189" si="21">IFERROR(AK92/V92-1,0)</f>
        <v>0</v>
      </c>
      <c r="AN92" s="9"/>
    </row>
    <row r="93" spans="1:40" hidden="1" outlineLevel="1">
      <c r="A93" s="12" t="s">
        <v>191</v>
      </c>
      <c r="B93" s="8" t="s">
        <v>101</v>
      </c>
      <c r="E93" s="129"/>
      <c r="I93" t="s">
        <v>207</v>
      </c>
      <c r="J93" s="244"/>
      <c r="K93" s="244"/>
      <c r="L93" s="244"/>
      <c r="M93" s="244"/>
      <c r="N93" s="244"/>
      <c r="O93" s="244"/>
      <c r="P93" s="244"/>
      <c r="Q93" s="244"/>
      <c r="R93" s="244"/>
      <c r="S93" s="244"/>
      <c r="T93" s="244"/>
      <c r="U93" s="244"/>
      <c r="V93" s="245">
        <f t="shared" si="19"/>
        <v>0</v>
      </c>
      <c r="W93" s="73" t="e">
        <f t="shared" si="13"/>
        <v>#DIV/0!</v>
      </c>
      <c r="X93" s="89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244"/>
      <c r="AK93" s="245">
        <f t="shared" si="20"/>
        <v>0</v>
      </c>
      <c r="AL93" s="73" t="e">
        <f t="shared" si="15"/>
        <v>#DIV/0!</v>
      </c>
      <c r="AM93" s="14">
        <f t="shared" si="21"/>
        <v>0</v>
      </c>
      <c r="AN93" s="9"/>
    </row>
    <row r="94" spans="1:40" hidden="1" outlineLevel="1">
      <c r="A94" s="12" t="s">
        <v>191</v>
      </c>
      <c r="B94" s="8" t="s">
        <v>101</v>
      </c>
      <c r="E94" s="129"/>
      <c r="I94" t="s">
        <v>209</v>
      </c>
      <c r="J94" s="244"/>
      <c r="K94" s="244"/>
      <c r="L94" s="244"/>
      <c r="M94" s="244"/>
      <c r="N94" s="244"/>
      <c r="O94" s="244"/>
      <c r="P94" s="244"/>
      <c r="Q94" s="244"/>
      <c r="R94" s="244"/>
      <c r="S94" s="244"/>
      <c r="T94" s="244"/>
      <c r="U94" s="244"/>
      <c r="V94" s="245">
        <f t="shared" si="19"/>
        <v>0</v>
      </c>
      <c r="W94" s="73" t="e">
        <f t="shared" si="13"/>
        <v>#DIV/0!</v>
      </c>
      <c r="X94" s="89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244"/>
      <c r="AK94" s="245">
        <f t="shared" si="20"/>
        <v>0</v>
      </c>
      <c r="AL94" s="73" t="e">
        <f t="shared" si="15"/>
        <v>#DIV/0!</v>
      </c>
      <c r="AM94" s="14">
        <f t="shared" si="21"/>
        <v>0</v>
      </c>
      <c r="AN94" s="9"/>
    </row>
    <row r="95" spans="1:40" hidden="1" outlineLevel="1">
      <c r="A95" s="12" t="s">
        <v>191</v>
      </c>
      <c r="B95" s="8" t="s">
        <v>101</v>
      </c>
      <c r="E95" s="129"/>
      <c r="I95" t="s">
        <v>210</v>
      </c>
      <c r="J95" s="244"/>
      <c r="K95" s="244"/>
      <c r="L95" s="244"/>
      <c r="M95" s="244"/>
      <c r="N95" s="244"/>
      <c r="O95" s="244"/>
      <c r="P95" s="244"/>
      <c r="Q95" s="244"/>
      <c r="R95" s="244"/>
      <c r="S95" s="244"/>
      <c r="T95" s="244"/>
      <c r="U95" s="244"/>
      <c r="V95" s="245">
        <f t="shared" si="19"/>
        <v>0</v>
      </c>
      <c r="W95" s="73" t="e">
        <f t="shared" si="13"/>
        <v>#DIV/0!</v>
      </c>
      <c r="X95" s="89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244"/>
      <c r="AK95" s="245">
        <f t="shared" si="20"/>
        <v>0</v>
      </c>
      <c r="AL95" s="73" t="e">
        <f t="shared" si="15"/>
        <v>#DIV/0!</v>
      </c>
      <c r="AM95" s="14">
        <f t="shared" si="21"/>
        <v>0</v>
      </c>
      <c r="AN95" s="9"/>
    </row>
    <row r="96" spans="1:40" hidden="1" outlineLevel="1">
      <c r="A96" s="12" t="s">
        <v>191</v>
      </c>
      <c r="B96" s="8" t="s">
        <v>101</v>
      </c>
      <c r="E96" s="129"/>
      <c r="I96" t="s">
        <v>211</v>
      </c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244"/>
      <c r="U96" s="244"/>
      <c r="V96" s="245">
        <f t="shared" si="19"/>
        <v>0</v>
      </c>
      <c r="W96" s="73" t="e">
        <f t="shared" si="13"/>
        <v>#DIV/0!</v>
      </c>
      <c r="X96" s="89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5">
        <f t="shared" si="20"/>
        <v>0</v>
      </c>
      <c r="AL96" s="73" t="e">
        <f t="shared" si="15"/>
        <v>#DIV/0!</v>
      </c>
      <c r="AM96" s="14">
        <f t="shared" si="21"/>
        <v>0</v>
      </c>
      <c r="AN96" s="9"/>
    </row>
    <row r="97" spans="1:40" hidden="1" outlineLevel="1">
      <c r="A97" s="12" t="s">
        <v>191</v>
      </c>
      <c r="B97" s="8" t="s">
        <v>101</v>
      </c>
      <c r="E97" s="129"/>
      <c r="I97" t="s">
        <v>212</v>
      </c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244"/>
      <c r="U97" s="244"/>
      <c r="V97" s="245">
        <f t="shared" si="19"/>
        <v>0</v>
      </c>
      <c r="W97" s="73" t="e">
        <f t="shared" si="13"/>
        <v>#DIV/0!</v>
      </c>
      <c r="X97" s="89"/>
      <c r="Y97" s="244"/>
      <c r="Z97" s="244"/>
      <c r="AA97" s="244"/>
      <c r="AB97" s="244"/>
      <c r="AC97" s="244"/>
      <c r="AD97" s="244"/>
      <c r="AE97" s="244"/>
      <c r="AF97" s="244"/>
      <c r="AG97" s="244"/>
      <c r="AH97" s="244"/>
      <c r="AI97" s="244"/>
      <c r="AJ97" s="244"/>
      <c r="AK97" s="245">
        <f t="shared" si="20"/>
        <v>0</v>
      </c>
      <c r="AL97" s="73" t="e">
        <f t="shared" si="15"/>
        <v>#DIV/0!</v>
      </c>
      <c r="AM97" s="14">
        <f t="shared" si="21"/>
        <v>0</v>
      </c>
      <c r="AN97" s="9"/>
    </row>
    <row r="98" spans="1:40" hidden="1" outlineLevel="1">
      <c r="A98" s="12" t="s">
        <v>191</v>
      </c>
      <c r="B98" s="8" t="s">
        <v>101</v>
      </c>
      <c r="E98" s="129"/>
      <c r="I98" t="s">
        <v>213</v>
      </c>
      <c r="J98" s="244"/>
      <c r="K98" s="244"/>
      <c r="L98" s="244"/>
      <c r="M98" s="244"/>
      <c r="N98" s="244"/>
      <c r="O98" s="244"/>
      <c r="P98" s="244"/>
      <c r="Q98" s="244"/>
      <c r="R98" s="244"/>
      <c r="S98" s="244"/>
      <c r="T98" s="244"/>
      <c r="U98" s="244"/>
      <c r="V98" s="245">
        <f t="shared" si="19"/>
        <v>0</v>
      </c>
      <c r="W98" s="73" t="e">
        <f t="shared" si="13"/>
        <v>#DIV/0!</v>
      </c>
      <c r="X98" s="89"/>
      <c r="Y98" s="244"/>
      <c r="Z98" s="244"/>
      <c r="AA98" s="244"/>
      <c r="AB98" s="244"/>
      <c r="AC98" s="244"/>
      <c r="AD98" s="244"/>
      <c r="AE98" s="244"/>
      <c r="AF98" s="244"/>
      <c r="AG98" s="244"/>
      <c r="AH98" s="244"/>
      <c r="AI98" s="244"/>
      <c r="AJ98" s="244"/>
      <c r="AK98" s="245">
        <f t="shared" si="20"/>
        <v>0</v>
      </c>
      <c r="AL98" s="73" t="e">
        <f t="shared" si="15"/>
        <v>#DIV/0!</v>
      </c>
      <c r="AM98" s="14">
        <f t="shared" si="21"/>
        <v>0</v>
      </c>
      <c r="AN98" s="9"/>
    </row>
    <row r="99" spans="1:40" hidden="1" outlineLevel="1">
      <c r="A99" s="12" t="s">
        <v>191</v>
      </c>
      <c r="B99" s="8" t="s">
        <v>101</v>
      </c>
      <c r="E99" s="129"/>
      <c r="I99" t="s">
        <v>215</v>
      </c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5">
        <f t="shared" si="19"/>
        <v>0</v>
      </c>
      <c r="W99" s="73" t="e">
        <f t="shared" si="13"/>
        <v>#DIV/0!</v>
      </c>
      <c r="X99" s="89"/>
      <c r="Y99" s="244"/>
      <c r="Z99" s="244"/>
      <c r="AA99" s="244"/>
      <c r="AB99" s="244"/>
      <c r="AC99" s="244"/>
      <c r="AD99" s="244"/>
      <c r="AE99" s="244"/>
      <c r="AF99" s="244"/>
      <c r="AG99" s="244"/>
      <c r="AH99" s="244"/>
      <c r="AI99" s="244"/>
      <c r="AJ99" s="244"/>
      <c r="AK99" s="245">
        <f t="shared" si="20"/>
        <v>0</v>
      </c>
      <c r="AL99" s="73" t="e">
        <f t="shared" si="15"/>
        <v>#DIV/0!</v>
      </c>
      <c r="AM99" s="14">
        <f t="shared" si="21"/>
        <v>0</v>
      </c>
      <c r="AN99" s="9"/>
    </row>
    <row r="100" spans="1:40" hidden="1" outlineLevel="1">
      <c r="A100" s="12" t="s">
        <v>191</v>
      </c>
      <c r="B100" s="8" t="s">
        <v>101</v>
      </c>
      <c r="E100" s="129"/>
      <c r="I100" t="s">
        <v>216</v>
      </c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4"/>
      <c r="U100" s="244"/>
      <c r="V100" s="245">
        <f t="shared" si="19"/>
        <v>0</v>
      </c>
      <c r="W100" s="73" t="e">
        <f t="shared" si="13"/>
        <v>#DIV/0!</v>
      </c>
      <c r="X100" s="89"/>
      <c r="Y100" s="244"/>
      <c r="Z100" s="244"/>
      <c r="AA100" s="244"/>
      <c r="AB100" s="244"/>
      <c r="AC100" s="244"/>
      <c r="AD100" s="244"/>
      <c r="AE100" s="244"/>
      <c r="AF100" s="244"/>
      <c r="AG100" s="244"/>
      <c r="AH100" s="244"/>
      <c r="AI100" s="244"/>
      <c r="AJ100" s="244"/>
      <c r="AK100" s="245">
        <f t="shared" si="20"/>
        <v>0</v>
      </c>
      <c r="AL100" s="73" t="e">
        <f t="shared" si="15"/>
        <v>#DIV/0!</v>
      </c>
      <c r="AM100" s="14">
        <f t="shared" si="21"/>
        <v>0</v>
      </c>
      <c r="AN100" s="9"/>
    </row>
    <row r="101" spans="1:40" hidden="1" outlineLevel="1">
      <c r="A101" s="12" t="s">
        <v>191</v>
      </c>
      <c r="B101" s="8" t="s">
        <v>101</v>
      </c>
      <c r="E101" s="129"/>
      <c r="I101" t="s">
        <v>217</v>
      </c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44"/>
      <c r="U101" s="244"/>
      <c r="V101" s="245">
        <f t="shared" si="19"/>
        <v>0</v>
      </c>
      <c r="W101" s="73" t="e">
        <f t="shared" si="13"/>
        <v>#DIV/0!</v>
      </c>
      <c r="X101" s="89"/>
      <c r="Y101" s="244"/>
      <c r="Z101" s="244"/>
      <c r="AA101" s="244"/>
      <c r="AB101" s="244"/>
      <c r="AC101" s="244"/>
      <c r="AD101" s="244"/>
      <c r="AE101" s="244"/>
      <c r="AF101" s="244"/>
      <c r="AG101" s="244"/>
      <c r="AH101" s="244"/>
      <c r="AI101" s="244"/>
      <c r="AJ101" s="244"/>
      <c r="AK101" s="245">
        <f t="shared" si="20"/>
        <v>0</v>
      </c>
      <c r="AL101" s="73" t="e">
        <f t="shared" si="15"/>
        <v>#DIV/0!</v>
      </c>
      <c r="AM101" s="14">
        <f t="shared" si="21"/>
        <v>0</v>
      </c>
      <c r="AN101" s="9"/>
    </row>
    <row r="102" spans="1:40" hidden="1" outlineLevel="1">
      <c r="A102" s="12" t="s">
        <v>191</v>
      </c>
      <c r="B102" s="8" t="s">
        <v>101</v>
      </c>
      <c r="E102" s="129"/>
      <c r="I102" t="s">
        <v>218</v>
      </c>
      <c r="J102" s="244"/>
      <c r="K102" s="244"/>
      <c r="L102" s="244"/>
      <c r="M102" s="244"/>
      <c r="N102" s="244"/>
      <c r="O102" s="244"/>
      <c r="P102" s="244"/>
      <c r="Q102" s="244"/>
      <c r="R102" s="244"/>
      <c r="S102" s="244"/>
      <c r="T102" s="244"/>
      <c r="U102" s="244"/>
      <c r="V102" s="245">
        <f t="shared" si="19"/>
        <v>0</v>
      </c>
      <c r="W102" s="73" t="e">
        <f t="shared" si="13"/>
        <v>#DIV/0!</v>
      </c>
      <c r="X102" s="89"/>
      <c r="Y102" s="244"/>
      <c r="Z102" s="244"/>
      <c r="AA102" s="244"/>
      <c r="AB102" s="244"/>
      <c r="AC102" s="244"/>
      <c r="AD102" s="244"/>
      <c r="AE102" s="244"/>
      <c r="AF102" s="244"/>
      <c r="AG102" s="244"/>
      <c r="AH102" s="244"/>
      <c r="AI102" s="244"/>
      <c r="AJ102" s="244"/>
      <c r="AK102" s="245">
        <f t="shared" si="20"/>
        <v>0</v>
      </c>
      <c r="AL102" s="73" t="e">
        <f t="shared" si="15"/>
        <v>#DIV/0!</v>
      </c>
      <c r="AM102" s="14">
        <f t="shared" si="21"/>
        <v>0</v>
      </c>
      <c r="AN102" s="9"/>
    </row>
    <row r="103" spans="1:40" hidden="1" outlineLevel="1">
      <c r="A103" s="12" t="s">
        <v>191</v>
      </c>
      <c r="B103" s="8" t="s">
        <v>101</v>
      </c>
      <c r="E103" s="129"/>
      <c r="I103" t="s">
        <v>219</v>
      </c>
      <c r="J103" s="244"/>
      <c r="K103" s="244"/>
      <c r="L103" s="244"/>
      <c r="M103" s="244"/>
      <c r="N103" s="244"/>
      <c r="O103" s="244"/>
      <c r="P103" s="244"/>
      <c r="Q103" s="244"/>
      <c r="R103" s="244"/>
      <c r="S103" s="244"/>
      <c r="T103" s="244"/>
      <c r="U103" s="244"/>
      <c r="V103" s="245">
        <f t="shared" si="19"/>
        <v>0</v>
      </c>
      <c r="W103" s="73" t="e">
        <f t="shared" si="13"/>
        <v>#DIV/0!</v>
      </c>
      <c r="X103" s="89"/>
      <c r="Y103" s="244"/>
      <c r="Z103" s="244"/>
      <c r="AA103" s="244"/>
      <c r="AB103" s="244"/>
      <c r="AC103" s="244"/>
      <c r="AD103" s="244"/>
      <c r="AE103" s="244"/>
      <c r="AF103" s="244"/>
      <c r="AG103" s="244"/>
      <c r="AH103" s="244"/>
      <c r="AI103" s="244"/>
      <c r="AJ103" s="244"/>
      <c r="AK103" s="245">
        <f t="shared" si="20"/>
        <v>0</v>
      </c>
      <c r="AL103" s="73" t="e">
        <f t="shared" si="15"/>
        <v>#DIV/0!</v>
      </c>
      <c r="AM103" s="14">
        <f t="shared" si="21"/>
        <v>0</v>
      </c>
      <c r="AN103" s="9"/>
    </row>
    <row r="104" spans="1:40" collapsed="1">
      <c r="A104" s="12" t="s">
        <v>208</v>
      </c>
      <c r="B104" s="8" t="s">
        <v>101</v>
      </c>
      <c r="I104" s="146" t="s">
        <v>220</v>
      </c>
      <c r="J104" s="241"/>
      <c r="K104" s="241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>
        <f>SUM(V105:V108)</f>
        <v>0</v>
      </c>
      <c r="W104" s="72" t="e">
        <f t="shared" si="13"/>
        <v>#DIV/0!</v>
      </c>
      <c r="X104" s="89"/>
      <c r="Y104" s="241">
        <f>SUM(Y105:Y108)</f>
        <v>0</v>
      </c>
      <c r="Z104" s="241">
        <f t="shared" ref="Z104:AJ104" si="22">SUM(Z105:Z108)</f>
        <v>0</v>
      </c>
      <c r="AA104" s="241">
        <f t="shared" si="22"/>
        <v>0</v>
      </c>
      <c r="AB104" s="241">
        <f t="shared" si="22"/>
        <v>0</v>
      </c>
      <c r="AC104" s="241">
        <f t="shared" si="22"/>
        <v>0</v>
      </c>
      <c r="AD104" s="241">
        <f t="shared" si="22"/>
        <v>0</v>
      </c>
      <c r="AE104" s="241">
        <f t="shared" si="22"/>
        <v>0</v>
      </c>
      <c r="AF104" s="241">
        <f t="shared" si="22"/>
        <v>0</v>
      </c>
      <c r="AG104" s="241">
        <f t="shared" si="22"/>
        <v>0</v>
      </c>
      <c r="AH104" s="241">
        <f t="shared" si="22"/>
        <v>0</v>
      </c>
      <c r="AI104" s="241">
        <f t="shared" si="22"/>
        <v>0</v>
      </c>
      <c r="AJ104" s="241">
        <f t="shared" si="22"/>
        <v>0</v>
      </c>
      <c r="AK104" s="241">
        <f>SUM(AK105:AK108)</f>
        <v>0</v>
      </c>
      <c r="AL104" s="72" t="e">
        <f t="shared" si="15"/>
        <v>#DIV/0!</v>
      </c>
      <c r="AM104" s="10">
        <f t="shared" si="21"/>
        <v>0</v>
      </c>
      <c r="AN104" s="9"/>
    </row>
    <row r="105" spans="1:40" hidden="1" outlineLevel="1">
      <c r="A105" s="12" t="s">
        <v>208</v>
      </c>
      <c r="B105" s="8" t="s">
        <v>101</v>
      </c>
      <c r="E105" s="129"/>
      <c r="I105" s="139" t="s">
        <v>221</v>
      </c>
      <c r="J105" s="244"/>
      <c r="K105" s="244"/>
      <c r="L105" s="244"/>
      <c r="M105" s="244"/>
      <c r="N105" s="244"/>
      <c r="O105" s="244"/>
      <c r="P105" s="244"/>
      <c r="Q105" s="244"/>
      <c r="R105" s="244"/>
      <c r="S105" s="244"/>
      <c r="T105" s="244"/>
      <c r="U105" s="244"/>
      <c r="V105" s="245">
        <f>SUM(J105:U105)</f>
        <v>0</v>
      </c>
      <c r="W105" s="73" t="e">
        <f t="shared" si="13"/>
        <v>#DIV/0!</v>
      </c>
      <c r="X105" s="89"/>
      <c r="Y105" s="244"/>
      <c r="Z105" s="244"/>
      <c r="AA105" s="244"/>
      <c r="AB105" s="244"/>
      <c r="AC105" s="244"/>
      <c r="AD105" s="244"/>
      <c r="AE105" s="244"/>
      <c r="AF105" s="244"/>
      <c r="AG105" s="244"/>
      <c r="AH105" s="244"/>
      <c r="AI105" s="244"/>
      <c r="AJ105" s="244"/>
      <c r="AK105" s="245">
        <f>SUM(Y105:AJ105)</f>
        <v>0</v>
      </c>
      <c r="AL105" s="73" t="e">
        <f t="shared" si="15"/>
        <v>#DIV/0!</v>
      </c>
      <c r="AM105" s="14">
        <f t="shared" si="21"/>
        <v>0</v>
      </c>
      <c r="AN105" s="9"/>
    </row>
    <row r="106" spans="1:40" hidden="1" outlineLevel="1">
      <c r="A106" s="12" t="s">
        <v>208</v>
      </c>
      <c r="B106" s="8" t="s">
        <v>101</v>
      </c>
      <c r="E106" s="129"/>
      <c r="I106" s="139" t="s">
        <v>222</v>
      </c>
      <c r="J106" s="244"/>
      <c r="K106" s="244"/>
      <c r="L106" s="244"/>
      <c r="M106" s="244"/>
      <c r="N106" s="244"/>
      <c r="O106" s="244"/>
      <c r="P106" s="244"/>
      <c r="Q106" s="244"/>
      <c r="R106" s="244"/>
      <c r="S106" s="244"/>
      <c r="T106" s="244"/>
      <c r="U106" s="244"/>
      <c r="V106" s="245">
        <f>SUM(J106:U106)</f>
        <v>0</v>
      </c>
      <c r="W106" s="73" t="e">
        <f t="shared" si="13"/>
        <v>#DIV/0!</v>
      </c>
      <c r="X106" s="89"/>
      <c r="Y106" s="244"/>
      <c r="Z106" s="244"/>
      <c r="AA106" s="244"/>
      <c r="AB106" s="244"/>
      <c r="AC106" s="244"/>
      <c r="AD106" s="244"/>
      <c r="AE106" s="244"/>
      <c r="AF106" s="244"/>
      <c r="AG106" s="244"/>
      <c r="AH106" s="244"/>
      <c r="AI106" s="244"/>
      <c r="AJ106" s="244"/>
      <c r="AK106" s="245">
        <f>SUM(Y106:AJ106)</f>
        <v>0</v>
      </c>
      <c r="AL106" s="73" t="e">
        <f t="shared" si="15"/>
        <v>#DIV/0!</v>
      </c>
      <c r="AM106" s="14">
        <f t="shared" si="21"/>
        <v>0</v>
      </c>
      <c r="AN106" s="9"/>
    </row>
    <row r="107" spans="1:40" hidden="1" outlineLevel="1">
      <c r="A107" s="12" t="s">
        <v>208</v>
      </c>
      <c r="B107" s="8" t="s">
        <v>101</v>
      </c>
      <c r="E107" s="129"/>
      <c r="I107" s="139" t="s">
        <v>223</v>
      </c>
      <c r="J107" s="244"/>
      <c r="K107" s="244"/>
      <c r="L107" s="244"/>
      <c r="M107" s="244"/>
      <c r="N107" s="244"/>
      <c r="O107" s="244"/>
      <c r="P107" s="244"/>
      <c r="Q107" s="244"/>
      <c r="R107" s="244"/>
      <c r="S107" s="244"/>
      <c r="T107" s="244"/>
      <c r="U107" s="244"/>
      <c r="V107" s="245">
        <f>SUM(J107:U107)</f>
        <v>0</v>
      </c>
      <c r="W107" s="73" t="e">
        <f t="shared" si="13"/>
        <v>#DIV/0!</v>
      </c>
      <c r="X107" s="89"/>
      <c r="Y107" s="244"/>
      <c r="Z107" s="244"/>
      <c r="AA107" s="244"/>
      <c r="AB107" s="244"/>
      <c r="AC107" s="244"/>
      <c r="AD107" s="244"/>
      <c r="AE107" s="244"/>
      <c r="AF107" s="244"/>
      <c r="AG107" s="244"/>
      <c r="AH107" s="244"/>
      <c r="AI107" s="244"/>
      <c r="AJ107" s="244"/>
      <c r="AK107" s="245">
        <f>SUM(Y107:AJ107)</f>
        <v>0</v>
      </c>
      <c r="AL107" s="73" t="e">
        <f t="shared" si="15"/>
        <v>#DIV/0!</v>
      </c>
      <c r="AM107" s="14">
        <f t="shared" si="21"/>
        <v>0</v>
      </c>
      <c r="AN107" s="9"/>
    </row>
    <row r="108" spans="1:40" hidden="1" outlineLevel="1">
      <c r="A108" s="12" t="s">
        <v>208</v>
      </c>
      <c r="B108" s="8" t="s">
        <v>101</v>
      </c>
      <c r="E108" s="129"/>
      <c r="I108" s="139" t="s">
        <v>406</v>
      </c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5">
        <f>SUM(J108:U108)</f>
        <v>0</v>
      </c>
      <c r="W108" s="73" t="e">
        <f t="shared" si="13"/>
        <v>#DIV/0!</v>
      </c>
      <c r="X108" s="89"/>
      <c r="Y108" s="244"/>
      <c r="Z108" s="244"/>
      <c r="AA108" s="244"/>
      <c r="AB108" s="244"/>
      <c r="AC108" s="244"/>
      <c r="AD108" s="244"/>
      <c r="AE108" s="244"/>
      <c r="AF108" s="244"/>
      <c r="AG108" s="244"/>
      <c r="AH108" s="244"/>
      <c r="AI108" s="244"/>
      <c r="AJ108" s="244"/>
      <c r="AK108" s="245">
        <f>SUM(Y108:AJ108)</f>
        <v>0</v>
      </c>
      <c r="AL108" s="73" t="e">
        <f t="shared" si="15"/>
        <v>#DIV/0!</v>
      </c>
      <c r="AM108" s="14">
        <f t="shared" si="21"/>
        <v>0</v>
      </c>
      <c r="AN108" s="9"/>
    </row>
    <row r="109" spans="1:40" collapsed="1">
      <c r="A109" s="12" t="s">
        <v>214</v>
      </c>
      <c r="B109" s="8" t="s">
        <v>101</v>
      </c>
      <c r="C109" s="8" t="s">
        <v>91</v>
      </c>
      <c r="I109" s="146" t="s">
        <v>225</v>
      </c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>
        <f>SUM(V110:V112)</f>
        <v>0</v>
      </c>
      <c r="W109" s="72" t="e">
        <f t="shared" si="13"/>
        <v>#DIV/0!</v>
      </c>
      <c r="X109" s="89"/>
      <c r="Y109" s="241">
        <f>SUM(Y110:Y112)</f>
        <v>0</v>
      </c>
      <c r="Z109" s="241">
        <f t="shared" ref="Z109:AJ109" si="23">SUM(Z110:Z112)</f>
        <v>0</v>
      </c>
      <c r="AA109" s="241">
        <f t="shared" si="23"/>
        <v>0</v>
      </c>
      <c r="AB109" s="241">
        <f t="shared" si="23"/>
        <v>0</v>
      </c>
      <c r="AC109" s="241">
        <f t="shared" si="23"/>
        <v>0</v>
      </c>
      <c r="AD109" s="241">
        <f t="shared" si="23"/>
        <v>0</v>
      </c>
      <c r="AE109" s="241">
        <f t="shared" si="23"/>
        <v>0</v>
      </c>
      <c r="AF109" s="241">
        <f t="shared" si="23"/>
        <v>0</v>
      </c>
      <c r="AG109" s="241">
        <f t="shared" si="23"/>
        <v>0</v>
      </c>
      <c r="AH109" s="241">
        <f t="shared" si="23"/>
        <v>0</v>
      </c>
      <c r="AI109" s="241">
        <f t="shared" si="23"/>
        <v>0</v>
      </c>
      <c r="AJ109" s="241">
        <f t="shared" si="23"/>
        <v>0</v>
      </c>
      <c r="AK109" s="241">
        <f>SUM(AK110:AK112)</f>
        <v>0</v>
      </c>
      <c r="AL109" s="72" t="e">
        <f t="shared" si="15"/>
        <v>#DIV/0!</v>
      </c>
      <c r="AM109" s="10">
        <f t="shared" si="21"/>
        <v>0</v>
      </c>
      <c r="AN109" s="9"/>
    </row>
    <row r="110" spans="1:40" hidden="1" outlineLevel="1">
      <c r="A110" s="12" t="s">
        <v>214</v>
      </c>
      <c r="B110" s="8" t="s">
        <v>101</v>
      </c>
      <c r="I110" s="139" t="s">
        <v>226</v>
      </c>
      <c r="J110" s="244"/>
      <c r="K110" s="244"/>
      <c r="L110" s="244"/>
      <c r="M110" s="244"/>
      <c r="N110" s="244"/>
      <c r="O110" s="244"/>
      <c r="P110" s="244"/>
      <c r="Q110" s="244"/>
      <c r="R110" s="244"/>
      <c r="S110" s="244"/>
      <c r="T110" s="244"/>
      <c r="U110" s="244"/>
      <c r="V110" s="245">
        <f>SUM(J110:U110)</f>
        <v>0</v>
      </c>
      <c r="W110" s="73" t="e">
        <f t="shared" si="13"/>
        <v>#DIV/0!</v>
      </c>
      <c r="X110" s="89"/>
      <c r="Y110" s="244">
        <v>0</v>
      </c>
      <c r="Z110" s="244">
        <v>0</v>
      </c>
      <c r="AA110" s="244">
        <v>0</v>
      </c>
      <c r="AB110" s="244">
        <v>0</v>
      </c>
      <c r="AC110" s="244">
        <v>0</v>
      </c>
      <c r="AD110" s="244">
        <v>0</v>
      </c>
      <c r="AE110" s="244">
        <v>0</v>
      </c>
      <c r="AF110" s="244">
        <v>0</v>
      </c>
      <c r="AG110" s="244">
        <v>0</v>
      </c>
      <c r="AH110" s="244">
        <v>0</v>
      </c>
      <c r="AI110" s="244">
        <v>0</v>
      </c>
      <c r="AJ110" s="244">
        <v>0</v>
      </c>
      <c r="AK110" s="245">
        <f>SUM(Y110:AJ110)</f>
        <v>0</v>
      </c>
      <c r="AL110" s="73" t="e">
        <f t="shared" si="15"/>
        <v>#DIV/0!</v>
      </c>
      <c r="AM110" s="14">
        <f t="shared" si="21"/>
        <v>0</v>
      </c>
      <c r="AN110" s="9"/>
    </row>
    <row r="111" spans="1:40" hidden="1" outlineLevel="1">
      <c r="A111" s="12" t="s">
        <v>214</v>
      </c>
      <c r="B111" s="8" t="s">
        <v>101</v>
      </c>
      <c r="I111" s="139" t="s">
        <v>227</v>
      </c>
      <c r="J111" s="244"/>
      <c r="K111" s="244"/>
      <c r="L111" s="244"/>
      <c r="M111" s="244"/>
      <c r="N111" s="244"/>
      <c r="O111" s="244"/>
      <c r="P111" s="244"/>
      <c r="Q111" s="244"/>
      <c r="R111" s="244"/>
      <c r="S111" s="244"/>
      <c r="T111" s="244"/>
      <c r="U111" s="244"/>
      <c r="V111" s="245">
        <f>SUM(J111:U111)</f>
        <v>0</v>
      </c>
      <c r="W111" s="73" t="e">
        <f t="shared" si="13"/>
        <v>#DIV/0!</v>
      </c>
      <c r="X111" s="89"/>
      <c r="Y111" s="244">
        <v>0</v>
      </c>
      <c r="Z111" s="244">
        <v>0</v>
      </c>
      <c r="AA111" s="244">
        <v>0</v>
      </c>
      <c r="AB111" s="244">
        <v>0</v>
      </c>
      <c r="AC111" s="244">
        <v>0</v>
      </c>
      <c r="AD111" s="244">
        <v>0</v>
      </c>
      <c r="AE111" s="244">
        <v>0</v>
      </c>
      <c r="AF111" s="244">
        <v>0</v>
      </c>
      <c r="AG111" s="244">
        <v>0</v>
      </c>
      <c r="AH111" s="244">
        <v>0</v>
      </c>
      <c r="AI111" s="244">
        <v>0</v>
      </c>
      <c r="AJ111" s="244">
        <v>0</v>
      </c>
      <c r="AK111" s="245">
        <f>SUM(Y111:AJ111)</f>
        <v>0</v>
      </c>
      <c r="AL111" s="73" t="e">
        <f t="shared" si="15"/>
        <v>#DIV/0!</v>
      </c>
      <c r="AM111" s="14">
        <f t="shared" si="21"/>
        <v>0</v>
      </c>
      <c r="AN111" s="9"/>
    </row>
    <row r="112" spans="1:40" hidden="1" outlineLevel="1">
      <c r="A112" s="12" t="s">
        <v>214</v>
      </c>
      <c r="B112" s="8" t="s">
        <v>101</v>
      </c>
      <c r="I112" s="139" t="s">
        <v>228</v>
      </c>
      <c r="J112" s="244"/>
      <c r="K112" s="244"/>
      <c r="L112" s="244"/>
      <c r="M112" s="244"/>
      <c r="N112" s="244"/>
      <c r="O112" s="244"/>
      <c r="P112" s="244"/>
      <c r="Q112" s="244"/>
      <c r="R112" s="244"/>
      <c r="S112" s="244"/>
      <c r="T112" s="244"/>
      <c r="U112" s="244"/>
      <c r="V112" s="245">
        <f>SUM(J112:U112)</f>
        <v>0</v>
      </c>
      <c r="W112" s="73" t="e">
        <f t="shared" si="13"/>
        <v>#DIV/0!</v>
      </c>
      <c r="X112" s="89"/>
      <c r="Y112" s="244">
        <v>0</v>
      </c>
      <c r="Z112" s="244">
        <v>0</v>
      </c>
      <c r="AA112" s="244">
        <v>0</v>
      </c>
      <c r="AB112" s="244">
        <v>0</v>
      </c>
      <c r="AC112" s="244">
        <v>0</v>
      </c>
      <c r="AD112" s="244">
        <v>0</v>
      </c>
      <c r="AE112" s="244">
        <v>0</v>
      </c>
      <c r="AF112" s="244">
        <v>0</v>
      </c>
      <c r="AG112" s="244">
        <v>0</v>
      </c>
      <c r="AH112" s="244">
        <v>0</v>
      </c>
      <c r="AI112" s="244">
        <v>0</v>
      </c>
      <c r="AJ112" s="244">
        <v>0</v>
      </c>
      <c r="AK112" s="245">
        <f>SUM(Y112:AJ112)</f>
        <v>0</v>
      </c>
      <c r="AL112" s="73" t="e">
        <f t="shared" si="15"/>
        <v>#DIV/0!</v>
      </c>
      <c r="AM112" s="14">
        <f t="shared" si="21"/>
        <v>0</v>
      </c>
      <c r="AN112" s="9"/>
    </row>
    <row r="113" spans="1:40" hidden="1" outlineLevel="1">
      <c r="A113" s="12"/>
      <c r="I113" s="139" t="s">
        <v>229</v>
      </c>
      <c r="J113" s="244"/>
      <c r="K113" s="244"/>
      <c r="L113" s="244"/>
      <c r="M113" s="244"/>
      <c r="N113" s="244"/>
      <c r="O113" s="244"/>
      <c r="P113" s="244"/>
      <c r="Q113" s="244"/>
      <c r="R113" s="244"/>
      <c r="S113" s="244"/>
      <c r="T113" s="244"/>
      <c r="U113" s="244"/>
      <c r="V113" s="245"/>
      <c r="W113" s="73"/>
      <c r="X113" s="89"/>
      <c r="Y113" s="244"/>
      <c r="Z113" s="244"/>
      <c r="AA113" s="244"/>
      <c r="AB113" s="244"/>
      <c r="AC113" s="244"/>
      <c r="AD113" s="244"/>
      <c r="AE113" s="244"/>
      <c r="AF113" s="244"/>
      <c r="AG113" s="244"/>
      <c r="AH113" s="244"/>
      <c r="AI113" s="244"/>
      <c r="AJ113" s="244"/>
      <c r="AK113" s="245"/>
      <c r="AL113" s="73"/>
      <c r="AM113" s="14"/>
      <c r="AN113" s="9"/>
    </row>
    <row r="114" spans="1:40" hidden="1" outlineLevel="1">
      <c r="A114" s="12"/>
      <c r="I114" s="139" t="s">
        <v>407</v>
      </c>
      <c r="J114" s="244"/>
      <c r="K114" s="244"/>
      <c r="L114" s="244"/>
      <c r="M114" s="244"/>
      <c r="N114" s="244"/>
      <c r="O114" s="244"/>
      <c r="P114" s="244"/>
      <c r="Q114" s="244"/>
      <c r="R114" s="244"/>
      <c r="S114" s="244"/>
      <c r="T114" s="244"/>
      <c r="U114" s="244"/>
      <c r="V114" s="245"/>
      <c r="W114" s="73"/>
      <c r="X114" s="89"/>
      <c r="Y114" s="244"/>
      <c r="Z114" s="244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5"/>
      <c r="AL114" s="73"/>
      <c r="AM114" s="14"/>
      <c r="AN114" s="9"/>
    </row>
    <row r="115" spans="1:40" hidden="1" outlineLevel="1">
      <c r="A115" s="12"/>
      <c r="I115" s="139" t="s">
        <v>231</v>
      </c>
      <c r="J115" s="244"/>
      <c r="K115" s="244"/>
      <c r="L115" s="244"/>
      <c r="M115" s="244"/>
      <c r="N115" s="244"/>
      <c r="O115" s="244"/>
      <c r="P115" s="244"/>
      <c r="Q115" s="244"/>
      <c r="R115" s="244"/>
      <c r="S115" s="244"/>
      <c r="T115" s="244"/>
      <c r="U115" s="244"/>
      <c r="V115" s="245"/>
      <c r="W115" s="73"/>
      <c r="X115" s="89"/>
      <c r="Y115" s="244"/>
      <c r="Z115" s="244"/>
      <c r="AA115" s="244"/>
      <c r="AB115" s="244"/>
      <c r="AC115" s="244"/>
      <c r="AD115" s="244"/>
      <c r="AE115" s="244"/>
      <c r="AF115" s="244"/>
      <c r="AG115" s="244"/>
      <c r="AH115" s="244"/>
      <c r="AI115" s="244"/>
      <c r="AJ115" s="244"/>
      <c r="AK115" s="245"/>
      <c r="AL115" s="73"/>
      <c r="AM115" s="14"/>
      <c r="AN115" s="9"/>
    </row>
    <row r="116" spans="1:40" hidden="1" outlineLevel="1">
      <c r="A116" s="12"/>
      <c r="I116" s="139" t="s">
        <v>408</v>
      </c>
      <c r="J116" s="244"/>
      <c r="K116" s="244"/>
      <c r="L116" s="244"/>
      <c r="M116" s="244"/>
      <c r="N116" s="244"/>
      <c r="O116" s="244"/>
      <c r="P116" s="244"/>
      <c r="Q116" s="244"/>
      <c r="R116" s="244"/>
      <c r="S116" s="244"/>
      <c r="T116" s="244"/>
      <c r="U116" s="244"/>
      <c r="V116" s="245"/>
      <c r="W116" s="73"/>
      <c r="X116" s="89"/>
      <c r="Y116" s="244"/>
      <c r="Z116" s="244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5"/>
      <c r="AL116" s="73"/>
      <c r="AM116" s="14"/>
      <c r="AN116" s="9"/>
    </row>
    <row r="117" spans="1:40" hidden="1" outlineLevel="1">
      <c r="A117" s="12"/>
      <c r="I117" s="139" t="s">
        <v>233</v>
      </c>
      <c r="J117" s="244"/>
      <c r="K117" s="244"/>
      <c r="L117" s="244"/>
      <c r="M117" s="244"/>
      <c r="N117" s="244"/>
      <c r="O117" s="244"/>
      <c r="P117" s="244"/>
      <c r="Q117" s="244"/>
      <c r="R117" s="244"/>
      <c r="S117" s="244"/>
      <c r="T117" s="244"/>
      <c r="U117" s="244"/>
      <c r="V117" s="245"/>
      <c r="W117" s="73"/>
      <c r="X117" s="89"/>
      <c r="Y117" s="244"/>
      <c r="Z117" s="244"/>
      <c r="AA117" s="244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5"/>
      <c r="AL117" s="73"/>
      <c r="AM117" s="14"/>
      <c r="AN117" s="9"/>
    </row>
    <row r="118" spans="1:40" hidden="1" outlineLevel="1">
      <c r="A118" s="12"/>
      <c r="I118" s="139" t="s">
        <v>409</v>
      </c>
      <c r="J118" s="244"/>
      <c r="K118" s="244"/>
      <c r="L118" s="244"/>
      <c r="M118" s="244"/>
      <c r="N118" s="244"/>
      <c r="O118" s="244"/>
      <c r="P118" s="244"/>
      <c r="Q118" s="244"/>
      <c r="R118" s="244"/>
      <c r="S118" s="244"/>
      <c r="T118" s="244"/>
      <c r="U118" s="244"/>
      <c r="V118" s="245"/>
      <c r="W118" s="73"/>
      <c r="X118" s="89"/>
      <c r="Y118" s="244"/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5"/>
      <c r="AL118" s="73"/>
      <c r="AM118" s="14"/>
      <c r="AN118" s="9"/>
    </row>
    <row r="119" spans="1:40" hidden="1" outlineLevel="1">
      <c r="A119" s="12"/>
      <c r="I119" s="139" t="s">
        <v>410</v>
      </c>
      <c r="J119" s="244"/>
      <c r="K119" s="244"/>
      <c r="L119" s="244"/>
      <c r="M119" s="244"/>
      <c r="N119" s="244"/>
      <c r="O119" s="244"/>
      <c r="P119" s="244"/>
      <c r="Q119" s="244"/>
      <c r="R119" s="244"/>
      <c r="S119" s="244"/>
      <c r="T119" s="244"/>
      <c r="U119" s="244"/>
      <c r="V119" s="245"/>
      <c r="W119" s="73"/>
      <c r="X119" s="89"/>
      <c r="Y119" s="244"/>
      <c r="Z119" s="244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5"/>
      <c r="AL119" s="73"/>
      <c r="AM119" s="14"/>
      <c r="AN119" s="9"/>
    </row>
    <row r="120" spans="1:40" hidden="1" outlineLevel="1">
      <c r="A120" s="12"/>
      <c r="I120" s="139" t="s">
        <v>236</v>
      </c>
      <c r="J120" s="244"/>
      <c r="K120" s="244"/>
      <c r="L120" s="244"/>
      <c r="M120" s="244"/>
      <c r="N120" s="244"/>
      <c r="O120" s="244"/>
      <c r="P120" s="244"/>
      <c r="Q120" s="244"/>
      <c r="R120" s="244"/>
      <c r="S120" s="244"/>
      <c r="T120" s="244"/>
      <c r="U120" s="244"/>
      <c r="V120" s="245"/>
      <c r="W120" s="73"/>
      <c r="X120" s="89"/>
      <c r="Y120" s="244"/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5"/>
      <c r="AL120" s="73"/>
      <c r="AM120" s="14"/>
      <c r="AN120" s="9"/>
    </row>
    <row r="121" spans="1:40" hidden="1" outlineLevel="1">
      <c r="A121" s="12"/>
      <c r="I121" s="139" t="s">
        <v>237</v>
      </c>
      <c r="J121" s="244"/>
      <c r="K121" s="244"/>
      <c r="L121" s="244"/>
      <c r="M121" s="244"/>
      <c r="N121" s="244"/>
      <c r="O121" s="244"/>
      <c r="P121" s="244"/>
      <c r="Q121" s="244"/>
      <c r="R121" s="244"/>
      <c r="S121" s="244"/>
      <c r="T121" s="244"/>
      <c r="U121" s="244"/>
      <c r="V121" s="245"/>
      <c r="W121" s="73"/>
      <c r="X121" s="89"/>
      <c r="Y121" s="244"/>
      <c r="Z121" s="244"/>
      <c r="AA121" s="244"/>
      <c r="AB121" s="244"/>
      <c r="AC121" s="244"/>
      <c r="AD121" s="244"/>
      <c r="AE121" s="244"/>
      <c r="AF121" s="244"/>
      <c r="AG121" s="244"/>
      <c r="AH121" s="244"/>
      <c r="AI121" s="244"/>
      <c r="AJ121" s="244"/>
      <c r="AK121" s="245"/>
      <c r="AL121" s="73"/>
      <c r="AM121" s="14"/>
      <c r="AN121" s="9"/>
    </row>
    <row r="122" spans="1:40" hidden="1" outlineLevel="1">
      <c r="A122" s="12"/>
      <c r="I122" s="139" t="s">
        <v>411</v>
      </c>
      <c r="J122" s="244"/>
      <c r="K122" s="244"/>
      <c r="L122" s="244"/>
      <c r="M122" s="244"/>
      <c r="N122" s="244"/>
      <c r="O122" s="244"/>
      <c r="P122" s="244"/>
      <c r="Q122" s="244"/>
      <c r="R122" s="244"/>
      <c r="S122" s="244"/>
      <c r="T122" s="244"/>
      <c r="U122" s="244"/>
      <c r="V122" s="245"/>
      <c r="W122" s="73"/>
      <c r="X122" s="89"/>
      <c r="Y122" s="244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5"/>
      <c r="AL122" s="73"/>
      <c r="AM122" s="14"/>
      <c r="AN122" s="9"/>
    </row>
    <row r="123" spans="1:40" hidden="1" outlineLevel="1">
      <c r="A123" s="12"/>
      <c r="I123" s="139" t="s">
        <v>412</v>
      </c>
      <c r="J123" s="244"/>
      <c r="K123" s="244"/>
      <c r="L123" s="244"/>
      <c r="M123" s="244"/>
      <c r="N123" s="244"/>
      <c r="O123" s="244"/>
      <c r="P123" s="244"/>
      <c r="Q123" s="244"/>
      <c r="R123" s="244"/>
      <c r="S123" s="244"/>
      <c r="T123" s="244"/>
      <c r="U123" s="244"/>
      <c r="V123" s="245"/>
      <c r="W123" s="73"/>
      <c r="X123" s="89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5"/>
      <c r="AL123" s="73"/>
      <c r="AM123" s="14"/>
      <c r="AN123" s="9"/>
    </row>
    <row r="124" spans="1:40" hidden="1" outlineLevel="1">
      <c r="A124" s="12"/>
      <c r="I124" s="139" t="s">
        <v>241</v>
      </c>
      <c r="J124" s="244"/>
      <c r="K124" s="244"/>
      <c r="L124" s="244"/>
      <c r="M124" s="244"/>
      <c r="N124" s="244"/>
      <c r="O124" s="244"/>
      <c r="P124" s="244"/>
      <c r="Q124" s="244"/>
      <c r="R124" s="244"/>
      <c r="S124" s="244"/>
      <c r="T124" s="244"/>
      <c r="U124" s="244"/>
      <c r="V124" s="245"/>
      <c r="W124" s="73"/>
      <c r="X124" s="89"/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5"/>
      <c r="AL124" s="73"/>
      <c r="AM124" s="14"/>
      <c r="AN124" s="9"/>
    </row>
    <row r="125" spans="1:40" hidden="1" outlineLevel="1">
      <c r="A125" s="12"/>
      <c r="I125" s="139" t="s">
        <v>242</v>
      </c>
      <c r="J125" s="244"/>
      <c r="K125" s="244"/>
      <c r="L125" s="244"/>
      <c r="M125" s="244"/>
      <c r="N125" s="244"/>
      <c r="O125" s="244"/>
      <c r="P125" s="244"/>
      <c r="Q125" s="244"/>
      <c r="R125" s="244"/>
      <c r="S125" s="244"/>
      <c r="T125" s="244"/>
      <c r="U125" s="244"/>
      <c r="V125" s="245"/>
      <c r="W125" s="73"/>
      <c r="X125" s="89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5"/>
      <c r="AL125" s="73"/>
      <c r="AM125" s="14"/>
      <c r="AN125" s="9"/>
    </row>
    <row r="126" spans="1:40" hidden="1" outlineLevel="1">
      <c r="A126" s="12"/>
      <c r="I126" s="139" t="s">
        <v>243</v>
      </c>
      <c r="J126" s="244"/>
      <c r="K126" s="244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5"/>
      <c r="W126" s="73"/>
      <c r="X126" s="89"/>
      <c r="Y126" s="244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5"/>
      <c r="AL126" s="73"/>
      <c r="AM126" s="14"/>
      <c r="AN126" s="9"/>
    </row>
    <row r="127" spans="1:40" hidden="1" outlineLevel="1">
      <c r="A127" s="12"/>
      <c r="I127" s="139" t="s">
        <v>244</v>
      </c>
      <c r="J127" s="244"/>
      <c r="K127" s="244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5"/>
      <c r="W127" s="73"/>
      <c r="X127" s="89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5"/>
      <c r="AL127" s="73"/>
      <c r="AM127" s="14"/>
      <c r="AN127" s="9"/>
    </row>
    <row r="128" spans="1:40" hidden="1" outlineLevel="1">
      <c r="A128" s="12"/>
      <c r="I128" s="139" t="s">
        <v>245</v>
      </c>
      <c r="J128" s="244"/>
      <c r="K128" s="244"/>
      <c r="L128" s="244"/>
      <c r="M128" s="244"/>
      <c r="N128" s="244"/>
      <c r="O128" s="244"/>
      <c r="P128" s="244"/>
      <c r="Q128" s="244"/>
      <c r="R128" s="244"/>
      <c r="S128" s="244"/>
      <c r="T128" s="244"/>
      <c r="U128" s="244"/>
      <c r="V128" s="245"/>
      <c r="W128" s="73"/>
      <c r="X128" s="89"/>
      <c r="Y128" s="244"/>
      <c r="Z128" s="244"/>
      <c r="AA128" s="244"/>
      <c r="AB128" s="244"/>
      <c r="AC128" s="244"/>
      <c r="AD128" s="244"/>
      <c r="AE128" s="244"/>
      <c r="AF128" s="244"/>
      <c r="AG128" s="244"/>
      <c r="AH128" s="244"/>
      <c r="AI128" s="244"/>
      <c r="AJ128" s="244"/>
      <c r="AK128" s="245"/>
      <c r="AL128" s="73"/>
      <c r="AM128" s="14"/>
      <c r="AN128" s="9"/>
    </row>
    <row r="129" spans="1:40" hidden="1" outlineLevel="1">
      <c r="A129" s="12"/>
      <c r="I129" s="139" t="s">
        <v>413</v>
      </c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5"/>
      <c r="W129" s="73"/>
      <c r="X129" s="89"/>
      <c r="Y129" s="244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44"/>
      <c r="AK129" s="245"/>
      <c r="AL129" s="73"/>
      <c r="AM129" s="14"/>
      <c r="AN129" s="9"/>
    </row>
    <row r="130" spans="1:40" hidden="1" outlineLevel="1">
      <c r="A130" s="12"/>
      <c r="I130" s="139" t="s">
        <v>248</v>
      </c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5"/>
      <c r="W130" s="73"/>
      <c r="X130" s="89"/>
      <c r="Y130" s="244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5"/>
      <c r="AL130" s="73"/>
      <c r="AM130" s="14"/>
      <c r="AN130" s="9"/>
    </row>
    <row r="131" spans="1:40" hidden="1" outlineLevel="1">
      <c r="A131" s="12"/>
      <c r="I131" s="139" t="s">
        <v>249</v>
      </c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5"/>
      <c r="W131" s="73"/>
      <c r="X131" s="89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5"/>
      <c r="AL131" s="73"/>
      <c r="AM131" s="14"/>
      <c r="AN131" s="9"/>
    </row>
    <row r="132" spans="1:40" hidden="1" outlineLevel="1">
      <c r="A132" s="12"/>
      <c r="I132" s="139" t="s">
        <v>250</v>
      </c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5"/>
      <c r="W132" s="73"/>
      <c r="X132" s="89"/>
      <c r="Y132" s="244"/>
      <c r="Z132" s="244"/>
      <c r="AA132" s="244"/>
      <c r="AB132" s="244"/>
      <c r="AC132" s="244"/>
      <c r="AD132" s="244"/>
      <c r="AE132" s="244"/>
      <c r="AF132" s="244"/>
      <c r="AG132" s="244"/>
      <c r="AH132" s="244"/>
      <c r="AI132" s="244"/>
      <c r="AJ132" s="244"/>
      <c r="AK132" s="245"/>
      <c r="AL132" s="73"/>
      <c r="AM132" s="14"/>
      <c r="AN132" s="9"/>
    </row>
    <row r="133" spans="1:40" hidden="1" outlineLevel="1">
      <c r="A133" s="12"/>
      <c r="I133" s="139" t="s">
        <v>251</v>
      </c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5"/>
      <c r="W133" s="73"/>
      <c r="X133" s="89"/>
      <c r="Y133" s="244"/>
      <c r="Z133" s="244"/>
      <c r="AA133" s="244"/>
      <c r="AB133" s="244"/>
      <c r="AC133" s="244"/>
      <c r="AD133" s="244"/>
      <c r="AE133" s="244"/>
      <c r="AF133" s="244"/>
      <c r="AG133" s="244"/>
      <c r="AH133" s="244"/>
      <c r="AI133" s="244"/>
      <c r="AJ133" s="244"/>
      <c r="AK133" s="245"/>
      <c r="AL133" s="73"/>
      <c r="AM133" s="14"/>
      <c r="AN133" s="9"/>
    </row>
    <row r="134" spans="1:40" hidden="1" outlineLevel="1">
      <c r="A134" s="12"/>
      <c r="I134" s="139" t="s">
        <v>252</v>
      </c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5"/>
      <c r="W134" s="73"/>
      <c r="X134" s="89"/>
      <c r="Y134" s="244"/>
      <c r="Z134" s="244"/>
      <c r="AA134" s="244"/>
      <c r="AB134" s="244"/>
      <c r="AC134" s="244"/>
      <c r="AD134" s="244"/>
      <c r="AE134" s="244"/>
      <c r="AF134" s="244"/>
      <c r="AG134" s="244"/>
      <c r="AH134" s="244"/>
      <c r="AI134" s="244"/>
      <c r="AJ134" s="244"/>
      <c r="AK134" s="245"/>
      <c r="AL134" s="73"/>
      <c r="AM134" s="14"/>
      <c r="AN134" s="9"/>
    </row>
    <row r="135" spans="1:40" hidden="1" outlineLevel="1">
      <c r="A135" s="12"/>
      <c r="I135" s="139" t="s">
        <v>253</v>
      </c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5"/>
      <c r="W135" s="73"/>
      <c r="X135" s="89"/>
      <c r="Y135" s="244"/>
      <c r="Z135" s="244"/>
      <c r="AA135" s="244"/>
      <c r="AB135" s="244"/>
      <c r="AC135" s="244"/>
      <c r="AD135" s="244"/>
      <c r="AE135" s="244"/>
      <c r="AF135" s="244"/>
      <c r="AG135" s="244"/>
      <c r="AH135" s="244"/>
      <c r="AI135" s="244"/>
      <c r="AJ135" s="244"/>
      <c r="AK135" s="245"/>
      <c r="AL135" s="73"/>
      <c r="AM135" s="14"/>
      <c r="AN135" s="9"/>
    </row>
    <row r="136" spans="1:40" hidden="1" outlineLevel="1">
      <c r="A136" s="12"/>
      <c r="I136" s="139" t="s">
        <v>254</v>
      </c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5"/>
      <c r="W136" s="73"/>
      <c r="X136" s="89"/>
      <c r="Y136" s="244"/>
      <c r="Z136" s="244"/>
      <c r="AA136" s="244"/>
      <c r="AB136" s="244"/>
      <c r="AC136" s="244"/>
      <c r="AD136" s="244"/>
      <c r="AE136" s="244"/>
      <c r="AF136" s="244"/>
      <c r="AG136" s="244"/>
      <c r="AH136" s="244"/>
      <c r="AI136" s="244"/>
      <c r="AJ136" s="244"/>
      <c r="AK136" s="245"/>
      <c r="AL136" s="73"/>
      <c r="AM136" s="14"/>
      <c r="AN136" s="9"/>
    </row>
    <row r="137" spans="1:40" hidden="1" outlineLevel="1">
      <c r="A137" s="12"/>
      <c r="I137" s="139" t="s">
        <v>255</v>
      </c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5"/>
      <c r="W137" s="73"/>
      <c r="X137" s="89"/>
      <c r="Y137" s="244"/>
      <c r="Z137" s="244"/>
      <c r="AA137" s="244"/>
      <c r="AB137" s="244"/>
      <c r="AC137" s="244"/>
      <c r="AD137" s="244"/>
      <c r="AE137" s="244"/>
      <c r="AF137" s="244"/>
      <c r="AG137" s="244"/>
      <c r="AH137" s="244"/>
      <c r="AI137" s="244"/>
      <c r="AJ137" s="244"/>
      <c r="AK137" s="245"/>
      <c r="AL137" s="73"/>
      <c r="AM137" s="14"/>
      <c r="AN137" s="9"/>
    </row>
    <row r="138" spans="1:40" hidden="1" outlineLevel="1">
      <c r="A138" s="12"/>
      <c r="I138" s="139" t="s">
        <v>256</v>
      </c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5"/>
      <c r="W138" s="73"/>
      <c r="X138" s="89"/>
      <c r="Y138" s="244"/>
      <c r="Z138" s="244"/>
      <c r="AA138" s="244"/>
      <c r="AB138" s="244"/>
      <c r="AC138" s="244"/>
      <c r="AD138" s="244"/>
      <c r="AE138" s="244"/>
      <c r="AF138" s="244"/>
      <c r="AG138" s="244"/>
      <c r="AH138" s="244"/>
      <c r="AI138" s="244"/>
      <c r="AJ138" s="244"/>
      <c r="AK138" s="245"/>
      <c r="AL138" s="73"/>
      <c r="AM138" s="14"/>
      <c r="AN138" s="9"/>
    </row>
    <row r="139" spans="1:40" hidden="1" outlineLevel="1">
      <c r="A139" s="12"/>
      <c r="I139" s="139" t="s">
        <v>257</v>
      </c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5"/>
      <c r="W139" s="73"/>
      <c r="X139" s="89"/>
      <c r="Y139" s="244"/>
      <c r="Z139" s="244"/>
      <c r="AA139" s="244"/>
      <c r="AB139" s="244"/>
      <c r="AC139" s="244"/>
      <c r="AD139" s="244"/>
      <c r="AE139" s="244"/>
      <c r="AF139" s="244"/>
      <c r="AG139" s="244"/>
      <c r="AH139" s="244"/>
      <c r="AI139" s="244"/>
      <c r="AJ139" s="244"/>
      <c r="AK139" s="245"/>
      <c r="AL139" s="73"/>
      <c r="AM139" s="14"/>
      <c r="AN139" s="9"/>
    </row>
    <row r="140" spans="1:40" hidden="1" outlineLevel="1">
      <c r="A140" s="12"/>
      <c r="I140" s="139" t="s">
        <v>258</v>
      </c>
      <c r="J140" s="244"/>
      <c r="K140" s="244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5"/>
      <c r="W140" s="73"/>
      <c r="X140" s="89"/>
      <c r="Y140" s="244"/>
      <c r="Z140" s="244"/>
      <c r="AA140" s="244"/>
      <c r="AB140" s="244"/>
      <c r="AC140" s="244"/>
      <c r="AD140" s="244"/>
      <c r="AE140" s="244"/>
      <c r="AF140" s="244"/>
      <c r="AG140" s="244"/>
      <c r="AH140" s="244"/>
      <c r="AI140" s="244"/>
      <c r="AJ140" s="244"/>
      <c r="AK140" s="245"/>
      <c r="AL140" s="73"/>
      <c r="AM140" s="14"/>
      <c r="AN140" s="9"/>
    </row>
    <row r="141" spans="1:40" hidden="1" outlineLevel="1">
      <c r="A141" s="12"/>
      <c r="I141" s="139" t="s">
        <v>259</v>
      </c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5"/>
      <c r="W141" s="73"/>
      <c r="X141" s="89"/>
      <c r="Y141" s="244"/>
      <c r="Z141" s="244"/>
      <c r="AA141" s="244"/>
      <c r="AB141" s="244"/>
      <c r="AC141" s="244"/>
      <c r="AD141" s="244"/>
      <c r="AE141" s="244"/>
      <c r="AF141" s="244"/>
      <c r="AG141" s="244"/>
      <c r="AH141" s="244"/>
      <c r="AI141" s="244"/>
      <c r="AJ141" s="244"/>
      <c r="AK141" s="245"/>
      <c r="AL141" s="73"/>
      <c r="AM141" s="14"/>
      <c r="AN141" s="9"/>
    </row>
    <row r="142" spans="1:40" hidden="1" outlineLevel="1">
      <c r="A142" s="12"/>
      <c r="I142" s="139" t="s">
        <v>196</v>
      </c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5"/>
      <c r="W142" s="73"/>
      <c r="X142" s="89"/>
      <c r="Y142" s="244"/>
      <c r="Z142" s="244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5"/>
      <c r="AL142" s="73"/>
      <c r="AM142" s="14"/>
      <c r="AN142" s="9"/>
    </row>
    <row r="143" spans="1:40" hidden="1" outlineLevel="1">
      <c r="A143" s="12"/>
      <c r="I143" s="139" t="s">
        <v>414</v>
      </c>
      <c r="J143" s="244"/>
      <c r="K143" s="244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5"/>
      <c r="W143" s="73"/>
      <c r="X143" s="89"/>
      <c r="Y143" s="244"/>
      <c r="Z143" s="244"/>
      <c r="AA143" s="244"/>
      <c r="AB143" s="244"/>
      <c r="AC143" s="244"/>
      <c r="AD143" s="244"/>
      <c r="AE143" s="244"/>
      <c r="AF143" s="244"/>
      <c r="AG143" s="244"/>
      <c r="AH143" s="244"/>
      <c r="AI143" s="244"/>
      <c r="AJ143" s="244"/>
      <c r="AK143" s="245"/>
      <c r="AL143" s="73"/>
      <c r="AM143" s="14"/>
      <c r="AN143" s="9"/>
    </row>
    <row r="144" spans="1:40" collapsed="1">
      <c r="A144" s="12" t="s">
        <v>240</v>
      </c>
      <c r="B144" s="8" t="s">
        <v>101</v>
      </c>
      <c r="I144" s="150" t="s">
        <v>263</v>
      </c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>
        <f>SUM(V145:V151)</f>
        <v>0</v>
      </c>
      <c r="W144" s="72" t="e">
        <f t="shared" si="13"/>
        <v>#DIV/0!</v>
      </c>
      <c r="X144" s="89"/>
      <c r="Y144" s="241">
        <f>SUM(Y145:Y151)</f>
        <v>0</v>
      </c>
      <c r="Z144" s="241">
        <f t="shared" ref="Z144:AJ144" si="24">SUM(Z145:Z151)</f>
        <v>0</v>
      </c>
      <c r="AA144" s="241">
        <f t="shared" si="24"/>
        <v>0</v>
      </c>
      <c r="AB144" s="241">
        <f t="shared" si="24"/>
        <v>0</v>
      </c>
      <c r="AC144" s="241">
        <f t="shared" si="24"/>
        <v>0</v>
      </c>
      <c r="AD144" s="241">
        <f t="shared" si="24"/>
        <v>0</v>
      </c>
      <c r="AE144" s="241">
        <f t="shared" si="24"/>
        <v>0</v>
      </c>
      <c r="AF144" s="241">
        <f t="shared" si="24"/>
        <v>0</v>
      </c>
      <c r="AG144" s="241">
        <f t="shared" si="24"/>
        <v>0</v>
      </c>
      <c r="AH144" s="241">
        <f t="shared" si="24"/>
        <v>0</v>
      </c>
      <c r="AI144" s="241">
        <f t="shared" si="24"/>
        <v>0</v>
      </c>
      <c r="AJ144" s="241">
        <f t="shared" si="24"/>
        <v>0</v>
      </c>
      <c r="AK144" s="241">
        <f>SUM(AK145:AK151)</f>
        <v>0</v>
      </c>
      <c r="AL144" s="72" t="e">
        <f t="shared" si="15"/>
        <v>#DIV/0!</v>
      </c>
      <c r="AM144" s="10">
        <f t="shared" si="21"/>
        <v>0</v>
      </c>
      <c r="AN144" s="9"/>
    </row>
    <row r="145" spans="1:40" hidden="1" outlineLevel="1">
      <c r="A145" s="12" t="s">
        <v>240</v>
      </c>
      <c r="B145" s="8" t="s">
        <v>101</v>
      </c>
      <c r="I145" t="s">
        <v>264</v>
      </c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45">
        <f>SUM(J145:U145)</f>
        <v>0</v>
      </c>
      <c r="W145" s="73" t="e">
        <f t="shared" si="13"/>
        <v>#DIV/0!</v>
      </c>
      <c r="X145" s="89"/>
      <c r="Y145" s="252">
        <v>0</v>
      </c>
      <c r="Z145" s="252">
        <v>0</v>
      </c>
      <c r="AA145" s="252">
        <v>0</v>
      </c>
      <c r="AB145" s="252">
        <v>0</v>
      </c>
      <c r="AC145" s="252">
        <v>0</v>
      </c>
      <c r="AD145" s="252">
        <v>0</v>
      </c>
      <c r="AE145" s="252">
        <v>0</v>
      </c>
      <c r="AF145" s="252">
        <v>0</v>
      </c>
      <c r="AG145" s="252">
        <v>0</v>
      </c>
      <c r="AH145" s="252">
        <v>0</v>
      </c>
      <c r="AI145" s="252">
        <v>0</v>
      </c>
      <c r="AJ145" s="252">
        <v>0</v>
      </c>
      <c r="AK145" s="245">
        <f>SUM(Y145:AJ145)</f>
        <v>0</v>
      </c>
      <c r="AL145" s="73" t="e">
        <f t="shared" si="15"/>
        <v>#DIV/0!</v>
      </c>
      <c r="AM145" s="14">
        <f t="shared" si="21"/>
        <v>0</v>
      </c>
      <c r="AN145" s="9"/>
    </row>
    <row r="146" spans="1:40" hidden="1" outlineLevel="1">
      <c r="A146" s="12" t="s">
        <v>240</v>
      </c>
      <c r="B146" s="8" t="s">
        <v>101</v>
      </c>
      <c r="I146" t="s">
        <v>293</v>
      </c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45">
        <f t="shared" ref="V146:V151" si="25">SUM(J146:U146)</f>
        <v>0</v>
      </c>
      <c r="W146" s="73" t="e">
        <f t="shared" si="13"/>
        <v>#DIV/0!</v>
      </c>
      <c r="X146" s="89"/>
      <c r="Y146" s="252">
        <v>0</v>
      </c>
      <c r="Z146" s="252">
        <v>0</v>
      </c>
      <c r="AA146" s="252">
        <v>0</v>
      </c>
      <c r="AB146" s="252">
        <v>0</v>
      </c>
      <c r="AC146" s="252">
        <v>0</v>
      </c>
      <c r="AD146" s="252">
        <v>0</v>
      </c>
      <c r="AE146" s="252">
        <v>0</v>
      </c>
      <c r="AF146" s="252">
        <v>0</v>
      </c>
      <c r="AG146" s="252">
        <v>0</v>
      </c>
      <c r="AH146" s="252">
        <v>0</v>
      </c>
      <c r="AI146" s="252">
        <v>0</v>
      </c>
      <c r="AJ146" s="252">
        <v>0</v>
      </c>
      <c r="AK146" s="245">
        <f t="shared" ref="AK146:AK151" si="26">SUM(Y146:AJ146)</f>
        <v>0</v>
      </c>
      <c r="AL146" s="73" t="e">
        <f t="shared" si="15"/>
        <v>#DIV/0!</v>
      </c>
      <c r="AM146" s="14">
        <f t="shared" si="21"/>
        <v>0</v>
      </c>
      <c r="AN146" s="9"/>
    </row>
    <row r="147" spans="1:40" hidden="1" outlineLevel="1">
      <c r="A147" s="12" t="s">
        <v>240</v>
      </c>
      <c r="B147" s="8" t="s">
        <v>101</v>
      </c>
      <c r="I147" s="139" t="s">
        <v>294</v>
      </c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45">
        <f t="shared" si="25"/>
        <v>0</v>
      </c>
      <c r="W147" s="73" t="e">
        <f t="shared" si="13"/>
        <v>#DIV/0!</v>
      </c>
      <c r="X147" s="89"/>
      <c r="Y147" s="252">
        <v>0</v>
      </c>
      <c r="Z147" s="252">
        <v>0</v>
      </c>
      <c r="AA147" s="252">
        <v>0</v>
      </c>
      <c r="AB147" s="252">
        <v>0</v>
      </c>
      <c r="AC147" s="252">
        <v>0</v>
      </c>
      <c r="AD147" s="252">
        <v>0</v>
      </c>
      <c r="AE147" s="252">
        <v>0</v>
      </c>
      <c r="AF147" s="252">
        <v>0</v>
      </c>
      <c r="AG147" s="252">
        <v>0</v>
      </c>
      <c r="AH147" s="252">
        <v>0</v>
      </c>
      <c r="AI147" s="252">
        <v>0</v>
      </c>
      <c r="AJ147" s="252">
        <v>0</v>
      </c>
      <c r="AK147" s="245">
        <f t="shared" si="26"/>
        <v>0</v>
      </c>
      <c r="AL147" s="73" t="e">
        <f t="shared" si="15"/>
        <v>#DIV/0!</v>
      </c>
      <c r="AM147" s="14">
        <f t="shared" si="21"/>
        <v>0</v>
      </c>
      <c r="AN147" s="9"/>
    </row>
    <row r="148" spans="1:40" hidden="1" outlineLevel="1">
      <c r="A148" s="12" t="s">
        <v>240</v>
      </c>
      <c r="B148" s="8" t="s">
        <v>101</v>
      </c>
      <c r="I148" s="139" t="s">
        <v>267</v>
      </c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45">
        <f t="shared" si="25"/>
        <v>0</v>
      </c>
      <c r="W148" s="73" t="e">
        <f t="shared" si="13"/>
        <v>#DIV/0!</v>
      </c>
      <c r="X148" s="89"/>
      <c r="Y148" s="252">
        <v>0</v>
      </c>
      <c r="Z148" s="252">
        <v>0</v>
      </c>
      <c r="AA148" s="252">
        <v>0</v>
      </c>
      <c r="AB148" s="252">
        <v>0</v>
      </c>
      <c r="AC148" s="252">
        <v>0</v>
      </c>
      <c r="AD148" s="252">
        <v>0</v>
      </c>
      <c r="AE148" s="252">
        <v>0</v>
      </c>
      <c r="AF148" s="252">
        <v>0</v>
      </c>
      <c r="AG148" s="252">
        <v>0</v>
      </c>
      <c r="AH148" s="252">
        <v>0</v>
      </c>
      <c r="AI148" s="252">
        <v>0</v>
      </c>
      <c r="AJ148" s="252">
        <v>0</v>
      </c>
      <c r="AK148" s="245">
        <f t="shared" si="26"/>
        <v>0</v>
      </c>
      <c r="AL148" s="73" t="e">
        <f t="shared" si="15"/>
        <v>#DIV/0!</v>
      </c>
      <c r="AM148" s="14">
        <f t="shared" si="21"/>
        <v>0</v>
      </c>
      <c r="AN148" s="9"/>
    </row>
    <row r="149" spans="1:40" hidden="1" outlineLevel="1">
      <c r="A149" s="12" t="s">
        <v>240</v>
      </c>
      <c r="B149" s="8" t="s">
        <v>101</v>
      </c>
      <c r="I149" s="139" t="s">
        <v>268</v>
      </c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45">
        <f t="shared" si="25"/>
        <v>0</v>
      </c>
      <c r="W149" s="73" t="e">
        <f t="shared" si="13"/>
        <v>#DIV/0!</v>
      </c>
      <c r="X149" s="89"/>
      <c r="Y149" s="252">
        <v>0</v>
      </c>
      <c r="Z149" s="252">
        <v>0</v>
      </c>
      <c r="AA149" s="252">
        <v>0</v>
      </c>
      <c r="AB149" s="252">
        <v>0</v>
      </c>
      <c r="AC149" s="252">
        <v>0</v>
      </c>
      <c r="AD149" s="252">
        <v>0</v>
      </c>
      <c r="AE149" s="252">
        <v>0</v>
      </c>
      <c r="AF149" s="252">
        <v>0</v>
      </c>
      <c r="AG149" s="252">
        <v>0</v>
      </c>
      <c r="AH149" s="252">
        <v>0</v>
      </c>
      <c r="AI149" s="252">
        <v>0</v>
      </c>
      <c r="AJ149" s="252">
        <v>0</v>
      </c>
      <c r="AK149" s="245">
        <f t="shared" si="26"/>
        <v>0</v>
      </c>
      <c r="AL149" s="73" t="e">
        <f t="shared" si="15"/>
        <v>#DIV/0!</v>
      </c>
      <c r="AM149" s="14">
        <f t="shared" si="21"/>
        <v>0</v>
      </c>
      <c r="AN149" s="9"/>
    </row>
    <row r="150" spans="1:40" hidden="1" outlineLevel="1">
      <c r="A150" s="12" t="s">
        <v>240</v>
      </c>
      <c r="B150" s="8" t="s">
        <v>101</v>
      </c>
      <c r="C150" s="19" t="s">
        <v>246</v>
      </c>
      <c r="D150" s="12"/>
      <c r="E150" s="20"/>
      <c r="F150" s="12"/>
      <c r="G150" s="12"/>
      <c r="H150" s="12"/>
      <c r="I150" s="139" t="s">
        <v>269</v>
      </c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45">
        <f t="shared" si="25"/>
        <v>0</v>
      </c>
      <c r="W150" s="73" t="e">
        <f t="shared" si="13"/>
        <v>#DIV/0!</v>
      </c>
      <c r="X150" s="89"/>
      <c r="Y150" s="252">
        <v>0</v>
      </c>
      <c r="Z150" s="252">
        <v>0</v>
      </c>
      <c r="AA150" s="252">
        <v>0</v>
      </c>
      <c r="AB150" s="252">
        <v>0</v>
      </c>
      <c r="AC150" s="252">
        <v>0</v>
      </c>
      <c r="AD150" s="252">
        <v>0</v>
      </c>
      <c r="AE150" s="252">
        <v>0</v>
      </c>
      <c r="AF150" s="252">
        <v>0</v>
      </c>
      <c r="AG150" s="252">
        <v>0</v>
      </c>
      <c r="AH150" s="252">
        <v>0</v>
      </c>
      <c r="AI150" s="252">
        <v>0</v>
      </c>
      <c r="AJ150" s="252">
        <v>0</v>
      </c>
      <c r="AK150" s="245">
        <f t="shared" si="26"/>
        <v>0</v>
      </c>
      <c r="AL150" s="73" t="e">
        <f t="shared" si="15"/>
        <v>#DIV/0!</v>
      </c>
      <c r="AM150" s="14">
        <f t="shared" si="21"/>
        <v>0</v>
      </c>
      <c r="AN150" s="9"/>
    </row>
    <row r="151" spans="1:40" hidden="1" outlineLevel="1">
      <c r="A151" s="12" t="s">
        <v>240</v>
      </c>
      <c r="B151" s="8" t="s">
        <v>101</v>
      </c>
      <c r="I151" t="s">
        <v>270</v>
      </c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45">
        <f t="shared" si="25"/>
        <v>0</v>
      </c>
      <c r="W151" s="73" t="e">
        <f t="shared" si="13"/>
        <v>#DIV/0!</v>
      </c>
      <c r="X151" s="89"/>
      <c r="Y151" s="252">
        <v>0</v>
      </c>
      <c r="Z151" s="252">
        <v>0</v>
      </c>
      <c r="AA151" s="252">
        <v>0</v>
      </c>
      <c r="AB151" s="252">
        <v>0</v>
      </c>
      <c r="AC151" s="252">
        <v>0</v>
      </c>
      <c r="AD151" s="252">
        <v>0</v>
      </c>
      <c r="AE151" s="252">
        <v>0</v>
      </c>
      <c r="AF151" s="252">
        <v>0</v>
      </c>
      <c r="AG151" s="252">
        <v>0</v>
      </c>
      <c r="AH151" s="252">
        <v>0</v>
      </c>
      <c r="AI151" s="252">
        <v>0</v>
      </c>
      <c r="AJ151" s="252">
        <v>0</v>
      </c>
      <c r="AK151" s="245">
        <f t="shared" si="26"/>
        <v>0</v>
      </c>
      <c r="AL151" s="73" t="e">
        <f t="shared" si="15"/>
        <v>#DIV/0!</v>
      </c>
      <c r="AM151" s="14">
        <f t="shared" si="21"/>
        <v>0</v>
      </c>
      <c r="AN151" s="9"/>
    </row>
    <row r="152" spans="1:40">
      <c r="I152" s="28" t="s">
        <v>271</v>
      </c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>
        <f>V49+V88+V104+V109+V144</f>
        <v>0</v>
      </c>
      <c r="W152" s="76" t="e">
        <f t="shared" si="13"/>
        <v>#DIV/0!</v>
      </c>
      <c r="X152" s="89"/>
      <c r="Y152" s="253">
        <f t="shared" ref="Y152:AK152" si="27">Y49+Y88+Y104+Y109+Y144</f>
        <v>0</v>
      </c>
      <c r="Z152" s="253">
        <f t="shared" si="27"/>
        <v>0</v>
      </c>
      <c r="AA152" s="253">
        <f t="shared" si="27"/>
        <v>0</v>
      </c>
      <c r="AB152" s="253">
        <f t="shared" si="27"/>
        <v>0</v>
      </c>
      <c r="AC152" s="253">
        <f t="shared" si="27"/>
        <v>0</v>
      </c>
      <c r="AD152" s="253">
        <f t="shared" si="27"/>
        <v>0</v>
      </c>
      <c r="AE152" s="253">
        <f t="shared" si="27"/>
        <v>0</v>
      </c>
      <c r="AF152" s="253">
        <f t="shared" si="27"/>
        <v>0</v>
      </c>
      <c r="AG152" s="253">
        <f t="shared" si="27"/>
        <v>0</v>
      </c>
      <c r="AH152" s="253">
        <f t="shared" si="27"/>
        <v>0</v>
      </c>
      <c r="AI152" s="253">
        <f t="shared" si="27"/>
        <v>0</v>
      </c>
      <c r="AJ152" s="253">
        <f t="shared" si="27"/>
        <v>0</v>
      </c>
      <c r="AK152" s="253">
        <f t="shared" si="27"/>
        <v>0</v>
      </c>
      <c r="AL152" s="76" t="e">
        <f t="shared" si="15"/>
        <v>#DIV/0!</v>
      </c>
      <c r="AM152" s="10">
        <f t="shared" si="21"/>
        <v>0</v>
      </c>
      <c r="AN152" s="9"/>
    </row>
    <row r="153" spans="1:40">
      <c r="I153" s="26" t="s">
        <v>272</v>
      </c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>
        <f>IFERROR(V151/V37,0)</f>
        <v>0</v>
      </c>
      <c r="W153" s="73" t="e">
        <f t="shared" si="13"/>
        <v>#DIV/0!</v>
      </c>
      <c r="X153" s="89"/>
      <c r="Y153" s="251">
        <f t="shared" ref="Y153:AK154" si="28">IFERROR(Y151/Y37,0)</f>
        <v>0</v>
      </c>
      <c r="Z153" s="251">
        <f t="shared" si="28"/>
        <v>0</v>
      </c>
      <c r="AA153" s="251">
        <f t="shared" si="28"/>
        <v>0</v>
      </c>
      <c r="AB153" s="251">
        <f t="shared" si="28"/>
        <v>0</v>
      </c>
      <c r="AC153" s="251">
        <f t="shared" si="28"/>
        <v>0</v>
      </c>
      <c r="AD153" s="251">
        <f t="shared" si="28"/>
        <v>0</v>
      </c>
      <c r="AE153" s="251">
        <f t="shared" si="28"/>
        <v>0</v>
      </c>
      <c r="AF153" s="251">
        <f t="shared" si="28"/>
        <v>0</v>
      </c>
      <c r="AG153" s="251">
        <f t="shared" si="28"/>
        <v>0</v>
      </c>
      <c r="AH153" s="251">
        <f t="shared" si="28"/>
        <v>0</v>
      </c>
      <c r="AI153" s="251">
        <f t="shared" si="28"/>
        <v>0</v>
      </c>
      <c r="AJ153" s="251">
        <f t="shared" si="28"/>
        <v>0</v>
      </c>
      <c r="AK153" s="251">
        <f t="shared" si="28"/>
        <v>0</v>
      </c>
      <c r="AL153" s="73" t="e">
        <f t="shared" si="15"/>
        <v>#DIV/0!</v>
      </c>
      <c r="AM153" s="16">
        <f t="shared" si="21"/>
        <v>0</v>
      </c>
      <c r="AN153" s="9"/>
    </row>
    <row r="154" spans="1:40">
      <c r="I154" s="26" t="s">
        <v>273</v>
      </c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>
        <f>IFERROR(V152/V38,0)</f>
        <v>0</v>
      </c>
      <c r="W154" s="73" t="e">
        <f t="shared" si="13"/>
        <v>#DIV/0!</v>
      </c>
      <c r="X154" s="89"/>
      <c r="Y154" s="251">
        <f t="shared" si="28"/>
        <v>0</v>
      </c>
      <c r="Z154" s="251">
        <f t="shared" si="28"/>
        <v>0</v>
      </c>
      <c r="AA154" s="251">
        <f t="shared" si="28"/>
        <v>0</v>
      </c>
      <c r="AB154" s="251">
        <f t="shared" si="28"/>
        <v>0</v>
      </c>
      <c r="AC154" s="251">
        <f t="shared" si="28"/>
        <v>0</v>
      </c>
      <c r="AD154" s="251">
        <f t="shared" si="28"/>
        <v>0</v>
      </c>
      <c r="AE154" s="251">
        <f t="shared" si="28"/>
        <v>0</v>
      </c>
      <c r="AF154" s="251">
        <f t="shared" si="28"/>
        <v>0</v>
      </c>
      <c r="AG154" s="251">
        <f t="shared" si="28"/>
        <v>0</v>
      </c>
      <c r="AH154" s="251">
        <f t="shared" si="28"/>
        <v>0</v>
      </c>
      <c r="AI154" s="251">
        <f t="shared" si="28"/>
        <v>0</v>
      </c>
      <c r="AJ154" s="251">
        <f t="shared" si="28"/>
        <v>0</v>
      </c>
      <c r="AK154" s="251">
        <f t="shared" si="28"/>
        <v>0</v>
      </c>
      <c r="AL154" s="73" t="e">
        <f t="shared" si="15"/>
        <v>#DIV/0!</v>
      </c>
      <c r="AM154" s="16">
        <f t="shared" si="21"/>
        <v>0</v>
      </c>
      <c r="AN154" s="9"/>
    </row>
    <row r="155" spans="1:40" ht="15.75">
      <c r="I155" s="25" t="s">
        <v>274</v>
      </c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>
        <f>V32-V152</f>
        <v>0</v>
      </c>
      <c r="W155" s="77" t="e">
        <f t="shared" si="13"/>
        <v>#DIV/0!</v>
      </c>
      <c r="X155" s="89"/>
      <c r="Y155" s="254">
        <f t="shared" ref="Y155:AK155" si="29">Y32-Y152</f>
        <v>0</v>
      </c>
      <c r="Z155" s="254">
        <f t="shared" si="29"/>
        <v>0</v>
      </c>
      <c r="AA155" s="254">
        <f t="shared" si="29"/>
        <v>0</v>
      </c>
      <c r="AB155" s="254">
        <f t="shared" si="29"/>
        <v>0</v>
      </c>
      <c r="AC155" s="254">
        <f t="shared" si="29"/>
        <v>0</v>
      </c>
      <c r="AD155" s="254">
        <f t="shared" si="29"/>
        <v>0</v>
      </c>
      <c r="AE155" s="254">
        <f t="shared" si="29"/>
        <v>0</v>
      </c>
      <c r="AF155" s="254">
        <f t="shared" si="29"/>
        <v>0</v>
      </c>
      <c r="AG155" s="254">
        <f t="shared" si="29"/>
        <v>0</v>
      </c>
      <c r="AH155" s="254">
        <f t="shared" si="29"/>
        <v>0</v>
      </c>
      <c r="AI155" s="254">
        <f t="shared" si="29"/>
        <v>0</v>
      </c>
      <c r="AJ155" s="254">
        <f t="shared" si="29"/>
        <v>0</v>
      </c>
      <c r="AK155" s="254">
        <f t="shared" si="29"/>
        <v>0</v>
      </c>
      <c r="AL155" s="77" t="e">
        <f t="shared" si="15"/>
        <v>#DIV/0!</v>
      </c>
      <c r="AM155" s="23">
        <f t="shared" si="21"/>
        <v>0</v>
      </c>
      <c r="AN155" s="9"/>
    </row>
    <row r="156" spans="1:40">
      <c r="J156" s="138"/>
      <c r="W156" s="75"/>
      <c r="X156" s="89"/>
      <c r="Y156" s="138"/>
      <c r="AL156" s="75"/>
      <c r="AM156" s="13"/>
      <c r="AN156" s="9"/>
    </row>
    <row r="157" spans="1:40">
      <c r="E157" s="7" t="s">
        <v>111</v>
      </c>
      <c r="I157" s="141" t="s">
        <v>275</v>
      </c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75"/>
      <c r="X157" s="89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75"/>
      <c r="AM157" s="13"/>
      <c r="AN157" s="9"/>
    </row>
    <row r="158" spans="1:40" ht="5.25" customHeight="1">
      <c r="A158" s="21"/>
      <c r="B158" s="21"/>
      <c r="C158" s="21"/>
      <c r="D158" s="21"/>
      <c r="E158" s="22"/>
      <c r="F158" s="21"/>
      <c r="G158" s="21"/>
      <c r="H158" s="21"/>
      <c r="I158" s="141"/>
      <c r="W158" s="75"/>
      <c r="X158" s="89"/>
      <c r="AL158" s="75"/>
      <c r="AM158" s="13"/>
      <c r="AN158" s="9"/>
    </row>
    <row r="159" spans="1:40" collapsed="1">
      <c r="A159" s="12" t="s">
        <v>157</v>
      </c>
      <c r="B159" s="8" t="s">
        <v>276</v>
      </c>
      <c r="I159" s="120" t="s">
        <v>161</v>
      </c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>
        <f>SUM(V160:V201)</f>
        <v>0</v>
      </c>
      <c r="W159" s="72" t="e">
        <f t="shared" ref="W159:W232" si="30">V159/V$6</f>
        <v>#DIV/0!</v>
      </c>
      <c r="X159" s="89"/>
      <c r="Y159" s="241">
        <f>SUM(Y160:Y208)</f>
        <v>0</v>
      </c>
      <c r="Z159" s="241">
        <f t="shared" ref="Z159:AK159" si="31">SUM(Z160:Z208)</f>
        <v>0</v>
      </c>
      <c r="AA159" s="241">
        <f t="shared" si="31"/>
        <v>0</v>
      </c>
      <c r="AB159" s="241">
        <f t="shared" si="31"/>
        <v>0</v>
      </c>
      <c r="AC159" s="241">
        <f t="shared" si="31"/>
        <v>0</v>
      </c>
      <c r="AD159" s="241">
        <f t="shared" si="31"/>
        <v>0</v>
      </c>
      <c r="AE159" s="241">
        <f t="shared" si="31"/>
        <v>0</v>
      </c>
      <c r="AF159" s="241">
        <f t="shared" si="31"/>
        <v>0</v>
      </c>
      <c r="AG159" s="241">
        <f t="shared" si="31"/>
        <v>0</v>
      </c>
      <c r="AH159" s="241">
        <f t="shared" si="31"/>
        <v>0</v>
      </c>
      <c r="AI159" s="241">
        <f t="shared" si="31"/>
        <v>0</v>
      </c>
      <c r="AJ159" s="241">
        <f t="shared" si="31"/>
        <v>0</v>
      </c>
      <c r="AK159" s="241">
        <f t="shared" si="31"/>
        <v>0</v>
      </c>
      <c r="AL159" s="72" t="e">
        <f t="shared" ref="AL159:AL232" si="32">AK159/AK$6</f>
        <v>#DIV/0!</v>
      </c>
      <c r="AM159" s="10">
        <f t="shared" si="21"/>
        <v>0</v>
      </c>
      <c r="AN159" s="9"/>
    </row>
    <row r="160" spans="1:40" hidden="1" outlineLevel="1">
      <c r="A160" s="12" t="s">
        <v>157</v>
      </c>
      <c r="B160" s="8" t="s">
        <v>276</v>
      </c>
      <c r="C160" s="8" t="s">
        <v>160</v>
      </c>
      <c r="I160" s="139" t="s">
        <v>167</v>
      </c>
      <c r="J160" s="244"/>
      <c r="K160" s="244"/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5">
        <f>SUM(J160:U160)</f>
        <v>0</v>
      </c>
      <c r="W160" s="73" t="e">
        <f t="shared" si="30"/>
        <v>#DIV/0!</v>
      </c>
      <c r="X160" s="89"/>
      <c r="Y160" s="244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  <c r="AK160" s="245">
        <f>SUM(Y160:AJ160)</f>
        <v>0</v>
      </c>
      <c r="AL160" s="73" t="e">
        <f t="shared" si="32"/>
        <v>#DIV/0!</v>
      </c>
      <c r="AM160" s="14">
        <f t="shared" si="21"/>
        <v>0</v>
      </c>
      <c r="AN160" s="9"/>
    </row>
    <row r="161" spans="1:40" hidden="1" outlineLevel="1">
      <c r="A161" s="12" t="s">
        <v>157</v>
      </c>
      <c r="B161" s="8" t="s">
        <v>276</v>
      </c>
      <c r="I161" s="139" t="s">
        <v>164</v>
      </c>
      <c r="J161" s="244"/>
      <c r="K161" s="244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5">
        <f t="shared" ref="V161:V208" si="33">SUM(J161:U161)</f>
        <v>0</v>
      </c>
      <c r="W161" s="73" t="e">
        <f t="shared" si="30"/>
        <v>#DIV/0!</v>
      </c>
      <c r="X161" s="89"/>
      <c r="Y161" s="244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  <c r="AK161" s="245">
        <f t="shared" ref="AK161:AK208" si="34">SUM(Y161:AJ161)</f>
        <v>0</v>
      </c>
      <c r="AL161" s="73" t="e">
        <f t="shared" si="32"/>
        <v>#DIV/0!</v>
      </c>
      <c r="AM161" s="14">
        <f t="shared" si="21"/>
        <v>0</v>
      </c>
      <c r="AN161" s="9"/>
    </row>
    <row r="162" spans="1:40" hidden="1" outlineLevel="1">
      <c r="A162" s="12" t="s">
        <v>157</v>
      </c>
      <c r="B162" s="8" t="s">
        <v>276</v>
      </c>
      <c r="I162" s="139" t="s">
        <v>277</v>
      </c>
      <c r="J162" s="244"/>
      <c r="K162" s="244"/>
      <c r="L162" s="244"/>
      <c r="M162" s="244"/>
      <c r="N162" s="244"/>
      <c r="O162" s="244"/>
      <c r="P162" s="244"/>
      <c r="Q162" s="244"/>
      <c r="R162" s="244"/>
      <c r="S162" s="244"/>
      <c r="T162" s="244"/>
      <c r="U162" s="244"/>
      <c r="V162" s="245">
        <f t="shared" si="33"/>
        <v>0</v>
      </c>
      <c r="W162" s="73" t="e">
        <f t="shared" si="30"/>
        <v>#DIV/0!</v>
      </c>
      <c r="X162" s="89"/>
      <c r="Y162" s="244"/>
      <c r="Z162" s="244"/>
      <c r="AA162" s="244"/>
      <c r="AB162" s="244"/>
      <c r="AC162" s="244"/>
      <c r="AD162" s="244"/>
      <c r="AE162" s="244"/>
      <c r="AF162" s="244"/>
      <c r="AG162" s="244"/>
      <c r="AH162" s="244"/>
      <c r="AI162" s="244"/>
      <c r="AJ162" s="244"/>
      <c r="AK162" s="245">
        <f t="shared" si="34"/>
        <v>0</v>
      </c>
      <c r="AL162" s="73" t="e">
        <f t="shared" si="32"/>
        <v>#DIV/0!</v>
      </c>
      <c r="AM162" s="14">
        <f t="shared" si="21"/>
        <v>0</v>
      </c>
      <c r="AN162" s="9"/>
    </row>
    <row r="163" spans="1:40" hidden="1" outlineLevel="1">
      <c r="A163" s="12"/>
      <c r="I163" s="139" t="s">
        <v>189</v>
      </c>
      <c r="J163" s="244"/>
      <c r="K163" s="244"/>
      <c r="L163" s="244"/>
      <c r="M163" s="244"/>
      <c r="N163" s="244"/>
      <c r="O163" s="244"/>
      <c r="P163" s="244"/>
      <c r="Q163" s="244"/>
      <c r="R163" s="244"/>
      <c r="S163" s="244"/>
      <c r="T163" s="244"/>
      <c r="U163" s="244"/>
      <c r="V163" s="245">
        <f>SUM(J163:U163)</f>
        <v>0</v>
      </c>
      <c r="W163" s="73" t="e">
        <f>V163/V$6</f>
        <v>#DIV/0!</v>
      </c>
      <c r="X163" s="89"/>
      <c r="Y163" s="244"/>
      <c r="Z163" s="244"/>
      <c r="AA163" s="244"/>
      <c r="AB163" s="244"/>
      <c r="AC163" s="244"/>
      <c r="AD163" s="244"/>
      <c r="AE163" s="244"/>
      <c r="AF163" s="244"/>
      <c r="AG163" s="244"/>
      <c r="AH163" s="244"/>
      <c r="AI163" s="244"/>
      <c r="AJ163" s="244"/>
      <c r="AK163" s="245">
        <f t="shared" si="34"/>
        <v>0</v>
      </c>
      <c r="AL163" s="73" t="e">
        <f>AK163/AK$6</f>
        <v>#DIV/0!</v>
      </c>
      <c r="AM163" s="14">
        <f>IFERROR(AK163/V163-1,0)</f>
        <v>0</v>
      </c>
      <c r="AN163" s="9"/>
    </row>
    <row r="164" spans="1:40" hidden="1" outlineLevel="1">
      <c r="A164" s="12"/>
      <c r="I164" s="139" t="s">
        <v>199</v>
      </c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5">
        <f>SUM(J164:U164)</f>
        <v>0</v>
      </c>
      <c r="W164" s="73" t="e">
        <f>V164/V$6</f>
        <v>#DIV/0!</v>
      </c>
      <c r="X164" s="89"/>
      <c r="Y164" s="244"/>
      <c r="Z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  <c r="AK164" s="245">
        <f t="shared" si="34"/>
        <v>0</v>
      </c>
      <c r="AL164" s="73" t="e">
        <f>AK164/AK$6</f>
        <v>#DIV/0!</v>
      </c>
      <c r="AM164" s="14">
        <f>IFERROR(AK164/V164-1,0)</f>
        <v>0</v>
      </c>
      <c r="AN164" s="9"/>
    </row>
    <row r="165" spans="1:40" hidden="1" outlineLevel="1">
      <c r="A165" s="12"/>
      <c r="I165" s="139" t="s">
        <v>278</v>
      </c>
      <c r="J165" s="244"/>
      <c r="K165" s="244"/>
      <c r="L165" s="244"/>
      <c r="M165" s="244"/>
      <c r="N165" s="244"/>
      <c r="O165" s="244"/>
      <c r="P165" s="244"/>
      <c r="Q165" s="244"/>
      <c r="R165" s="244"/>
      <c r="S165" s="244"/>
      <c r="T165" s="244"/>
      <c r="U165" s="244"/>
      <c r="V165" s="245">
        <f>SUM(J165:U165)</f>
        <v>0</v>
      </c>
      <c r="W165" s="73" t="e">
        <f>V165/V$6</f>
        <v>#DIV/0!</v>
      </c>
      <c r="X165" s="89"/>
      <c r="Y165" s="244"/>
      <c r="Z165" s="244"/>
      <c r="AA165" s="244"/>
      <c r="AB165" s="244"/>
      <c r="AC165" s="244"/>
      <c r="AD165" s="244"/>
      <c r="AE165" s="244"/>
      <c r="AF165" s="244"/>
      <c r="AG165" s="244"/>
      <c r="AH165" s="244"/>
      <c r="AI165" s="244"/>
      <c r="AJ165" s="244"/>
      <c r="AK165" s="245">
        <f t="shared" si="34"/>
        <v>0</v>
      </c>
      <c r="AL165" s="73" t="e">
        <f>AK165/AK$6</f>
        <v>#DIV/0!</v>
      </c>
      <c r="AM165" s="14">
        <f>IFERROR(AK165/V165-1,0)</f>
        <v>0</v>
      </c>
      <c r="AN165" s="9"/>
    </row>
    <row r="166" spans="1:40" hidden="1" outlineLevel="1">
      <c r="A166" s="12" t="s">
        <v>157</v>
      </c>
      <c r="B166" s="8" t="s">
        <v>276</v>
      </c>
      <c r="I166" s="139" t="s">
        <v>279</v>
      </c>
      <c r="J166" s="244"/>
      <c r="K166" s="244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5">
        <f t="shared" si="33"/>
        <v>0</v>
      </c>
      <c r="W166" s="73" t="e">
        <f t="shared" si="30"/>
        <v>#DIV/0!</v>
      </c>
      <c r="X166" s="89"/>
      <c r="Y166" s="244"/>
      <c r="Z166" s="244"/>
      <c r="AA166" s="244"/>
      <c r="AB166" s="244"/>
      <c r="AC166" s="244"/>
      <c r="AD166" s="244"/>
      <c r="AE166" s="244"/>
      <c r="AF166" s="244"/>
      <c r="AG166" s="244"/>
      <c r="AH166" s="244"/>
      <c r="AI166" s="244"/>
      <c r="AJ166" s="244"/>
      <c r="AK166" s="245">
        <f t="shared" si="34"/>
        <v>0</v>
      </c>
      <c r="AL166" s="73" t="e">
        <f t="shared" si="32"/>
        <v>#DIV/0!</v>
      </c>
      <c r="AM166" s="14">
        <f t="shared" si="21"/>
        <v>0</v>
      </c>
      <c r="AN166" s="9"/>
    </row>
    <row r="167" spans="1:40" hidden="1" outlineLevel="1">
      <c r="A167" s="12" t="s">
        <v>157</v>
      </c>
      <c r="B167" s="8" t="s">
        <v>276</v>
      </c>
      <c r="I167" s="139" t="s">
        <v>170</v>
      </c>
      <c r="J167" s="244"/>
      <c r="K167" s="244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5">
        <f t="shared" si="33"/>
        <v>0</v>
      </c>
      <c r="W167" s="73" t="e">
        <f t="shared" si="30"/>
        <v>#DIV/0!</v>
      </c>
      <c r="X167" s="89"/>
      <c r="Y167" s="244"/>
      <c r="Z167" s="244"/>
      <c r="AA167" s="244"/>
      <c r="AB167" s="244"/>
      <c r="AC167" s="244"/>
      <c r="AD167" s="244"/>
      <c r="AE167" s="244"/>
      <c r="AF167" s="244"/>
      <c r="AG167" s="244"/>
      <c r="AH167" s="244"/>
      <c r="AI167" s="244"/>
      <c r="AJ167" s="244"/>
      <c r="AK167" s="245">
        <f t="shared" si="34"/>
        <v>0</v>
      </c>
      <c r="AL167" s="73" t="e">
        <f t="shared" si="32"/>
        <v>#DIV/0!</v>
      </c>
      <c r="AM167" s="14">
        <f t="shared" si="21"/>
        <v>0</v>
      </c>
      <c r="AN167" s="9"/>
    </row>
    <row r="168" spans="1:40" hidden="1" outlineLevel="1">
      <c r="A168" s="12" t="s">
        <v>157</v>
      </c>
      <c r="B168" s="8" t="s">
        <v>276</v>
      </c>
      <c r="I168" s="139" t="s">
        <v>169</v>
      </c>
      <c r="J168" s="244"/>
      <c r="K168" s="244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5">
        <f t="shared" si="33"/>
        <v>0</v>
      </c>
      <c r="W168" s="73" t="e">
        <f t="shared" si="30"/>
        <v>#DIV/0!</v>
      </c>
      <c r="X168" s="89"/>
      <c r="Y168" s="244"/>
      <c r="Z168" s="244"/>
      <c r="AA168" s="244"/>
      <c r="AB168" s="244"/>
      <c r="AC168" s="244"/>
      <c r="AD168" s="244"/>
      <c r="AE168" s="244"/>
      <c r="AF168" s="244"/>
      <c r="AG168" s="244"/>
      <c r="AH168" s="244"/>
      <c r="AI168" s="244"/>
      <c r="AJ168" s="244"/>
      <c r="AK168" s="245">
        <f t="shared" si="34"/>
        <v>0</v>
      </c>
      <c r="AL168" s="73" t="e">
        <f t="shared" si="32"/>
        <v>#DIV/0!</v>
      </c>
      <c r="AM168" s="14">
        <f t="shared" si="21"/>
        <v>0</v>
      </c>
      <c r="AN168" s="9"/>
    </row>
    <row r="169" spans="1:40" hidden="1" outlineLevel="1">
      <c r="A169" s="12" t="s">
        <v>157</v>
      </c>
      <c r="B169" s="8" t="s">
        <v>276</v>
      </c>
      <c r="I169" s="139" t="s">
        <v>195</v>
      </c>
      <c r="J169" s="244"/>
      <c r="K169" s="244"/>
      <c r="L169" s="244"/>
      <c r="M169" s="244"/>
      <c r="N169" s="244"/>
      <c r="O169" s="244"/>
      <c r="P169" s="244"/>
      <c r="Q169" s="244"/>
      <c r="R169" s="244"/>
      <c r="S169" s="244"/>
      <c r="T169" s="244"/>
      <c r="U169" s="244"/>
      <c r="V169" s="245">
        <f t="shared" si="33"/>
        <v>0</v>
      </c>
      <c r="W169" s="73" t="e">
        <f t="shared" si="30"/>
        <v>#DIV/0!</v>
      </c>
      <c r="X169" s="89"/>
      <c r="Y169" s="244"/>
      <c r="Z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  <c r="AK169" s="245">
        <f t="shared" si="34"/>
        <v>0</v>
      </c>
      <c r="AL169" s="73" t="e">
        <f t="shared" si="32"/>
        <v>#DIV/0!</v>
      </c>
      <c r="AM169" s="14">
        <f t="shared" si="21"/>
        <v>0</v>
      </c>
      <c r="AN169" s="9"/>
    </row>
    <row r="170" spans="1:40" hidden="1" outlineLevel="1">
      <c r="A170" s="12" t="s">
        <v>157</v>
      </c>
      <c r="B170" s="8" t="s">
        <v>276</v>
      </c>
      <c r="I170" s="139" t="s">
        <v>280</v>
      </c>
      <c r="J170" s="244"/>
      <c r="K170" s="244"/>
      <c r="L170" s="244"/>
      <c r="M170" s="244"/>
      <c r="N170" s="244"/>
      <c r="O170" s="244"/>
      <c r="P170" s="244"/>
      <c r="Q170" s="244"/>
      <c r="R170" s="244"/>
      <c r="S170" s="244"/>
      <c r="T170" s="244"/>
      <c r="U170" s="244"/>
      <c r="V170" s="245">
        <f t="shared" si="33"/>
        <v>0</v>
      </c>
      <c r="W170" s="73" t="e">
        <f t="shared" si="30"/>
        <v>#DIV/0!</v>
      </c>
      <c r="X170" s="89"/>
      <c r="Y170" s="244"/>
      <c r="Z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  <c r="AK170" s="245">
        <f t="shared" si="34"/>
        <v>0</v>
      </c>
      <c r="AL170" s="73" t="e">
        <f t="shared" si="32"/>
        <v>#DIV/0!</v>
      </c>
      <c r="AM170" s="14">
        <f t="shared" si="21"/>
        <v>0</v>
      </c>
      <c r="AN170" s="9"/>
    </row>
    <row r="171" spans="1:40" hidden="1" outlineLevel="1">
      <c r="A171" s="12" t="s">
        <v>157</v>
      </c>
      <c r="B171" s="8" t="s">
        <v>276</v>
      </c>
      <c r="I171" s="139" t="s">
        <v>281</v>
      </c>
      <c r="J171" s="244"/>
      <c r="K171" s="244"/>
      <c r="L171" s="244"/>
      <c r="M171" s="244"/>
      <c r="N171" s="244"/>
      <c r="O171" s="244"/>
      <c r="P171" s="244"/>
      <c r="Q171" s="244"/>
      <c r="R171" s="244"/>
      <c r="S171" s="244"/>
      <c r="T171" s="244"/>
      <c r="U171" s="244"/>
      <c r="V171" s="245">
        <f t="shared" si="33"/>
        <v>0</v>
      </c>
      <c r="W171" s="73" t="e">
        <f t="shared" si="30"/>
        <v>#DIV/0!</v>
      </c>
      <c r="X171" s="89"/>
      <c r="Y171" s="244"/>
      <c r="Z171" s="244"/>
      <c r="AA171" s="244"/>
      <c r="AB171" s="244"/>
      <c r="AC171" s="244"/>
      <c r="AD171" s="244"/>
      <c r="AE171" s="244"/>
      <c r="AF171" s="244"/>
      <c r="AG171" s="244"/>
      <c r="AH171" s="244"/>
      <c r="AI171" s="244"/>
      <c r="AJ171" s="244"/>
      <c r="AK171" s="245">
        <f t="shared" si="34"/>
        <v>0</v>
      </c>
      <c r="AL171" s="73" t="e">
        <f t="shared" si="32"/>
        <v>#DIV/0!</v>
      </c>
      <c r="AM171" s="14">
        <f t="shared" si="21"/>
        <v>0</v>
      </c>
      <c r="AN171" s="9"/>
    </row>
    <row r="172" spans="1:40" hidden="1" outlineLevel="1">
      <c r="A172" s="12" t="s">
        <v>157</v>
      </c>
      <c r="B172" s="8" t="s">
        <v>276</v>
      </c>
      <c r="I172" s="139" t="s">
        <v>194</v>
      </c>
      <c r="J172" s="244"/>
      <c r="K172" s="244"/>
      <c r="L172" s="244"/>
      <c r="M172" s="244"/>
      <c r="N172" s="244"/>
      <c r="O172" s="244"/>
      <c r="P172" s="244"/>
      <c r="Q172" s="244"/>
      <c r="R172" s="244"/>
      <c r="S172" s="244"/>
      <c r="T172" s="244"/>
      <c r="U172" s="244"/>
      <c r="V172" s="245">
        <f t="shared" si="33"/>
        <v>0</v>
      </c>
      <c r="W172" s="73" t="e">
        <f t="shared" si="30"/>
        <v>#DIV/0!</v>
      </c>
      <c r="X172" s="89"/>
      <c r="Y172" s="244"/>
      <c r="Z172" s="244"/>
      <c r="AA172" s="244"/>
      <c r="AB172" s="244"/>
      <c r="AC172" s="244"/>
      <c r="AD172" s="244"/>
      <c r="AE172" s="244"/>
      <c r="AF172" s="244"/>
      <c r="AG172" s="244"/>
      <c r="AH172" s="244"/>
      <c r="AI172" s="244"/>
      <c r="AJ172" s="244"/>
      <c r="AK172" s="245">
        <f t="shared" si="34"/>
        <v>0</v>
      </c>
      <c r="AL172" s="73" t="e">
        <f t="shared" si="32"/>
        <v>#DIV/0!</v>
      </c>
      <c r="AM172" s="14">
        <f t="shared" si="21"/>
        <v>0</v>
      </c>
      <c r="AN172" s="9"/>
    </row>
    <row r="173" spans="1:40" hidden="1" outlineLevel="1">
      <c r="A173" s="12" t="s">
        <v>157</v>
      </c>
      <c r="B173" s="8" t="s">
        <v>276</v>
      </c>
      <c r="I173" s="139" t="s">
        <v>415</v>
      </c>
      <c r="J173" s="244"/>
      <c r="K173" s="244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5">
        <f t="shared" si="33"/>
        <v>0</v>
      </c>
      <c r="W173" s="73" t="e">
        <f t="shared" si="30"/>
        <v>#DIV/0!</v>
      </c>
      <c r="X173" s="89"/>
      <c r="Y173" s="244"/>
      <c r="Z173" s="244"/>
      <c r="AA173" s="244"/>
      <c r="AB173" s="244"/>
      <c r="AC173" s="244"/>
      <c r="AD173" s="244"/>
      <c r="AE173" s="244"/>
      <c r="AF173" s="244"/>
      <c r="AG173" s="244"/>
      <c r="AH173" s="244"/>
      <c r="AI173" s="244"/>
      <c r="AJ173" s="244"/>
      <c r="AK173" s="245">
        <f t="shared" si="34"/>
        <v>0</v>
      </c>
      <c r="AL173" s="73" t="e">
        <f t="shared" si="32"/>
        <v>#DIV/0!</v>
      </c>
      <c r="AM173" s="14">
        <f t="shared" si="21"/>
        <v>0</v>
      </c>
      <c r="AN173" s="9"/>
    </row>
    <row r="174" spans="1:40" hidden="1" outlineLevel="1">
      <c r="A174" s="12" t="s">
        <v>157</v>
      </c>
      <c r="B174" s="8" t="s">
        <v>276</v>
      </c>
      <c r="I174" s="139" t="s">
        <v>172</v>
      </c>
      <c r="J174" s="244"/>
      <c r="K174" s="244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5">
        <f t="shared" si="33"/>
        <v>0</v>
      </c>
      <c r="W174" s="73" t="e">
        <f t="shared" si="30"/>
        <v>#DIV/0!</v>
      </c>
      <c r="X174" s="89"/>
      <c r="Y174" s="244"/>
      <c r="Z174" s="244"/>
      <c r="AA174" s="244"/>
      <c r="AB174" s="244"/>
      <c r="AC174" s="244"/>
      <c r="AD174" s="244"/>
      <c r="AE174" s="244"/>
      <c r="AF174" s="244"/>
      <c r="AG174" s="244"/>
      <c r="AH174" s="244"/>
      <c r="AI174" s="244"/>
      <c r="AJ174" s="244"/>
      <c r="AK174" s="245">
        <f t="shared" si="34"/>
        <v>0</v>
      </c>
      <c r="AL174" s="73" t="e">
        <f t="shared" si="32"/>
        <v>#DIV/0!</v>
      </c>
      <c r="AM174" s="14">
        <f t="shared" si="21"/>
        <v>0</v>
      </c>
      <c r="AN174" s="9"/>
    </row>
    <row r="175" spans="1:40" hidden="1" outlineLevel="1">
      <c r="A175" s="12" t="s">
        <v>157</v>
      </c>
      <c r="B175" s="8" t="s">
        <v>276</v>
      </c>
      <c r="I175" s="139" t="s">
        <v>188</v>
      </c>
      <c r="J175" s="244"/>
      <c r="K175" s="244"/>
      <c r="L175" s="244"/>
      <c r="M175" s="244"/>
      <c r="N175" s="244"/>
      <c r="O175" s="244"/>
      <c r="P175" s="244"/>
      <c r="Q175" s="244"/>
      <c r="R175" s="244"/>
      <c r="S175" s="244"/>
      <c r="T175" s="244"/>
      <c r="U175" s="244"/>
      <c r="V175" s="245">
        <f t="shared" si="33"/>
        <v>0</v>
      </c>
      <c r="W175" s="73" t="e">
        <f t="shared" si="30"/>
        <v>#DIV/0!</v>
      </c>
      <c r="X175" s="89"/>
      <c r="Y175" s="244"/>
      <c r="Z175" s="244"/>
      <c r="AA175" s="244"/>
      <c r="AB175" s="244"/>
      <c r="AC175" s="244"/>
      <c r="AD175" s="244"/>
      <c r="AE175" s="244"/>
      <c r="AF175" s="244"/>
      <c r="AG175" s="244"/>
      <c r="AH175" s="244"/>
      <c r="AI175" s="244"/>
      <c r="AJ175" s="244"/>
      <c r="AK175" s="245">
        <f t="shared" si="34"/>
        <v>0</v>
      </c>
      <c r="AL175" s="73" t="e">
        <f t="shared" si="32"/>
        <v>#DIV/0!</v>
      </c>
      <c r="AM175" s="14">
        <f t="shared" si="21"/>
        <v>0</v>
      </c>
      <c r="AN175" s="9"/>
    </row>
    <row r="176" spans="1:40" hidden="1" outlineLevel="1">
      <c r="A176" s="12" t="s">
        <v>157</v>
      </c>
      <c r="B176" s="8" t="s">
        <v>276</v>
      </c>
      <c r="I176" s="139" t="s">
        <v>282</v>
      </c>
      <c r="J176" s="244"/>
      <c r="K176" s="244"/>
      <c r="L176" s="244"/>
      <c r="M176" s="244"/>
      <c r="N176" s="244"/>
      <c r="O176" s="244"/>
      <c r="P176" s="244"/>
      <c r="Q176" s="244"/>
      <c r="R176" s="244"/>
      <c r="S176" s="244"/>
      <c r="T176" s="244"/>
      <c r="U176" s="244"/>
      <c r="V176" s="245">
        <f t="shared" si="33"/>
        <v>0</v>
      </c>
      <c r="W176" s="73" t="e">
        <f t="shared" si="30"/>
        <v>#DIV/0!</v>
      </c>
      <c r="X176" s="89"/>
      <c r="Y176" s="244"/>
      <c r="Z176" s="244"/>
      <c r="AA176" s="244"/>
      <c r="AB176" s="244"/>
      <c r="AC176" s="244"/>
      <c r="AD176" s="244"/>
      <c r="AE176" s="244"/>
      <c r="AF176" s="244"/>
      <c r="AG176" s="244"/>
      <c r="AH176" s="244"/>
      <c r="AI176" s="244"/>
      <c r="AJ176" s="244"/>
      <c r="AK176" s="245">
        <f t="shared" si="34"/>
        <v>0</v>
      </c>
      <c r="AL176" s="73" t="e">
        <f t="shared" si="32"/>
        <v>#DIV/0!</v>
      </c>
      <c r="AM176" s="14">
        <f t="shared" si="21"/>
        <v>0</v>
      </c>
      <c r="AN176" s="9"/>
    </row>
    <row r="177" spans="1:40" hidden="1" outlineLevel="1">
      <c r="A177" s="12" t="s">
        <v>157</v>
      </c>
      <c r="B177" s="8" t="s">
        <v>276</v>
      </c>
      <c r="I177" s="139" t="s">
        <v>158</v>
      </c>
      <c r="J177" s="244"/>
      <c r="K177" s="244"/>
      <c r="L177" s="244"/>
      <c r="M177" s="244"/>
      <c r="N177" s="244"/>
      <c r="O177" s="244"/>
      <c r="P177" s="244"/>
      <c r="Q177" s="244"/>
      <c r="R177" s="244"/>
      <c r="S177" s="244"/>
      <c r="T177" s="244"/>
      <c r="U177" s="244"/>
      <c r="V177" s="245">
        <f t="shared" si="33"/>
        <v>0</v>
      </c>
      <c r="W177" s="73" t="e">
        <f t="shared" si="30"/>
        <v>#DIV/0!</v>
      </c>
      <c r="X177" s="89"/>
      <c r="Y177" s="244"/>
      <c r="Z177" s="244"/>
      <c r="AA177" s="244"/>
      <c r="AB177" s="244"/>
      <c r="AC177" s="244"/>
      <c r="AD177" s="244"/>
      <c r="AE177" s="244"/>
      <c r="AF177" s="244"/>
      <c r="AG177" s="244"/>
      <c r="AH177" s="244"/>
      <c r="AI177" s="244"/>
      <c r="AJ177" s="244"/>
      <c r="AK177" s="245">
        <f t="shared" si="34"/>
        <v>0</v>
      </c>
      <c r="AL177" s="73" t="e">
        <f t="shared" si="32"/>
        <v>#DIV/0!</v>
      </c>
      <c r="AM177" s="14">
        <f t="shared" si="21"/>
        <v>0</v>
      </c>
      <c r="AN177" s="9"/>
    </row>
    <row r="178" spans="1:40" hidden="1" outlineLevel="1">
      <c r="A178" s="12" t="s">
        <v>157</v>
      </c>
      <c r="B178" s="8" t="s">
        <v>276</v>
      </c>
      <c r="I178" s="139" t="s">
        <v>192</v>
      </c>
      <c r="J178" s="244"/>
      <c r="K178" s="244"/>
      <c r="L178" s="244"/>
      <c r="M178" s="244"/>
      <c r="N178" s="244"/>
      <c r="O178" s="244"/>
      <c r="P178" s="244"/>
      <c r="Q178" s="244"/>
      <c r="R178" s="244"/>
      <c r="S178" s="244"/>
      <c r="T178" s="244"/>
      <c r="U178" s="244"/>
      <c r="V178" s="245">
        <f t="shared" si="33"/>
        <v>0</v>
      </c>
      <c r="W178" s="73" t="e">
        <f t="shared" si="30"/>
        <v>#DIV/0!</v>
      </c>
      <c r="X178" s="89"/>
      <c r="Y178" s="244"/>
      <c r="Z178" s="244"/>
      <c r="AA178" s="244"/>
      <c r="AB178" s="244"/>
      <c r="AC178" s="244"/>
      <c r="AD178" s="244"/>
      <c r="AE178" s="244"/>
      <c r="AF178" s="244"/>
      <c r="AG178" s="244"/>
      <c r="AH178" s="255"/>
      <c r="AI178" s="244"/>
      <c r="AJ178" s="244"/>
      <c r="AK178" s="245">
        <f t="shared" si="34"/>
        <v>0</v>
      </c>
      <c r="AL178" s="73" t="e">
        <f t="shared" si="32"/>
        <v>#DIV/0!</v>
      </c>
      <c r="AM178" s="14">
        <f t="shared" si="21"/>
        <v>0</v>
      </c>
      <c r="AN178" s="9"/>
    </row>
    <row r="179" spans="1:40" hidden="1" outlineLevel="1">
      <c r="A179" s="12" t="s">
        <v>157</v>
      </c>
      <c r="B179" s="8" t="s">
        <v>276</v>
      </c>
      <c r="C179" s="19"/>
      <c r="I179" s="139" t="s">
        <v>190</v>
      </c>
      <c r="J179" s="244"/>
      <c r="K179" s="244"/>
      <c r="L179" s="244"/>
      <c r="M179" s="244"/>
      <c r="N179" s="244"/>
      <c r="O179" s="244"/>
      <c r="P179" s="244"/>
      <c r="Q179" s="244"/>
      <c r="R179" s="244"/>
      <c r="S179" s="244"/>
      <c r="T179" s="244"/>
      <c r="U179" s="244"/>
      <c r="V179" s="245">
        <f t="shared" si="33"/>
        <v>0</v>
      </c>
      <c r="W179" s="73" t="e">
        <f t="shared" si="30"/>
        <v>#DIV/0!</v>
      </c>
      <c r="X179" s="89"/>
      <c r="Y179" s="244"/>
      <c r="Z179" s="244"/>
      <c r="AA179" s="244"/>
      <c r="AB179" s="244"/>
      <c r="AC179" s="244"/>
      <c r="AD179" s="244"/>
      <c r="AE179" s="244"/>
      <c r="AF179" s="244"/>
      <c r="AG179" s="244"/>
      <c r="AH179" s="244"/>
      <c r="AI179" s="244"/>
      <c r="AJ179" s="244"/>
      <c r="AK179" s="245">
        <f t="shared" si="34"/>
        <v>0</v>
      </c>
      <c r="AL179" s="73" t="e">
        <f t="shared" si="32"/>
        <v>#DIV/0!</v>
      </c>
      <c r="AM179" s="14">
        <f t="shared" si="21"/>
        <v>0</v>
      </c>
      <c r="AN179" s="9"/>
    </row>
    <row r="180" spans="1:40" hidden="1" outlineLevel="1">
      <c r="A180" s="12" t="s">
        <v>157</v>
      </c>
      <c r="B180" s="8" t="s">
        <v>276</v>
      </c>
      <c r="C180" s="19"/>
      <c r="I180" s="139" t="s">
        <v>178</v>
      </c>
      <c r="J180" s="244"/>
      <c r="K180" s="244"/>
      <c r="L180" s="244"/>
      <c r="M180" s="244"/>
      <c r="N180" s="244"/>
      <c r="O180" s="244"/>
      <c r="P180" s="244"/>
      <c r="Q180" s="244"/>
      <c r="R180" s="244"/>
      <c r="S180" s="244"/>
      <c r="T180" s="244"/>
      <c r="U180" s="244"/>
      <c r="V180" s="245">
        <f t="shared" si="33"/>
        <v>0</v>
      </c>
      <c r="W180" s="73" t="e">
        <f t="shared" si="30"/>
        <v>#DIV/0!</v>
      </c>
      <c r="X180" s="89"/>
      <c r="Y180" s="244"/>
      <c r="Z180" s="244"/>
      <c r="AA180" s="244"/>
      <c r="AB180" s="244"/>
      <c r="AC180" s="244"/>
      <c r="AD180" s="244"/>
      <c r="AE180" s="244"/>
      <c r="AF180" s="244"/>
      <c r="AG180" s="244"/>
      <c r="AH180" s="244"/>
      <c r="AI180" s="244"/>
      <c r="AJ180" s="244"/>
      <c r="AK180" s="245">
        <f t="shared" si="34"/>
        <v>0</v>
      </c>
      <c r="AL180" s="73" t="e">
        <f t="shared" si="32"/>
        <v>#DIV/0!</v>
      </c>
      <c r="AM180" s="14">
        <f t="shared" si="21"/>
        <v>0</v>
      </c>
      <c r="AN180" s="9"/>
    </row>
    <row r="181" spans="1:40" hidden="1" outlineLevel="1">
      <c r="A181" s="12" t="s">
        <v>157</v>
      </c>
      <c r="B181" s="8" t="s">
        <v>276</v>
      </c>
      <c r="C181" s="19" t="s">
        <v>283</v>
      </c>
      <c r="D181" s="12"/>
      <c r="E181" s="20"/>
      <c r="F181" s="12"/>
      <c r="G181" s="12"/>
      <c r="H181" s="12"/>
      <c r="I181" s="139" t="s">
        <v>166</v>
      </c>
      <c r="J181" s="244"/>
      <c r="K181" s="244"/>
      <c r="L181" s="244"/>
      <c r="M181" s="244"/>
      <c r="N181" s="244"/>
      <c r="O181" s="244"/>
      <c r="P181" s="244"/>
      <c r="Q181" s="244"/>
      <c r="R181" s="244"/>
      <c r="S181" s="244"/>
      <c r="T181" s="244"/>
      <c r="U181" s="244"/>
      <c r="V181" s="245">
        <f t="shared" si="33"/>
        <v>0</v>
      </c>
      <c r="W181" s="73" t="e">
        <f t="shared" si="30"/>
        <v>#DIV/0!</v>
      </c>
      <c r="X181" s="89"/>
      <c r="Y181" s="244"/>
      <c r="Z181" s="244"/>
      <c r="AA181" s="244"/>
      <c r="AB181" s="244"/>
      <c r="AC181" s="244"/>
      <c r="AD181" s="244"/>
      <c r="AE181" s="244"/>
      <c r="AF181" s="244"/>
      <c r="AG181" s="244"/>
      <c r="AH181" s="244"/>
      <c r="AI181" s="244"/>
      <c r="AJ181" s="244"/>
      <c r="AK181" s="245">
        <f t="shared" si="34"/>
        <v>0</v>
      </c>
      <c r="AL181" s="73" t="e">
        <f t="shared" si="32"/>
        <v>#DIV/0!</v>
      </c>
      <c r="AM181" s="14">
        <f t="shared" si="21"/>
        <v>0</v>
      </c>
      <c r="AN181" s="9"/>
    </row>
    <row r="182" spans="1:40" hidden="1" outlineLevel="1">
      <c r="A182" s="12" t="s">
        <v>157</v>
      </c>
      <c r="B182" s="8" t="s">
        <v>276</v>
      </c>
      <c r="I182" s="139" t="s">
        <v>176</v>
      </c>
      <c r="J182" s="244"/>
      <c r="K182" s="244"/>
      <c r="L182" s="244"/>
      <c r="M182" s="244"/>
      <c r="N182" s="244"/>
      <c r="O182" s="244"/>
      <c r="P182" s="244"/>
      <c r="Q182" s="244"/>
      <c r="R182" s="244"/>
      <c r="S182" s="244"/>
      <c r="T182" s="244"/>
      <c r="U182" s="244"/>
      <c r="V182" s="245">
        <f t="shared" si="33"/>
        <v>0</v>
      </c>
      <c r="W182" s="73" t="e">
        <f t="shared" si="30"/>
        <v>#DIV/0!</v>
      </c>
      <c r="X182" s="89"/>
      <c r="Y182" s="244"/>
      <c r="Z182" s="244"/>
      <c r="AA182" s="244"/>
      <c r="AB182" s="244"/>
      <c r="AC182" s="244"/>
      <c r="AD182" s="244"/>
      <c r="AE182" s="244"/>
      <c r="AF182" s="244"/>
      <c r="AG182" s="244"/>
      <c r="AH182" s="244"/>
      <c r="AI182" s="244"/>
      <c r="AJ182" s="244"/>
      <c r="AK182" s="245">
        <f t="shared" si="34"/>
        <v>0</v>
      </c>
      <c r="AL182" s="73" t="e">
        <f t="shared" si="32"/>
        <v>#DIV/0!</v>
      </c>
      <c r="AM182" s="14">
        <f t="shared" si="21"/>
        <v>0</v>
      </c>
      <c r="AN182" s="9"/>
    </row>
    <row r="183" spans="1:40" hidden="1" outlineLevel="1">
      <c r="A183" s="12" t="s">
        <v>157</v>
      </c>
      <c r="B183" s="8" t="s">
        <v>276</v>
      </c>
      <c r="I183" s="139" t="s">
        <v>185</v>
      </c>
      <c r="J183" s="244"/>
      <c r="K183" s="244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5">
        <f t="shared" si="33"/>
        <v>0</v>
      </c>
      <c r="W183" s="73" t="e">
        <f t="shared" si="30"/>
        <v>#DIV/0!</v>
      </c>
      <c r="X183" s="89"/>
      <c r="Y183" s="244"/>
      <c r="Z183" s="244"/>
      <c r="AA183" s="244"/>
      <c r="AB183" s="244"/>
      <c r="AC183" s="244"/>
      <c r="AD183" s="244"/>
      <c r="AE183" s="244"/>
      <c r="AF183" s="244"/>
      <c r="AG183" s="244"/>
      <c r="AH183" s="244"/>
      <c r="AI183" s="244"/>
      <c r="AJ183" s="244"/>
      <c r="AK183" s="245">
        <f t="shared" si="34"/>
        <v>0</v>
      </c>
      <c r="AL183" s="73" t="e">
        <f t="shared" si="32"/>
        <v>#DIV/0!</v>
      </c>
      <c r="AM183" s="14">
        <f t="shared" si="21"/>
        <v>0</v>
      </c>
      <c r="AN183" s="9"/>
    </row>
    <row r="184" spans="1:40" hidden="1" outlineLevel="1">
      <c r="A184" s="12" t="s">
        <v>157</v>
      </c>
      <c r="B184" s="8" t="s">
        <v>276</v>
      </c>
      <c r="I184" s="139" t="s">
        <v>184</v>
      </c>
      <c r="J184" s="244"/>
      <c r="K184" s="244"/>
      <c r="L184" s="244"/>
      <c r="M184" s="244"/>
      <c r="N184" s="244"/>
      <c r="O184" s="244"/>
      <c r="P184" s="244"/>
      <c r="Q184" s="244"/>
      <c r="R184" s="244"/>
      <c r="S184" s="244"/>
      <c r="T184" s="244"/>
      <c r="U184" s="244"/>
      <c r="V184" s="245">
        <f t="shared" si="33"/>
        <v>0</v>
      </c>
      <c r="W184" s="73" t="e">
        <f t="shared" si="30"/>
        <v>#DIV/0!</v>
      </c>
      <c r="X184" s="89"/>
      <c r="Y184" s="244"/>
      <c r="Z184" s="244"/>
      <c r="AA184" s="244"/>
      <c r="AB184" s="244"/>
      <c r="AC184" s="244"/>
      <c r="AD184" s="244"/>
      <c r="AE184" s="244"/>
      <c r="AF184" s="244"/>
      <c r="AG184" s="244"/>
      <c r="AH184" s="244"/>
      <c r="AI184" s="244"/>
      <c r="AJ184" s="244"/>
      <c r="AK184" s="245">
        <f t="shared" si="34"/>
        <v>0</v>
      </c>
      <c r="AL184" s="73" t="e">
        <f t="shared" si="32"/>
        <v>#DIV/0!</v>
      </c>
      <c r="AM184" s="14">
        <f t="shared" si="21"/>
        <v>0</v>
      </c>
      <c r="AN184" s="9"/>
    </row>
    <row r="185" spans="1:40" hidden="1" outlineLevel="1">
      <c r="A185" s="12" t="s">
        <v>157</v>
      </c>
      <c r="B185" s="8" t="s">
        <v>276</v>
      </c>
      <c r="I185" s="139" t="s">
        <v>283</v>
      </c>
      <c r="J185" s="244"/>
      <c r="K185" s="244"/>
      <c r="L185" s="244"/>
      <c r="M185" s="244"/>
      <c r="N185" s="244"/>
      <c r="O185" s="244"/>
      <c r="P185" s="244"/>
      <c r="Q185" s="244"/>
      <c r="R185" s="244"/>
      <c r="S185" s="244"/>
      <c r="T185" s="244"/>
      <c r="U185" s="244"/>
      <c r="V185" s="245">
        <f t="shared" si="33"/>
        <v>0</v>
      </c>
      <c r="W185" s="73" t="e">
        <f t="shared" si="30"/>
        <v>#DIV/0!</v>
      </c>
      <c r="X185" s="89"/>
      <c r="Y185" s="244"/>
      <c r="Z185" s="244"/>
      <c r="AA185" s="244"/>
      <c r="AB185" s="244"/>
      <c r="AC185" s="244"/>
      <c r="AD185" s="244"/>
      <c r="AE185" s="244"/>
      <c r="AF185" s="244"/>
      <c r="AG185" s="244"/>
      <c r="AH185" s="244"/>
      <c r="AI185" s="244"/>
      <c r="AJ185" s="244"/>
      <c r="AK185" s="245">
        <f t="shared" si="34"/>
        <v>0</v>
      </c>
      <c r="AL185" s="73" t="e">
        <f t="shared" si="32"/>
        <v>#DIV/0!</v>
      </c>
      <c r="AM185" s="14">
        <f t="shared" si="21"/>
        <v>0</v>
      </c>
      <c r="AN185" s="9"/>
    </row>
    <row r="186" spans="1:40" hidden="1" outlineLevel="1">
      <c r="A186" s="12" t="s">
        <v>157</v>
      </c>
      <c r="B186" s="8" t="s">
        <v>276</v>
      </c>
      <c r="I186" s="139" t="s">
        <v>284</v>
      </c>
      <c r="J186" s="244"/>
      <c r="K186" s="244"/>
      <c r="L186" s="244"/>
      <c r="M186" s="244"/>
      <c r="N186" s="244"/>
      <c r="O186" s="244"/>
      <c r="P186" s="244"/>
      <c r="Q186" s="244"/>
      <c r="R186" s="244"/>
      <c r="S186" s="244"/>
      <c r="T186" s="244"/>
      <c r="U186" s="244"/>
      <c r="V186" s="245">
        <f t="shared" si="33"/>
        <v>0</v>
      </c>
      <c r="W186" s="73" t="e">
        <f t="shared" si="30"/>
        <v>#DIV/0!</v>
      </c>
      <c r="X186" s="89"/>
      <c r="Y186" s="244"/>
      <c r="Z186" s="244"/>
      <c r="AA186" s="244"/>
      <c r="AB186" s="244"/>
      <c r="AC186" s="244"/>
      <c r="AD186" s="244"/>
      <c r="AE186" s="244"/>
      <c r="AF186" s="244"/>
      <c r="AG186" s="244"/>
      <c r="AH186" s="244"/>
      <c r="AI186" s="244"/>
      <c r="AJ186" s="244"/>
      <c r="AK186" s="245">
        <f t="shared" si="34"/>
        <v>0</v>
      </c>
      <c r="AL186" s="73" t="e">
        <f t="shared" si="32"/>
        <v>#DIV/0!</v>
      </c>
      <c r="AM186" s="14">
        <f t="shared" si="21"/>
        <v>0</v>
      </c>
      <c r="AN186" s="9"/>
    </row>
    <row r="187" spans="1:40" hidden="1" outlineLevel="1">
      <c r="A187" s="12" t="s">
        <v>157</v>
      </c>
      <c r="B187" s="8" t="s">
        <v>276</v>
      </c>
      <c r="C187" s="8" t="s">
        <v>177</v>
      </c>
      <c r="I187" s="139" t="s">
        <v>285</v>
      </c>
      <c r="J187" s="244"/>
      <c r="K187" s="244"/>
      <c r="L187" s="244"/>
      <c r="M187" s="244"/>
      <c r="N187" s="244"/>
      <c r="O187" s="244"/>
      <c r="P187" s="244"/>
      <c r="Q187" s="244"/>
      <c r="R187" s="244"/>
      <c r="S187" s="244"/>
      <c r="T187" s="244"/>
      <c r="U187" s="244"/>
      <c r="V187" s="245">
        <f t="shared" si="33"/>
        <v>0</v>
      </c>
      <c r="W187" s="73" t="e">
        <f t="shared" si="30"/>
        <v>#DIV/0!</v>
      </c>
      <c r="X187" s="89"/>
      <c r="Y187" s="244"/>
      <c r="Z187" s="244"/>
      <c r="AA187" s="244"/>
      <c r="AB187" s="244"/>
      <c r="AC187" s="244"/>
      <c r="AD187" s="244"/>
      <c r="AE187" s="244"/>
      <c r="AF187" s="244"/>
      <c r="AG187" s="244"/>
      <c r="AH187" s="244"/>
      <c r="AI187" s="244"/>
      <c r="AJ187" s="244"/>
      <c r="AK187" s="245">
        <f t="shared" si="34"/>
        <v>0</v>
      </c>
      <c r="AL187" s="73" t="e">
        <f t="shared" si="32"/>
        <v>#DIV/0!</v>
      </c>
      <c r="AM187" s="14">
        <f t="shared" si="21"/>
        <v>0</v>
      </c>
      <c r="AN187" s="9"/>
    </row>
    <row r="188" spans="1:40" hidden="1" outlineLevel="1">
      <c r="A188" s="12" t="s">
        <v>157</v>
      </c>
      <c r="B188" s="8" t="s">
        <v>276</v>
      </c>
      <c r="I188" s="139" t="s">
        <v>286</v>
      </c>
      <c r="J188" s="244"/>
      <c r="K188" s="244"/>
      <c r="L188" s="244"/>
      <c r="M188" s="244"/>
      <c r="N188" s="244"/>
      <c r="O188" s="244"/>
      <c r="P188" s="244"/>
      <c r="Q188" s="244"/>
      <c r="R188" s="244"/>
      <c r="S188" s="244"/>
      <c r="T188" s="244"/>
      <c r="U188" s="244"/>
      <c r="V188" s="245">
        <f t="shared" si="33"/>
        <v>0</v>
      </c>
      <c r="W188" s="73" t="e">
        <f t="shared" si="30"/>
        <v>#DIV/0!</v>
      </c>
      <c r="X188" s="89"/>
      <c r="Y188" s="244"/>
      <c r="Z188" s="244"/>
      <c r="AA188" s="244"/>
      <c r="AB188" s="244"/>
      <c r="AC188" s="244"/>
      <c r="AD188" s="244"/>
      <c r="AE188" s="244"/>
      <c r="AF188" s="244"/>
      <c r="AG188" s="244"/>
      <c r="AH188" s="244"/>
      <c r="AI188" s="244"/>
      <c r="AJ188" s="244"/>
      <c r="AK188" s="245">
        <f t="shared" si="34"/>
        <v>0</v>
      </c>
      <c r="AL188" s="73" t="e">
        <f t="shared" si="32"/>
        <v>#DIV/0!</v>
      </c>
      <c r="AM188" s="14">
        <f t="shared" si="21"/>
        <v>0</v>
      </c>
      <c r="AN188" s="9"/>
    </row>
    <row r="189" spans="1:40" hidden="1" outlineLevel="1">
      <c r="A189" s="12" t="s">
        <v>157</v>
      </c>
      <c r="B189" s="8" t="s">
        <v>276</v>
      </c>
      <c r="I189" s="139" t="s">
        <v>287</v>
      </c>
      <c r="J189" s="244"/>
      <c r="K189" s="244"/>
      <c r="L189" s="244"/>
      <c r="M189" s="244"/>
      <c r="N189" s="244"/>
      <c r="O189" s="244"/>
      <c r="P189" s="244"/>
      <c r="Q189" s="244"/>
      <c r="R189" s="244"/>
      <c r="S189" s="244"/>
      <c r="T189" s="244"/>
      <c r="U189" s="244"/>
      <c r="V189" s="245">
        <f t="shared" si="33"/>
        <v>0</v>
      </c>
      <c r="W189" s="73" t="e">
        <f t="shared" si="30"/>
        <v>#DIV/0!</v>
      </c>
      <c r="X189" s="89"/>
      <c r="Y189" s="244"/>
      <c r="Z189" s="244"/>
      <c r="AA189" s="244"/>
      <c r="AB189" s="244"/>
      <c r="AC189" s="244"/>
      <c r="AD189" s="244"/>
      <c r="AE189" s="244"/>
      <c r="AF189" s="244"/>
      <c r="AG189" s="244"/>
      <c r="AH189" s="244"/>
      <c r="AI189" s="244"/>
      <c r="AJ189" s="244"/>
      <c r="AK189" s="245">
        <f t="shared" si="34"/>
        <v>0</v>
      </c>
      <c r="AL189" s="73" t="e">
        <f t="shared" si="32"/>
        <v>#DIV/0!</v>
      </c>
      <c r="AM189" s="14">
        <f t="shared" si="21"/>
        <v>0</v>
      </c>
      <c r="AN189" s="9"/>
    </row>
    <row r="190" spans="1:40" hidden="1" outlineLevel="1">
      <c r="A190" s="12" t="s">
        <v>157</v>
      </c>
      <c r="B190" s="8" t="s">
        <v>276</v>
      </c>
      <c r="I190" s="139" t="s">
        <v>197</v>
      </c>
      <c r="J190" s="244"/>
      <c r="K190" s="244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5">
        <f t="shared" si="33"/>
        <v>0</v>
      </c>
      <c r="W190" s="73" t="e">
        <f t="shared" si="30"/>
        <v>#DIV/0!</v>
      </c>
      <c r="X190" s="89"/>
      <c r="Y190" s="244"/>
      <c r="Z190" s="244"/>
      <c r="AA190" s="244"/>
      <c r="AB190" s="244"/>
      <c r="AC190" s="244"/>
      <c r="AD190" s="244"/>
      <c r="AE190" s="244"/>
      <c r="AF190" s="244"/>
      <c r="AG190" s="244"/>
      <c r="AH190" s="244"/>
      <c r="AI190" s="244"/>
      <c r="AJ190" s="244"/>
      <c r="AK190" s="245">
        <f t="shared" si="34"/>
        <v>0</v>
      </c>
      <c r="AL190" s="73" t="e">
        <f t="shared" si="32"/>
        <v>#DIV/0!</v>
      </c>
      <c r="AM190" s="14">
        <f t="shared" ref="AM190:AM280" si="35">IFERROR(AK190/V190-1,0)</f>
        <v>0</v>
      </c>
      <c r="AN190" s="9"/>
    </row>
    <row r="191" spans="1:40" hidden="1" outlineLevel="1">
      <c r="A191" s="12"/>
      <c r="I191" s="139" t="s">
        <v>179</v>
      </c>
      <c r="J191" s="244"/>
      <c r="K191" s="244"/>
      <c r="L191" s="244"/>
      <c r="M191" s="244"/>
      <c r="N191" s="244"/>
      <c r="O191" s="244"/>
      <c r="P191" s="244"/>
      <c r="Q191" s="244"/>
      <c r="R191" s="244"/>
      <c r="S191" s="244"/>
      <c r="T191" s="244"/>
      <c r="U191" s="244"/>
      <c r="V191" s="245">
        <f>SUM(J191:U191)</f>
        <v>0</v>
      </c>
      <c r="W191" s="73" t="e">
        <f>V191/V$6</f>
        <v>#DIV/0!</v>
      </c>
      <c r="X191" s="89"/>
      <c r="Y191" s="244"/>
      <c r="Z191" s="244"/>
      <c r="AA191" s="244"/>
      <c r="AB191" s="244"/>
      <c r="AC191" s="244"/>
      <c r="AD191" s="244"/>
      <c r="AE191" s="244"/>
      <c r="AF191" s="244"/>
      <c r="AG191" s="244"/>
      <c r="AH191" s="244"/>
      <c r="AI191" s="244"/>
      <c r="AJ191" s="244"/>
      <c r="AK191" s="245">
        <f t="shared" si="34"/>
        <v>0</v>
      </c>
      <c r="AL191" s="73" t="e">
        <f>AK191/AK$6</f>
        <v>#DIV/0!</v>
      </c>
      <c r="AM191" s="14">
        <f>IFERROR(AK191/V191-1,0)</f>
        <v>0</v>
      </c>
      <c r="AN191" s="9"/>
    </row>
    <row r="192" spans="1:40" hidden="1" outlineLevel="1">
      <c r="A192" s="12" t="s">
        <v>157</v>
      </c>
      <c r="B192" s="8" t="s">
        <v>276</v>
      </c>
      <c r="I192" s="139" t="s">
        <v>182</v>
      </c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5">
        <f t="shared" si="33"/>
        <v>0</v>
      </c>
      <c r="W192" s="73" t="e">
        <f t="shared" si="30"/>
        <v>#DIV/0!</v>
      </c>
      <c r="X192" s="89"/>
      <c r="Y192" s="244"/>
      <c r="Z192" s="244"/>
      <c r="AA192" s="244"/>
      <c r="AB192" s="244"/>
      <c r="AC192" s="244"/>
      <c r="AD192" s="244"/>
      <c r="AE192" s="244"/>
      <c r="AF192" s="244"/>
      <c r="AG192" s="244"/>
      <c r="AH192" s="244"/>
      <c r="AI192" s="244"/>
      <c r="AJ192" s="244"/>
      <c r="AK192" s="245">
        <f t="shared" si="34"/>
        <v>0</v>
      </c>
      <c r="AL192" s="73" t="e">
        <f t="shared" si="32"/>
        <v>#DIV/0!</v>
      </c>
      <c r="AM192" s="14">
        <f t="shared" si="35"/>
        <v>0</v>
      </c>
      <c r="AN192" s="9"/>
    </row>
    <row r="193" spans="1:40" hidden="1" outlineLevel="1">
      <c r="A193" s="12" t="s">
        <v>157</v>
      </c>
      <c r="B193" s="8" t="s">
        <v>276</v>
      </c>
      <c r="I193" s="139" t="s">
        <v>180</v>
      </c>
      <c r="J193" s="244"/>
      <c r="K193" s="244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5">
        <f t="shared" si="33"/>
        <v>0</v>
      </c>
      <c r="W193" s="73" t="e">
        <f t="shared" si="30"/>
        <v>#DIV/0!</v>
      </c>
      <c r="X193" s="89"/>
      <c r="Y193" s="244"/>
      <c r="Z193" s="244"/>
      <c r="AA193" s="244"/>
      <c r="AB193" s="244"/>
      <c r="AC193" s="244"/>
      <c r="AD193" s="244"/>
      <c r="AE193" s="244"/>
      <c r="AF193" s="244"/>
      <c r="AG193" s="244"/>
      <c r="AH193" s="244"/>
      <c r="AI193" s="244"/>
      <c r="AJ193" s="244"/>
      <c r="AK193" s="245">
        <f t="shared" si="34"/>
        <v>0</v>
      </c>
      <c r="AL193" s="73" t="e">
        <f t="shared" si="32"/>
        <v>#DIV/0!</v>
      </c>
      <c r="AM193" s="14">
        <f t="shared" si="35"/>
        <v>0</v>
      </c>
      <c r="AN193" s="9"/>
    </row>
    <row r="194" spans="1:40" hidden="1" outlineLevel="1">
      <c r="A194" s="12" t="s">
        <v>157</v>
      </c>
      <c r="B194" s="8" t="s">
        <v>276</v>
      </c>
      <c r="I194" s="139" t="s">
        <v>173</v>
      </c>
      <c r="J194" s="244"/>
      <c r="K194" s="244"/>
      <c r="L194" s="244"/>
      <c r="M194" s="244"/>
      <c r="N194" s="244"/>
      <c r="O194" s="244"/>
      <c r="P194" s="244"/>
      <c r="Q194" s="244"/>
      <c r="R194" s="244"/>
      <c r="S194" s="244"/>
      <c r="T194" s="244"/>
      <c r="U194" s="244"/>
      <c r="V194" s="245">
        <f t="shared" si="33"/>
        <v>0</v>
      </c>
      <c r="W194" s="73" t="e">
        <f t="shared" si="30"/>
        <v>#DIV/0!</v>
      </c>
      <c r="X194" s="89"/>
      <c r="Y194" s="244"/>
      <c r="Z194" s="244"/>
      <c r="AA194" s="244"/>
      <c r="AB194" s="244"/>
      <c r="AC194" s="244"/>
      <c r="AD194" s="244"/>
      <c r="AE194" s="244"/>
      <c r="AF194" s="244"/>
      <c r="AG194" s="244"/>
      <c r="AH194" s="244"/>
      <c r="AI194" s="244"/>
      <c r="AJ194" s="244"/>
      <c r="AK194" s="245">
        <f t="shared" si="34"/>
        <v>0</v>
      </c>
      <c r="AL194" s="73" t="e">
        <f t="shared" si="32"/>
        <v>#DIV/0!</v>
      </c>
      <c r="AM194" s="14">
        <f t="shared" si="35"/>
        <v>0</v>
      </c>
      <c r="AN194" s="9"/>
    </row>
    <row r="195" spans="1:40" hidden="1" outlineLevel="1">
      <c r="A195" s="12" t="s">
        <v>157</v>
      </c>
      <c r="B195" s="8" t="s">
        <v>276</v>
      </c>
      <c r="I195" s="139" t="s">
        <v>175</v>
      </c>
      <c r="J195" s="244"/>
      <c r="K195" s="244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5">
        <f t="shared" si="33"/>
        <v>0</v>
      </c>
      <c r="W195" s="73" t="e">
        <f t="shared" si="30"/>
        <v>#DIV/0!</v>
      </c>
      <c r="X195" s="89"/>
      <c r="Y195" s="244"/>
      <c r="Z195" s="244"/>
      <c r="AA195" s="244"/>
      <c r="AB195" s="244"/>
      <c r="AC195" s="244"/>
      <c r="AD195" s="244"/>
      <c r="AE195" s="244"/>
      <c r="AF195" s="244"/>
      <c r="AG195" s="244"/>
      <c r="AH195" s="244"/>
      <c r="AI195" s="244"/>
      <c r="AJ195" s="244"/>
      <c r="AK195" s="245">
        <f t="shared" si="34"/>
        <v>0</v>
      </c>
      <c r="AL195" s="73" t="e">
        <f t="shared" si="32"/>
        <v>#DIV/0!</v>
      </c>
      <c r="AM195" s="14">
        <f t="shared" si="35"/>
        <v>0</v>
      </c>
      <c r="AN195" s="9"/>
    </row>
    <row r="196" spans="1:40" hidden="1" outlineLevel="1">
      <c r="A196" s="12" t="s">
        <v>157</v>
      </c>
      <c r="B196" s="8" t="s">
        <v>276</v>
      </c>
      <c r="I196" s="139" t="s">
        <v>165</v>
      </c>
      <c r="J196" s="244"/>
      <c r="K196" s="244"/>
      <c r="L196" s="244"/>
      <c r="M196" s="244"/>
      <c r="N196" s="244"/>
      <c r="O196" s="244"/>
      <c r="P196" s="244"/>
      <c r="Q196" s="244"/>
      <c r="R196" s="244"/>
      <c r="S196" s="244"/>
      <c r="T196" s="244"/>
      <c r="U196" s="244"/>
      <c r="V196" s="245">
        <f t="shared" si="33"/>
        <v>0</v>
      </c>
      <c r="W196" s="73" t="e">
        <f t="shared" si="30"/>
        <v>#DIV/0!</v>
      </c>
      <c r="X196" s="89"/>
      <c r="Y196" s="244"/>
      <c r="Z196" s="244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  <c r="AK196" s="245">
        <f t="shared" si="34"/>
        <v>0</v>
      </c>
      <c r="AL196" s="73" t="e">
        <f t="shared" si="32"/>
        <v>#DIV/0!</v>
      </c>
      <c r="AM196" s="14">
        <f t="shared" si="35"/>
        <v>0</v>
      </c>
      <c r="AN196" s="9"/>
    </row>
    <row r="197" spans="1:40" hidden="1" outlineLevel="1">
      <c r="A197" s="12" t="s">
        <v>157</v>
      </c>
      <c r="B197" s="8" t="s">
        <v>276</v>
      </c>
      <c r="I197" s="139" t="s">
        <v>288</v>
      </c>
      <c r="J197" s="244"/>
      <c r="K197" s="244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5">
        <f t="shared" si="33"/>
        <v>0</v>
      </c>
      <c r="W197" s="73" t="e">
        <f t="shared" si="30"/>
        <v>#DIV/0!</v>
      </c>
      <c r="X197" s="89"/>
      <c r="Y197" s="244"/>
      <c r="Z197" s="244"/>
      <c r="AA197" s="244"/>
      <c r="AB197" s="244"/>
      <c r="AC197" s="244"/>
      <c r="AD197" s="244"/>
      <c r="AE197" s="244"/>
      <c r="AF197" s="244"/>
      <c r="AG197" s="244"/>
      <c r="AH197" s="244"/>
      <c r="AI197" s="244"/>
      <c r="AJ197" s="244"/>
      <c r="AK197" s="245">
        <f t="shared" si="34"/>
        <v>0</v>
      </c>
      <c r="AL197" s="73" t="e">
        <f t="shared" si="32"/>
        <v>#DIV/0!</v>
      </c>
      <c r="AM197" s="14">
        <f t="shared" si="35"/>
        <v>0</v>
      </c>
      <c r="AN197" s="9"/>
    </row>
    <row r="198" spans="1:40" hidden="1" outlineLevel="1">
      <c r="A198" s="12" t="s">
        <v>157</v>
      </c>
      <c r="B198" s="8" t="s">
        <v>276</v>
      </c>
      <c r="I198" s="139" t="s">
        <v>289</v>
      </c>
      <c r="J198" s="244"/>
      <c r="K198" s="244"/>
      <c r="L198" s="244"/>
      <c r="M198" s="244"/>
      <c r="N198" s="244"/>
      <c r="O198" s="244"/>
      <c r="P198" s="244"/>
      <c r="Q198" s="244"/>
      <c r="R198" s="244"/>
      <c r="S198" s="244"/>
      <c r="T198" s="244"/>
      <c r="U198" s="244"/>
      <c r="V198" s="245">
        <f t="shared" si="33"/>
        <v>0</v>
      </c>
      <c r="W198" s="73" t="e">
        <f t="shared" si="30"/>
        <v>#DIV/0!</v>
      </c>
      <c r="X198" s="89"/>
      <c r="Y198" s="244"/>
      <c r="Z198" s="244"/>
      <c r="AA198" s="244"/>
      <c r="AB198" s="244"/>
      <c r="AC198" s="244"/>
      <c r="AD198" s="244"/>
      <c r="AE198" s="244"/>
      <c r="AF198" s="244"/>
      <c r="AG198" s="244"/>
      <c r="AH198" s="244"/>
      <c r="AI198" s="244"/>
      <c r="AJ198" s="244"/>
      <c r="AK198" s="245">
        <f t="shared" si="34"/>
        <v>0</v>
      </c>
      <c r="AL198" s="73" t="e">
        <f t="shared" si="32"/>
        <v>#DIV/0!</v>
      </c>
      <c r="AM198" s="14">
        <f t="shared" si="35"/>
        <v>0</v>
      </c>
      <c r="AN198" s="9"/>
    </row>
    <row r="199" spans="1:40" hidden="1" outlineLevel="1">
      <c r="A199" s="12" t="s">
        <v>157</v>
      </c>
      <c r="B199" s="8" t="s">
        <v>276</v>
      </c>
      <c r="I199" s="139" t="s">
        <v>162</v>
      </c>
      <c r="J199" s="244"/>
      <c r="K199" s="244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5">
        <f t="shared" si="33"/>
        <v>0</v>
      </c>
      <c r="W199" s="73" t="e">
        <f t="shared" si="30"/>
        <v>#DIV/0!</v>
      </c>
      <c r="X199" s="89"/>
      <c r="Y199" s="244"/>
      <c r="Z199" s="244"/>
      <c r="AA199" s="244"/>
      <c r="AB199" s="244"/>
      <c r="AC199" s="244"/>
      <c r="AD199" s="244"/>
      <c r="AE199" s="244"/>
      <c r="AF199" s="244"/>
      <c r="AG199" s="244"/>
      <c r="AH199" s="244"/>
      <c r="AI199" s="244"/>
      <c r="AJ199" s="244"/>
      <c r="AK199" s="245">
        <f t="shared" si="34"/>
        <v>0</v>
      </c>
      <c r="AL199" s="73" t="e">
        <f t="shared" si="32"/>
        <v>#DIV/0!</v>
      </c>
      <c r="AM199" s="14">
        <f t="shared" si="35"/>
        <v>0</v>
      </c>
      <c r="AN199" s="9"/>
    </row>
    <row r="200" spans="1:40" hidden="1" outlineLevel="1">
      <c r="A200" s="12" t="s">
        <v>157</v>
      </c>
      <c r="B200" s="8" t="s">
        <v>276</v>
      </c>
      <c r="I200" s="139" t="s">
        <v>163</v>
      </c>
      <c r="J200" s="244"/>
      <c r="K200" s="244"/>
      <c r="L200" s="244"/>
      <c r="M200" s="244"/>
      <c r="N200" s="244"/>
      <c r="O200" s="244"/>
      <c r="P200" s="244"/>
      <c r="Q200" s="244"/>
      <c r="R200" s="244"/>
      <c r="S200" s="244"/>
      <c r="T200" s="244"/>
      <c r="U200" s="244"/>
      <c r="V200" s="245">
        <f t="shared" si="33"/>
        <v>0</v>
      </c>
      <c r="W200" s="73" t="e">
        <f t="shared" si="30"/>
        <v>#DIV/0!</v>
      </c>
      <c r="X200" s="89"/>
      <c r="Y200" s="244"/>
      <c r="Z200" s="244"/>
      <c r="AA200" s="244"/>
      <c r="AB200" s="244"/>
      <c r="AC200" s="244"/>
      <c r="AD200" s="244"/>
      <c r="AE200" s="244"/>
      <c r="AF200" s="244"/>
      <c r="AG200" s="244"/>
      <c r="AH200" s="244"/>
      <c r="AI200" s="244"/>
      <c r="AJ200" s="244"/>
      <c r="AK200" s="245">
        <f t="shared" si="34"/>
        <v>0</v>
      </c>
      <c r="AL200" s="73" t="e">
        <f t="shared" si="32"/>
        <v>#DIV/0!</v>
      </c>
      <c r="AM200" s="14">
        <f t="shared" si="35"/>
        <v>0</v>
      </c>
      <c r="AN200" s="9"/>
    </row>
    <row r="201" spans="1:40" hidden="1" outlineLevel="1">
      <c r="A201" s="12" t="s">
        <v>157</v>
      </c>
      <c r="B201" s="8" t="s">
        <v>276</v>
      </c>
      <c r="I201" s="139" t="s">
        <v>186</v>
      </c>
      <c r="J201" s="244"/>
      <c r="K201" s="244"/>
      <c r="L201" s="244"/>
      <c r="M201" s="244"/>
      <c r="N201" s="244"/>
      <c r="O201" s="244"/>
      <c r="P201" s="244"/>
      <c r="Q201" s="244"/>
      <c r="R201" s="244"/>
      <c r="S201" s="244"/>
      <c r="T201" s="244"/>
      <c r="U201" s="244"/>
      <c r="V201" s="245">
        <f t="shared" si="33"/>
        <v>0</v>
      </c>
      <c r="W201" s="73" t="e">
        <f t="shared" si="30"/>
        <v>#DIV/0!</v>
      </c>
      <c r="X201" s="89"/>
      <c r="Y201" s="244"/>
      <c r="Z201" s="244"/>
      <c r="AA201" s="244"/>
      <c r="AB201" s="244"/>
      <c r="AC201" s="244"/>
      <c r="AD201" s="244"/>
      <c r="AE201" s="244"/>
      <c r="AF201" s="244"/>
      <c r="AG201" s="244"/>
      <c r="AH201" s="244"/>
      <c r="AI201" s="244"/>
      <c r="AJ201" s="244"/>
      <c r="AK201" s="245">
        <f t="shared" si="34"/>
        <v>0</v>
      </c>
      <c r="AL201" s="73" t="e">
        <f t="shared" si="32"/>
        <v>#DIV/0!</v>
      </c>
      <c r="AM201" s="14">
        <f t="shared" si="35"/>
        <v>0</v>
      </c>
      <c r="AN201" s="9"/>
    </row>
    <row r="202" spans="1:40" hidden="1" outlineLevel="1">
      <c r="A202" s="12"/>
      <c r="I202" s="139" t="s">
        <v>290</v>
      </c>
      <c r="J202" s="244"/>
      <c r="K202" s="244"/>
      <c r="L202" s="244"/>
      <c r="M202" s="244"/>
      <c r="N202" s="244"/>
      <c r="O202" s="244"/>
      <c r="P202" s="244"/>
      <c r="Q202" s="244"/>
      <c r="R202" s="244"/>
      <c r="S202" s="244"/>
      <c r="T202" s="244"/>
      <c r="U202" s="244"/>
      <c r="V202" s="245">
        <f t="shared" si="33"/>
        <v>0</v>
      </c>
      <c r="W202" s="73" t="e">
        <f t="shared" si="30"/>
        <v>#DIV/0!</v>
      </c>
      <c r="X202" s="89"/>
      <c r="Y202" s="244"/>
      <c r="Z202" s="244"/>
      <c r="AA202" s="244"/>
      <c r="AB202" s="244"/>
      <c r="AC202" s="244"/>
      <c r="AD202" s="244"/>
      <c r="AE202" s="244"/>
      <c r="AF202" s="244"/>
      <c r="AG202" s="244"/>
      <c r="AH202" s="244"/>
      <c r="AI202" s="244"/>
      <c r="AJ202" s="244"/>
      <c r="AK202" s="245">
        <f t="shared" si="34"/>
        <v>0</v>
      </c>
      <c r="AL202" s="73" t="e">
        <f t="shared" si="32"/>
        <v>#DIV/0!</v>
      </c>
      <c r="AM202" s="14">
        <f t="shared" si="35"/>
        <v>0</v>
      </c>
      <c r="AN202" s="9"/>
    </row>
    <row r="203" spans="1:40" hidden="1" outlineLevel="1">
      <c r="A203" s="12"/>
      <c r="I203" s="139" t="s">
        <v>193</v>
      </c>
      <c r="J203" s="244"/>
      <c r="K203" s="244"/>
      <c r="L203" s="244"/>
      <c r="M203" s="244"/>
      <c r="N203" s="244"/>
      <c r="O203" s="244"/>
      <c r="P203" s="244"/>
      <c r="Q203" s="244"/>
      <c r="R203" s="244"/>
      <c r="S203" s="244"/>
      <c r="T203" s="244"/>
      <c r="U203" s="244"/>
      <c r="V203" s="245">
        <f t="shared" si="33"/>
        <v>0</v>
      </c>
      <c r="W203" s="73" t="e">
        <f t="shared" si="30"/>
        <v>#DIV/0!</v>
      </c>
      <c r="X203" s="89"/>
      <c r="Y203" s="244"/>
      <c r="Z203" s="244"/>
      <c r="AA203" s="244"/>
      <c r="AB203" s="244"/>
      <c r="AC203" s="244"/>
      <c r="AD203" s="244"/>
      <c r="AE203" s="244"/>
      <c r="AF203" s="244"/>
      <c r="AG203" s="244"/>
      <c r="AH203" s="244"/>
      <c r="AI203" s="244"/>
      <c r="AJ203" s="244"/>
      <c r="AK203" s="245">
        <f t="shared" si="34"/>
        <v>0</v>
      </c>
      <c r="AL203" s="73" t="e">
        <f t="shared" si="32"/>
        <v>#DIV/0!</v>
      </c>
      <c r="AM203" s="14">
        <f t="shared" si="35"/>
        <v>0</v>
      </c>
      <c r="AN203" s="9"/>
    </row>
    <row r="204" spans="1:40" hidden="1" outlineLevel="1">
      <c r="A204" s="12"/>
      <c r="I204" s="139" t="s">
        <v>228</v>
      </c>
      <c r="J204" s="244"/>
      <c r="K204" s="244"/>
      <c r="L204" s="244"/>
      <c r="M204" s="244"/>
      <c r="N204" s="244"/>
      <c r="O204" s="244"/>
      <c r="P204" s="244"/>
      <c r="Q204" s="244"/>
      <c r="R204" s="244"/>
      <c r="S204" s="244"/>
      <c r="T204" s="244"/>
      <c r="U204" s="244"/>
      <c r="V204" s="245">
        <f t="shared" si="33"/>
        <v>0</v>
      </c>
      <c r="W204" s="73" t="e">
        <f t="shared" si="30"/>
        <v>#DIV/0!</v>
      </c>
      <c r="X204" s="89"/>
      <c r="Y204" s="244"/>
      <c r="Z204" s="244"/>
      <c r="AA204" s="244"/>
      <c r="AB204" s="244"/>
      <c r="AC204" s="244"/>
      <c r="AD204" s="244"/>
      <c r="AE204" s="244"/>
      <c r="AF204" s="244"/>
      <c r="AG204" s="244"/>
      <c r="AH204" s="244"/>
      <c r="AI204" s="244"/>
      <c r="AJ204" s="244"/>
      <c r="AK204" s="245">
        <f t="shared" si="34"/>
        <v>0</v>
      </c>
      <c r="AL204" s="73" t="e">
        <f t="shared" si="32"/>
        <v>#DIV/0!</v>
      </c>
      <c r="AM204" s="14">
        <f t="shared" si="35"/>
        <v>0</v>
      </c>
      <c r="AN204" s="9"/>
    </row>
    <row r="205" spans="1:40" hidden="1" outlineLevel="1">
      <c r="A205" s="12"/>
      <c r="I205" s="139" t="s">
        <v>174</v>
      </c>
      <c r="J205" s="244"/>
      <c r="K205" s="244"/>
      <c r="L205" s="244"/>
      <c r="M205" s="244"/>
      <c r="N205" s="244"/>
      <c r="O205" s="244"/>
      <c r="P205" s="244"/>
      <c r="Q205" s="244"/>
      <c r="R205" s="244"/>
      <c r="S205" s="244"/>
      <c r="T205" s="244"/>
      <c r="U205" s="244"/>
      <c r="V205" s="245">
        <f t="shared" si="33"/>
        <v>0</v>
      </c>
      <c r="W205" s="73" t="e">
        <f t="shared" si="30"/>
        <v>#DIV/0!</v>
      </c>
      <c r="X205" s="89"/>
      <c r="Y205" s="244"/>
      <c r="Z205" s="244"/>
      <c r="AA205" s="244"/>
      <c r="AB205" s="244"/>
      <c r="AC205" s="244"/>
      <c r="AD205" s="244"/>
      <c r="AE205" s="244"/>
      <c r="AF205" s="244"/>
      <c r="AG205" s="244"/>
      <c r="AH205" s="244"/>
      <c r="AI205" s="244"/>
      <c r="AJ205" s="244"/>
      <c r="AK205" s="245">
        <f t="shared" si="34"/>
        <v>0</v>
      </c>
      <c r="AL205" s="73" t="e">
        <f t="shared" si="32"/>
        <v>#DIV/0!</v>
      </c>
      <c r="AM205" s="14">
        <f t="shared" si="35"/>
        <v>0</v>
      </c>
      <c r="AN205" s="9"/>
    </row>
    <row r="206" spans="1:40" hidden="1" outlineLevel="1">
      <c r="A206" s="12"/>
      <c r="I206" s="139" t="s">
        <v>232</v>
      </c>
      <c r="J206" s="244"/>
      <c r="K206" s="244"/>
      <c r="L206" s="24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5">
        <f t="shared" si="33"/>
        <v>0</v>
      </c>
      <c r="W206" s="73" t="e">
        <f t="shared" si="30"/>
        <v>#DIV/0!</v>
      </c>
      <c r="X206" s="89"/>
      <c r="Y206" s="244"/>
      <c r="Z206" s="244"/>
      <c r="AA206" s="244"/>
      <c r="AB206" s="244"/>
      <c r="AC206" s="244"/>
      <c r="AD206" s="244"/>
      <c r="AE206" s="244"/>
      <c r="AF206" s="244"/>
      <c r="AG206" s="244"/>
      <c r="AH206" s="244"/>
      <c r="AI206" s="244"/>
      <c r="AJ206" s="244"/>
      <c r="AK206" s="245">
        <f t="shared" si="34"/>
        <v>0</v>
      </c>
      <c r="AL206" s="73" t="e">
        <f t="shared" si="32"/>
        <v>#DIV/0!</v>
      </c>
      <c r="AM206" s="14">
        <f t="shared" si="35"/>
        <v>0</v>
      </c>
      <c r="AN206" s="9"/>
    </row>
    <row r="207" spans="1:40" hidden="1" outlineLevel="1">
      <c r="A207" s="12"/>
      <c r="I207" s="139" t="s">
        <v>201</v>
      </c>
      <c r="J207" s="244"/>
      <c r="K207" s="244"/>
      <c r="L207" s="244"/>
      <c r="M207" s="244"/>
      <c r="N207" s="244"/>
      <c r="O207" s="244"/>
      <c r="P207" s="244"/>
      <c r="Q207" s="244"/>
      <c r="R207" s="244"/>
      <c r="S207" s="244"/>
      <c r="T207" s="244"/>
      <c r="U207" s="244"/>
      <c r="V207" s="245">
        <f t="shared" si="33"/>
        <v>0</v>
      </c>
      <c r="W207" s="73" t="e">
        <f t="shared" si="30"/>
        <v>#DIV/0!</v>
      </c>
      <c r="X207" s="89"/>
      <c r="Y207" s="244"/>
      <c r="Z207" s="244"/>
      <c r="AA207" s="244"/>
      <c r="AB207" s="244"/>
      <c r="AC207" s="244"/>
      <c r="AD207" s="244"/>
      <c r="AE207" s="244"/>
      <c r="AF207" s="244"/>
      <c r="AG207" s="244"/>
      <c r="AH207" s="244"/>
      <c r="AI207" s="244"/>
      <c r="AJ207" s="244"/>
      <c r="AK207" s="245">
        <f t="shared" si="34"/>
        <v>0</v>
      </c>
      <c r="AL207" s="73" t="e">
        <f t="shared" si="32"/>
        <v>#DIV/0!</v>
      </c>
      <c r="AM207" s="14">
        <f t="shared" si="35"/>
        <v>0</v>
      </c>
      <c r="AN207" s="9"/>
    </row>
    <row r="208" spans="1:40" hidden="1" outlineLevel="1">
      <c r="A208" s="12"/>
      <c r="I208" s="139" t="s">
        <v>181</v>
      </c>
      <c r="J208" s="244"/>
      <c r="K208" s="244"/>
      <c r="L208" s="244"/>
      <c r="M208" s="244"/>
      <c r="N208" s="244"/>
      <c r="O208" s="244"/>
      <c r="P208" s="244"/>
      <c r="Q208" s="244"/>
      <c r="R208" s="244"/>
      <c r="S208" s="244"/>
      <c r="T208" s="244"/>
      <c r="U208" s="244"/>
      <c r="V208" s="245">
        <f t="shared" si="33"/>
        <v>0</v>
      </c>
      <c r="W208" s="73" t="e">
        <f t="shared" si="30"/>
        <v>#DIV/0!</v>
      </c>
      <c r="X208" s="89"/>
      <c r="Y208" s="244"/>
      <c r="Z208" s="244"/>
      <c r="AA208" s="244"/>
      <c r="AB208" s="244"/>
      <c r="AC208" s="244"/>
      <c r="AD208" s="244"/>
      <c r="AE208" s="244"/>
      <c r="AF208" s="244"/>
      <c r="AG208" s="244"/>
      <c r="AH208" s="244"/>
      <c r="AI208" s="244"/>
      <c r="AJ208" s="244"/>
      <c r="AK208" s="245">
        <f t="shared" si="34"/>
        <v>0</v>
      </c>
      <c r="AL208" s="73" t="e">
        <f t="shared" si="32"/>
        <v>#DIV/0!</v>
      </c>
      <c r="AM208" s="14">
        <f t="shared" si="35"/>
        <v>0</v>
      </c>
      <c r="AN208" s="9"/>
    </row>
    <row r="209" spans="1:40" collapsed="1">
      <c r="A209" s="12" t="s">
        <v>191</v>
      </c>
      <c r="B209" s="8" t="s">
        <v>276</v>
      </c>
      <c r="I209" s="122" t="s">
        <v>202</v>
      </c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>
        <f>SUM(V210:V225)</f>
        <v>0</v>
      </c>
      <c r="W209" s="72" t="e">
        <f t="shared" si="30"/>
        <v>#DIV/0!</v>
      </c>
      <c r="X209" s="89"/>
      <c r="Y209" s="241">
        <f t="shared" ref="Y209:AK209" si="36">SUM(Y210:Y225)</f>
        <v>0</v>
      </c>
      <c r="Z209" s="241">
        <f t="shared" si="36"/>
        <v>0</v>
      </c>
      <c r="AA209" s="241">
        <f t="shared" si="36"/>
        <v>0</v>
      </c>
      <c r="AB209" s="241">
        <f t="shared" si="36"/>
        <v>0</v>
      </c>
      <c r="AC209" s="241">
        <f t="shared" si="36"/>
        <v>0</v>
      </c>
      <c r="AD209" s="241">
        <f t="shared" si="36"/>
        <v>0</v>
      </c>
      <c r="AE209" s="241">
        <f t="shared" si="36"/>
        <v>0</v>
      </c>
      <c r="AF209" s="241">
        <f t="shared" si="36"/>
        <v>0</v>
      </c>
      <c r="AG209" s="241">
        <f t="shared" si="36"/>
        <v>0</v>
      </c>
      <c r="AH209" s="241">
        <f t="shared" si="36"/>
        <v>0</v>
      </c>
      <c r="AI209" s="241">
        <f t="shared" si="36"/>
        <v>0</v>
      </c>
      <c r="AJ209" s="241">
        <f t="shared" si="36"/>
        <v>0</v>
      </c>
      <c r="AK209" s="241">
        <f t="shared" si="36"/>
        <v>0</v>
      </c>
      <c r="AL209" s="72" t="e">
        <f t="shared" si="32"/>
        <v>#DIV/0!</v>
      </c>
      <c r="AM209" s="10">
        <f t="shared" si="35"/>
        <v>0</v>
      </c>
      <c r="AN209" s="9"/>
    </row>
    <row r="210" spans="1:40" hidden="1" outlineLevel="1">
      <c r="A210" s="12" t="s">
        <v>191</v>
      </c>
      <c r="B210" s="8" t="s">
        <v>276</v>
      </c>
      <c r="I210" t="s">
        <v>203</v>
      </c>
      <c r="J210" s="244"/>
      <c r="K210" s="244"/>
      <c r="L210" s="244"/>
      <c r="M210" s="244"/>
      <c r="N210" s="244"/>
      <c r="O210" s="244"/>
      <c r="P210" s="244"/>
      <c r="Q210" s="244"/>
      <c r="R210" s="244"/>
      <c r="S210" s="244"/>
      <c r="T210" s="244"/>
      <c r="U210" s="244"/>
      <c r="V210" s="245">
        <f>SUM(J210:U210)</f>
        <v>0</v>
      </c>
      <c r="W210" s="73" t="e">
        <f t="shared" si="30"/>
        <v>#DIV/0!</v>
      </c>
      <c r="X210" s="89"/>
      <c r="Y210" s="244"/>
      <c r="Z210" s="244"/>
      <c r="AA210" s="244"/>
      <c r="AB210" s="244"/>
      <c r="AC210" s="244"/>
      <c r="AD210" s="244"/>
      <c r="AE210" s="244"/>
      <c r="AF210" s="244"/>
      <c r="AG210" s="244"/>
      <c r="AH210" s="244"/>
      <c r="AI210" s="244"/>
      <c r="AJ210" s="244"/>
      <c r="AK210" s="245">
        <f>SUM(Y210:AJ210)</f>
        <v>0</v>
      </c>
      <c r="AL210" s="73" t="e">
        <f t="shared" si="32"/>
        <v>#DIV/0!</v>
      </c>
      <c r="AM210" s="14">
        <f t="shared" si="35"/>
        <v>0</v>
      </c>
      <c r="AN210" s="9"/>
    </row>
    <row r="211" spans="1:40" hidden="1" outlineLevel="1">
      <c r="A211" s="12" t="s">
        <v>191</v>
      </c>
      <c r="B211" s="8" t="s">
        <v>276</v>
      </c>
      <c r="I211" t="s">
        <v>204</v>
      </c>
      <c r="J211" s="244"/>
      <c r="K211" s="244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5">
        <f t="shared" ref="V211:V225" si="37">SUM(J211:U211)</f>
        <v>0</v>
      </c>
      <c r="W211" s="73" t="e">
        <f t="shared" si="30"/>
        <v>#DIV/0!</v>
      </c>
      <c r="X211" s="89"/>
      <c r="Y211" s="244"/>
      <c r="Z211" s="244"/>
      <c r="AA211" s="244"/>
      <c r="AB211" s="244"/>
      <c r="AC211" s="244"/>
      <c r="AD211" s="244"/>
      <c r="AE211" s="244"/>
      <c r="AF211" s="244"/>
      <c r="AG211" s="244"/>
      <c r="AH211" s="244"/>
      <c r="AI211" s="244"/>
      <c r="AJ211" s="244"/>
      <c r="AK211" s="245">
        <f t="shared" ref="AK211:AK225" si="38">SUM(Y211:AJ211)</f>
        <v>0</v>
      </c>
      <c r="AL211" s="73" t="e">
        <f t="shared" si="32"/>
        <v>#DIV/0!</v>
      </c>
      <c r="AM211" s="14">
        <f t="shared" si="35"/>
        <v>0</v>
      </c>
      <c r="AN211" s="9"/>
    </row>
    <row r="212" spans="1:40" hidden="1" outlineLevel="1">
      <c r="A212" s="12" t="s">
        <v>191</v>
      </c>
      <c r="B212" s="8" t="s">
        <v>276</v>
      </c>
      <c r="I212" t="s">
        <v>205</v>
      </c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5">
        <f t="shared" si="37"/>
        <v>0</v>
      </c>
      <c r="W212" s="73" t="e">
        <f t="shared" si="30"/>
        <v>#DIV/0!</v>
      </c>
      <c r="X212" s="89"/>
      <c r="Y212" s="244"/>
      <c r="Z212" s="244"/>
      <c r="AA212" s="244"/>
      <c r="AB212" s="244"/>
      <c r="AC212" s="244"/>
      <c r="AD212" s="244"/>
      <c r="AE212" s="244"/>
      <c r="AF212" s="244"/>
      <c r="AG212" s="244"/>
      <c r="AH212" s="244"/>
      <c r="AI212" s="244"/>
      <c r="AJ212" s="244"/>
      <c r="AK212" s="245">
        <f t="shared" si="38"/>
        <v>0</v>
      </c>
      <c r="AL212" s="73" t="e">
        <f t="shared" si="32"/>
        <v>#DIV/0!</v>
      </c>
      <c r="AM212" s="14">
        <f t="shared" si="35"/>
        <v>0</v>
      </c>
      <c r="AN212" s="9"/>
    </row>
    <row r="213" spans="1:40" hidden="1" outlineLevel="1">
      <c r="A213" s="12" t="s">
        <v>191</v>
      </c>
      <c r="B213" s="8" t="s">
        <v>276</v>
      </c>
      <c r="I213" t="s">
        <v>206</v>
      </c>
      <c r="J213" s="244"/>
      <c r="K213" s="244"/>
      <c r="L213" s="244"/>
      <c r="M213" s="244"/>
      <c r="N213" s="244"/>
      <c r="O213" s="244"/>
      <c r="P213" s="244"/>
      <c r="Q213" s="244"/>
      <c r="R213" s="244"/>
      <c r="S213" s="244"/>
      <c r="T213" s="244"/>
      <c r="U213" s="244"/>
      <c r="V213" s="245">
        <f t="shared" si="37"/>
        <v>0</v>
      </c>
      <c r="W213" s="73" t="e">
        <f t="shared" si="30"/>
        <v>#DIV/0!</v>
      </c>
      <c r="X213" s="89"/>
      <c r="Y213" s="244"/>
      <c r="Z213" s="244"/>
      <c r="AA213" s="244"/>
      <c r="AB213" s="244"/>
      <c r="AC213" s="244"/>
      <c r="AD213" s="244"/>
      <c r="AE213" s="244"/>
      <c r="AF213" s="244"/>
      <c r="AG213" s="244"/>
      <c r="AH213" s="244"/>
      <c r="AI213" s="244"/>
      <c r="AJ213" s="244"/>
      <c r="AK213" s="245">
        <f t="shared" si="38"/>
        <v>0</v>
      </c>
      <c r="AL213" s="73" t="e">
        <f t="shared" si="32"/>
        <v>#DIV/0!</v>
      </c>
      <c r="AM213" s="14">
        <f t="shared" si="35"/>
        <v>0</v>
      </c>
      <c r="AN213" s="9"/>
    </row>
    <row r="214" spans="1:40" hidden="1" outlineLevel="1">
      <c r="A214" s="12" t="s">
        <v>191</v>
      </c>
      <c r="B214" s="8" t="s">
        <v>276</v>
      </c>
      <c r="I214" t="s">
        <v>291</v>
      </c>
      <c r="J214" s="244"/>
      <c r="K214" s="244"/>
      <c r="L214" s="244"/>
      <c r="M214" s="244"/>
      <c r="N214" s="244"/>
      <c r="O214" s="244"/>
      <c r="P214" s="244"/>
      <c r="Q214" s="244"/>
      <c r="R214" s="244"/>
      <c r="S214" s="244"/>
      <c r="T214" s="244"/>
      <c r="U214" s="244"/>
      <c r="V214" s="245">
        <f t="shared" si="37"/>
        <v>0</v>
      </c>
      <c r="W214" s="73" t="e">
        <f t="shared" si="30"/>
        <v>#DIV/0!</v>
      </c>
      <c r="X214" s="89"/>
      <c r="Y214" s="244"/>
      <c r="Z214" s="244"/>
      <c r="AA214" s="244"/>
      <c r="AB214" s="244"/>
      <c r="AC214" s="244"/>
      <c r="AD214" s="244"/>
      <c r="AE214" s="244"/>
      <c r="AF214" s="244"/>
      <c r="AG214" s="244"/>
      <c r="AH214" s="244"/>
      <c r="AI214" s="244"/>
      <c r="AJ214" s="244"/>
      <c r="AK214" s="245">
        <f t="shared" si="38"/>
        <v>0</v>
      </c>
      <c r="AL214" s="73" t="e">
        <f t="shared" si="32"/>
        <v>#DIV/0!</v>
      </c>
      <c r="AM214" s="14">
        <f t="shared" si="35"/>
        <v>0</v>
      </c>
      <c r="AN214" s="9"/>
    </row>
    <row r="215" spans="1:40" hidden="1" outlineLevel="1">
      <c r="A215" s="12" t="s">
        <v>191</v>
      </c>
      <c r="B215" s="8" t="s">
        <v>276</v>
      </c>
      <c r="I215" t="s">
        <v>207</v>
      </c>
      <c r="J215" s="244"/>
      <c r="K215" s="244"/>
      <c r="L215" s="244"/>
      <c r="M215" s="244"/>
      <c r="N215" s="244"/>
      <c r="O215" s="244"/>
      <c r="P215" s="244"/>
      <c r="Q215" s="244"/>
      <c r="R215" s="244"/>
      <c r="S215" s="244"/>
      <c r="T215" s="244"/>
      <c r="U215" s="244"/>
      <c r="V215" s="245">
        <f t="shared" si="37"/>
        <v>0</v>
      </c>
      <c r="W215" s="73" t="e">
        <f t="shared" si="30"/>
        <v>#DIV/0!</v>
      </c>
      <c r="X215" s="89"/>
      <c r="Y215" s="244"/>
      <c r="Z215" s="244"/>
      <c r="AA215" s="244"/>
      <c r="AB215" s="244"/>
      <c r="AC215" s="244"/>
      <c r="AD215" s="244"/>
      <c r="AE215" s="244"/>
      <c r="AF215" s="244"/>
      <c r="AG215" s="244"/>
      <c r="AH215" s="244"/>
      <c r="AI215" s="244"/>
      <c r="AJ215" s="244"/>
      <c r="AK215" s="245">
        <f t="shared" si="38"/>
        <v>0</v>
      </c>
      <c r="AL215" s="73" t="e">
        <f t="shared" si="32"/>
        <v>#DIV/0!</v>
      </c>
      <c r="AM215" s="14">
        <f t="shared" si="35"/>
        <v>0</v>
      </c>
      <c r="AN215" s="9"/>
    </row>
    <row r="216" spans="1:40" hidden="1" outlineLevel="1">
      <c r="A216" s="12" t="s">
        <v>191</v>
      </c>
      <c r="B216" s="8" t="s">
        <v>276</v>
      </c>
      <c r="I216" t="s">
        <v>209</v>
      </c>
      <c r="J216" s="244"/>
      <c r="K216" s="244"/>
      <c r="L216" s="244"/>
      <c r="M216" s="244"/>
      <c r="N216" s="244"/>
      <c r="O216" s="244"/>
      <c r="P216" s="244"/>
      <c r="Q216" s="244"/>
      <c r="R216" s="244"/>
      <c r="S216" s="244"/>
      <c r="T216" s="244"/>
      <c r="U216" s="244"/>
      <c r="V216" s="245">
        <f t="shared" si="37"/>
        <v>0</v>
      </c>
      <c r="W216" s="73" t="e">
        <f t="shared" si="30"/>
        <v>#DIV/0!</v>
      </c>
      <c r="X216" s="89"/>
      <c r="Y216" s="244"/>
      <c r="Z216" s="244"/>
      <c r="AA216" s="244"/>
      <c r="AB216" s="244"/>
      <c r="AC216" s="244"/>
      <c r="AD216" s="244"/>
      <c r="AE216" s="244"/>
      <c r="AF216" s="244"/>
      <c r="AG216" s="244"/>
      <c r="AH216" s="244"/>
      <c r="AI216" s="244"/>
      <c r="AJ216" s="244"/>
      <c r="AK216" s="245">
        <f t="shared" si="38"/>
        <v>0</v>
      </c>
      <c r="AL216" s="73" t="e">
        <f t="shared" si="32"/>
        <v>#DIV/0!</v>
      </c>
      <c r="AM216" s="14">
        <f t="shared" si="35"/>
        <v>0</v>
      </c>
      <c r="AN216" s="9"/>
    </row>
    <row r="217" spans="1:40" hidden="1" outlineLevel="1">
      <c r="A217" s="12" t="s">
        <v>191</v>
      </c>
      <c r="B217" s="8" t="s">
        <v>276</v>
      </c>
      <c r="I217" t="s">
        <v>210</v>
      </c>
      <c r="J217" s="244"/>
      <c r="K217" s="244"/>
      <c r="L217" s="244"/>
      <c r="M217" s="244"/>
      <c r="N217" s="244"/>
      <c r="O217" s="244"/>
      <c r="P217" s="244"/>
      <c r="Q217" s="244"/>
      <c r="R217" s="244"/>
      <c r="S217" s="244"/>
      <c r="T217" s="244"/>
      <c r="U217" s="244"/>
      <c r="V217" s="245">
        <f t="shared" si="37"/>
        <v>0</v>
      </c>
      <c r="W217" s="73" t="e">
        <f t="shared" si="30"/>
        <v>#DIV/0!</v>
      </c>
      <c r="X217" s="89"/>
      <c r="Y217" s="244"/>
      <c r="Z217" s="244"/>
      <c r="AA217" s="244"/>
      <c r="AB217" s="244"/>
      <c r="AC217" s="244"/>
      <c r="AD217" s="244"/>
      <c r="AE217" s="244"/>
      <c r="AF217" s="244"/>
      <c r="AG217" s="244"/>
      <c r="AH217" s="244"/>
      <c r="AI217" s="244"/>
      <c r="AJ217" s="244"/>
      <c r="AK217" s="245">
        <f t="shared" si="38"/>
        <v>0</v>
      </c>
      <c r="AL217" s="73" t="e">
        <f t="shared" si="32"/>
        <v>#DIV/0!</v>
      </c>
      <c r="AM217" s="14">
        <f t="shared" si="35"/>
        <v>0</v>
      </c>
      <c r="AN217" s="9"/>
    </row>
    <row r="218" spans="1:40" hidden="1" outlineLevel="1">
      <c r="A218" s="12" t="s">
        <v>191</v>
      </c>
      <c r="B218" s="8" t="s">
        <v>276</v>
      </c>
      <c r="I218" t="s">
        <v>211</v>
      </c>
      <c r="J218" s="244"/>
      <c r="K218" s="244"/>
      <c r="L218" s="244"/>
      <c r="M218" s="244"/>
      <c r="N218" s="244"/>
      <c r="O218" s="244"/>
      <c r="P218" s="244"/>
      <c r="Q218" s="244"/>
      <c r="R218" s="244"/>
      <c r="S218" s="244"/>
      <c r="T218" s="244"/>
      <c r="U218" s="244"/>
      <c r="V218" s="245">
        <f t="shared" si="37"/>
        <v>0</v>
      </c>
      <c r="W218" s="73" t="e">
        <f t="shared" si="30"/>
        <v>#DIV/0!</v>
      </c>
      <c r="X218" s="89"/>
      <c r="Y218" s="244"/>
      <c r="Z218" s="244"/>
      <c r="AA218" s="244"/>
      <c r="AB218" s="244"/>
      <c r="AC218" s="244"/>
      <c r="AD218" s="244"/>
      <c r="AE218" s="244"/>
      <c r="AF218" s="244"/>
      <c r="AG218" s="244"/>
      <c r="AH218" s="244"/>
      <c r="AI218" s="244"/>
      <c r="AJ218" s="244"/>
      <c r="AK218" s="245">
        <f t="shared" si="38"/>
        <v>0</v>
      </c>
      <c r="AL218" s="73" t="e">
        <f t="shared" si="32"/>
        <v>#DIV/0!</v>
      </c>
      <c r="AM218" s="14">
        <f t="shared" si="35"/>
        <v>0</v>
      </c>
      <c r="AN218" s="9"/>
    </row>
    <row r="219" spans="1:40" hidden="1" outlineLevel="1">
      <c r="A219" s="12" t="s">
        <v>191</v>
      </c>
      <c r="B219" s="8" t="s">
        <v>276</v>
      </c>
      <c r="I219" t="s">
        <v>212</v>
      </c>
      <c r="J219" s="244"/>
      <c r="K219" s="244"/>
      <c r="L219" s="244"/>
      <c r="M219" s="244"/>
      <c r="N219" s="244"/>
      <c r="O219" s="244"/>
      <c r="P219" s="244"/>
      <c r="Q219" s="244"/>
      <c r="R219" s="244"/>
      <c r="S219" s="244"/>
      <c r="T219" s="244"/>
      <c r="U219" s="244"/>
      <c r="V219" s="245">
        <f t="shared" si="37"/>
        <v>0</v>
      </c>
      <c r="W219" s="73" t="e">
        <f t="shared" si="30"/>
        <v>#DIV/0!</v>
      </c>
      <c r="X219" s="89"/>
      <c r="Y219" s="244"/>
      <c r="Z219" s="244"/>
      <c r="AA219" s="244"/>
      <c r="AB219" s="244"/>
      <c r="AC219" s="244"/>
      <c r="AD219" s="244"/>
      <c r="AE219" s="244"/>
      <c r="AF219" s="244"/>
      <c r="AG219" s="244"/>
      <c r="AH219" s="244"/>
      <c r="AI219" s="244"/>
      <c r="AJ219" s="244"/>
      <c r="AK219" s="245">
        <f t="shared" si="38"/>
        <v>0</v>
      </c>
      <c r="AL219" s="73" t="e">
        <f t="shared" si="32"/>
        <v>#DIV/0!</v>
      </c>
      <c r="AM219" s="14">
        <f t="shared" si="35"/>
        <v>0</v>
      </c>
      <c r="AN219" s="9"/>
    </row>
    <row r="220" spans="1:40" hidden="1" outlineLevel="1">
      <c r="A220" s="12" t="s">
        <v>191</v>
      </c>
      <c r="B220" s="8" t="s">
        <v>276</v>
      </c>
      <c r="I220" t="s">
        <v>213</v>
      </c>
      <c r="J220" s="244"/>
      <c r="K220" s="244"/>
      <c r="L220" s="244"/>
      <c r="M220" s="244"/>
      <c r="N220" s="244"/>
      <c r="O220" s="244"/>
      <c r="P220" s="244"/>
      <c r="Q220" s="244"/>
      <c r="R220" s="244"/>
      <c r="S220" s="244"/>
      <c r="T220" s="244"/>
      <c r="U220" s="244"/>
      <c r="V220" s="245">
        <f t="shared" si="37"/>
        <v>0</v>
      </c>
      <c r="W220" s="73" t="e">
        <f t="shared" si="30"/>
        <v>#DIV/0!</v>
      </c>
      <c r="X220" s="89"/>
      <c r="Y220" s="244"/>
      <c r="Z220" s="244"/>
      <c r="AA220" s="244"/>
      <c r="AB220" s="244"/>
      <c r="AC220" s="244"/>
      <c r="AD220" s="244"/>
      <c r="AE220" s="244"/>
      <c r="AF220" s="244"/>
      <c r="AG220" s="244"/>
      <c r="AH220" s="244"/>
      <c r="AI220" s="244"/>
      <c r="AJ220" s="244"/>
      <c r="AK220" s="245">
        <f t="shared" si="38"/>
        <v>0</v>
      </c>
      <c r="AL220" s="73" t="e">
        <f t="shared" si="32"/>
        <v>#DIV/0!</v>
      </c>
      <c r="AM220" s="14">
        <f t="shared" si="35"/>
        <v>0</v>
      </c>
      <c r="AN220" s="9"/>
    </row>
    <row r="221" spans="1:40" hidden="1" outlineLevel="1">
      <c r="A221" s="12" t="s">
        <v>191</v>
      </c>
      <c r="B221" s="8" t="s">
        <v>276</v>
      </c>
      <c r="I221" t="s">
        <v>215</v>
      </c>
      <c r="J221" s="244"/>
      <c r="K221" s="244"/>
      <c r="L221" s="244"/>
      <c r="M221" s="244"/>
      <c r="N221" s="244"/>
      <c r="O221" s="244"/>
      <c r="P221" s="244"/>
      <c r="Q221" s="244"/>
      <c r="R221" s="244"/>
      <c r="S221" s="244"/>
      <c r="T221" s="244"/>
      <c r="U221" s="244"/>
      <c r="V221" s="245">
        <f t="shared" si="37"/>
        <v>0</v>
      </c>
      <c r="W221" s="73" t="e">
        <f t="shared" si="30"/>
        <v>#DIV/0!</v>
      </c>
      <c r="X221" s="89"/>
      <c r="Y221" s="244"/>
      <c r="Z221" s="244"/>
      <c r="AA221" s="244"/>
      <c r="AB221" s="244"/>
      <c r="AC221" s="244"/>
      <c r="AD221" s="244"/>
      <c r="AE221" s="244"/>
      <c r="AF221" s="244"/>
      <c r="AG221" s="244"/>
      <c r="AH221" s="244"/>
      <c r="AI221" s="244"/>
      <c r="AJ221" s="244"/>
      <c r="AK221" s="245">
        <f t="shared" si="38"/>
        <v>0</v>
      </c>
      <c r="AL221" s="73" t="e">
        <f t="shared" si="32"/>
        <v>#DIV/0!</v>
      </c>
      <c r="AM221" s="14">
        <f t="shared" si="35"/>
        <v>0</v>
      </c>
      <c r="AN221" s="9"/>
    </row>
    <row r="222" spans="1:40" hidden="1" outlineLevel="1">
      <c r="A222" s="12" t="s">
        <v>191</v>
      </c>
      <c r="B222" s="8" t="s">
        <v>276</v>
      </c>
      <c r="I222" t="s">
        <v>216</v>
      </c>
      <c r="J222" s="244"/>
      <c r="K222" s="244"/>
      <c r="L222" s="244"/>
      <c r="M222" s="244"/>
      <c r="N222" s="244"/>
      <c r="O222" s="244"/>
      <c r="P222" s="244"/>
      <c r="Q222" s="244"/>
      <c r="R222" s="244"/>
      <c r="S222" s="244"/>
      <c r="T222" s="244"/>
      <c r="U222" s="244"/>
      <c r="V222" s="245">
        <f t="shared" si="37"/>
        <v>0</v>
      </c>
      <c r="W222" s="73" t="e">
        <f t="shared" si="30"/>
        <v>#DIV/0!</v>
      </c>
      <c r="X222" s="89"/>
      <c r="Y222" s="244"/>
      <c r="Z222" s="244"/>
      <c r="AA222" s="244"/>
      <c r="AB222" s="244"/>
      <c r="AC222" s="244"/>
      <c r="AD222" s="244"/>
      <c r="AE222" s="244"/>
      <c r="AF222" s="244"/>
      <c r="AG222" s="244"/>
      <c r="AH222" s="244"/>
      <c r="AI222" s="244"/>
      <c r="AJ222" s="244"/>
      <c r="AK222" s="245">
        <f t="shared" si="38"/>
        <v>0</v>
      </c>
      <c r="AL222" s="73" t="e">
        <f t="shared" si="32"/>
        <v>#DIV/0!</v>
      </c>
      <c r="AM222" s="14">
        <f t="shared" si="35"/>
        <v>0</v>
      </c>
      <c r="AN222" s="9"/>
    </row>
    <row r="223" spans="1:40" hidden="1" outlineLevel="1">
      <c r="A223" s="12" t="s">
        <v>191</v>
      </c>
      <c r="B223" s="8" t="s">
        <v>276</v>
      </c>
      <c r="I223" t="s">
        <v>217</v>
      </c>
      <c r="J223" s="244"/>
      <c r="K223" s="244"/>
      <c r="L223" s="244"/>
      <c r="M223" s="244"/>
      <c r="N223" s="244"/>
      <c r="O223" s="244"/>
      <c r="P223" s="244"/>
      <c r="Q223" s="244"/>
      <c r="R223" s="244"/>
      <c r="S223" s="244"/>
      <c r="T223" s="244"/>
      <c r="U223" s="244"/>
      <c r="V223" s="245">
        <f t="shared" si="37"/>
        <v>0</v>
      </c>
      <c r="W223" s="73" t="e">
        <f t="shared" si="30"/>
        <v>#DIV/0!</v>
      </c>
      <c r="X223" s="89"/>
      <c r="Y223" s="244"/>
      <c r="Z223" s="244"/>
      <c r="AA223" s="244"/>
      <c r="AB223" s="244"/>
      <c r="AC223" s="244"/>
      <c r="AD223" s="244"/>
      <c r="AE223" s="244"/>
      <c r="AF223" s="244"/>
      <c r="AG223" s="244"/>
      <c r="AH223" s="244"/>
      <c r="AI223" s="244"/>
      <c r="AJ223" s="244"/>
      <c r="AK223" s="245">
        <f t="shared" si="38"/>
        <v>0</v>
      </c>
      <c r="AL223" s="73" t="e">
        <f t="shared" si="32"/>
        <v>#DIV/0!</v>
      </c>
      <c r="AM223" s="14">
        <f t="shared" si="35"/>
        <v>0</v>
      </c>
      <c r="AN223" s="9"/>
    </row>
    <row r="224" spans="1:40" hidden="1" outlineLevel="1">
      <c r="A224" s="12" t="s">
        <v>191</v>
      </c>
      <c r="B224" s="8" t="s">
        <v>276</v>
      </c>
      <c r="I224" t="s">
        <v>218</v>
      </c>
      <c r="J224" s="244"/>
      <c r="K224" s="244"/>
      <c r="L224" s="244"/>
      <c r="M224" s="244"/>
      <c r="N224" s="244"/>
      <c r="O224" s="244"/>
      <c r="P224" s="244"/>
      <c r="Q224" s="244"/>
      <c r="R224" s="244"/>
      <c r="S224" s="244"/>
      <c r="T224" s="244"/>
      <c r="U224" s="244"/>
      <c r="V224" s="245">
        <f t="shared" si="37"/>
        <v>0</v>
      </c>
      <c r="W224" s="73" t="e">
        <f t="shared" si="30"/>
        <v>#DIV/0!</v>
      </c>
      <c r="X224" s="89"/>
      <c r="Y224" s="244"/>
      <c r="Z224" s="244"/>
      <c r="AA224" s="244"/>
      <c r="AB224" s="244"/>
      <c r="AC224" s="244"/>
      <c r="AD224" s="244"/>
      <c r="AE224" s="244"/>
      <c r="AF224" s="244"/>
      <c r="AG224" s="244"/>
      <c r="AH224" s="244"/>
      <c r="AI224" s="244"/>
      <c r="AJ224" s="244"/>
      <c r="AK224" s="245">
        <f t="shared" si="38"/>
        <v>0</v>
      </c>
      <c r="AL224" s="73" t="e">
        <f t="shared" si="32"/>
        <v>#DIV/0!</v>
      </c>
      <c r="AM224" s="14">
        <f t="shared" si="35"/>
        <v>0</v>
      </c>
      <c r="AN224" s="9"/>
    </row>
    <row r="225" spans="1:40" hidden="1" outlineLevel="1">
      <c r="A225" s="12" t="s">
        <v>191</v>
      </c>
      <c r="B225" s="8" t="s">
        <v>276</v>
      </c>
      <c r="I225" t="s">
        <v>219</v>
      </c>
      <c r="J225" s="244"/>
      <c r="K225" s="244"/>
      <c r="L225" s="244"/>
      <c r="M225" s="244"/>
      <c r="N225" s="244"/>
      <c r="O225" s="244"/>
      <c r="P225" s="244"/>
      <c r="Q225" s="244"/>
      <c r="R225" s="244"/>
      <c r="S225" s="244"/>
      <c r="T225" s="244"/>
      <c r="U225" s="244"/>
      <c r="V225" s="245">
        <f t="shared" si="37"/>
        <v>0</v>
      </c>
      <c r="W225" s="73" t="e">
        <f t="shared" si="30"/>
        <v>#DIV/0!</v>
      </c>
      <c r="X225" s="89"/>
      <c r="Y225" s="244"/>
      <c r="Z225" s="244"/>
      <c r="AA225" s="244"/>
      <c r="AB225" s="244"/>
      <c r="AC225" s="244"/>
      <c r="AD225" s="244"/>
      <c r="AE225" s="244"/>
      <c r="AF225" s="244"/>
      <c r="AG225" s="244"/>
      <c r="AH225" s="244"/>
      <c r="AI225" s="244"/>
      <c r="AJ225" s="244"/>
      <c r="AK225" s="245">
        <f t="shared" si="38"/>
        <v>0</v>
      </c>
      <c r="AL225" s="73" t="e">
        <f t="shared" si="32"/>
        <v>#DIV/0!</v>
      </c>
      <c r="AM225" s="14">
        <f t="shared" si="35"/>
        <v>0</v>
      </c>
      <c r="AN225" s="9"/>
    </row>
    <row r="226" spans="1:40" collapsed="1">
      <c r="A226" s="12" t="s">
        <v>208</v>
      </c>
      <c r="B226" s="8" t="s">
        <v>276</v>
      </c>
      <c r="I226" s="170" t="s">
        <v>220</v>
      </c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>
        <f>SUM(V227:V230)</f>
        <v>0</v>
      </c>
      <c r="W226" s="72" t="e">
        <f t="shared" si="30"/>
        <v>#DIV/0!</v>
      </c>
      <c r="X226" s="89"/>
      <c r="Y226" s="241">
        <f t="shared" ref="Y226:AK226" si="39">SUM(Y227:Y230)</f>
        <v>0</v>
      </c>
      <c r="Z226" s="241">
        <f t="shared" si="39"/>
        <v>0</v>
      </c>
      <c r="AA226" s="241">
        <f t="shared" si="39"/>
        <v>0</v>
      </c>
      <c r="AB226" s="241">
        <f t="shared" si="39"/>
        <v>0</v>
      </c>
      <c r="AC226" s="241">
        <f t="shared" si="39"/>
        <v>0</v>
      </c>
      <c r="AD226" s="241">
        <f t="shared" si="39"/>
        <v>0</v>
      </c>
      <c r="AE226" s="241">
        <f t="shared" si="39"/>
        <v>0</v>
      </c>
      <c r="AF226" s="241">
        <f t="shared" si="39"/>
        <v>0</v>
      </c>
      <c r="AG226" s="241">
        <f t="shared" si="39"/>
        <v>0</v>
      </c>
      <c r="AH226" s="241">
        <f t="shared" si="39"/>
        <v>0</v>
      </c>
      <c r="AI226" s="241">
        <f t="shared" si="39"/>
        <v>0</v>
      </c>
      <c r="AJ226" s="241">
        <f t="shared" si="39"/>
        <v>0</v>
      </c>
      <c r="AK226" s="241">
        <f t="shared" si="39"/>
        <v>0</v>
      </c>
      <c r="AL226" s="72" t="e">
        <f t="shared" si="32"/>
        <v>#DIV/0!</v>
      </c>
      <c r="AM226" s="10">
        <f t="shared" si="35"/>
        <v>0</v>
      </c>
      <c r="AN226" s="9"/>
    </row>
    <row r="227" spans="1:40" hidden="1" outlineLevel="1">
      <c r="A227" s="12" t="s">
        <v>208</v>
      </c>
      <c r="B227" s="8" t="s">
        <v>276</v>
      </c>
      <c r="I227" s="139" t="s">
        <v>221</v>
      </c>
      <c r="J227" s="244"/>
      <c r="K227" s="244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5">
        <f>SUM(J227:U227)</f>
        <v>0</v>
      </c>
      <c r="W227" s="73" t="e">
        <f t="shared" si="30"/>
        <v>#DIV/0!</v>
      </c>
      <c r="X227" s="89"/>
      <c r="Y227" s="244"/>
      <c r="Z227" s="244"/>
      <c r="AA227" s="244"/>
      <c r="AB227" s="244"/>
      <c r="AC227" s="244"/>
      <c r="AD227" s="244"/>
      <c r="AE227" s="244"/>
      <c r="AF227" s="244"/>
      <c r="AG227" s="244"/>
      <c r="AH227" s="244"/>
      <c r="AI227" s="244"/>
      <c r="AJ227" s="244"/>
      <c r="AK227" s="245">
        <f>SUM(Y227:AJ227)</f>
        <v>0</v>
      </c>
      <c r="AL227" s="73" t="e">
        <f t="shared" si="32"/>
        <v>#DIV/0!</v>
      </c>
      <c r="AM227" s="14">
        <f t="shared" si="35"/>
        <v>0</v>
      </c>
      <c r="AN227" s="9"/>
    </row>
    <row r="228" spans="1:40" hidden="1" outlineLevel="1">
      <c r="A228" s="12" t="s">
        <v>208</v>
      </c>
      <c r="B228" s="8" t="s">
        <v>276</v>
      </c>
      <c r="I228" s="139" t="s">
        <v>222</v>
      </c>
      <c r="J228" s="244"/>
      <c r="K228" s="244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5">
        <f>SUM(J228:U228)</f>
        <v>0</v>
      </c>
      <c r="W228" s="73" t="e">
        <f t="shared" si="30"/>
        <v>#DIV/0!</v>
      </c>
      <c r="X228" s="89"/>
      <c r="Y228" s="244"/>
      <c r="Z228" s="244"/>
      <c r="AA228" s="244"/>
      <c r="AB228" s="244"/>
      <c r="AC228" s="244"/>
      <c r="AD228" s="244"/>
      <c r="AE228" s="244"/>
      <c r="AF228" s="244"/>
      <c r="AG228" s="244"/>
      <c r="AH228" s="244"/>
      <c r="AI228" s="244"/>
      <c r="AJ228" s="244"/>
      <c r="AK228" s="245">
        <f t="shared" ref="AK228:AK230" si="40">SUM(Y228:AJ228)</f>
        <v>0</v>
      </c>
      <c r="AL228" s="73" t="e">
        <f t="shared" si="32"/>
        <v>#DIV/0!</v>
      </c>
      <c r="AM228" s="14">
        <f t="shared" si="35"/>
        <v>0</v>
      </c>
      <c r="AN228" s="9"/>
    </row>
    <row r="229" spans="1:40" hidden="1" outlineLevel="1">
      <c r="A229" s="12" t="s">
        <v>208</v>
      </c>
      <c r="B229" s="8" t="s">
        <v>276</v>
      </c>
      <c r="I229" s="139" t="s">
        <v>223</v>
      </c>
      <c r="J229" s="244"/>
      <c r="K229" s="244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5">
        <f>SUM(J229:U229)</f>
        <v>0</v>
      </c>
      <c r="W229" s="73" t="e">
        <f t="shared" si="30"/>
        <v>#DIV/0!</v>
      </c>
      <c r="X229" s="89"/>
      <c r="Y229" s="244"/>
      <c r="Z229" s="244"/>
      <c r="AA229" s="244"/>
      <c r="AB229" s="244"/>
      <c r="AC229" s="244"/>
      <c r="AD229" s="244"/>
      <c r="AE229" s="244"/>
      <c r="AF229" s="244"/>
      <c r="AG229" s="244"/>
      <c r="AH229" s="244"/>
      <c r="AI229" s="244"/>
      <c r="AJ229" s="244"/>
      <c r="AK229" s="245">
        <f t="shared" si="40"/>
        <v>0</v>
      </c>
      <c r="AL229" s="73" t="e">
        <f t="shared" si="32"/>
        <v>#DIV/0!</v>
      </c>
      <c r="AM229" s="14">
        <f t="shared" si="35"/>
        <v>0</v>
      </c>
      <c r="AN229" s="9"/>
    </row>
    <row r="230" spans="1:40" hidden="1" outlineLevel="1">
      <c r="A230" s="12" t="s">
        <v>208</v>
      </c>
      <c r="B230" s="8" t="s">
        <v>276</v>
      </c>
      <c r="I230" s="139" t="s">
        <v>416</v>
      </c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5">
        <f>SUM(J230:U230)</f>
        <v>0</v>
      </c>
      <c r="W230" s="73" t="e">
        <f t="shared" si="30"/>
        <v>#DIV/0!</v>
      </c>
      <c r="X230" s="89"/>
      <c r="Y230" s="244"/>
      <c r="Z230" s="244"/>
      <c r="AA230" s="244"/>
      <c r="AB230" s="244"/>
      <c r="AC230" s="244"/>
      <c r="AD230" s="244"/>
      <c r="AE230" s="244"/>
      <c r="AF230" s="244"/>
      <c r="AG230" s="244"/>
      <c r="AH230" s="244"/>
      <c r="AI230" s="244"/>
      <c r="AJ230" s="244"/>
      <c r="AK230" s="245">
        <f t="shared" si="40"/>
        <v>0</v>
      </c>
      <c r="AL230" s="73" t="e">
        <f t="shared" si="32"/>
        <v>#DIV/0!</v>
      </c>
      <c r="AM230" s="14">
        <f t="shared" si="35"/>
        <v>0</v>
      </c>
      <c r="AN230" s="9"/>
    </row>
    <row r="231" spans="1:40" collapsed="1">
      <c r="A231" s="12" t="s">
        <v>214</v>
      </c>
      <c r="B231" s="8" t="s">
        <v>276</v>
      </c>
      <c r="I231" s="120" t="s">
        <v>225</v>
      </c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>
        <f>SUM(V232:V236)</f>
        <v>0</v>
      </c>
      <c r="W231" s="72" t="e">
        <f t="shared" si="30"/>
        <v>#DIV/0!</v>
      </c>
      <c r="X231" s="89"/>
      <c r="Y231" s="241">
        <f>SUM(Y232:Y240)</f>
        <v>0</v>
      </c>
      <c r="Z231" s="241">
        <f t="shared" ref="Z231:AK231" si="41">SUM(Z232:Z240)</f>
        <v>0</v>
      </c>
      <c r="AA231" s="241">
        <f t="shared" si="41"/>
        <v>0</v>
      </c>
      <c r="AB231" s="241">
        <f t="shared" si="41"/>
        <v>0</v>
      </c>
      <c r="AC231" s="241">
        <f t="shared" si="41"/>
        <v>0</v>
      </c>
      <c r="AD231" s="241">
        <f t="shared" si="41"/>
        <v>0</v>
      </c>
      <c r="AE231" s="241">
        <f t="shared" si="41"/>
        <v>0</v>
      </c>
      <c r="AF231" s="241">
        <f t="shared" si="41"/>
        <v>0</v>
      </c>
      <c r="AG231" s="241">
        <f t="shared" si="41"/>
        <v>0</v>
      </c>
      <c r="AH231" s="241">
        <f t="shared" si="41"/>
        <v>0</v>
      </c>
      <c r="AI231" s="241">
        <f t="shared" si="41"/>
        <v>0</v>
      </c>
      <c r="AJ231" s="241">
        <f t="shared" si="41"/>
        <v>0</v>
      </c>
      <c r="AK231" s="241">
        <f t="shared" si="41"/>
        <v>0</v>
      </c>
      <c r="AL231" s="72" t="e">
        <f t="shared" si="32"/>
        <v>#DIV/0!</v>
      </c>
      <c r="AM231" s="10">
        <f t="shared" si="35"/>
        <v>0</v>
      </c>
      <c r="AN231" s="9"/>
    </row>
    <row r="232" spans="1:40" hidden="1" outlineLevel="1">
      <c r="A232" s="12" t="s">
        <v>214</v>
      </c>
      <c r="B232" s="8" t="s">
        <v>276</v>
      </c>
      <c r="I232" s="139" t="s">
        <v>236</v>
      </c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45">
        <f>SUM(J232:U232)</f>
        <v>0</v>
      </c>
      <c r="W232" s="73" t="e">
        <f t="shared" si="30"/>
        <v>#DIV/0!</v>
      </c>
      <c r="X232" s="89"/>
      <c r="Y232" s="252"/>
      <c r="Z232" s="252"/>
      <c r="AA232" s="252"/>
      <c r="AB232" s="252"/>
      <c r="AC232" s="252"/>
      <c r="AD232" s="252"/>
      <c r="AE232" s="252"/>
      <c r="AF232" s="252"/>
      <c r="AG232" s="252"/>
      <c r="AH232" s="252"/>
      <c r="AI232" s="252"/>
      <c r="AJ232" s="252"/>
      <c r="AK232" s="245">
        <f>SUM(Y232:AJ232)</f>
        <v>0</v>
      </c>
      <c r="AL232" s="73" t="e">
        <f t="shared" si="32"/>
        <v>#DIV/0!</v>
      </c>
      <c r="AM232" s="14">
        <f t="shared" si="35"/>
        <v>0</v>
      </c>
      <c r="AN232" s="9"/>
    </row>
    <row r="233" spans="1:40" hidden="1" outlineLevel="1">
      <c r="A233" s="12" t="s">
        <v>214</v>
      </c>
      <c r="B233" s="8" t="s">
        <v>276</v>
      </c>
      <c r="I233" s="139" t="s">
        <v>227</v>
      </c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45">
        <f>SUM(J233:U233)</f>
        <v>0</v>
      </c>
      <c r="W233" s="73" t="e">
        <f t="shared" ref="W233:W256" si="42">V233/V$6</f>
        <v>#DIV/0!</v>
      </c>
      <c r="X233" s="89"/>
      <c r="Y233" s="252"/>
      <c r="Z233" s="252"/>
      <c r="AA233" s="252"/>
      <c r="AB233" s="252"/>
      <c r="AC233" s="252"/>
      <c r="AD233" s="252"/>
      <c r="AE233" s="252"/>
      <c r="AF233" s="252"/>
      <c r="AG233" s="252"/>
      <c r="AH233" s="252"/>
      <c r="AI233" s="252"/>
      <c r="AJ233" s="252"/>
      <c r="AK233" s="245">
        <f t="shared" ref="AK233:AK240" si="43">SUM(Y233:AJ233)</f>
        <v>0</v>
      </c>
      <c r="AL233" s="73" t="e">
        <f t="shared" ref="AL233:AL256" si="44">AK233/AK$6</f>
        <v>#DIV/0!</v>
      </c>
      <c r="AM233" s="14">
        <f t="shared" si="35"/>
        <v>0</v>
      </c>
      <c r="AN233" s="9"/>
    </row>
    <row r="234" spans="1:40" hidden="1" outlineLevel="1">
      <c r="A234" s="12" t="s">
        <v>214</v>
      </c>
      <c r="B234" s="8" t="s">
        <v>276</v>
      </c>
      <c r="I234" s="139" t="s">
        <v>292</v>
      </c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45">
        <f>SUM(J234:U234)</f>
        <v>0</v>
      </c>
      <c r="W234" s="73" t="e">
        <f t="shared" si="42"/>
        <v>#DIV/0!</v>
      </c>
      <c r="X234" s="89"/>
      <c r="Y234" s="252"/>
      <c r="Z234" s="252"/>
      <c r="AA234" s="252"/>
      <c r="AB234" s="252"/>
      <c r="AC234" s="252"/>
      <c r="AD234" s="252"/>
      <c r="AE234" s="252"/>
      <c r="AF234" s="252"/>
      <c r="AG234" s="252"/>
      <c r="AH234" s="252"/>
      <c r="AI234" s="252"/>
      <c r="AJ234" s="252"/>
      <c r="AK234" s="245">
        <f t="shared" si="43"/>
        <v>0</v>
      </c>
      <c r="AL234" s="73" t="e">
        <f t="shared" si="44"/>
        <v>#DIV/0!</v>
      </c>
      <c r="AM234" s="14">
        <f t="shared" si="35"/>
        <v>0</v>
      </c>
      <c r="AN234" s="9"/>
    </row>
    <row r="235" spans="1:40" hidden="1" outlineLevel="1">
      <c r="A235" s="12" t="s">
        <v>214</v>
      </c>
      <c r="B235" s="8" t="s">
        <v>276</v>
      </c>
      <c r="I235" s="139" t="s">
        <v>226</v>
      </c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45">
        <f>SUM(J235:U235)</f>
        <v>0</v>
      </c>
      <c r="W235" s="73" t="e">
        <f t="shared" si="42"/>
        <v>#DIV/0!</v>
      </c>
      <c r="X235" s="89"/>
      <c r="Y235" s="252"/>
      <c r="Z235" s="252"/>
      <c r="AA235" s="252"/>
      <c r="AB235" s="252"/>
      <c r="AC235" s="252"/>
      <c r="AD235" s="252"/>
      <c r="AE235" s="252"/>
      <c r="AF235" s="252"/>
      <c r="AG235" s="252"/>
      <c r="AH235" s="252"/>
      <c r="AI235" s="252"/>
      <c r="AJ235" s="252"/>
      <c r="AK235" s="245">
        <f t="shared" si="43"/>
        <v>0</v>
      </c>
      <c r="AL235" s="73" t="e">
        <f t="shared" si="44"/>
        <v>#DIV/0!</v>
      </c>
      <c r="AM235" s="14">
        <f t="shared" si="35"/>
        <v>0</v>
      </c>
      <c r="AN235" s="9"/>
    </row>
    <row r="236" spans="1:40" hidden="1" outlineLevel="1">
      <c r="A236" s="12" t="s">
        <v>214</v>
      </c>
      <c r="B236" s="8" t="s">
        <v>276</v>
      </c>
      <c r="I236" s="139" t="s">
        <v>233</v>
      </c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45">
        <f>SUM(J236:U236)</f>
        <v>0</v>
      </c>
      <c r="W236" s="73" t="e">
        <f t="shared" si="42"/>
        <v>#DIV/0!</v>
      </c>
      <c r="X236" s="89"/>
      <c r="Y236" s="252"/>
      <c r="Z236" s="252"/>
      <c r="AA236" s="252"/>
      <c r="AB236" s="252"/>
      <c r="AC236" s="252"/>
      <c r="AD236" s="252"/>
      <c r="AE236" s="252"/>
      <c r="AF236" s="252"/>
      <c r="AG236" s="252"/>
      <c r="AH236" s="252"/>
      <c r="AI236" s="252"/>
      <c r="AJ236" s="252"/>
      <c r="AK236" s="245">
        <f t="shared" si="43"/>
        <v>0</v>
      </c>
      <c r="AL236" s="73" t="e">
        <f t="shared" si="44"/>
        <v>#DIV/0!</v>
      </c>
      <c r="AM236" s="14">
        <f t="shared" si="35"/>
        <v>0</v>
      </c>
      <c r="AN236" s="9"/>
    </row>
    <row r="237" spans="1:40" hidden="1" outlineLevel="1">
      <c r="A237" s="12"/>
      <c r="I237" s="139" t="s">
        <v>231</v>
      </c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45">
        <f t="shared" ref="V237:V240" si="45">SUM(J237:U237)</f>
        <v>0</v>
      </c>
      <c r="W237" s="73" t="e">
        <f t="shared" si="42"/>
        <v>#DIV/0!</v>
      </c>
      <c r="X237" s="89"/>
      <c r="Y237" s="252"/>
      <c r="Z237" s="252"/>
      <c r="AA237" s="252"/>
      <c r="AB237" s="252"/>
      <c r="AC237" s="252"/>
      <c r="AD237" s="252"/>
      <c r="AE237" s="252"/>
      <c r="AF237" s="252"/>
      <c r="AG237" s="252"/>
      <c r="AH237" s="252"/>
      <c r="AI237" s="252"/>
      <c r="AJ237" s="252"/>
      <c r="AK237" s="245">
        <f t="shared" si="43"/>
        <v>0</v>
      </c>
      <c r="AL237" s="73" t="e">
        <f t="shared" si="44"/>
        <v>#DIV/0!</v>
      </c>
      <c r="AM237" s="14">
        <f t="shared" si="35"/>
        <v>0</v>
      </c>
      <c r="AN237" s="9"/>
    </row>
    <row r="238" spans="1:40" hidden="1" outlineLevel="1">
      <c r="A238" s="12"/>
      <c r="I238" s="139" t="s">
        <v>232</v>
      </c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45">
        <f t="shared" si="45"/>
        <v>0</v>
      </c>
      <c r="W238" s="73" t="e">
        <f t="shared" si="42"/>
        <v>#DIV/0!</v>
      </c>
      <c r="X238" s="89"/>
      <c r="Y238" s="252"/>
      <c r="Z238" s="252"/>
      <c r="AA238" s="252"/>
      <c r="AB238" s="252"/>
      <c r="AC238" s="252"/>
      <c r="AD238" s="252"/>
      <c r="AE238" s="252"/>
      <c r="AF238" s="252"/>
      <c r="AG238" s="252"/>
      <c r="AH238" s="252"/>
      <c r="AI238" s="252"/>
      <c r="AJ238" s="252"/>
      <c r="AK238" s="245">
        <f t="shared" si="43"/>
        <v>0</v>
      </c>
      <c r="AL238" s="73" t="e">
        <f t="shared" si="44"/>
        <v>#DIV/0!</v>
      </c>
      <c r="AM238" s="14">
        <f t="shared" si="35"/>
        <v>0</v>
      </c>
      <c r="AN238" s="9"/>
    </row>
    <row r="239" spans="1:40" hidden="1" outlineLevel="1">
      <c r="A239" s="12"/>
      <c r="I239" s="139" t="s">
        <v>230</v>
      </c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45">
        <f t="shared" si="45"/>
        <v>0</v>
      </c>
      <c r="W239" s="73" t="e">
        <f t="shared" si="42"/>
        <v>#DIV/0!</v>
      </c>
      <c r="X239" s="89"/>
      <c r="Y239" s="252"/>
      <c r="Z239" s="252"/>
      <c r="AA239" s="252"/>
      <c r="AB239" s="252"/>
      <c r="AC239" s="252"/>
      <c r="AD239" s="252"/>
      <c r="AE239" s="252"/>
      <c r="AF239" s="252"/>
      <c r="AG239" s="252"/>
      <c r="AH239" s="252"/>
      <c r="AI239" s="252"/>
      <c r="AJ239" s="252"/>
      <c r="AK239" s="245">
        <f t="shared" si="43"/>
        <v>0</v>
      </c>
      <c r="AL239" s="73" t="e">
        <f t="shared" si="44"/>
        <v>#DIV/0!</v>
      </c>
      <c r="AM239" s="14">
        <f t="shared" si="35"/>
        <v>0</v>
      </c>
      <c r="AN239" s="9"/>
    </row>
    <row r="240" spans="1:40" hidden="1" outlineLevel="1">
      <c r="A240" s="12"/>
      <c r="I240" s="139" t="s">
        <v>91</v>
      </c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45">
        <f t="shared" si="45"/>
        <v>0</v>
      </c>
      <c r="W240" s="73" t="e">
        <f t="shared" si="42"/>
        <v>#DIV/0!</v>
      </c>
      <c r="X240" s="89"/>
      <c r="Y240" s="252"/>
      <c r="Z240" s="252"/>
      <c r="AA240" s="252"/>
      <c r="AB240" s="252"/>
      <c r="AC240" s="252"/>
      <c r="AD240" s="252"/>
      <c r="AE240" s="252"/>
      <c r="AF240" s="252"/>
      <c r="AG240" s="252"/>
      <c r="AH240" s="252"/>
      <c r="AI240" s="252"/>
      <c r="AJ240" s="252"/>
      <c r="AK240" s="245">
        <f t="shared" si="43"/>
        <v>0</v>
      </c>
      <c r="AL240" s="73" t="e">
        <f t="shared" si="44"/>
        <v>#DIV/0!</v>
      </c>
      <c r="AM240" s="14">
        <f t="shared" si="35"/>
        <v>0</v>
      </c>
      <c r="AN240" s="9"/>
    </row>
    <row r="241" spans="1:40" collapsed="1">
      <c r="A241" s="12" t="s">
        <v>240</v>
      </c>
      <c r="B241" s="8" t="s">
        <v>276</v>
      </c>
      <c r="I241" s="121" t="s">
        <v>263</v>
      </c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>
        <f>SUM(V242:V247)</f>
        <v>0</v>
      </c>
      <c r="W241" s="72" t="e">
        <f t="shared" si="42"/>
        <v>#DIV/0!</v>
      </c>
      <c r="X241" s="89"/>
      <c r="Y241" s="241">
        <f t="shared" ref="Y241:AK241" si="46">SUM(Y242:Y247)</f>
        <v>0</v>
      </c>
      <c r="Z241" s="241">
        <f t="shared" si="46"/>
        <v>0</v>
      </c>
      <c r="AA241" s="241">
        <f t="shared" si="46"/>
        <v>0</v>
      </c>
      <c r="AB241" s="241">
        <f t="shared" si="46"/>
        <v>0</v>
      </c>
      <c r="AC241" s="241">
        <f t="shared" si="46"/>
        <v>0</v>
      </c>
      <c r="AD241" s="241">
        <f t="shared" si="46"/>
        <v>0</v>
      </c>
      <c r="AE241" s="241">
        <f t="shared" si="46"/>
        <v>0</v>
      </c>
      <c r="AF241" s="241">
        <f t="shared" si="46"/>
        <v>0</v>
      </c>
      <c r="AG241" s="241">
        <f t="shared" si="46"/>
        <v>0</v>
      </c>
      <c r="AH241" s="241">
        <f t="shared" si="46"/>
        <v>0</v>
      </c>
      <c r="AI241" s="241">
        <f t="shared" si="46"/>
        <v>0</v>
      </c>
      <c r="AJ241" s="241">
        <f t="shared" si="46"/>
        <v>0</v>
      </c>
      <c r="AK241" s="241">
        <f t="shared" si="46"/>
        <v>0</v>
      </c>
      <c r="AL241" s="72" t="e">
        <f t="shared" si="44"/>
        <v>#DIV/0!</v>
      </c>
      <c r="AM241" s="10">
        <f t="shared" si="35"/>
        <v>0</v>
      </c>
      <c r="AN241" s="9"/>
    </row>
    <row r="242" spans="1:40" hidden="1" outlineLevel="1">
      <c r="A242" s="12" t="s">
        <v>240</v>
      </c>
      <c r="B242" s="8" t="s">
        <v>276</v>
      </c>
      <c r="I242" s="139" t="s">
        <v>270</v>
      </c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45">
        <f t="shared" ref="V242:V247" si="47">SUM(J242:U242)</f>
        <v>0</v>
      </c>
      <c r="W242" s="73" t="e">
        <f t="shared" si="42"/>
        <v>#DIV/0!</v>
      </c>
      <c r="X242" s="89"/>
      <c r="Y242" s="252"/>
      <c r="Z242" s="252"/>
      <c r="AA242" s="252"/>
      <c r="AB242" s="252"/>
      <c r="AC242" s="252"/>
      <c r="AD242" s="252"/>
      <c r="AE242" s="252"/>
      <c r="AF242" s="252"/>
      <c r="AG242" s="252"/>
      <c r="AH242" s="252"/>
      <c r="AI242" s="252"/>
      <c r="AJ242" s="252"/>
      <c r="AK242" s="245">
        <f t="shared" ref="AK242:AK247" si="48">SUM(Y242:AJ242)</f>
        <v>0</v>
      </c>
      <c r="AL242" s="73" t="e">
        <f t="shared" si="44"/>
        <v>#DIV/0!</v>
      </c>
      <c r="AM242" s="14">
        <f t="shared" si="35"/>
        <v>0</v>
      </c>
      <c r="AN242" s="9"/>
    </row>
    <row r="243" spans="1:40" hidden="1" outlineLevel="1">
      <c r="A243" s="12" t="s">
        <v>240</v>
      </c>
      <c r="B243" s="8" t="s">
        <v>276</v>
      </c>
      <c r="C243" s="19" t="s">
        <v>293</v>
      </c>
      <c r="I243" s="139" t="s">
        <v>294</v>
      </c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45">
        <f t="shared" si="47"/>
        <v>0</v>
      </c>
      <c r="W243" s="73" t="e">
        <f t="shared" si="42"/>
        <v>#DIV/0!</v>
      </c>
      <c r="X243" s="89"/>
      <c r="Y243" s="252"/>
      <c r="Z243" s="252"/>
      <c r="AA243" s="252"/>
      <c r="AB243" s="252"/>
      <c r="AC243" s="252"/>
      <c r="AD243" s="252"/>
      <c r="AE243" s="252"/>
      <c r="AF243" s="252"/>
      <c r="AG243" s="252"/>
      <c r="AH243" s="252"/>
      <c r="AI243" s="252"/>
      <c r="AJ243" s="252"/>
      <c r="AK243" s="245">
        <f t="shared" si="48"/>
        <v>0</v>
      </c>
      <c r="AL243" s="73" t="e">
        <f t="shared" si="44"/>
        <v>#DIV/0!</v>
      </c>
      <c r="AM243" s="14">
        <f t="shared" si="35"/>
        <v>0</v>
      </c>
      <c r="AN243" s="9"/>
    </row>
    <row r="244" spans="1:40" hidden="1" outlineLevel="1">
      <c r="A244" s="12" t="s">
        <v>240</v>
      </c>
      <c r="B244" s="8" t="s">
        <v>276</v>
      </c>
      <c r="I244" s="139" t="s">
        <v>295</v>
      </c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45">
        <f t="shared" si="47"/>
        <v>0</v>
      </c>
      <c r="W244" s="73" t="e">
        <f t="shared" si="42"/>
        <v>#DIV/0!</v>
      </c>
      <c r="X244" s="89"/>
      <c r="Y244" s="252"/>
      <c r="Z244" s="252"/>
      <c r="AA244" s="252"/>
      <c r="AB244" s="252"/>
      <c r="AC244" s="252"/>
      <c r="AD244" s="252"/>
      <c r="AE244" s="252"/>
      <c r="AF244" s="252"/>
      <c r="AG244" s="252"/>
      <c r="AH244" s="252"/>
      <c r="AI244" s="252"/>
      <c r="AJ244" s="252"/>
      <c r="AK244" s="245">
        <f t="shared" si="48"/>
        <v>0</v>
      </c>
      <c r="AL244" s="73" t="e">
        <f t="shared" si="44"/>
        <v>#DIV/0!</v>
      </c>
      <c r="AM244" s="14">
        <f t="shared" si="35"/>
        <v>0</v>
      </c>
      <c r="AN244" s="9"/>
    </row>
    <row r="245" spans="1:40" hidden="1" outlineLevel="1">
      <c r="A245" s="12" t="s">
        <v>240</v>
      </c>
      <c r="B245" s="8" t="s">
        <v>276</v>
      </c>
      <c r="I245" s="139" t="s">
        <v>269</v>
      </c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45">
        <f t="shared" si="47"/>
        <v>0</v>
      </c>
      <c r="W245" s="73" t="e">
        <f t="shared" si="42"/>
        <v>#DIV/0!</v>
      </c>
      <c r="X245" s="89"/>
      <c r="Y245" s="252"/>
      <c r="Z245" s="252"/>
      <c r="AA245" s="252"/>
      <c r="AB245" s="252"/>
      <c r="AC245" s="252"/>
      <c r="AD245" s="252"/>
      <c r="AE245" s="252"/>
      <c r="AF245" s="252"/>
      <c r="AG245" s="252"/>
      <c r="AH245" s="252"/>
      <c r="AI245" s="252"/>
      <c r="AJ245" s="252"/>
      <c r="AK245" s="245">
        <f t="shared" si="48"/>
        <v>0</v>
      </c>
      <c r="AL245" s="73" t="e">
        <f t="shared" si="44"/>
        <v>#DIV/0!</v>
      </c>
      <c r="AM245" s="14">
        <f t="shared" si="35"/>
        <v>0</v>
      </c>
      <c r="AN245" s="9"/>
    </row>
    <row r="246" spans="1:40" hidden="1" outlineLevel="1">
      <c r="A246" s="12" t="s">
        <v>240</v>
      </c>
      <c r="B246" s="8" t="s">
        <v>276</v>
      </c>
      <c r="I246" s="139" t="s">
        <v>267</v>
      </c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45">
        <f t="shared" si="47"/>
        <v>0</v>
      </c>
      <c r="W246" s="73" t="e">
        <f t="shared" si="42"/>
        <v>#DIV/0!</v>
      </c>
      <c r="X246" s="89"/>
      <c r="Y246" s="252"/>
      <c r="Z246" s="252"/>
      <c r="AA246" s="252"/>
      <c r="AB246" s="252"/>
      <c r="AC246" s="252"/>
      <c r="AD246" s="252"/>
      <c r="AE246" s="252"/>
      <c r="AF246" s="252"/>
      <c r="AG246" s="252"/>
      <c r="AH246" s="252"/>
      <c r="AI246" s="252"/>
      <c r="AJ246" s="252"/>
      <c r="AK246" s="245">
        <f t="shared" si="48"/>
        <v>0</v>
      </c>
      <c r="AL246" s="73" t="e">
        <f t="shared" si="44"/>
        <v>#DIV/0!</v>
      </c>
      <c r="AM246" s="14">
        <f t="shared" si="35"/>
        <v>0</v>
      </c>
      <c r="AN246" s="9"/>
    </row>
    <row r="247" spans="1:40" hidden="1" outlineLevel="1">
      <c r="A247" s="12" t="s">
        <v>240</v>
      </c>
      <c r="B247" s="8" t="s">
        <v>276</v>
      </c>
      <c r="I247" s="139" t="s">
        <v>266</v>
      </c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45">
        <f t="shared" si="47"/>
        <v>0</v>
      </c>
      <c r="W247" s="73" t="e">
        <f t="shared" si="42"/>
        <v>#DIV/0!</v>
      </c>
      <c r="X247" s="89"/>
      <c r="Y247" s="252"/>
      <c r="Z247" s="252"/>
      <c r="AA247" s="252"/>
      <c r="AB247" s="252"/>
      <c r="AC247" s="252"/>
      <c r="AD247" s="252"/>
      <c r="AE247" s="252"/>
      <c r="AF247" s="252"/>
      <c r="AG247" s="252"/>
      <c r="AH247" s="252"/>
      <c r="AI247" s="252"/>
      <c r="AJ247" s="252"/>
      <c r="AK247" s="245">
        <f t="shared" si="48"/>
        <v>0</v>
      </c>
      <c r="AL247" s="73" t="e">
        <f t="shared" si="44"/>
        <v>#DIV/0!</v>
      </c>
      <c r="AM247" s="14">
        <f t="shared" si="35"/>
        <v>0</v>
      </c>
      <c r="AN247" s="9"/>
    </row>
    <row r="248" spans="1:40">
      <c r="I248" s="130" t="s">
        <v>296</v>
      </c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>
        <f>V159+V209+V226+V231+V241</f>
        <v>0</v>
      </c>
      <c r="W248" s="72" t="e">
        <f t="shared" si="42"/>
        <v>#DIV/0!</v>
      </c>
      <c r="X248" s="89"/>
      <c r="Y248" s="241">
        <f t="shared" ref="Y248:AJ248" si="49">Y159+Y209+Y226+Y231+Y241</f>
        <v>0</v>
      </c>
      <c r="Z248" s="241">
        <f t="shared" si="49"/>
        <v>0</v>
      </c>
      <c r="AA248" s="241">
        <f t="shared" si="49"/>
        <v>0</v>
      </c>
      <c r="AB248" s="241">
        <f t="shared" si="49"/>
        <v>0</v>
      </c>
      <c r="AC248" s="241">
        <f t="shared" si="49"/>
        <v>0</v>
      </c>
      <c r="AD248" s="241">
        <f t="shared" si="49"/>
        <v>0</v>
      </c>
      <c r="AE248" s="241">
        <f t="shared" si="49"/>
        <v>0</v>
      </c>
      <c r="AF248" s="241">
        <f t="shared" si="49"/>
        <v>0</v>
      </c>
      <c r="AG248" s="241">
        <f t="shared" si="49"/>
        <v>0</v>
      </c>
      <c r="AH248" s="241">
        <f t="shared" si="49"/>
        <v>0</v>
      </c>
      <c r="AI248" s="241">
        <f t="shared" si="49"/>
        <v>0</v>
      </c>
      <c r="AJ248" s="241">
        <f t="shared" si="49"/>
        <v>0</v>
      </c>
      <c r="AK248" s="241">
        <f>AK159+AK209+AK226+AK231+AK241</f>
        <v>0</v>
      </c>
      <c r="AL248" s="72" t="e">
        <f t="shared" si="44"/>
        <v>#DIV/0!</v>
      </c>
      <c r="AM248" s="10">
        <f t="shared" si="35"/>
        <v>0</v>
      </c>
      <c r="AN248" s="9"/>
    </row>
    <row r="249" spans="1:40">
      <c r="I249" s="130" t="s">
        <v>297</v>
      </c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72"/>
      <c r="X249" s="89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1"/>
      <c r="AK249" s="241"/>
      <c r="AL249" s="72"/>
      <c r="AM249" s="10"/>
      <c r="AN249" s="9"/>
    </row>
    <row r="250" spans="1:40">
      <c r="I250" s="18" t="s">
        <v>272</v>
      </c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>
        <f>IFERROR(V248/V38,0)</f>
        <v>0</v>
      </c>
      <c r="W250" s="73" t="e">
        <f t="shared" si="42"/>
        <v>#DIV/0!</v>
      </c>
      <c r="X250" s="89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>
        <f>IFERROR(AK248/AK38,0)</f>
        <v>0</v>
      </c>
      <c r="AL250" s="73" t="e">
        <f t="shared" si="44"/>
        <v>#DIV/0!</v>
      </c>
      <c r="AM250" s="16">
        <f t="shared" si="35"/>
        <v>0</v>
      </c>
      <c r="AN250" s="9"/>
    </row>
    <row r="251" spans="1:40" ht="15.75">
      <c r="I251" s="142" t="s">
        <v>300</v>
      </c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>
        <f>V155-V248</f>
        <v>0</v>
      </c>
      <c r="W251" s="171" t="e">
        <f t="shared" si="42"/>
        <v>#DIV/0!</v>
      </c>
      <c r="X251" s="91"/>
      <c r="Y251" s="137">
        <f t="shared" ref="Y251:AK251" si="50">Y155-Y248</f>
        <v>0</v>
      </c>
      <c r="Z251" s="137">
        <f t="shared" si="50"/>
        <v>0</v>
      </c>
      <c r="AA251" s="137">
        <f t="shared" si="50"/>
        <v>0</v>
      </c>
      <c r="AB251" s="137">
        <f t="shared" si="50"/>
        <v>0</v>
      </c>
      <c r="AC251" s="137">
        <f t="shared" si="50"/>
        <v>0</v>
      </c>
      <c r="AD251" s="137">
        <f t="shared" si="50"/>
        <v>0</v>
      </c>
      <c r="AE251" s="137">
        <f t="shared" si="50"/>
        <v>0</v>
      </c>
      <c r="AF251" s="137">
        <f t="shared" si="50"/>
        <v>0</v>
      </c>
      <c r="AG251" s="137">
        <f t="shared" si="50"/>
        <v>0</v>
      </c>
      <c r="AH251" s="137">
        <f t="shared" si="50"/>
        <v>0</v>
      </c>
      <c r="AI251" s="137">
        <f t="shared" si="50"/>
        <v>0</v>
      </c>
      <c r="AJ251" s="137">
        <f t="shared" si="50"/>
        <v>0</v>
      </c>
      <c r="AK251" s="137">
        <f t="shared" si="50"/>
        <v>0</v>
      </c>
      <c r="AL251" s="171" t="e">
        <f t="shared" si="44"/>
        <v>#DIV/0!</v>
      </c>
      <c r="AM251" s="157">
        <f t="shared" si="35"/>
        <v>0</v>
      </c>
      <c r="AN251" s="9"/>
    </row>
    <row r="252" spans="1:40">
      <c r="I252" s="18" t="s">
        <v>301</v>
      </c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>
        <f>IFERROR(V154+V250,0)</f>
        <v>0</v>
      </c>
      <c r="W252" s="74" t="e">
        <f t="shared" si="42"/>
        <v>#DIV/0!</v>
      </c>
      <c r="X252" s="90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>
        <f>IFERROR(AK154+AK250,0)</f>
        <v>0</v>
      </c>
      <c r="AL252" s="74" t="e">
        <f t="shared" si="44"/>
        <v>#DIV/0!</v>
      </c>
      <c r="AM252" s="16">
        <f t="shared" si="35"/>
        <v>0</v>
      </c>
      <c r="AN252" s="9"/>
    </row>
    <row r="253" spans="1:40">
      <c r="I253" s="18" t="s">
        <v>303</v>
      </c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>
        <f>IFERROR(V251/V38,0)</f>
        <v>0</v>
      </c>
      <c r="W253" s="74" t="e">
        <f t="shared" si="42"/>
        <v>#DIV/0!</v>
      </c>
      <c r="X253" s="90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>
        <f>IFERROR(AK251/AK38,0)</f>
        <v>0</v>
      </c>
      <c r="AL253" s="74" t="e">
        <f t="shared" si="44"/>
        <v>#DIV/0!</v>
      </c>
      <c r="AM253" s="16">
        <f t="shared" si="35"/>
        <v>0</v>
      </c>
      <c r="AN253" s="9"/>
    </row>
    <row r="254" spans="1:40" ht="15.75">
      <c r="I254" s="142" t="s">
        <v>417</v>
      </c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>
        <f>V158-V252</f>
        <v>0</v>
      </c>
      <c r="W254" s="171" t="e">
        <f t="shared" si="42"/>
        <v>#DIV/0!</v>
      </c>
      <c r="X254" s="91"/>
      <c r="Y254" s="137">
        <f t="shared" ref="Y254:AK254" si="51">Y158-Y252</f>
        <v>0</v>
      </c>
      <c r="Z254" s="137">
        <f t="shared" si="51"/>
        <v>0</v>
      </c>
      <c r="AA254" s="137">
        <f t="shared" si="51"/>
        <v>0</v>
      </c>
      <c r="AB254" s="137">
        <f t="shared" si="51"/>
        <v>0</v>
      </c>
      <c r="AC254" s="137">
        <f t="shared" si="51"/>
        <v>0</v>
      </c>
      <c r="AD254" s="137">
        <f t="shared" si="51"/>
        <v>0</v>
      </c>
      <c r="AE254" s="137">
        <f t="shared" si="51"/>
        <v>0</v>
      </c>
      <c r="AF254" s="137">
        <f t="shared" si="51"/>
        <v>0</v>
      </c>
      <c r="AG254" s="137">
        <f t="shared" si="51"/>
        <v>0</v>
      </c>
      <c r="AH254" s="137">
        <f t="shared" si="51"/>
        <v>0</v>
      </c>
      <c r="AI254" s="137">
        <f t="shared" si="51"/>
        <v>0</v>
      </c>
      <c r="AJ254" s="137">
        <f t="shared" si="51"/>
        <v>0</v>
      </c>
      <c r="AK254" s="137">
        <f t="shared" si="51"/>
        <v>0</v>
      </c>
      <c r="AL254" s="171" t="e">
        <f t="shared" si="44"/>
        <v>#DIV/0!</v>
      </c>
      <c r="AM254" s="157">
        <f t="shared" si="35"/>
        <v>0</v>
      </c>
      <c r="AN254" s="9"/>
    </row>
    <row r="255" spans="1:40">
      <c r="I255" s="18" t="s">
        <v>305</v>
      </c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>
        <f>IFERROR(V157+V253,0)</f>
        <v>0</v>
      </c>
      <c r="W255" s="74" t="e">
        <f t="shared" si="42"/>
        <v>#DIV/0!</v>
      </c>
      <c r="X255" s="90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>
        <f>IFERROR(AK157+AK253,0)</f>
        <v>0</v>
      </c>
      <c r="AL255" s="74" t="e">
        <f t="shared" si="44"/>
        <v>#DIV/0!</v>
      </c>
      <c r="AM255" s="16">
        <f t="shared" si="35"/>
        <v>0</v>
      </c>
      <c r="AN255" s="9"/>
    </row>
    <row r="256" spans="1:40">
      <c r="I256" s="18" t="s">
        <v>306</v>
      </c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>
        <f>IFERROR(V254/V41,0)</f>
        <v>0</v>
      </c>
      <c r="W256" s="74" t="e">
        <f t="shared" si="42"/>
        <v>#DIV/0!</v>
      </c>
      <c r="X256" s="90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>
        <f>IFERROR(AK254/AK41,0)</f>
        <v>0</v>
      </c>
      <c r="AL256" s="74" t="e">
        <f t="shared" si="44"/>
        <v>#DIV/0!</v>
      </c>
      <c r="AM256" s="16">
        <f t="shared" si="35"/>
        <v>0</v>
      </c>
      <c r="AN256" s="9"/>
    </row>
    <row r="257" spans="1:40">
      <c r="I257" s="139"/>
      <c r="J257" s="135"/>
      <c r="K257" s="135"/>
      <c r="L257" s="135"/>
      <c r="M257" s="136"/>
      <c r="N257" s="136"/>
      <c r="O257" s="136"/>
      <c r="P257" s="136"/>
      <c r="Q257" s="135"/>
      <c r="R257" s="136"/>
      <c r="S257" s="136"/>
      <c r="T257" s="136"/>
      <c r="U257" s="135"/>
      <c r="V257" s="135"/>
      <c r="W257" s="78"/>
      <c r="X257" s="89"/>
      <c r="Y257" s="135"/>
      <c r="Z257" s="135"/>
      <c r="AA257" s="135"/>
      <c r="AB257" s="136"/>
      <c r="AC257" s="136"/>
      <c r="AD257" s="136"/>
      <c r="AE257" s="136"/>
      <c r="AF257" s="135"/>
      <c r="AG257" s="136"/>
      <c r="AH257" s="136"/>
      <c r="AI257" s="136"/>
      <c r="AJ257" s="135"/>
      <c r="AK257" s="135"/>
      <c r="AL257" s="78"/>
      <c r="AM257" s="158"/>
      <c r="AN257" s="9"/>
    </row>
    <row r="258" spans="1:40" collapsed="1">
      <c r="A258" s="12" t="s">
        <v>310</v>
      </c>
      <c r="E258" s="7" t="s">
        <v>99</v>
      </c>
      <c r="I258" s="151" t="s">
        <v>311</v>
      </c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>
        <f>SUM(V259:V265)</f>
        <v>0</v>
      </c>
      <c r="W258" s="72" t="e">
        <f>V258/V$6</f>
        <v>#DIV/0!</v>
      </c>
      <c r="X258" s="89"/>
      <c r="Y258" s="241">
        <f t="shared" ref="Y258:AK258" si="52">SUM(Y259:Y265)</f>
        <v>0</v>
      </c>
      <c r="Z258" s="241">
        <f t="shared" si="52"/>
        <v>0</v>
      </c>
      <c r="AA258" s="241">
        <f t="shared" si="52"/>
        <v>0</v>
      </c>
      <c r="AB258" s="241">
        <f t="shared" si="52"/>
        <v>0</v>
      </c>
      <c r="AC258" s="241">
        <f t="shared" si="52"/>
        <v>0</v>
      </c>
      <c r="AD258" s="241">
        <f t="shared" si="52"/>
        <v>0</v>
      </c>
      <c r="AE258" s="241">
        <f t="shared" si="52"/>
        <v>0</v>
      </c>
      <c r="AF258" s="241">
        <f t="shared" si="52"/>
        <v>0</v>
      </c>
      <c r="AG258" s="241">
        <f t="shared" si="52"/>
        <v>0</v>
      </c>
      <c r="AH258" s="241">
        <f t="shared" si="52"/>
        <v>0</v>
      </c>
      <c r="AI258" s="241">
        <f t="shared" si="52"/>
        <v>0</v>
      </c>
      <c r="AJ258" s="241">
        <f t="shared" si="52"/>
        <v>0</v>
      </c>
      <c r="AK258" s="241">
        <f t="shared" si="52"/>
        <v>0</v>
      </c>
      <c r="AL258" s="72" t="e">
        <f>AK258/AK$6</f>
        <v>#DIV/0!</v>
      </c>
      <c r="AM258" s="10">
        <f t="shared" si="35"/>
        <v>0</v>
      </c>
      <c r="AN258" s="9"/>
    </row>
    <row r="259" spans="1:40" hidden="1" outlineLevel="1">
      <c r="A259" s="12" t="s">
        <v>310</v>
      </c>
      <c r="I259" s="139" t="s">
        <v>312</v>
      </c>
      <c r="J259" s="252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45">
        <f>SUM(J259:U259)</f>
        <v>0</v>
      </c>
      <c r="W259" s="73" t="e">
        <f>V259/V$6</f>
        <v>#DIV/0!</v>
      </c>
      <c r="X259" s="89"/>
      <c r="Y259" s="252"/>
      <c r="Z259" s="256"/>
      <c r="AA259" s="256"/>
      <c r="AB259" s="256"/>
      <c r="AC259" s="256"/>
      <c r="AD259" s="256"/>
      <c r="AE259" s="256"/>
      <c r="AF259" s="256"/>
      <c r="AG259" s="256"/>
      <c r="AH259" s="256"/>
      <c r="AI259" s="256"/>
      <c r="AJ259" s="256"/>
      <c r="AK259" s="245">
        <f>SUM(Y259:AJ259)</f>
        <v>0</v>
      </c>
      <c r="AL259" s="73" t="e">
        <f>AK259/AK$6</f>
        <v>#DIV/0!</v>
      </c>
      <c r="AM259" s="14">
        <f t="shared" si="35"/>
        <v>0</v>
      </c>
      <c r="AN259" s="9"/>
    </row>
    <row r="260" spans="1:40">
      <c r="I260" s="216" t="s">
        <v>313</v>
      </c>
    </row>
    <row r="261" spans="1:40" collapsed="1">
      <c r="I261" s="216" t="s">
        <v>314</v>
      </c>
    </row>
    <row r="262" spans="1:40" hidden="1" outlineLevel="1">
      <c r="A262" s="12"/>
      <c r="I262" s="216" t="s">
        <v>315</v>
      </c>
      <c r="J262" s="257"/>
      <c r="K262" s="258"/>
      <c r="L262" s="258"/>
      <c r="M262" s="258"/>
      <c r="N262" s="258"/>
      <c r="O262" s="258"/>
      <c r="P262" s="258"/>
      <c r="Q262" s="258"/>
      <c r="R262" s="258"/>
      <c r="S262" s="258"/>
      <c r="T262" s="258"/>
      <c r="U262" s="258"/>
      <c r="V262" s="258"/>
      <c r="W262" s="214"/>
      <c r="X262" s="89"/>
      <c r="Y262" s="257"/>
      <c r="Z262" s="258"/>
      <c r="AA262" s="258"/>
      <c r="AB262" s="258"/>
      <c r="AC262" s="258"/>
      <c r="AD262" s="258"/>
      <c r="AE262" s="258"/>
      <c r="AF262" s="258"/>
      <c r="AG262" s="258"/>
      <c r="AH262" s="258"/>
      <c r="AI262" s="258"/>
      <c r="AJ262" s="258"/>
      <c r="AK262" s="258"/>
      <c r="AL262" s="214"/>
      <c r="AM262" s="215"/>
      <c r="AN262" s="9"/>
    </row>
    <row r="263" spans="1:40" hidden="1" outlineLevel="1">
      <c r="A263" s="12"/>
      <c r="I263" s="139" t="s">
        <v>316</v>
      </c>
      <c r="J263" s="252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45">
        <f>SUM(J263:U263)</f>
        <v>0</v>
      </c>
      <c r="W263" s="73" t="e">
        <f>V263/V$6</f>
        <v>#DIV/0!</v>
      </c>
      <c r="X263" s="89"/>
      <c r="Y263" s="252"/>
      <c r="Z263" s="256"/>
      <c r="AA263" s="256"/>
      <c r="AB263" s="256"/>
      <c r="AC263" s="256"/>
      <c r="AD263" s="256"/>
      <c r="AE263" s="256"/>
      <c r="AF263" s="256"/>
      <c r="AG263" s="256"/>
      <c r="AH263" s="256"/>
      <c r="AI263" s="256"/>
      <c r="AJ263" s="256"/>
      <c r="AK263" s="245">
        <f>SUM(Y263:AJ263)</f>
        <v>0</v>
      </c>
      <c r="AL263" s="73" t="e">
        <f>AK263/AK$6</f>
        <v>#DIV/0!</v>
      </c>
      <c r="AM263" s="14">
        <f>IFERROR(AK263/V263-1,0)</f>
        <v>0</v>
      </c>
      <c r="AN263" s="9"/>
    </row>
    <row r="264" spans="1:40" collapsed="1">
      <c r="I264" s="5" t="s">
        <v>317</v>
      </c>
    </row>
    <row r="265" spans="1:40" hidden="1" outlineLevel="1">
      <c r="A265" s="12" t="s">
        <v>310</v>
      </c>
      <c r="I265" s="139" t="s">
        <v>318</v>
      </c>
      <c r="J265" s="252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45">
        <f>SUM(J265:U265)</f>
        <v>0</v>
      </c>
      <c r="W265" s="73" t="e">
        <f>V265/V$6</f>
        <v>#DIV/0!</v>
      </c>
      <c r="X265" s="89"/>
      <c r="Y265" s="252"/>
      <c r="Z265" s="256"/>
      <c r="AA265" s="256"/>
      <c r="AB265" s="256"/>
      <c r="AC265" s="256"/>
      <c r="AD265" s="256"/>
      <c r="AE265" s="256"/>
      <c r="AF265" s="256"/>
      <c r="AG265" s="256"/>
      <c r="AH265" s="256"/>
      <c r="AI265" s="256"/>
      <c r="AJ265" s="256"/>
      <c r="AK265" s="245">
        <f>SUM(Y265:AJ265)</f>
        <v>0</v>
      </c>
      <c r="AL265" s="73" t="e">
        <f>AK265/AK$6</f>
        <v>#DIV/0!</v>
      </c>
      <c r="AM265" s="14">
        <f>IFERROR(AK265/V265-1,0)</f>
        <v>0</v>
      </c>
      <c r="AN265" s="9"/>
    </row>
    <row r="266" spans="1:40" hidden="1" outlineLevel="1">
      <c r="A266" s="12"/>
      <c r="I266" s="217" t="s">
        <v>319</v>
      </c>
      <c r="J266" s="257"/>
      <c r="K266" s="258"/>
      <c r="L266" s="258"/>
      <c r="M266" s="258"/>
      <c r="N266" s="258"/>
      <c r="O266" s="258"/>
      <c r="P266" s="258"/>
      <c r="Q266" s="258"/>
      <c r="R266" s="258"/>
      <c r="S266" s="258"/>
      <c r="T266" s="258"/>
      <c r="U266" s="258"/>
      <c r="V266" s="258"/>
      <c r="W266" s="214"/>
      <c r="X266" s="89"/>
      <c r="Y266" s="257"/>
      <c r="Z266" s="258"/>
      <c r="AA266" s="258"/>
      <c r="AB266" s="258"/>
      <c r="AC266" s="258"/>
      <c r="AD266" s="258"/>
      <c r="AE266" s="258"/>
      <c r="AF266" s="258"/>
      <c r="AG266" s="258"/>
      <c r="AH266" s="258"/>
      <c r="AI266" s="258"/>
      <c r="AJ266" s="258"/>
      <c r="AK266" s="258"/>
      <c r="AL266" s="214"/>
      <c r="AM266" s="215"/>
      <c r="AN266" s="9"/>
    </row>
    <row r="267" spans="1:40" hidden="1" outlineLevel="1">
      <c r="A267" s="12"/>
      <c r="I267" s="217" t="s">
        <v>320</v>
      </c>
      <c r="J267" s="257"/>
      <c r="K267" s="258"/>
      <c r="L267" s="258"/>
      <c r="M267" s="258"/>
      <c r="N267" s="258"/>
      <c r="O267" s="258"/>
      <c r="P267" s="258"/>
      <c r="Q267" s="258"/>
      <c r="R267" s="258"/>
      <c r="S267" s="258"/>
      <c r="T267" s="258"/>
      <c r="U267" s="258"/>
      <c r="V267" s="258"/>
      <c r="W267" s="214"/>
      <c r="X267" s="89"/>
      <c r="Y267" s="257"/>
      <c r="Z267" s="258"/>
      <c r="AA267" s="258"/>
      <c r="AB267" s="258"/>
      <c r="AC267" s="258"/>
      <c r="AD267" s="258"/>
      <c r="AE267" s="258"/>
      <c r="AF267" s="258"/>
      <c r="AG267" s="258"/>
      <c r="AH267" s="258"/>
      <c r="AI267" s="258"/>
      <c r="AJ267" s="258"/>
      <c r="AK267" s="258"/>
      <c r="AL267" s="214"/>
      <c r="AM267" s="215"/>
      <c r="AN267" s="9"/>
    </row>
    <row r="268" spans="1:40" hidden="1" outlineLevel="1">
      <c r="A268" s="12"/>
      <c r="I268" s="217" t="s">
        <v>321</v>
      </c>
      <c r="J268" s="257"/>
      <c r="K268" s="258"/>
      <c r="L268" s="258"/>
      <c r="M268" s="258"/>
      <c r="N268" s="258"/>
      <c r="O268" s="258"/>
      <c r="P268" s="258"/>
      <c r="Q268" s="258"/>
      <c r="R268" s="258"/>
      <c r="S268" s="258"/>
      <c r="T268" s="258"/>
      <c r="U268" s="258"/>
      <c r="V268" s="258"/>
      <c r="W268" s="214"/>
      <c r="X268" s="89"/>
      <c r="Y268" s="257"/>
      <c r="Z268" s="258"/>
      <c r="AA268" s="258"/>
      <c r="AB268" s="258"/>
      <c r="AC268" s="258"/>
      <c r="AD268" s="258"/>
      <c r="AE268" s="258"/>
      <c r="AF268" s="258"/>
      <c r="AG268" s="258"/>
      <c r="AH268" s="258"/>
      <c r="AI268" s="258"/>
      <c r="AJ268" s="258"/>
      <c r="AK268" s="258"/>
      <c r="AL268" s="214"/>
      <c r="AM268" s="215"/>
      <c r="AN268" s="9"/>
    </row>
    <row r="269" spans="1:40" hidden="1" outlineLevel="1">
      <c r="A269" s="12"/>
      <c r="I269" s="217" t="s">
        <v>322</v>
      </c>
      <c r="J269" s="257"/>
      <c r="K269" s="258"/>
      <c r="L269" s="258"/>
      <c r="M269" s="258"/>
      <c r="N269" s="258"/>
      <c r="O269" s="258"/>
      <c r="P269" s="258"/>
      <c r="Q269" s="258"/>
      <c r="R269" s="258"/>
      <c r="S269" s="258"/>
      <c r="T269" s="258"/>
      <c r="U269" s="258"/>
      <c r="V269" s="258"/>
      <c r="W269" s="214"/>
      <c r="X269" s="89"/>
      <c r="Y269" s="257"/>
      <c r="Z269" s="258"/>
      <c r="AA269" s="258"/>
      <c r="AB269" s="258"/>
      <c r="AC269" s="258"/>
      <c r="AD269" s="258"/>
      <c r="AE269" s="258"/>
      <c r="AF269" s="258"/>
      <c r="AG269" s="258"/>
      <c r="AH269" s="258"/>
      <c r="AI269" s="258"/>
      <c r="AJ269" s="258"/>
      <c r="AK269" s="258"/>
      <c r="AL269" s="214"/>
      <c r="AM269" s="215"/>
      <c r="AN269" s="9"/>
    </row>
    <row r="270" spans="1:40" hidden="1" outlineLevel="1">
      <c r="A270" s="12"/>
      <c r="I270" s="217" t="s">
        <v>323</v>
      </c>
      <c r="J270" s="257"/>
      <c r="K270" s="258"/>
      <c r="L270" s="258"/>
      <c r="M270" s="258"/>
      <c r="N270" s="258"/>
      <c r="O270" s="258"/>
      <c r="P270" s="258"/>
      <c r="Q270" s="258"/>
      <c r="R270" s="258"/>
      <c r="S270" s="258"/>
      <c r="T270" s="258"/>
      <c r="U270" s="258"/>
      <c r="V270" s="258"/>
      <c r="W270" s="214"/>
      <c r="X270" s="89"/>
      <c r="Y270" s="257"/>
      <c r="Z270" s="258"/>
      <c r="AA270" s="258"/>
      <c r="AB270" s="258"/>
      <c r="AC270" s="258"/>
      <c r="AD270" s="258"/>
      <c r="AE270" s="258"/>
      <c r="AF270" s="258"/>
      <c r="AG270" s="258"/>
      <c r="AH270" s="258"/>
      <c r="AI270" s="258"/>
      <c r="AJ270" s="258"/>
      <c r="AK270" s="258"/>
      <c r="AL270" s="214"/>
      <c r="AM270" s="215"/>
      <c r="AN270" s="9"/>
    </row>
    <row r="271" spans="1:40" hidden="1" outlineLevel="1">
      <c r="A271" s="12"/>
      <c r="I271" s="217" t="s">
        <v>324</v>
      </c>
      <c r="J271" s="257"/>
      <c r="K271" s="258"/>
      <c r="L271" s="258"/>
      <c r="M271" s="258"/>
      <c r="N271" s="258"/>
      <c r="O271" s="258"/>
      <c r="P271" s="258"/>
      <c r="Q271" s="258"/>
      <c r="R271" s="258"/>
      <c r="S271" s="258"/>
      <c r="T271" s="258"/>
      <c r="U271" s="258"/>
      <c r="V271" s="258"/>
      <c r="W271" s="214"/>
      <c r="X271" s="89"/>
      <c r="Y271" s="257"/>
      <c r="Z271" s="258"/>
      <c r="AA271" s="258"/>
      <c r="AB271" s="258"/>
      <c r="AC271" s="258"/>
      <c r="AD271" s="258"/>
      <c r="AE271" s="258"/>
      <c r="AF271" s="258"/>
      <c r="AG271" s="258"/>
      <c r="AH271" s="258"/>
      <c r="AI271" s="258"/>
      <c r="AJ271" s="258"/>
      <c r="AK271" s="258"/>
      <c r="AL271" s="214"/>
      <c r="AM271" s="215"/>
      <c r="AN271" s="9"/>
    </row>
    <row r="272" spans="1:40">
      <c r="A272" s="1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s="166"/>
      <c r="X272" s="9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 s="166"/>
      <c r="AM272" s="159"/>
      <c r="AN272" s="9"/>
    </row>
    <row r="273" spans="1:40" collapsed="1">
      <c r="A273" s="12" t="s">
        <v>325</v>
      </c>
      <c r="E273" s="7" t="s">
        <v>111</v>
      </c>
      <c r="I273" s="152" t="s">
        <v>326</v>
      </c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>
        <f>SUM(V274:V278)</f>
        <v>0</v>
      </c>
      <c r="W273" s="72" t="e">
        <f>V273/V$6</f>
        <v>#DIV/0!</v>
      </c>
      <c r="X273" s="89"/>
      <c r="Y273" s="241">
        <f t="shared" ref="Y273:AK273" si="53">SUM(Y274:Y278)</f>
        <v>0</v>
      </c>
      <c r="Z273" s="241">
        <f t="shared" si="53"/>
        <v>0</v>
      </c>
      <c r="AA273" s="241">
        <f t="shared" si="53"/>
        <v>0</v>
      </c>
      <c r="AB273" s="241">
        <f t="shared" si="53"/>
        <v>0</v>
      </c>
      <c r="AC273" s="241">
        <f t="shared" si="53"/>
        <v>0</v>
      </c>
      <c r="AD273" s="241">
        <f t="shared" si="53"/>
        <v>0</v>
      </c>
      <c r="AE273" s="241">
        <f t="shared" si="53"/>
        <v>0</v>
      </c>
      <c r="AF273" s="241">
        <f t="shared" si="53"/>
        <v>0</v>
      </c>
      <c r="AG273" s="241">
        <f t="shared" si="53"/>
        <v>0</v>
      </c>
      <c r="AH273" s="241">
        <f t="shared" si="53"/>
        <v>0</v>
      </c>
      <c r="AI273" s="241">
        <f t="shared" si="53"/>
        <v>0</v>
      </c>
      <c r="AJ273" s="241">
        <f t="shared" si="53"/>
        <v>0</v>
      </c>
      <c r="AK273" s="241">
        <f t="shared" si="53"/>
        <v>0</v>
      </c>
      <c r="AL273" s="72" t="e">
        <f>AK273/AK$6</f>
        <v>#DIV/0!</v>
      </c>
      <c r="AM273" s="10">
        <f t="shared" si="35"/>
        <v>0</v>
      </c>
      <c r="AN273" s="9"/>
    </row>
    <row r="274" spans="1:40" hidden="1" outlineLevel="1">
      <c r="A274" s="12" t="s">
        <v>325</v>
      </c>
      <c r="I274" s="218" t="s">
        <v>327</v>
      </c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45">
        <f>SUM(J274:U274)</f>
        <v>0</v>
      </c>
      <c r="W274" s="73" t="e">
        <f>V274/V$6</f>
        <v>#DIV/0!</v>
      </c>
      <c r="X274" s="89"/>
      <c r="Y274" s="252"/>
      <c r="Z274" s="252"/>
      <c r="AA274" s="252"/>
      <c r="AB274" s="252"/>
      <c r="AC274" s="252"/>
      <c r="AD274" s="252"/>
      <c r="AE274" s="252"/>
      <c r="AF274" s="252"/>
      <c r="AG274" s="252"/>
      <c r="AH274" s="252"/>
      <c r="AI274" s="252"/>
      <c r="AJ274" s="252"/>
      <c r="AK274" s="245">
        <f>SUM(Y274:AJ274)</f>
        <v>0</v>
      </c>
      <c r="AL274" s="73" t="e">
        <f>AK274/AK$6</f>
        <v>#DIV/0!</v>
      </c>
      <c r="AM274" s="14">
        <f t="shared" si="35"/>
        <v>0</v>
      </c>
      <c r="AN274" s="9"/>
    </row>
    <row r="275" spans="1:40" hidden="1" outlineLevel="1">
      <c r="A275" s="12" t="s">
        <v>325</v>
      </c>
      <c r="I275" s="218" t="s">
        <v>328</v>
      </c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45">
        <f>SUM(J275:U275)</f>
        <v>0</v>
      </c>
      <c r="W275" s="73" t="e">
        <f>V275/V$6</f>
        <v>#DIV/0!</v>
      </c>
      <c r="X275" s="89"/>
      <c r="Y275" s="252"/>
      <c r="Z275" s="252"/>
      <c r="AA275" s="252"/>
      <c r="AB275" s="252"/>
      <c r="AC275" s="252"/>
      <c r="AD275" s="252"/>
      <c r="AE275" s="252"/>
      <c r="AF275" s="252"/>
      <c r="AG275" s="252"/>
      <c r="AH275" s="252"/>
      <c r="AI275" s="252"/>
      <c r="AJ275" s="252"/>
      <c r="AK275" s="245">
        <f>SUM(Y275:AJ275)</f>
        <v>0</v>
      </c>
      <c r="AL275" s="73" t="e">
        <f>AK275/AK$6</f>
        <v>#DIV/0!</v>
      </c>
      <c r="AM275" s="14">
        <f t="shared" si="35"/>
        <v>0</v>
      </c>
      <c r="AN275" s="9"/>
    </row>
    <row r="276" spans="1:40" hidden="1" outlineLevel="1">
      <c r="A276" s="12" t="s">
        <v>325</v>
      </c>
      <c r="I276" s="218" t="s">
        <v>418</v>
      </c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45">
        <f>SUM(J276:U276)</f>
        <v>0</v>
      </c>
      <c r="W276" s="73" t="e">
        <f>V276/V$6</f>
        <v>#DIV/0!</v>
      </c>
      <c r="X276" s="89"/>
      <c r="Y276" s="252"/>
      <c r="Z276" s="252"/>
      <c r="AA276" s="252"/>
      <c r="AB276" s="252"/>
      <c r="AC276" s="252"/>
      <c r="AD276" s="252"/>
      <c r="AE276" s="252"/>
      <c r="AF276" s="252"/>
      <c r="AG276" s="252"/>
      <c r="AH276" s="252"/>
      <c r="AI276" s="252"/>
      <c r="AJ276" s="252"/>
      <c r="AK276" s="245">
        <f>SUM(Y276:AJ276)</f>
        <v>0</v>
      </c>
      <c r="AL276" s="73" t="e">
        <f>AK276/AK$6</f>
        <v>#DIV/0!</v>
      </c>
      <c r="AM276" s="14">
        <f t="shared" si="35"/>
        <v>0</v>
      </c>
      <c r="AN276" s="9"/>
    </row>
    <row r="277" spans="1:40" hidden="1" outlineLevel="1">
      <c r="A277" s="12"/>
      <c r="I277" s="218" t="s">
        <v>329</v>
      </c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45"/>
      <c r="W277" s="73"/>
      <c r="X277" s="89"/>
      <c r="Y277" s="252"/>
      <c r="Z277" s="252"/>
      <c r="AA277" s="252"/>
      <c r="AB277" s="252"/>
      <c r="AC277" s="252"/>
      <c r="AD277" s="252"/>
      <c r="AE277" s="252"/>
      <c r="AF277" s="252"/>
      <c r="AG277" s="252"/>
      <c r="AH277" s="252"/>
      <c r="AI277" s="252"/>
      <c r="AJ277" s="252"/>
      <c r="AK277" s="245"/>
      <c r="AL277" s="73"/>
      <c r="AM277" s="14"/>
      <c r="AN277" s="9"/>
    </row>
    <row r="278" spans="1:40" hidden="1" outlineLevel="1">
      <c r="A278" s="12" t="s">
        <v>325</v>
      </c>
      <c r="I278" s="218" t="s">
        <v>330</v>
      </c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45">
        <f>SUM(J278:U278)</f>
        <v>0</v>
      </c>
      <c r="W278" s="73" t="e">
        <f>V278/V$6</f>
        <v>#DIV/0!</v>
      </c>
      <c r="X278" s="89"/>
      <c r="Y278" s="252"/>
      <c r="Z278" s="252"/>
      <c r="AA278" s="252"/>
      <c r="AB278" s="252"/>
      <c r="AC278" s="252"/>
      <c r="AD278" s="252"/>
      <c r="AE278" s="252"/>
      <c r="AF278" s="252"/>
      <c r="AG278" s="252"/>
      <c r="AH278" s="252"/>
      <c r="AI278" s="252"/>
      <c r="AJ278" s="252"/>
      <c r="AK278" s="245">
        <f>SUM(Y278:AJ278)</f>
        <v>0</v>
      </c>
      <c r="AL278" s="73" t="e">
        <f>AK278/AK$6</f>
        <v>#DIV/0!</v>
      </c>
      <c r="AM278" s="14">
        <f t="shared" si="35"/>
        <v>0</v>
      </c>
      <c r="AN278" s="9"/>
    </row>
    <row r="279" spans="1:40">
      <c r="A279" s="12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67"/>
      <c r="X279" s="8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67"/>
      <c r="AM279" s="160"/>
      <c r="AN279" s="9"/>
    </row>
    <row r="280" spans="1:40" collapsed="1">
      <c r="A280" s="12"/>
      <c r="E280" s="7" t="s">
        <v>111</v>
      </c>
      <c r="I280" s="152" t="s">
        <v>331</v>
      </c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>
        <f>SUM(V281:V286)</f>
        <v>0</v>
      </c>
      <c r="W280" s="72" t="e">
        <f t="shared" ref="W280:W286" si="54">V280/V$6</f>
        <v>#DIV/0!</v>
      </c>
      <c r="X280" s="89"/>
      <c r="Y280" s="168">
        <f>SUM(Y281:Y286)</f>
        <v>0</v>
      </c>
      <c r="Z280" s="168">
        <f>SUM(Z281:Z286)</f>
        <v>0</v>
      </c>
      <c r="AA280" s="168">
        <f>SUM(AA281:AA286)</f>
        <v>0</v>
      </c>
      <c r="AB280" s="168">
        <f>SUM(AB281:AB286)</f>
        <v>0</v>
      </c>
      <c r="AC280" s="168">
        <f>SUM(AC281:AC286)</f>
        <v>0</v>
      </c>
      <c r="AD280" s="168">
        <f t="shared" ref="AD280:AJ280" si="55">SUM(AD281:AD286)</f>
        <v>0</v>
      </c>
      <c r="AE280" s="168">
        <f t="shared" si="55"/>
        <v>0</v>
      </c>
      <c r="AF280" s="168">
        <f t="shared" si="55"/>
        <v>0</v>
      </c>
      <c r="AG280" s="168">
        <f t="shared" si="55"/>
        <v>0</v>
      </c>
      <c r="AH280" s="168">
        <f t="shared" si="55"/>
        <v>0</v>
      </c>
      <c r="AI280" s="168">
        <f t="shared" si="55"/>
        <v>0</v>
      </c>
      <c r="AJ280" s="168">
        <f t="shared" si="55"/>
        <v>0</v>
      </c>
      <c r="AK280" s="168">
        <f>SUM(AK281:AK286)</f>
        <v>0</v>
      </c>
      <c r="AL280" s="72" t="e">
        <f t="shared" ref="AL280:AL286" si="56">AK280/AK$6</f>
        <v>#DIV/0!</v>
      </c>
      <c r="AM280" s="10">
        <f t="shared" si="35"/>
        <v>0</v>
      </c>
      <c r="AN280" s="9"/>
    </row>
    <row r="281" spans="1:40" hidden="1" outlineLevel="1">
      <c r="A281" s="12" t="s">
        <v>240</v>
      </c>
      <c r="B281" s="8" t="s">
        <v>276</v>
      </c>
      <c r="I281" s="139" t="s">
        <v>332</v>
      </c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45">
        <f t="shared" ref="V281:V286" si="57">SUM(J281:U281)</f>
        <v>0</v>
      </c>
      <c r="W281" s="73" t="e">
        <f t="shared" si="54"/>
        <v>#DIV/0!</v>
      </c>
      <c r="X281" s="89"/>
      <c r="Y281" s="252"/>
      <c r="Z281" s="252"/>
      <c r="AA281" s="252"/>
      <c r="AB281" s="252"/>
      <c r="AC281" s="252"/>
      <c r="AD281" s="252"/>
      <c r="AE281" s="252"/>
      <c r="AF281" s="252"/>
      <c r="AG281" s="252"/>
      <c r="AH281" s="252"/>
      <c r="AI281" s="252"/>
      <c r="AJ281" s="252"/>
      <c r="AK281" s="245">
        <f t="shared" ref="AK281:AK286" si="58">SUM(Y281:AJ281)</f>
        <v>0</v>
      </c>
      <c r="AL281" s="73" t="e">
        <f t="shared" si="56"/>
        <v>#DIV/0!</v>
      </c>
      <c r="AM281" s="14">
        <f t="shared" ref="AM281:AM353" si="59">IFERROR(AK281/V281-1,0)</f>
        <v>0</v>
      </c>
      <c r="AN281" s="9"/>
    </row>
    <row r="282" spans="1:40" hidden="1" outlineLevel="1">
      <c r="A282" s="12" t="s">
        <v>240</v>
      </c>
      <c r="B282" s="8" t="s">
        <v>276</v>
      </c>
      <c r="I282" s="139" t="s">
        <v>333</v>
      </c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45">
        <f t="shared" si="57"/>
        <v>0</v>
      </c>
      <c r="W282" s="73" t="e">
        <f t="shared" si="54"/>
        <v>#DIV/0!</v>
      </c>
      <c r="X282" s="89"/>
      <c r="Y282" s="252"/>
      <c r="Z282" s="252"/>
      <c r="AA282" s="252"/>
      <c r="AB282" s="252"/>
      <c r="AC282" s="252"/>
      <c r="AD282" s="252"/>
      <c r="AE282" s="252"/>
      <c r="AF282" s="252"/>
      <c r="AG282" s="252"/>
      <c r="AH282" s="252"/>
      <c r="AI282" s="252"/>
      <c r="AJ282" s="252"/>
      <c r="AK282" s="245">
        <f t="shared" si="58"/>
        <v>0</v>
      </c>
      <c r="AL282" s="73" t="e">
        <f t="shared" si="56"/>
        <v>#DIV/0!</v>
      </c>
      <c r="AM282" s="14">
        <f t="shared" si="59"/>
        <v>0</v>
      </c>
      <c r="AN282" s="9"/>
    </row>
    <row r="283" spans="1:40" hidden="1" outlineLevel="1">
      <c r="A283" s="12" t="s">
        <v>240</v>
      </c>
      <c r="B283" s="8" t="s">
        <v>276</v>
      </c>
      <c r="I283" s="139" t="s">
        <v>334</v>
      </c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45">
        <f t="shared" si="57"/>
        <v>0</v>
      </c>
      <c r="W283" s="73" t="e">
        <f t="shared" si="54"/>
        <v>#DIV/0!</v>
      </c>
      <c r="X283" s="89"/>
      <c r="Y283" s="252"/>
      <c r="Z283" s="252"/>
      <c r="AA283" s="252"/>
      <c r="AB283" s="252"/>
      <c r="AC283" s="252"/>
      <c r="AD283" s="252"/>
      <c r="AE283" s="252"/>
      <c r="AF283" s="252"/>
      <c r="AG283" s="252"/>
      <c r="AH283" s="252"/>
      <c r="AI283" s="252"/>
      <c r="AJ283" s="252"/>
      <c r="AK283" s="245">
        <f t="shared" si="58"/>
        <v>0</v>
      </c>
      <c r="AL283" s="73" t="e">
        <f t="shared" si="56"/>
        <v>#DIV/0!</v>
      </c>
      <c r="AM283" s="14">
        <f t="shared" si="59"/>
        <v>0</v>
      </c>
      <c r="AN283" s="9"/>
    </row>
    <row r="284" spans="1:40" hidden="1" outlineLevel="1">
      <c r="A284" s="12" t="s">
        <v>240</v>
      </c>
      <c r="B284" s="8" t="s">
        <v>276</v>
      </c>
      <c r="I284" s="139" t="s">
        <v>335</v>
      </c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45">
        <f t="shared" si="57"/>
        <v>0</v>
      </c>
      <c r="W284" s="73" t="e">
        <f t="shared" si="54"/>
        <v>#DIV/0!</v>
      </c>
      <c r="X284" s="89"/>
      <c r="Y284" s="252"/>
      <c r="Z284" s="252"/>
      <c r="AA284" s="252"/>
      <c r="AB284" s="252"/>
      <c r="AC284" s="252"/>
      <c r="AD284" s="252"/>
      <c r="AE284" s="252"/>
      <c r="AF284" s="252"/>
      <c r="AG284" s="252"/>
      <c r="AH284" s="252"/>
      <c r="AI284" s="252"/>
      <c r="AJ284" s="252"/>
      <c r="AK284" s="245">
        <f t="shared" si="58"/>
        <v>0</v>
      </c>
      <c r="AL284" s="73" t="e">
        <f t="shared" si="56"/>
        <v>#DIV/0!</v>
      </c>
      <c r="AM284" s="14">
        <f t="shared" si="59"/>
        <v>0</v>
      </c>
      <c r="AN284" s="9"/>
    </row>
    <row r="285" spans="1:40" hidden="1" outlineLevel="1">
      <c r="A285" s="12" t="s">
        <v>240</v>
      </c>
      <c r="B285" s="8" t="s">
        <v>276</v>
      </c>
      <c r="I285" s="139" t="s">
        <v>336</v>
      </c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45">
        <f t="shared" si="57"/>
        <v>0</v>
      </c>
      <c r="W285" s="73" t="e">
        <f t="shared" si="54"/>
        <v>#DIV/0!</v>
      </c>
      <c r="X285" s="89"/>
      <c r="Y285" s="252"/>
      <c r="Z285" s="252"/>
      <c r="AA285" s="252"/>
      <c r="AB285" s="252"/>
      <c r="AC285" s="252"/>
      <c r="AD285" s="252"/>
      <c r="AE285" s="252"/>
      <c r="AF285" s="252"/>
      <c r="AG285" s="252"/>
      <c r="AH285" s="252"/>
      <c r="AI285" s="252"/>
      <c r="AJ285" s="252"/>
      <c r="AK285" s="245">
        <f t="shared" si="58"/>
        <v>0</v>
      </c>
      <c r="AL285" s="73" t="e">
        <f t="shared" si="56"/>
        <v>#DIV/0!</v>
      </c>
      <c r="AM285" s="14">
        <f t="shared" si="59"/>
        <v>0</v>
      </c>
      <c r="AN285" s="9"/>
    </row>
    <row r="286" spans="1:40" hidden="1" outlineLevel="1">
      <c r="A286" s="12" t="s">
        <v>240</v>
      </c>
      <c r="B286" s="8" t="s">
        <v>276</v>
      </c>
      <c r="I286" s="139" t="s">
        <v>337</v>
      </c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45">
        <f t="shared" si="57"/>
        <v>0</v>
      </c>
      <c r="W286" s="73" t="e">
        <f t="shared" si="54"/>
        <v>#DIV/0!</v>
      </c>
      <c r="X286" s="89"/>
      <c r="Y286" s="252"/>
      <c r="Z286" s="252"/>
      <c r="AA286" s="252"/>
      <c r="AB286" s="252"/>
      <c r="AC286" s="252"/>
      <c r="AD286" s="252"/>
      <c r="AE286" s="252"/>
      <c r="AF286" s="252"/>
      <c r="AG286" s="252"/>
      <c r="AH286" s="252"/>
      <c r="AI286" s="252"/>
      <c r="AJ286" s="252"/>
      <c r="AK286" s="245">
        <f t="shared" si="58"/>
        <v>0</v>
      </c>
      <c r="AL286" s="73" t="e">
        <f t="shared" si="56"/>
        <v>#DIV/0!</v>
      </c>
      <c r="AM286" s="14">
        <f t="shared" si="59"/>
        <v>0</v>
      </c>
      <c r="AN286" s="9"/>
    </row>
    <row r="287" spans="1:40">
      <c r="A287" s="12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67"/>
      <c r="X287" s="8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67"/>
      <c r="AM287" s="160"/>
      <c r="AN287" s="9"/>
    </row>
    <row r="288" spans="1:40" ht="15.75">
      <c r="I288" s="142" t="s">
        <v>338</v>
      </c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>
        <f>+V251+V258-V273-V280</f>
        <v>0</v>
      </c>
      <c r="W288" s="171" t="e">
        <f>V288/V$6</f>
        <v>#DIV/0!</v>
      </c>
      <c r="X288" s="91"/>
      <c r="Y288" s="137">
        <f t="shared" ref="Y288:AK288" si="60">+Y251+Y258-Y273-Y280</f>
        <v>0</v>
      </c>
      <c r="Z288" s="137">
        <f t="shared" si="60"/>
        <v>0</v>
      </c>
      <c r="AA288" s="137">
        <f t="shared" si="60"/>
        <v>0</v>
      </c>
      <c r="AB288" s="137">
        <f t="shared" si="60"/>
        <v>0</v>
      </c>
      <c r="AC288" s="137">
        <f t="shared" si="60"/>
        <v>0</v>
      </c>
      <c r="AD288" s="137">
        <f t="shared" si="60"/>
        <v>0</v>
      </c>
      <c r="AE288" s="137">
        <f t="shared" si="60"/>
        <v>0</v>
      </c>
      <c r="AF288" s="137">
        <f t="shared" si="60"/>
        <v>0</v>
      </c>
      <c r="AG288" s="137">
        <f t="shared" si="60"/>
        <v>0</v>
      </c>
      <c r="AH288" s="137">
        <f t="shared" si="60"/>
        <v>0</v>
      </c>
      <c r="AI288" s="137">
        <f t="shared" si="60"/>
        <v>0</v>
      </c>
      <c r="AJ288" s="137">
        <f t="shared" si="60"/>
        <v>0</v>
      </c>
      <c r="AK288" s="137">
        <f t="shared" si="60"/>
        <v>0</v>
      </c>
      <c r="AL288" s="171" t="e">
        <f>AK288/AK$6</f>
        <v>#DIV/0!</v>
      </c>
      <c r="AM288" s="157">
        <f t="shared" si="59"/>
        <v>0</v>
      </c>
      <c r="AN288" s="9"/>
    </row>
    <row r="289" spans="1:118">
      <c r="A289" s="12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67"/>
      <c r="X289" s="8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67"/>
      <c r="AM289" s="160"/>
      <c r="AN289" s="9"/>
    </row>
    <row r="290" spans="1:118" s="224" customFormat="1" ht="13.5">
      <c r="A290" s="220"/>
      <c r="B290" s="220"/>
      <c r="C290" s="220"/>
      <c r="D290" s="220"/>
      <c r="E290" s="259"/>
      <c r="F290" s="220"/>
      <c r="G290" s="220"/>
      <c r="H290" s="220"/>
      <c r="I290" s="219" t="s">
        <v>419</v>
      </c>
      <c r="J290" s="219"/>
      <c r="K290" s="219"/>
      <c r="L290" s="221"/>
      <c r="M290" s="222"/>
      <c r="N290" s="221"/>
      <c r="O290" s="222"/>
      <c r="P290" s="221"/>
      <c r="Q290" s="222"/>
      <c r="R290" s="163"/>
      <c r="S290" s="163"/>
      <c r="T290" s="221"/>
      <c r="U290" s="222"/>
      <c r="V290" s="221"/>
      <c r="W290" s="222"/>
      <c r="X290" s="221"/>
      <c r="Y290" s="222"/>
      <c r="Z290" s="163"/>
      <c r="AA290" s="163"/>
      <c r="AB290" s="221"/>
      <c r="AC290" s="222"/>
      <c r="AD290" s="221"/>
      <c r="AE290" s="222"/>
      <c r="AF290" s="221"/>
      <c r="AG290" s="222"/>
      <c r="AH290" s="163"/>
      <c r="AI290" s="163"/>
      <c r="AJ290" s="221"/>
      <c r="AK290" s="222"/>
      <c r="AL290" s="221"/>
      <c r="AM290" s="222"/>
      <c r="AN290" s="221"/>
      <c r="AO290" s="222"/>
      <c r="AP290" s="163"/>
      <c r="AQ290" s="163"/>
      <c r="AR290" s="221"/>
      <c r="AS290" s="222"/>
      <c r="AT290" s="221"/>
      <c r="AU290" s="222"/>
      <c r="AV290" s="221"/>
      <c r="AW290" s="222"/>
      <c r="AX290" s="163"/>
      <c r="AY290" s="163"/>
      <c r="AZ290" s="221"/>
      <c r="BA290" s="222"/>
      <c r="BB290" s="221"/>
      <c r="BC290" s="222"/>
      <c r="BD290" s="221"/>
      <c r="BE290" s="222"/>
      <c r="BF290" s="163"/>
      <c r="BG290" s="163"/>
      <c r="BH290" s="221"/>
      <c r="BI290" s="222"/>
      <c r="BJ290" s="221"/>
      <c r="BK290" s="222"/>
      <c r="BL290" s="221"/>
      <c r="BM290" s="222"/>
      <c r="BN290" s="163"/>
      <c r="BO290" s="163"/>
      <c r="BP290" s="221"/>
      <c r="BQ290" s="222"/>
      <c r="BR290" s="221"/>
      <c r="BS290" s="222"/>
      <c r="BT290" s="221"/>
      <c r="BU290" s="222"/>
      <c r="BV290" s="163"/>
      <c r="BW290" s="163"/>
      <c r="BX290" s="221"/>
      <c r="BY290" s="222"/>
      <c r="BZ290" s="221"/>
      <c r="CA290" s="222"/>
      <c r="CB290" s="221"/>
      <c r="CC290" s="222"/>
      <c r="CD290" s="163"/>
      <c r="CE290" s="163"/>
      <c r="CF290" s="221"/>
      <c r="CG290" s="222"/>
      <c r="CH290" s="221"/>
      <c r="CI290" s="222"/>
      <c r="CJ290" s="221"/>
      <c r="CK290" s="222"/>
      <c r="CL290" s="163"/>
      <c r="CM290" s="163"/>
      <c r="CN290" s="221"/>
      <c r="CO290" s="222"/>
      <c r="CP290" s="221"/>
      <c r="CQ290" s="222"/>
      <c r="CR290" s="221"/>
      <c r="CS290" s="222"/>
      <c r="CT290" s="163"/>
      <c r="CU290" s="163"/>
      <c r="CV290" s="221"/>
      <c r="CW290" s="222"/>
      <c r="CX290" s="221"/>
      <c r="CY290" s="222"/>
      <c r="CZ290" s="221"/>
      <c r="DA290" s="222"/>
      <c r="DB290" s="163"/>
      <c r="DC290" s="163"/>
      <c r="DD290" s="221"/>
      <c r="DE290" s="222"/>
      <c r="DF290" s="221"/>
      <c r="DG290" s="222"/>
      <c r="DH290" s="221"/>
      <c r="DI290" s="222"/>
      <c r="DJ290" s="163"/>
      <c r="DK290" s="163"/>
      <c r="DL290" s="223"/>
      <c r="DM290" s="260"/>
      <c r="DN290" s="260"/>
    </row>
    <row r="291" spans="1:118">
      <c r="A291" s="12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67"/>
      <c r="X291" s="8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67"/>
      <c r="AM291" s="160"/>
      <c r="AN291" s="9"/>
    </row>
    <row r="292" spans="1:118" collapsed="1">
      <c r="A292" s="12" t="s">
        <v>214</v>
      </c>
      <c r="B292" s="8" t="s">
        <v>101</v>
      </c>
      <c r="C292" s="8" t="s">
        <v>91</v>
      </c>
      <c r="D292" s="140"/>
      <c r="E292" s="7" t="s">
        <v>111</v>
      </c>
      <c r="I292" s="225" t="s">
        <v>339</v>
      </c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>
        <f>SUM(V293:V317)</f>
        <v>0</v>
      </c>
      <c r="W292" s="72" t="e">
        <f t="shared" ref="W292:W311" si="61">V292/V$6</f>
        <v>#DIV/0!</v>
      </c>
      <c r="X292" s="89"/>
      <c r="Y292" s="261">
        <f t="shared" ref="Y292:AK292" si="62">SUM(Y293:Y317)</f>
        <v>0</v>
      </c>
      <c r="Z292" s="261">
        <f t="shared" si="62"/>
        <v>0</v>
      </c>
      <c r="AA292" s="261">
        <f t="shared" si="62"/>
        <v>0</v>
      </c>
      <c r="AB292" s="261">
        <f t="shared" si="62"/>
        <v>0</v>
      </c>
      <c r="AC292" s="261">
        <f t="shared" si="62"/>
        <v>0</v>
      </c>
      <c r="AD292" s="261">
        <f t="shared" si="62"/>
        <v>0</v>
      </c>
      <c r="AE292" s="261">
        <f t="shared" si="62"/>
        <v>0</v>
      </c>
      <c r="AF292" s="261">
        <f t="shared" si="62"/>
        <v>0</v>
      </c>
      <c r="AG292" s="261">
        <f t="shared" si="62"/>
        <v>0</v>
      </c>
      <c r="AH292" s="261">
        <f t="shared" si="62"/>
        <v>0</v>
      </c>
      <c r="AI292" s="261">
        <f t="shared" si="62"/>
        <v>0</v>
      </c>
      <c r="AJ292" s="261">
        <f t="shared" si="62"/>
        <v>0</v>
      </c>
      <c r="AK292" s="261">
        <f t="shared" si="62"/>
        <v>0</v>
      </c>
      <c r="AL292" s="72" t="e">
        <f t="shared" ref="AL292:AL311" si="63">AK292/AK$6</f>
        <v>#DIV/0!</v>
      </c>
      <c r="AM292" s="10">
        <f t="shared" si="59"/>
        <v>0</v>
      </c>
      <c r="AN292" s="9"/>
    </row>
    <row r="293" spans="1:118" hidden="1" outlineLevel="2">
      <c r="A293" s="12" t="s">
        <v>91</v>
      </c>
      <c r="I293" s="226" t="s">
        <v>340</v>
      </c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45">
        <f>SUM(J293:U293)</f>
        <v>0</v>
      </c>
      <c r="W293" s="73" t="e">
        <f t="shared" si="61"/>
        <v>#DIV/0!</v>
      </c>
      <c r="X293" s="89"/>
      <c r="Y293" s="252"/>
      <c r="Z293" s="252"/>
      <c r="AA293" s="252"/>
      <c r="AB293" s="252"/>
      <c r="AC293" s="252"/>
      <c r="AD293" s="252">
        <v>0</v>
      </c>
      <c r="AE293" s="252">
        <v>0</v>
      </c>
      <c r="AF293" s="252">
        <v>0</v>
      </c>
      <c r="AG293" s="252">
        <v>0</v>
      </c>
      <c r="AH293" s="252">
        <v>0</v>
      </c>
      <c r="AI293" s="252">
        <v>0</v>
      </c>
      <c r="AJ293" s="252">
        <v>0</v>
      </c>
      <c r="AK293" s="245">
        <f>SUM(Y293:AJ293)</f>
        <v>0</v>
      </c>
      <c r="AL293" s="73" t="e">
        <f t="shared" si="63"/>
        <v>#DIV/0!</v>
      </c>
      <c r="AM293" s="161">
        <f t="shared" si="59"/>
        <v>0</v>
      </c>
      <c r="AN293" s="9"/>
    </row>
    <row r="294" spans="1:118" hidden="1" outlineLevel="2">
      <c r="A294" s="12" t="s">
        <v>91</v>
      </c>
      <c r="I294" s="226" t="s">
        <v>341</v>
      </c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45">
        <f t="shared" ref="V294:V311" si="64">SUM(J294:U294)</f>
        <v>0</v>
      </c>
      <c r="W294" s="73" t="e">
        <f t="shared" si="61"/>
        <v>#DIV/0!</v>
      </c>
      <c r="X294" s="89"/>
      <c r="Y294" s="252"/>
      <c r="Z294" s="252"/>
      <c r="AA294" s="252"/>
      <c r="AB294" s="252"/>
      <c r="AC294" s="252"/>
      <c r="AD294" s="252">
        <v>0</v>
      </c>
      <c r="AE294" s="252">
        <v>0</v>
      </c>
      <c r="AF294" s="252">
        <v>0</v>
      </c>
      <c r="AG294" s="252">
        <v>0</v>
      </c>
      <c r="AH294" s="252">
        <v>0</v>
      </c>
      <c r="AI294" s="252">
        <v>0</v>
      </c>
      <c r="AJ294" s="252">
        <v>0</v>
      </c>
      <c r="AK294" s="245">
        <f t="shared" ref="AK294:AK311" si="65">SUM(Y294:AJ294)</f>
        <v>0</v>
      </c>
      <c r="AL294" s="73" t="e">
        <f t="shared" si="63"/>
        <v>#DIV/0!</v>
      </c>
      <c r="AM294" s="161">
        <f t="shared" si="59"/>
        <v>0</v>
      </c>
      <c r="AN294" s="9"/>
    </row>
    <row r="295" spans="1:118" hidden="1" outlineLevel="2">
      <c r="A295" s="12" t="s">
        <v>91</v>
      </c>
      <c r="I295" s="226" t="s">
        <v>342</v>
      </c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45">
        <f t="shared" si="64"/>
        <v>0</v>
      </c>
      <c r="W295" s="73" t="e">
        <f t="shared" si="61"/>
        <v>#DIV/0!</v>
      </c>
      <c r="X295" s="89"/>
      <c r="Y295" s="252"/>
      <c r="Z295" s="252"/>
      <c r="AA295" s="252"/>
      <c r="AB295" s="252"/>
      <c r="AC295" s="252"/>
      <c r="AD295" s="252">
        <v>0</v>
      </c>
      <c r="AE295" s="252">
        <v>0</v>
      </c>
      <c r="AF295" s="252">
        <v>0</v>
      </c>
      <c r="AG295" s="252">
        <v>0</v>
      </c>
      <c r="AH295" s="252">
        <v>0</v>
      </c>
      <c r="AI295" s="252">
        <v>0</v>
      </c>
      <c r="AJ295" s="252">
        <v>0</v>
      </c>
      <c r="AK295" s="245">
        <f t="shared" si="65"/>
        <v>0</v>
      </c>
      <c r="AL295" s="73" t="e">
        <f t="shared" si="63"/>
        <v>#DIV/0!</v>
      </c>
      <c r="AM295" s="161">
        <f t="shared" si="59"/>
        <v>0</v>
      </c>
      <c r="AN295" s="9"/>
    </row>
    <row r="296" spans="1:118" hidden="1" outlineLevel="2">
      <c r="A296" s="12" t="s">
        <v>91</v>
      </c>
      <c r="I296" s="226" t="s">
        <v>343</v>
      </c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45">
        <f t="shared" si="64"/>
        <v>0</v>
      </c>
      <c r="W296" s="73" t="e">
        <f t="shared" si="61"/>
        <v>#DIV/0!</v>
      </c>
      <c r="X296" s="89"/>
      <c r="Y296" s="252"/>
      <c r="Z296" s="252"/>
      <c r="AA296" s="252"/>
      <c r="AB296" s="252"/>
      <c r="AC296" s="252"/>
      <c r="AD296" s="252">
        <v>0</v>
      </c>
      <c r="AE296" s="252">
        <v>0</v>
      </c>
      <c r="AF296" s="252">
        <v>0</v>
      </c>
      <c r="AG296" s="252">
        <v>0</v>
      </c>
      <c r="AH296" s="252">
        <v>0</v>
      </c>
      <c r="AI296" s="252">
        <v>0</v>
      </c>
      <c r="AJ296" s="252">
        <v>0</v>
      </c>
      <c r="AK296" s="245">
        <f t="shared" si="65"/>
        <v>0</v>
      </c>
      <c r="AL296" s="73" t="e">
        <f t="shared" si="63"/>
        <v>#DIV/0!</v>
      </c>
      <c r="AM296" s="161">
        <f t="shared" si="59"/>
        <v>0</v>
      </c>
      <c r="AN296" s="9"/>
    </row>
    <row r="297" spans="1:118" hidden="1" outlineLevel="2">
      <c r="A297" s="12" t="s">
        <v>91</v>
      </c>
      <c r="I297" s="226" t="s">
        <v>344</v>
      </c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45">
        <f t="shared" si="64"/>
        <v>0</v>
      </c>
      <c r="W297" s="73" t="e">
        <f t="shared" si="61"/>
        <v>#DIV/0!</v>
      </c>
      <c r="X297" s="89"/>
      <c r="Y297" s="252"/>
      <c r="Z297" s="252"/>
      <c r="AA297" s="252"/>
      <c r="AB297" s="252"/>
      <c r="AC297" s="252"/>
      <c r="AD297" s="252">
        <v>0</v>
      </c>
      <c r="AE297" s="252">
        <v>0</v>
      </c>
      <c r="AF297" s="252">
        <v>0</v>
      </c>
      <c r="AG297" s="252">
        <v>0</v>
      </c>
      <c r="AH297" s="252">
        <v>0</v>
      </c>
      <c r="AI297" s="252">
        <v>0</v>
      </c>
      <c r="AJ297" s="252">
        <v>0</v>
      </c>
      <c r="AK297" s="245">
        <f t="shared" si="65"/>
        <v>0</v>
      </c>
      <c r="AL297" s="73" t="e">
        <f t="shared" si="63"/>
        <v>#DIV/0!</v>
      </c>
      <c r="AM297" s="161">
        <f t="shared" si="59"/>
        <v>0</v>
      </c>
      <c r="AN297" s="9"/>
    </row>
    <row r="298" spans="1:118" hidden="1" outlineLevel="2">
      <c r="A298" s="12" t="s">
        <v>91</v>
      </c>
      <c r="I298" s="226" t="s">
        <v>361</v>
      </c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45">
        <f t="shared" si="64"/>
        <v>0</v>
      </c>
      <c r="W298" s="73" t="e">
        <f t="shared" si="61"/>
        <v>#DIV/0!</v>
      </c>
      <c r="X298" s="89"/>
      <c r="Y298" s="252"/>
      <c r="Z298" s="252"/>
      <c r="AA298" s="252"/>
      <c r="AB298" s="252"/>
      <c r="AC298" s="252"/>
      <c r="AD298" s="252">
        <v>0</v>
      </c>
      <c r="AE298" s="252">
        <v>0</v>
      </c>
      <c r="AF298" s="252">
        <v>0</v>
      </c>
      <c r="AG298" s="252">
        <v>0</v>
      </c>
      <c r="AH298" s="252">
        <v>0</v>
      </c>
      <c r="AI298" s="252">
        <v>0</v>
      </c>
      <c r="AJ298" s="252">
        <v>0</v>
      </c>
      <c r="AK298" s="245">
        <f t="shared" si="65"/>
        <v>0</v>
      </c>
      <c r="AL298" s="73" t="e">
        <f t="shared" si="63"/>
        <v>#DIV/0!</v>
      </c>
      <c r="AM298" s="161">
        <f t="shared" si="59"/>
        <v>0</v>
      </c>
      <c r="AN298" s="9"/>
    </row>
    <row r="299" spans="1:118" hidden="1" outlineLevel="2">
      <c r="A299" s="12" t="s">
        <v>91</v>
      </c>
      <c r="I299" s="226" t="s">
        <v>345</v>
      </c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45">
        <f t="shared" si="64"/>
        <v>0</v>
      </c>
      <c r="W299" s="73" t="e">
        <f t="shared" si="61"/>
        <v>#DIV/0!</v>
      </c>
      <c r="X299" s="89"/>
      <c r="Y299" s="252"/>
      <c r="Z299" s="252"/>
      <c r="AA299" s="252"/>
      <c r="AB299" s="252"/>
      <c r="AC299" s="252"/>
      <c r="AD299" s="252">
        <v>0</v>
      </c>
      <c r="AE299" s="252">
        <v>0</v>
      </c>
      <c r="AF299" s="252">
        <v>0</v>
      </c>
      <c r="AG299" s="252">
        <v>0</v>
      </c>
      <c r="AH299" s="252">
        <v>0</v>
      </c>
      <c r="AI299" s="252">
        <v>0</v>
      </c>
      <c r="AJ299" s="252">
        <v>0</v>
      </c>
      <c r="AK299" s="245">
        <f t="shared" si="65"/>
        <v>0</v>
      </c>
      <c r="AL299" s="73" t="e">
        <f t="shared" si="63"/>
        <v>#DIV/0!</v>
      </c>
      <c r="AM299" s="161">
        <f t="shared" si="59"/>
        <v>0</v>
      </c>
      <c r="AN299" s="9"/>
    </row>
    <row r="300" spans="1:118" hidden="1" outlineLevel="2">
      <c r="A300" s="12" t="s">
        <v>91</v>
      </c>
      <c r="I300" s="226" t="s">
        <v>346</v>
      </c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45">
        <f t="shared" si="64"/>
        <v>0</v>
      </c>
      <c r="W300" s="73" t="e">
        <f t="shared" si="61"/>
        <v>#DIV/0!</v>
      </c>
      <c r="X300" s="89"/>
      <c r="Y300" s="252"/>
      <c r="Z300" s="252"/>
      <c r="AA300" s="252"/>
      <c r="AB300" s="252"/>
      <c r="AC300" s="252"/>
      <c r="AD300" s="252">
        <v>0</v>
      </c>
      <c r="AE300" s="252">
        <v>0</v>
      </c>
      <c r="AF300" s="252">
        <v>0</v>
      </c>
      <c r="AG300" s="252">
        <v>0</v>
      </c>
      <c r="AH300" s="252">
        <v>0</v>
      </c>
      <c r="AI300" s="252">
        <v>0</v>
      </c>
      <c r="AJ300" s="252">
        <v>0</v>
      </c>
      <c r="AK300" s="245">
        <f t="shared" si="65"/>
        <v>0</v>
      </c>
      <c r="AL300" s="73" t="e">
        <f t="shared" si="63"/>
        <v>#DIV/0!</v>
      </c>
      <c r="AM300" s="161">
        <f t="shared" si="59"/>
        <v>0</v>
      </c>
      <c r="AN300" s="9"/>
    </row>
    <row r="301" spans="1:118" hidden="1" outlineLevel="2">
      <c r="A301" s="12" t="s">
        <v>91</v>
      </c>
      <c r="I301" s="226" t="s">
        <v>347</v>
      </c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45">
        <f t="shared" si="64"/>
        <v>0</v>
      </c>
      <c r="W301" s="73" t="e">
        <f t="shared" si="61"/>
        <v>#DIV/0!</v>
      </c>
      <c r="X301" s="89"/>
      <c r="Y301" s="252"/>
      <c r="Z301" s="252"/>
      <c r="AA301" s="252"/>
      <c r="AB301" s="252"/>
      <c r="AC301" s="252"/>
      <c r="AD301" s="252">
        <v>0</v>
      </c>
      <c r="AE301" s="252">
        <v>0</v>
      </c>
      <c r="AF301" s="252">
        <v>0</v>
      </c>
      <c r="AG301" s="252">
        <v>0</v>
      </c>
      <c r="AH301" s="252">
        <v>0</v>
      </c>
      <c r="AI301" s="252">
        <v>0</v>
      </c>
      <c r="AJ301" s="252">
        <v>0</v>
      </c>
      <c r="AK301" s="245">
        <f t="shared" si="65"/>
        <v>0</v>
      </c>
      <c r="AL301" s="73" t="e">
        <f t="shared" si="63"/>
        <v>#DIV/0!</v>
      </c>
      <c r="AM301" s="161">
        <f t="shared" si="59"/>
        <v>0</v>
      </c>
      <c r="AN301" s="9"/>
    </row>
    <row r="302" spans="1:118" hidden="1" outlineLevel="2">
      <c r="A302" s="12" t="s">
        <v>91</v>
      </c>
      <c r="I302" s="226" t="s">
        <v>348</v>
      </c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45">
        <f t="shared" si="64"/>
        <v>0</v>
      </c>
      <c r="W302" s="73" t="e">
        <f t="shared" si="61"/>
        <v>#DIV/0!</v>
      </c>
      <c r="X302" s="89"/>
      <c r="Y302" s="252"/>
      <c r="Z302" s="252"/>
      <c r="AA302" s="252"/>
      <c r="AB302" s="252"/>
      <c r="AC302" s="252"/>
      <c r="AD302" s="252">
        <v>0</v>
      </c>
      <c r="AE302" s="252">
        <v>0</v>
      </c>
      <c r="AF302" s="252">
        <v>0</v>
      </c>
      <c r="AG302" s="252">
        <v>0</v>
      </c>
      <c r="AH302" s="252">
        <v>0</v>
      </c>
      <c r="AI302" s="252">
        <v>0</v>
      </c>
      <c r="AJ302" s="252">
        <v>0</v>
      </c>
      <c r="AK302" s="245">
        <f t="shared" si="65"/>
        <v>0</v>
      </c>
      <c r="AL302" s="73" t="e">
        <f t="shared" si="63"/>
        <v>#DIV/0!</v>
      </c>
      <c r="AM302" s="161">
        <f t="shared" si="59"/>
        <v>0</v>
      </c>
      <c r="AN302" s="9"/>
    </row>
    <row r="303" spans="1:118" hidden="1" outlineLevel="2">
      <c r="A303" s="12" t="s">
        <v>91</v>
      </c>
      <c r="I303" s="226" t="s">
        <v>349</v>
      </c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45">
        <f t="shared" si="64"/>
        <v>0</v>
      </c>
      <c r="W303" s="73" t="e">
        <f t="shared" si="61"/>
        <v>#DIV/0!</v>
      </c>
      <c r="X303" s="89"/>
      <c r="Y303" s="252"/>
      <c r="Z303" s="252"/>
      <c r="AA303" s="252"/>
      <c r="AB303" s="252"/>
      <c r="AC303" s="252"/>
      <c r="AD303" s="252">
        <v>0</v>
      </c>
      <c r="AE303" s="252">
        <v>0</v>
      </c>
      <c r="AF303" s="252">
        <v>0</v>
      </c>
      <c r="AG303" s="252">
        <v>0</v>
      </c>
      <c r="AH303" s="252">
        <v>0</v>
      </c>
      <c r="AI303" s="252">
        <v>0</v>
      </c>
      <c r="AJ303" s="252">
        <v>0</v>
      </c>
      <c r="AK303" s="245">
        <f t="shared" si="65"/>
        <v>0</v>
      </c>
      <c r="AL303" s="73" t="e">
        <f t="shared" si="63"/>
        <v>#DIV/0!</v>
      </c>
      <c r="AM303" s="161">
        <f t="shared" si="59"/>
        <v>0</v>
      </c>
      <c r="AN303" s="9"/>
    </row>
    <row r="304" spans="1:118" hidden="1" outlineLevel="2">
      <c r="A304" s="12" t="s">
        <v>91</v>
      </c>
      <c r="I304" s="226" t="s">
        <v>350</v>
      </c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45">
        <f t="shared" si="64"/>
        <v>0</v>
      </c>
      <c r="W304" s="73" t="e">
        <f t="shared" si="61"/>
        <v>#DIV/0!</v>
      </c>
      <c r="X304" s="89"/>
      <c r="Y304" s="252"/>
      <c r="Z304" s="252"/>
      <c r="AA304" s="252"/>
      <c r="AB304" s="252"/>
      <c r="AC304" s="252"/>
      <c r="AD304" s="252">
        <v>0</v>
      </c>
      <c r="AE304" s="252">
        <v>0</v>
      </c>
      <c r="AF304" s="252">
        <v>0</v>
      </c>
      <c r="AG304" s="252">
        <v>0</v>
      </c>
      <c r="AH304" s="252">
        <v>0</v>
      </c>
      <c r="AI304" s="252">
        <v>0</v>
      </c>
      <c r="AJ304" s="252">
        <v>0</v>
      </c>
      <c r="AK304" s="245">
        <f t="shared" si="65"/>
        <v>0</v>
      </c>
      <c r="AL304" s="73" t="e">
        <f t="shared" si="63"/>
        <v>#DIV/0!</v>
      </c>
      <c r="AM304" s="161">
        <f t="shared" si="59"/>
        <v>0</v>
      </c>
      <c r="AN304" s="9"/>
    </row>
    <row r="305" spans="1:40" hidden="1" outlineLevel="2">
      <c r="A305" s="12" t="s">
        <v>91</v>
      </c>
      <c r="I305" s="226" t="s">
        <v>351</v>
      </c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45">
        <f t="shared" si="64"/>
        <v>0</v>
      </c>
      <c r="W305" s="73" t="e">
        <f t="shared" si="61"/>
        <v>#DIV/0!</v>
      </c>
      <c r="X305" s="89"/>
      <c r="Y305" s="252"/>
      <c r="Z305" s="252"/>
      <c r="AA305" s="252"/>
      <c r="AB305" s="252"/>
      <c r="AC305" s="252"/>
      <c r="AD305" s="252">
        <v>0</v>
      </c>
      <c r="AE305" s="252">
        <v>0</v>
      </c>
      <c r="AF305" s="252">
        <v>0</v>
      </c>
      <c r="AG305" s="252">
        <v>0</v>
      </c>
      <c r="AH305" s="252">
        <v>0</v>
      </c>
      <c r="AI305" s="252">
        <v>0</v>
      </c>
      <c r="AJ305" s="252">
        <v>0</v>
      </c>
      <c r="AK305" s="245">
        <f t="shared" si="65"/>
        <v>0</v>
      </c>
      <c r="AL305" s="73" t="e">
        <f t="shared" si="63"/>
        <v>#DIV/0!</v>
      </c>
      <c r="AM305" s="161">
        <f t="shared" si="59"/>
        <v>0</v>
      </c>
      <c r="AN305" s="9"/>
    </row>
    <row r="306" spans="1:40" hidden="1" outlineLevel="2">
      <c r="A306" s="12" t="s">
        <v>91</v>
      </c>
      <c r="I306" s="226" t="s">
        <v>352</v>
      </c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45">
        <f t="shared" si="64"/>
        <v>0</v>
      </c>
      <c r="W306" s="73" t="e">
        <f t="shared" si="61"/>
        <v>#DIV/0!</v>
      </c>
      <c r="X306" s="89"/>
      <c r="Y306" s="252"/>
      <c r="Z306" s="252"/>
      <c r="AA306" s="252"/>
      <c r="AB306" s="252"/>
      <c r="AC306" s="252"/>
      <c r="AD306" s="252">
        <v>0</v>
      </c>
      <c r="AE306" s="252">
        <v>0</v>
      </c>
      <c r="AF306" s="252">
        <v>0</v>
      </c>
      <c r="AG306" s="252">
        <v>0</v>
      </c>
      <c r="AH306" s="252">
        <v>0</v>
      </c>
      <c r="AI306" s="252">
        <v>0</v>
      </c>
      <c r="AJ306" s="252">
        <v>0</v>
      </c>
      <c r="AK306" s="245">
        <f t="shared" si="65"/>
        <v>0</v>
      </c>
      <c r="AL306" s="73" t="e">
        <f t="shared" si="63"/>
        <v>#DIV/0!</v>
      </c>
      <c r="AM306" s="161">
        <f t="shared" si="59"/>
        <v>0</v>
      </c>
      <c r="AN306" s="9"/>
    </row>
    <row r="307" spans="1:40" hidden="1" outlineLevel="2">
      <c r="A307" s="12" t="s">
        <v>91</v>
      </c>
      <c r="I307" s="226" t="s">
        <v>353</v>
      </c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45">
        <f t="shared" si="64"/>
        <v>0</v>
      </c>
      <c r="W307" s="73" t="e">
        <f t="shared" si="61"/>
        <v>#DIV/0!</v>
      </c>
      <c r="X307" s="89"/>
      <c r="Y307" s="252"/>
      <c r="Z307" s="252"/>
      <c r="AA307" s="252"/>
      <c r="AB307" s="252"/>
      <c r="AC307" s="252"/>
      <c r="AD307" s="252">
        <v>0</v>
      </c>
      <c r="AE307" s="252">
        <v>0</v>
      </c>
      <c r="AF307" s="252">
        <v>0</v>
      </c>
      <c r="AG307" s="252">
        <v>0</v>
      </c>
      <c r="AH307" s="252">
        <v>0</v>
      </c>
      <c r="AI307" s="252">
        <v>0</v>
      </c>
      <c r="AJ307" s="252">
        <v>0</v>
      </c>
      <c r="AK307" s="245">
        <f t="shared" si="65"/>
        <v>0</v>
      </c>
      <c r="AL307" s="73" t="e">
        <f t="shared" si="63"/>
        <v>#DIV/0!</v>
      </c>
      <c r="AM307" s="161">
        <f t="shared" si="59"/>
        <v>0</v>
      </c>
      <c r="AN307" s="9"/>
    </row>
    <row r="308" spans="1:40" hidden="1" outlineLevel="2">
      <c r="A308" s="12" t="s">
        <v>91</v>
      </c>
      <c r="D308" s="140"/>
      <c r="I308" s="226" t="s">
        <v>354</v>
      </c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45">
        <f t="shared" si="64"/>
        <v>0</v>
      </c>
      <c r="W308" s="73" t="e">
        <f t="shared" si="61"/>
        <v>#DIV/0!</v>
      </c>
      <c r="X308" s="89"/>
      <c r="Y308" s="252"/>
      <c r="Z308" s="252"/>
      <c r="AA308" s="252"/>
      <c r="AB308" s="252"/>
      <c r="AC308" s="252"/>
      <c r="AD308" s="252">
        <v>0</v>
      </c>
      <c r="AE308" s="252">
        <v>0</v>
      </c>
      <c r="AF308" s="252">
        <v>0</v>
      </c>
      <c r="AG308" s="252">
        <v>0</v>
      </c>
      <c r="AH308" s="252">
        <v>0</v>
      </c>
      <c r="AI308" s="252">
        <v>0</v>
      </c>
      <c r="AJ308" s="252">
        <v>0</v>
      </c>
      <c r="AK308" s="245">
        <f t="shared" si="65"/>
        <v>0</v>
      </c>
      <c r="AL308" s="73" t="e">
        <f t="shared" si="63"/>
        <v>#DIV/0!</v>
      </c>
      <c r="AM308" s="161">
        <f t="shared" si="59"/>
        <v>0</v>
      </c>
      <c r="AN308" s="9"/>
    </row>
    <row r="309" spans="1:40" hidden="1" outlineLevel="2">
      <c r="A309" s="12" t="s">
        <v>91</v>
      </c>
      <c r="D309" s="140"/>
      <c r="I309" s="226" t="s">
        <v>355</v>
      </c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45">
        <f t="shared" si="64"/>
        <v>0</v>
      </c>
      <c r="W309" s="73" t="e">
        <f t="shared" si="61"/>
        <v>#DIV/0!</v>
      </c>
      <c r="X309" s="89"/>
      <c r="Y309" s="252"/>
      <c r="Z309" s="252"/>
      <c r="AA309" s="252"/>
      <c r="AB309" s="252"/>
      <c r="AC309" s="252"/>
      <c r="AD309" s="252">
        <v>0</v>
      </c>
      <c r="AE309" s="252">
        <v>0</v>
      </c>
      <c r="AF309" s="252">
        <v>0</v>
      </c>
      <c r="AG309" s="252">
        <v>0</v>
      </c>
      <c r="AH309" s="252">
        <v>0</v>
      </c>
      <c r="AI309" s="252">
        <v>0</v>
      </c>
      <c r="AJ309" s="252">
        <v>0</v>
      </c>
      <c r="AK309" s="245">
        <f t="shared" si="65"/>
        <v>0</v>
      </c>
      <c r="AL309" s="73" t="e">
        <f t="shared" si="63"/>
        <v>#DIV/0!</v>
      </c>
      <c r="AM309" s="161">
        <f t="shared" si="59"/>
        <v>0</v>
      </c>
      <c r="AN309" s="9"/>
    </row>
    <row r="310" spans="1:40" hidden="1" outlineLevel="2">
      <c r="A310" s="12" t="s">
        <v>91</v>
      </c>
      <c r="D310" s="140"/>
      <c r="I310" s="226" t="s">
        <v>356</v>
      </c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45">
        <f t="shared" si="64"/>
        <v>0</v>
      </c>
      <c r="W310" s="73" t="e">
        <f t="shared" si="61"/>
        <v>#DIV/0!</v>
      </c>
      <c r="X310" s="89"/>
      <c r="Y310" s="252"/>
      <c r="Z310" s="252"/>
      <c r="AA310" s="252"/>
      <c r="AB310" s="252"/>
      <c r="AC310" s="252"/>
      <c r="AD310" s="252">
        <v>0</v>
      </c>
      <c r="AE310" s="252">
        <v>0</v>
      </c>
      <c r="AF310" s="252">
        <v>0</v>
      </c>
      <c r="AG310" s="252">
        <v>0</v>
      </c>
      <c r="AH310" s="252">
        <v>0</v>
      </c>
      <c r="AI310" s="252">
        <v>0</v>
      </c>
      <c r="AJ310" s="252">
        <v>0</v>
      </c>
      <c r="AK310" s="245">
        <f t="shared" si="65"/>
        <v>0</v>
      </c>
      <c r="AL310" s="73" t="e">
        <f t="shared" si="63"/>
        <v>#DIV/0!</v>
      </c>
      <c r="AM310" s="161">
        <f t="shared" si="59"/>
        <v>0</v>
      </c>
      <c r="AN310" s="9"/>
    </row>
    <row r="311" spans="1:40" hidden="1" outlineLevel="2">
      <c r="A311" s="12" t="s">
        <v>91</v>
      </c>
      <c r="D311" s="140"/>
      <c r="I311" s="226" t="s">
        <v>357</v>
      </c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45">
        <f t="shared" si="64"/>
        <v>0</v>
      </c>
      <c r="W311" s="73" t="e">
        <f t="shared" si="61"/>
        <v>#DIV/0!</v>
      </c>
      <c r="X311" s="89"/>
      <c r="Y311" s="252"/>
      <c r="Z311" s="252"/>
      <c r="AA311" s="252"/>
      <c r="AB311" s="252"/>
      <c r="AC311" s="252"/>
      <c r="AD311" s="252">
        <v>0</v>
      </c>
      <c r="AE311" s="252">
        <v>0</v>
      </c>
      <c r="AF311" s="252">
        <v>0</v>
      </c>
      <c r="AG311" s="252">
        <v>0</v>
      </c>
      <c r="AH311" s="252">
        <v>0</v>
      </c>
      <c r="AI311" s="252">
        <v>0</v>
      </c>
      <c r="AJ311" s="252">
        <v>0</v>
      </c>
      <c r="AK311" s="245">
        <f t="shared" si="65"/>
        <v>0</v>
      </c>
      <c r="AL311" s="73" t="e">
        <f t="shared" si="63"/>
        <v>#DIV/0!</v>
      </c>
      <c r="AM311" s="161">
        <f t="shared" si="59"/>
        <v>0</v>
      </c>
      <c r="AN311" s="9"/>
    </row>
    <row r="312" spans="1:40" hidden="1" outlineLevel="2">
      <c r="A312" s="12"/>
      <c r="D312" s="140"/>
      <c r="I312" s="226" t="s">
        <v>358</v>
      </c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45"/>
      <c r="W312" s="73"/>
      <c r="X312" s="89"/>
      <c r="Y312" s="252"/>
      <c r="Z312" s="252"/>
      <c r="AA312" s="252"/>
      <c r="AB312" s="252"/>
      <c r="AC312" s="252"/>
      <c r="AD312" s="252"/>
      <c r="AE312" s="252"/>
      <c r="AF312" s="252"/>
      <c r="AG312" s="252"/>
      <c r="AH312" s="252"/>
      <c r="AI312" s="252"/>
      <c r="AJ312" s="252"/>
      <c r="AK312" s="245"/>
      <c r="AL312" s="73"/>
      <c r="AM312" s="161"/>
      <c r="AN312" s="9"/>
    </row>
    <row r="313" spans="1:40" hidden="1" outlineLevel="2">
      <c r="A313" s="12"/>
      <c r="D313" s="140"/>
      <c r="I313" s="226" t="s">
        <v>359</v>
      </c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45"/>
      <c r="W313" s="73"/>
      <c r="X313" s="89"/>
      <c r="Y313" s="252"/>
      <c r="Z313" s="252"/>
      <c r="AA313" s="252"/>
      <c r="AB313" s="252"/>
      <c r="AC313" s="252"/>
      <c r="AD313" s="252"/>
      <c r="AE313" s="252"/>
      <c r="AF313" s="252"/>
      <c r="AG313" s="252"/>
      <c r="AH313" s="252"/>
      <c r="AI313" s="252"/>
      <c r="AJ313" s="252"/>
      <c r="AK313" s="245"/>
      <c r="AL313" s="73"/>
      <c r="AM313" s="161"/>
      <c r="AN313" s="9"/>
    </row>
    <row r="314" spans="1:40" hidden="1" outlineLevel="2">
      <c r="A314" s="12"/>
      <c r="D314" s="140"/>
      <c r="I314" s="226" t="s">
        <v>420</v>
      </c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45"/>
      <c r="W314" s="73"/>
      <c r="X314" s="89"/>
      <c r="Y314" s="252"/>
      <c r="Z314" s="252"/>
      <c r="AA314" s="252"/>
      <c r="AB314" s="252"/>
      <c r="AC314" s="252"/>
      <c r="AD314" s="252"/>
      <c r="AE314" s="252"/>
      <c r="AF314" s="252"/>
      <c r="AG314" s="252"/>
      <c r="AH314" s="252"/>
      <c r="AI314" s="252"/>
      <c r="AJ314" s="252"/>
      <c r="AK314" s="245"/>
      <c r="AL314" s="73"/>
      <c r="AM314" s="161"/>
      <c r="AN314" s="9"/>
    </row>
    <row r="315" spans="1:40" hidden="1" outlineLevel="2">
      <c r="A315" s="12"/>
      <c r="D315" s="140"/>
      <c r="I315" s="226" t="s">
        <v>421</v>
      </c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45"/>
      <c r="W315" s="73"/>
      <c r="X315" s="89"/>
      <c r="Y315" s="252"/>
      <c r="Z315" s="252"/>
      <c r="AA315" s="252"/>
      <c r="AB315" s="252"/>
      <c r="AC315" s="252"/>
      <c r="AD315" s="252"/>
      <c r="AE315" s="252"/>
      <c r="AF315" s="252"/>
      <c r="AG315" s="252"/>
      <c r="AH315" s="252"/>
      <c r="AI315" s="252"/>
      <c r="AJ315" s="252"/>
      <c r="AK315" s="245"/>
      <c r="AL315" s="73"/>
      <c r="AM315" s="161"/>
      <c r="AN315" s="9"/>
    </row>
    <row r="316" spans="1:40" hidden="1" outlineLevel="2">
      <c r="A316" s="12"/>
      <c r="D316" s="140"/>
      <c r="I316" s="226" t="s">
        <v>422</v>
      </c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45"/>
      <c r="W316" s="73"/>
      <c r="X316" s="89"/>
      <c r="Y316" s="252"/>
      <c r="Z316" s="252"/>
      <c r="AA316" s="252"/>
      <c r="AB316" s="252"/>
      <c r="AC316" s="252"/>
      <c r="AD316" s="252"/>
      <c r="AE316" s="252"/>
      <c r="AF316" s="252"/>
      <c r="AG316" s="252"/>
      <c r="AH316" s="252"/>
      <c r="AI316" s="252"/>
      <c r="AJ316" s="252"/>
      <c r="AK316" s="245"/>
      <c r="AL316" s="73"/>
      <c r="AM316" s="161"/>
      <c r="AN316" s="9"/>
    </row>
    <row r="317" spans="1:40" hidden="1" outlineLevel="2">
      <c r="A317" s="12"/>
      <c r="D317" s="140"/>
      <c r="I317" s="226" t="s">
        <v>423</v>
      </c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45"/>
      <c r="W317" s="73"/>
      <c r="X317" s="89"/>
      <c r="Y317" s="252"/>
      <c r="Z317" s="252"/>
      <c r="AA317" s="252"/>
      <c r="AB317" s="252"/>
      <c r="AC317" s="252"/>
      <c r="AD317" s="252"/>
      <c r="AE317" s="252"/>
      <c r="AF317" s="252"/>
      <c r="AG317" s="252"/>
      <c r="AH317" s="252"/>
      <c r="AI317" s="252"/>
      <c r="AJ317" s="252"/>
      <c r="AK317" s="245"/>
      <c r="AL317" s="73"/>
      <c r="AM317" s="161"/>
      <c r="AN317" s="9"/>
    </row>
    <row r="318" spans="1:40">
      <c r="A318" s="12"/>
      <c r="D318" s="140"/>
      <c r="I318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79"/>
      <c r="X318" s="89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79"/>
      <c r="AM318" s="162"/>
      <c r="AN318" s="9"/>
    </row>
    <row r="319" spans="1:40" collapsed="1">
      <c r="A319" s="12"/>
      <c r="D319" s="140"/>
      <c r="E319" s="7" t="s">
        <v>111</v>
      </c>
      <c r="I319" s="144" t="s">
        <v>360</v>
      </c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>
        <f>SUM(V320:V349)</f>
        <v>0</v>
      </c>
      <c r="W319" s="79" t="e">
        <f t="shared" ref="W319:W328" si="66">V319/V$6</f>
        <v>#DIV/0!</v>
      </c>
      <c r="X319" s="89"/>
      <c r="Y319" s="262">
        <f t="shared" ref="Y319:AK319" si="67">SUM(Y320:Y349)</f>
        <v>0</v>
      </c>
      <c r="Z319" s="262">
        <f t="shared" si="67"/>
        <v>0</v>
      </c>
      <c r="AA319" s="262">
        <f t="shared" si="67"/>
        <v>0</v>
      </c>
      <c r="AB319" s="262">
        <f t="shared" si="67"/>
        <v>0</v>
      </c>
      <c r="AC319" s="262">
        <f t="shared" si="67"/>
        <v>0</v>
      </c>
      <c r="AD319" s="262">
        <f t="shared" si="67"/>
        <v>0</v>
      </c>
      <c r="AE319" s="262">
        <f t="shared" si="67"/>
        <v>0</v>
      </c>
      <c r="AF319" s="262">
        <f t="shared" si="67"/>
        <v>0</v>
      </c>
      <c r="AG319" s="262">
        <f t="shared" si="67"/>
        <v>0</v>
      </c>
      <c r="AH319" s="262">
        <f t="shared" si="67"/>
        <v>0</v>
      </c>
      <c r="AI319" s="262">
        <f t="shared" si="67"/>
        <v>0</v>
      </c>
      <c r="AJ319" s="262">
        <f t="shared" si="67"/>
        <v>0</v>
      </c>
      <c r="AK319" s="262">
        <f t="shared" si="67"/>
        <v>0</v>
      </c>
      <c r="AL319" s="79" t="e">
        <f t="shared" ref="AL319:AL328" si="68">AK319/AK$6</f>
        <v>#DIV/0!</v>
      </c>
      <c r="AM319" s="10">
        <f t="shared" si="59"/>
        <v>0</v>
      </c>
      <c r="AN319" s="9"/>
    </row>
    <row r="320" spans="1:40" hidden="1" outlineLevel="1">
      <c r="A320" s="12" t="s">
        <v>361</v>
      </c>
      <c r="I320" s="218" t="s">
        <v>362</v>
      </c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45">
        <f>SUM(J320:U320)</f>
        <v>0</v>
      </c>
      <c r="W320" s="73" t="e">
        <f t="shared" si="66"/>
        <v>#DIV/0!</v>
      </c>
      <c r="X320" s="89"/>
      <c r="Y320" s="252">
        <v>0</v>
      </c>
      <c r="Z320" s="252">
        <v>0</v>
      </c>
      <c r="AA320" s="252">
        <v>0</v>
      </c>
      <c r="AB320" s="252">
        <v>0</v>
      </c>
      <c r="AC320" s="252">
        <v>0</v>
      </c>
      <c r="AD320" s="252">
        <v>0</v>
      </c>
      <c r="AE320" s="252">
        <v>0</v>
      </c>
      <c r="AF320" s="252">
        <v>0</v>
      </c>
      <c r="AG320" s="252">
        <v>0</v>
      </c>
      <c r="AH320" s="252">
        <v>0</v>
      </c>
      <c r="AI320" s="252">
        <v>0</v>
      </c>
      <c r="AJ320" s="252">
        <v>0</v>
      </c>
      <c r="AK320" s="245">
        <f>SUM(Y320:AJ320)</f>
        <v>0</v>
      </c>
      <c r="AL320" s="73" t="e">
        <f t="shared" si="68"/>
        <v>#DIV/0!</v>
      </c>
      <c r="AM320" s="14">
        <f t="shared" si="59"/>
        <v>0</v>
      </c>
      <c r="AN320" s="9"/>
    </row>
    <row r="321" spans="1:40" hidden="1" outlineLevel="1">
      <c r="A321" s="12" t="s">
        <v>367</v>
      </c>
      <c r="I321" s="218" t="s">
        <v>363</v>
      </c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45">
        <f t="shared" ref="V321:V328" si="69">SUM(J321:U321)</f>
        <v>0</v>
      </c>
      <c r="W321" s="73" t="e">
        <f t="shared" si="66"/>
        <v>#DIV/0!</v>
      </c>
      <c r="X321" s="89"/>
      <c r="Y321" s="252">
        <v>0</v>
      </c>
      <c r="Z321" s="252">
        <v>0</v>
      </c>
      <c r="AA321" s="252">
        <v>0</v>
      </c>
      <c r="AB321" s="252">
        <v>0</v>
      </c>
      <c r="AC321" s="252">
        <v>0</v>
      </c>
      <c r="AD321" s="252">
        <v>0</v>
      </c>
      <c r="AE321" s="252">
        <v>0</v>
      </c>
      <c r="AF321" s="252">
        <v>0</v>
      </c>
      <c r="AG321" s="252">
        <v>0</v>
      </c>
      <c r="AH321" s="252">
        <v>0</v>
      </c>
      <c r="AI321" s="252">
        <v>0</v>
      </c>
      <c r="AJ321" s="252">
        <v>0</v>
      </c>
      <c r="AK321" s="245">
        <f t="shared" ref="AK321:AK328" si="70">SUM(Y321:AJ321)</f>
        <v>0</v>
      </c>
      <c r="AL321" s="73" t="e">
        <f t="shared" si="68"/>
        <v>#DIV/0!</v>
      </c>
      <c r="AM321" s="14">
        <f t="shared" si="59"/>
        <v>0</v>
      </c>
      <c r="AN321" s="9"/>
    </row>
    <row r="322" spans="1:40" hidden="1" outlineLevel="1">
      <c r="A322" s="12" t="s">
        <v>424</v>
      </c>
      <c r="I322" s="218" t="s">
        <v>364</v>
      </c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45">
        <f t="shared" si="69"/>
        <v>0</v>
      </c>
      <c r="W322" s="73" t="e">
        <f t="shared" si="66"/>
        <v>#DIV/0!</v>
      </c>
      <c r="X322" s="89"/>
      <c r="Y322" s="252">
        <v>0</v>
      </c>
      <c r="Z322" s="252">
        <v>0</v>
      </c>
      <c r="AA322" s="252">
        <v>0</v>
      </c>
      <c r="AB322" s="252">
        <v>0</v>
      </c>
      <c r="AC322" s="252">
        <v>0</v>
      </c>
      <c r="AD322" s="252">
        <v>0</v>
      </c>
      <c r="AE322" s="252">
        <v>0</v>
      </c>
      <c r="AF322" s="252">
        <v>0</v>
      </c>
      <c r="AG322" s="252">
        <v>0</v>
      </c>
      <c r="AH322" s="252">
        <v>0</v>
      </c>
      <c r="AI322" s="252">
        <v>0</v>
      </c>
      <c r="AJ322" s="252">
        <v>0</v>
      </c>
      <c r="AK322" s="245">
        <f t="shared" si="70"/>
        <v>0</v>
      </c>
      <c r="AL322" s="73" t="e">
        <f t="shared" si="68"/>
        <v>#DIV/0!</v>
      </c>
      <c r="AM322" s="14">
        <f t="shared" si="59"/>
        <v>0</v>
      </c>
      <c r="AN322" s="9"/>
    </row>
    <row r="323" spans="1:40" hidden="1" outlineLevel="1">
      <c r="A323" s="12" t="s">
        <v>425</v>
      </c>
      <c r="I323" s="218" t="s">
        <v>365</v>
      </c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45">
        <f t="shared" si="69"/>
        <v>0</v>
      </c>
      <c r="W323" s="73" t="e">
        <f t="shared" si="66"/>
        <v>#DIV/0!</v>
      </c>
      <c r="X323" s="89"/>
      <c r="Y323" s="252">
        <v>0</v>
      </c>
      <c r="Z323" s="252">
        <v>0</v>
      </c>
      <c r="AA323" s="252">
        <v>0</v>
      </c>
      <c r="AB323" s="252">
        <v>0</v>
      </c>
      <c r="AC323" s="252">
        <v>0</v>
      </c>
      <c r="AD323" s="252">
        <v>0</v>
      </c>
      <c r="AE323" s="252">
        <v>0</v>
      </c>
      <c r="AF323" s="252">
        <v>0</v>
      </c>
      <c r="AG323" s="252">
        <v>0</v>
      </c>
      <c r="AH323" s="252">
        <v>0</v>
      </c>
      <c r="AI323" s="252">
        <v>0</v>
      </c>
      <c r="AJ323" s="252">
        <v>0</v>
      </c>
      <c r="AK323" s="245">
        <f t="shared" si="70"/>
        <v>0</v>
      </c>
      <c r="AL323" s="73" t="e">
        <f t="shared" si="68"/>
        <v>#DIV/0!</v>
      </c>
      <c r="AM323" s="14">
        <f t="shared" si="59"/>
        <v>0</v>
      </c>
      <c r="AN323" s="9"/>
    </row>
    <row r="324" spans="1:40" hidden="1" outlineLevel="1">
      <c r="A324" s="12" t="s">
        <v>426</v>
      </c>
      <c r="I324" s="218" t="s">
        <v>366</v>
      </c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45">
        <f t="shared" si="69"/>
        <v>0</v>
      </c>
      <c r="W324" s="73" t="e">
        <f t="shared" si="66"/>
        <v>#DIV/0!</v>
      </c>
      <c r="X324" s="89"/>
      <c r="Y324" s="252">
        <v>0</v>
      </c>
      <c r="Z324" s="252">
        <v>0</v>
      </c>
      <c r="AA324" s="252">
        <v>0</v>
      </c>
      <c r="AB324" s="252">
        <v>0</v>
      </c>
      <c r="AC324" s="252">
        <v>0</v>
      </c>
      <c r="AD324" s="252">
        <v>0</v>
      </c>
      <c r="AE324" s="252">
        <v>0</v>
      </c>
      <c r="AF324" s="252">
        <v>0</v>
      </c>
      <c r="AG324" s="252">
        <v>0</v>
      </c>
      <c r="AH324" s="252">
        <v>0</v>
      </c>
      <c r="AI324" s="252">
        <v>0</v>
      </c>
      <c r="AJ324" s="252">
        <v>0</v>
      </c>
      <c r="AK324" s="245">
        <f t="shared" si="70"/>
        <v>0</v>
      </c>
      <c r="AL324" s="73" t="e">
        <f t="shared" si="68"/>
        <v>#DIV/0!</v>
      </c>
      <c r="AM324" s="14">
        <f t="shared" si="59"/>
        <v>0</v>
      </c>
      <c r="AN324" s="9"/>
    </row>
    <row r="325" spans="1:40" hidden="1" outlineLevel="1">
      <c r="A325" s="12" t="s">
        <v>427</v>
      </c>
      <c r="I325" s="218" t="s">
        <v>428</v>
      </c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45">
        <f t="shared" si="69"/>
        <v>0</v>
      </c>
      <c r="W325" s="73" t="e">
        <f t="shared" si="66"/>
        <v>#DIV/0!</v>
      </c>
      <c r="X325" s="89"/>
      <c r="Y325" s="252">
        <v>0</v>
      </c>
      <c r="Z325" s="252">
        <v>0</v>
      </c>
      <c r="AA325" s="252">
        <v>0</v>
      </c>
      <c r="AB325" s="252">
        <v>0</v>
      </c>
      <c r="AC325" s="252">
        <v>0</v>
      </c>
      <c r="AD325" s="252">
        <v>0</v>
      </c>
      <c r="AE325" s="252">
        <v>0</v>
      </c>
      <c r="AF325" s="252">
        <v>0</v>
      </c>
      <c r="AG325" s="252">
        <v>0</v>
      </c>
      <c r="AH325" s="252">
        <v>0</v>
      </c>
      <c r="AI325" s="252">
        <v>0</v>
      </c>
      <c r="AJ325" s="252">
        <v>0</v>
      </c>
      <c r="AK325" s="245">
        <f t="shared" si="70"/>
        <v>0</v>
      </c>
      <c r="AL325" s="73" t="e">
        <f t="shared" si="68"/>
        <v>#DIV/0!</v>
      </c>
      <c r="AM325" s="14">
        <f t="shared" si="59"/>
        <v>0</v>
      </c>
      <c r="AN325" s="9"/>
    </row>
    <row r="326" spans="1:40" hidden="1" outlineLevel="1">
      <c r="A326" s="12"/>
      <c r="I326" s="218" t="s">
        <v>367</v>
      </c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45">
        <f t="shared" si="69"/>
        <v>0</v>
      </c>
      <c r="W326" s="73" t="e">
        <f t="shared" si="66"/>
        <v>#DIV/0!</v>
      </c>
      <c r="X326" s="89"/>
      <c r="Y326" s="252">
        <v>0</v>
      </c>
      <c r="Z326" s="252">
        <v>0</v>
      </c>
      <c r="AA326" s="252">
        <v>0</v>
      </c>
      <c r="AB326" s="252">
        <v>0</v>
      </c>
      <c r="AC326" s="252">
        <v>0</v>
      </c>
      <c r="AD326" s="252">
        <v>0</v>
      </c>
      <c r="AE326" s="252">
        <v>0</v>
      </c>
      <c r="AF326" s="252">
        <v>0</v>
      </c>
      <c r="AG326" s="252">
        <v>0</v>
      </c>
      <c r="AH326" s="252">
        <v>0</v>
      </c>
      <c r="AI326" s="252">
        <v>0</v>
      </c>
      <c r="AJ326" s="252">
        <v>0</v>
      </c>
      <c r="AK326" s="245">
        <f t="shared" si="70"/>
        <v>0</v>
      </c>
      <c r="AL326" s="73" t="e">
        <f t="shared" si="68"/>
        <v>#DIV/0!</v>
      </c>
      <c r="AM326" s="14">
        <f t="shared" si="59"/>
        <v>0</v>
      </c>
      <c r="AN326" s="9"/>
    </row>
    <row r="327" spans="1:40" hidden="1" outlineLevel="1">
      <c r="A327" s="12"/>
      <c r="I327" s="218" t="s">
        <v>368</v>
      </c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45">
        <f t="shared" si="69"/>
        <v>0</v>
      </c>
      <c r="W327" s="73" t="e">
        <f t="shared" si="66"/>
        <v>#DIV/0!</v>
      </c>
      <c r="X327" s="89"/>
      <c r="Y327" s="252">
        <v>0</v>
      </c>
      <c r="Z327" s="252">
        <v>0</v>
      </c>
      <c r="AA327" s="252">
        <v>0</v>
      </c>
      <c r="AB327" s="252">
        <v>0</v>
      </c>
      <c r="AC327" s="252">
        <v>0</v>
      </c>
      <c r="AD327" s="252">
        <v>0</v>
      </c>
      <c r="AE327" s="252">
        <v>0</v>
      </c>
      <c r="AF327" s="252">
        <v>0</v>
      </c>
      <c r="AG327" s="252">
        <v>0</v>
      </c>
      <c r="AH327" s="252">
        <v>0</v>
      </c>
      <c r="AI327" s="252">
        <v>0</v>
      </c>
      <c r="AJ327" s="252">
        <v>0</v>
      </c>
      <c r="AK327" s="245">
        <f t="shared" si="70"/>
        <v>0</v>
      </c>
      <c r="AL327" s="73" t="e">
        <f t="shared" si="68"/>
        <v>#DIV/0!</v>
      </c>
      <c r="AM327" s="14">
        <f t="shared" si="59"/>
        <v>0</v>
      </c>
      <c r="AN327" s="9"/>
    </row>
    <row r="328" spans="1:40" hidden="1" outlineLevel="1">
      <c r="A328" s="12" t="s">
        <v>429</v>
      </c>
      <c r="I328" s="218" t="s">
        <v>369</v>
      </c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45">
        <f t="shared" si="69"/>
        <v>0</v>
      </c>
      <c r="W328" s="73" t="e">
        <f t="shared" si="66"/>
        <v>#DIV/0!</v>
      </c>
      <c r="X328" s="89"/>
      <c r="Y328" s="252">
        <v>0</v>
      </c>
      <c r="Z328" s="252">
        <v>0</v>
      </c>
      <c r="AA328" s="252">
        <v>0</v>
      </c>
      <c r="AB328" s="252">
        <v>0</v>
      </c>
      <c r="AC328" s="252">
        <v>0</v>
      </c>
      <c r="AD328" s="252">
        <v>0</v>
      </c>
      <c r="AE328" s="252">
        <v>0</v>
      </c>
      <c r="AF328" s="252">
        <v>0</v>
      </c>
      <c r="AG328" s="252">
        <v>0</v>
      </c>
      <c r="AH328" s="252">
        <v>0</v>
      </c>
      <c r="AI328" s="252">
        <v>0</v>
      </c>
      <c r="AJ328" s="252">
        <v>0</v>
      </c>
      <c r="AK328" s="245">
        <f t="shared" si="70"/>
        <v>0</v>
      </c>
      <c r="AL328" s="73" t="e">
        <f t="shared" si="68"/>
        <v>#DIV/0!</v>
      </c>
      <c r="AM328" s="14">
        <f t="shared" si="59"/>
        <v>0</v>
      </c>
      <c r="AN328" s="9"/>
    </row>
    <row r="329" spans="1:40" hidden="1" outlineLevel="1">
      <c r="A329" s="12"/>
      <c r="I329" s="218" t="s">
        <v>370</v>
      </c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45"/>
      <c r="W329" s="73"/>
      <c r="X329" s="89"/>
      <c r="Y329" s="252"/>
      <c r="Z329" s="252"/>
      <c r="AA329" s="252"/>
      <c r="AB329" s="252"/>
      <c r="AC329" s="252"/>
      <c r="AD329" s="252"/>
      <c r="AE329" s="252"/>
      <c r="AF329" s="252"/>
      <c r="AG329" s="252"/>
      <c r="AH329" s="252"/>
      <c r="AI329" s="252"/>
      <c r="AJ329" s="252"/>
      <c r="AK329" s="245"/>
      <c r="AL329" s="73"/>
      <c r="AM329" s="14"/>
      <c r="AN329" s="9"/>
    </row>
    <row r="330" spans="1:40" hidden="1" outlineLevel="1">
      <c r="A330" s="12"/>
      <c r="I330" s="218" t="s">
        <v>430</v>
      </c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45"/>
      <c r="W330" s="73"/>
      <c r="X330" s="89"/>
      <c r="Y330" s="252"/>
      <c r="Z330" s="252"/>
      <c r="AA330" s="252"/>
      <c r="AB330" s="252"/>
      <c r="AC330" s="252"/>
      <c r="AD330" s="252"/>
      <c r="AE330" s="252"/>
      <c r="AF330" s="252"/>
      <c r="AG330" s="252"/>
      <c r="AH330" s="252"/>
      <c r="AI330" s="252"/>
      <c r="AJ330" s="252"/>
      <c r="AK330" s="245"/>
      <c r="AL330" s="73"/>
      <c r="AM330" s="14"/>
      <c r="AN330" s="9"/>
    </row>
    <row r="331" spans="1:40" hidden="1" outlineLevel="1">
      <c r="A331" s="12"/>
      <c r="I331" s="218" t="s">
        <v>371</v>
      </c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45"/>
      <c r="W331" s="73"/>
      <c r="X331" s="89"/>
      <c r="Y331" s="252"/>
      <c r="Z331" s="252"/>
      <c r="AA331" s="252"/>
      <c r="AB331" s="252"/>
      <c r="AC331" s="252"/>
      <c r="AD331" s="252"/>
      <c r="AE331" s="252"/>
      <c r="AF331" s="252"/>
      <c r="AG331" s="252"/>
      <c r="AH331" s="252"/>
      <c r="AI331" s="252"/>
      <c r="AJ331" s="252"/>
      <c r="AK331" s="245"/>
      <c r="AL331" s="73"/>
      <c r="AM331" s="14"/>
      <c r="AN331" s="9"/>
    </row>
    <row r="332" spans="1:40" hidden="1" outlineLevel="1">
      <c r="A332" s="12"/>
      <c r="I332" s="218" t="s">
        <v>431</v>
      </c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45"/>
      <c r="W332" s="73"/>
      <c r="X332" s="89"/>
      <c r="Y332" s="252"/>
      <c r="Z332" s="252"/>
      <c r="AA332" s="252"/>
      <c r="AB332" s="252"/>
      <c r="AC332" s="252"/>
      <c r="AD332" s="252"/>
      <c r="AE332" s="252"/>
      <c r="AF332" s="252"/>
      <c r="AG332" s="252"/>
      <c r="AH332" s="252"/>
      <c r="AI332" s="252"/>
      <c r="AJ332" s="252"/>
      <c r="AK332" s="245"/>
      <c r="AL332" s="73"/>
      <c r="AM332" s="14"/>
      <c r="AN332" s="9"/>
    </row>
    <row r="333" spans="1:40" hidden="1" outlineLevel="1">
      <c r="A333" s="12"/>
      <c r="I333" s="218" t="s">
        <v>372</v>
      </c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45"/>
      <c r="W333" s="73"/>
      <c r="X333" s="89"/>
      <c r="Y333" s="252"/>
      <c r="Z333" s="252"/>
      <c r="AA333" s="252"/>
      <c r="AB333" s="252"/>
      <c r="AC333" s="252"/>
      <c r="AD333" s="252"/>
      <c r="AE333" s="252"/>
      <c r="AF333" s="252"/>
      <c r="AG333" s="252"/>
      <c r="AH333" s="252"/>
      <c r="AI333" s="252"/>
      <c r="AJ333" s="252"/>
      <c r="AK333" s="245"/>
      <c r="AL333" s="73"/>
      <c r="AM333" s="14"/>
      <c r="AN333" s="9"/>
    </row>
    <row r="334" spans="1:40" hidden="1" outlineLevel="1">
      <c r="A334" s="12"/>
      <c r="I334" s="218" t="s">
        <v>432</v>
      </c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45"/>
      <c r="W334" s="73"/>
      <c r="X334" s="89"/>
      <c r="Y334" s="252"/>
      <c r="Z334" s="252"/>
      <c r="AA334" s="252"/>
      <c r="AB334" s="252"/>
      <c r="AC334" s="252"/>
      <c r="AD334" s="252"/>
      <c r="AE334" s="252"/>
      <c r="AF334" s="252"/>
      <c r="AG334" s="252"/>
      <c r="AH334" s="252"/>
      <c r="AI334" s="252"/>
      <c r="AJ334" s="252"/>
      <c r="AK334" s="245"/>
      <c r="AL334" s="73"/>
      <c r="AM334" s="14"/>
      <c r="AN334" s="9"/>
    </row>
    <row r="335" spans="1:40" hidden="1" outlineLevel="1">
      <c r="A335" s="12"/>
      <c r="I335" s="218" t="s">
        <v>433</v>
      </c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45"/>
      <c r="W335" s="73"/>
      <c r="X335" s="89"/>
      <c r="Y335" s="252"/>
      <c r="Z335" s="252"/>
      <c r="AA335" s="252"/>
      <c r="AB335" s="252"/>
      <c r="AC335" s="252"/>
      <c r="AD335" s="252"/>
      <c r="AE335" s="252"/>
      <c r="AF335" s="252"/>
      <c r="AG335" s="252"/>
      <c r="AH335" s="252"/>
      <c r="AI335" s="252"/>
      <c r="AJ335" s="252"/>
      <c r="AK335" s="245"/>
      <c r="AL335" s="73"/>
      <c r="AM335" s="14"/>
      <c r="AN335" s="9"/>
    </row>
    <row r="336" spans="1:40" hidden="1" outlineLevel="1">
      <c r="A336" s="12"/>
      <c r="I336" s="218" t="s">
        <v>434</v>
      </c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45"/>
      <c r="W336" s="73"/>
      <c r="X336" s="89"/>
      <c r="Y336" s="252"/>
      <c r="Z336" s="252"/>
      <c r="AA336" s="252"/>
      <c r="AB336" s="252"/>
      <c r="AC336" s="252"/>
      <c r="AD336" s="252"/>
      <c r="AE336" s="252"/>
      <c r="AF336" s="252"/>
      <c r="AG336" s="252"/>
      <c r="AH336" s="252"/>
      <c r="AI336" s="252"/>
      <c r="AJ336" s="252"/>
      <c r="AK336" s="245"/>
      <c r="AL336" s="73"/>
      <c r="AM336" s="14"/>
      <c r="AN336" s="9"/>
    </row>
    <row r="337" spans="1:40" hidden="1" outlineLevel="1">
      <c r="A337" s="12"/>
      <c r="I337" s="218" t="s">
        <v>373</v>
      </c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45"/>
      <c r="W337" s="73"/>
      <c r="X337" s="89"/>
      <c r="Y337" s="252"/>
      <c r="Z337" s="252"/>
      <c r="AA337" s="252"/>
      <c r="AB337" s="252"/>
      <c r="AC337" s="252"/>
      <c r="AD337" s="252"/>
      <c r="AE337" s="252"/>
      <c r="AF337" s="252"/>
      <c r="AG337" s="252"/>
      <c r="AH337" s="252"/>
      <c r="AI337" s="252"/>
      <c r="AJ337" s="252"/>
      <c r="AK337" s="245"/>
      <c r="AL337" s="73"/>
      <c r="AM337" s="14"/>
      <c r="AN337" s="9"/>
    </row>
    <row r="338" spans="1:40" hidden="1" outlineLevel="1">
      <c r="A338" s="12"/>
      <c r="I338" s="218" t="s">
        <v>374</v>
      </c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45"/>
      <c r="W338" s="73"/>
      <c r="X338" s="89"/>
      <c r="Y338" s="252"/>
      <c r="Z338" s="252"/>
      <c r="AA338" s="252"/>
      <c r="AB338" s="252"/>
      <c r="AC338" s="252"/>
      <c r="AD338" s="252"/>
      <c r="AE338" s="252"/>
      <c r="AF338" s="252"/>
      <c r="AG338" s="252"/>
      <c r="AH338" s="252"/>
      <c r="AI338" s="252"/>
      <c r="AJ338" s="252"/>
      <c r="AK338" s="245"/>
      <c r="AL338" s="73"/>
      <c r="AM338" s="14"/>
      <c r="AN338" s="9"/>
    </row>
    <row r="339" spans="1:40" hidden="1" outlineLevel="1">
      <c r="A339" s="12"/>
      <c r="I339" s="218" t="s">
        <v>375</v>
      </c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45"/>
      <c r="W339" s="73"/>
      <c r="X339" s="89"/>
      <c r="Y339" s="252"/>
      <c r="Z339" s="252"/>
      <c r="AA339" s="252"/>
      <c r="AB339" s="252"/>
      <c r="AC339" s="252"/>
      <c r="AD339" s="252"/>
      <c r="AE339" s="252"/>
      <c r="AF339" s="252"/>
      <c r="AG339" s="252"/>
      <c r="AH339" s="252"/>
      <c r="AI339" s="252"/>
      <c r="AJ339" s="252"/>
      <c r="AK339" s="245"/>
      <c r="AL339" s="73"/>
      <c r="AM339" s="14"/>
      <c r="AN339" s="9"/>
    </row>
    <row r="340" spans="1:40" hidden="1" outlineLevel="1">
      <c r="A340" s="12"/>
      <c r="I340" s="218" t="s">
        <v>376</v>
      </c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45"/>
      <c r="W340" s="73"/>
      <c r="X340" s="89"/>
      <c r="Y340" s="252"/>
      <c r="Z340" s="252"/>
      <c r="AA340" s="252"/>
      <c r="AB340" s="252"/>
      <c r="AC340" s="252"/>
      <c r="AD340" s="252"/>
      <c r="AE340" s="252"/>
      <c r="AF340" s="252"/>
      <c r="AG340" s="252"/>
      <c r="AH340" s="252"/>
      <c r="AI340" s="252"/>
      <c r="AJ340" s="252"/>
      <c r="AK340" s="245"/>
      <c r="AL340" s="73"/>
      <c r="AM340" s="14"/>
      <c r="AN340" s="9"/>
    </row>
    <row r="341" spans="1:40" hidden="1" outlineLevel="1">
      <c r="A341" s="12"/>
      <c r="I341" s="218" t="s">
        <v>377</v>
      </c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45"/>
      <c r="W341" s="73"/>
      <c r="X341" s="89"/>
      <c r="Y341" s="252"/>
      <c r="Z341" s="252"/>
      <c r="AA341" s="252"/>
      <c r="AB341" s="252"/>
      <c r="AC341" s="252"/>
      <c r="AD341" s="252"/>
      <c r="AE341" s="252"/>
      <c r="AF341" s="252"/>
      <c r="AG341" s="252"/>
      <c r="AH341" s="252"/>
      <c r="AI341" s="252"/>
      <c r="AJ341" s="252"/>
      <c r="AK341" s="245"/>
      <c r="AL341" s="73"/>
      <c r="AM341" s="14"/>
      <c r="AN341" s="9"/>
    </row>
    <row r="342" spans="1:40" hidden="1" outlineLevel="1">
      <c r="A342" s="12"/>
      <c r="I342" s="218" t="s">
        <v>378</v>
      </c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45"/>
      <c r="W342" s="73"/>
      <c r="X342" s="89"/>
      <c r="Y342" s="252"/>
      <c r="Z342" s="252"/>
      <c r="AA342" s="252"/>
      <c r="AB342" s="252"/>
      <c r="AC342" s="252"/>
      <c r="AD342" s="252"/>
      <c r="AE342" s="252"/>
      <c r="AF342" s="252"/>
      <c r="AG342" s="252"/>
      <c r="AH342" s="252"/>
      <c r="AI342" s="252"/>
      <c r="AJ342" s="252"/>
      <c r="AK342" s="245"/>
      <c r="AL342" s="73"/>
      <c r="AM342" s="14"/>
      <c r="AN342" s="9"/>
    </row>
    <row r="343" spans="1:40" hidden="1" outlineLevel="1">
      <c r="A343" s="12"/>
      <c r="I343" s="218" t="s">
        <v>435</v>
      </c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45"/>
      <c r="W343" s="73"/>
      <c r="X343" s="89"/>
      <c r="Y343" s="252"/>
      <c r="Z343" s="252"/>
      <c r="AA343" s="252"/>
      <c r="AB343" s="252"/>
      <c r="AC343" s="252"/>
      <c r="AD343" s="252"/>
      <c r="AE343" s="252"/>
      <c r="AF343" s="252"/>
      <c r="AG343" s="252"/>
      <c r="AH343" s="252"/>
      <c r="AI343" s="252"/>
      <c r="AJ343" s="252"/>
      <c r="AK343" s="245"/>
      <c r="AL343" s="73"/>
      <c r="AM343" s="14"/>
      <c r="AN343" s="9"/>
    </row>
    <row r="344" spans="1:40" hidden="1" outlineLevel="1">
      <c r="A344" s="12"/>
      <c r="I344" s="218" t="s">
        <v>436</v>
      </c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45"/>
      <c r="W344" s="73"/>
      <c r="X344" s="89"/>
      <c r="Y344" s="252"/>
      <c r="Z344" s="252"/>
      <c r="AA344" s="252"/>
      <c r="AB344" s="252"/>
      <c r="AC344" s="252"/>
      <c r="AD344" s="252"/>
      <c r="AE344" s="252"/>
      <c r="AF344" s="252"/>
      <c r="AG344" s="252"/>
      <c r="AH344" s="252"/>
      <c r="AI344" s="252"/>
      <c r="AJ344" s="252"/>
      <c r="AK344" s="245"/>
      <c r="AL344" s="73"/>
      <c r="AM344" s="14"/>
      <c r="AN344" s="9"/>
    </row>
    <row r="345" spans="1:40" hidden="1" outlineLevel="1">
      <c r="A345" s="12"/>
      <c r="I345" s="218" t="s">
        <v>379</v>
      </c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45"/>
      <c r="W345" s="73"/>
      <c r="X345" s="89"/>
      <c r="Y345" s="252"/>
      <c r="Z345" s="252"/>
      <c r="AA345" s="252"/>
      <c r="AB345" s="252"/>
      <c r="AC345" s="252"/>
      <c r="AD345" s="252"/>
      <c r="AE345" s="252"/>
      <c r="AF345" s="252"/>
      <c r="AG345" s="252"/>
      <c r="AH345" s="252"/>
      <c r="AI345" s="252"/>
      <c r="AJ345" s="252"/>
      <c r="AK345" s="245"/>
      <c r="AL345" s="73"/>
      <c r="AM345" s="14"/>
      <c r="AN345" s="9"/>
    </row>
    <row r="346" spans="1:40" hidden="1" outlineLevel="1">
      <c r="A346" s="12"/>
      <c r="I346" s="218" t="s">
        <v>380</v>
      </c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45"/>
      <c r="W346" s="73"/>
      <c r="X346" s="89"/>
      <c r="Y346" s="252"/>
      <c r="Z346" s="252"/>
      <c r="AA346" s="252"/>
      <c r="AB346" s="252"/>
      <c r="AC346" s="252"/>
      <c r="AD346" s="252"/>
      <c r="AE346" s="252"/>
      <c r="AF346" s="252"/>
      <c r="AG346" s="252"/>
      <c r="AH346" s="252"/>
      <c r="AI346" s="252"/>
      <c r="AJ346" s="252"/>
      <c r="AK346" s="245"/>
      <c r="AL346" s="73"/>
      <c r="AM346" s="14"/>
      <c r="AN346" s="9"/>
    </row>
    <row r="347" spans="1:40" hidden="1" outlineLevel="1">
      <c r="A347" s="12"/>
      <c r="I347" s="218" t="s">
        <v>381</v>
      </c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45"/>
      <c r="W347" s="73"/>
      <c r="X347" s="89"/>
      <c r="Y347" s="252"/>
      <c r="Z347" s="252"/>
      <c r="AA347" s="252"/>
      <c r="AB347" s="252"/>
      <c r="AC347" s="252"/>
      <c r="AD347" s="252"/>
      <c r="AE347" s="252"/>
      <c r="AF347" s="252"/>
      <c r="AG347" s="252"/>
      <c r="AH347" s="252"/>
      <c r="AI347" s="252"/>
      <c r="AJ347" s="252"/>
      <c r="AK347" s="245"/>
      <c r="AL347" s="73"/>
      <c r="AM347" s="14"/>
      <c r="AN347" s="9"/>
    </row>
    <row r="348" spans="1:40" hidden="1" outlineLevel="1">
      <c r="A348" s="12"/>
      <c r="I348" s="218" t="s">
        <v>382</v>
      </c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45"/>
      <c r="W348" s="73"/>
      <c r="X348" s="89"/>
      <c r="Y348" s="252"/>
      <c r="Z348" s="252"/>
      <c r="AA348" s="252"/>
      <c r="AB348" s="252"/>
      <c r="AC348" s="252"/>
      <c r="AD348" s="252"/>
      <c r="AE348" s="252"/>
      <c r="AF348" s="252"/>
      <c r="AG348" s="252"/>
      <c r="AH348" s="252"/>
      <c r="AI348" s="252"/>
      <c r="AJ348" s="252"/>
      <c r="AK348" s="245"/>
      <c r="AL348" s="73"/>
      <c r="AM348" s="14"/>
      <c r="AN348" s="9"/>
    </row>
    <row r="349" spans="1:40" hidden="1" outlineLevel="1">
      <c r="A349" s="12"/>
      <c r="I349" s="218" t="s">
        <v>383</v>
      </c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45"/>
      <c r="W349" s="73"/>
      <c r="X349" s="89"/>
      <c r="Y349" s="252"/>
      <c r="Z349" s="252"/>
      <c r="AA349" s="252"/>
      <c r="AB349" s="252"/>
      <c r="AC349" s="252"/>
      <c r="AD349" s="252"/>
      <c r="AE349" s="252"/>
      <c r="AF349" s="252"/>
      <c r="AG349" s="252"/>
      <c r="AH349" s="252"/>
      <c r="AI349" s="252"/>
      <c r="AJ349" s="252"/>
      <c r="AK349" s="245"/>
      <c r="AL349" s="73"/>
      <c r="AM349" s="14"/>
      <c r="AN349" s="9"/>
    </row>
    <row r="350" spans="1:40" ht="15.75">
      <c r="I350" s="153" t="s">
        <v>384</v>
      </c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>
        <f>+V288-V292-V319</f>
        <v>0</v>
      </c>
      <c r="W350" s="80" t="e">
        <f>V350/V$6</f>
        <v>#DIV/0!</v>
      </c>
      <c r="X350" s="89"/>
      <c r="Y350" s="154">
        <f t="shared" ref="Y350:AK350" si="71">+Y288-Y292-Y319</f>
        <v>0</v>
      </c>
      <c r="Z350" s="154">
        <f t="shared" si="71"/>
        <v>0</v>
      </c>
      <c r="AA350" s="154">
        <f t="shared" si="71"/>
        <v>0</v>
      </c>
      <c r="AB350" s="154">
        <f t="shared" si="71"/>
        <v>0</v>
      </c>
      <c r="AC350" s="154">
        <f t="shared" si="71"/>
        <v>0</v>
      </c>
      <c r="AD350" s="154">
        <f t="shared" si="71"/>
        <v>0</v>
      </c>
      <c r="AE350" s="154">
        <f t="shared" si="71"/>
        <v>0</v>
      </c>
      <c r="AF350" s="154">
        <f t="shared" si="71"/>
        <v>0</v>
      </c>
      <c r="AG350" s="154">
        <f t="shared" si="71"/>
        <v>0</v>
      </c>
      <c r="AH350" s="154">
        <f t="shared" si="71"/>
        <v>0</v>
      </c>
      <c r="AI350" s="154">
        <f t="shared" si="71"/>
        <v>0</v>
      </c>
      <c r="AJ350" s="154">
        <f t="shared" si="71"/>
        <v>0</v>
      </c>
      <c r="AK350" s="154">
        <f t="shared" si="71"/>
        <v>0</v>
      </c>
      <c r="AL350" s="80" t="e">
        <f>AK350/AK$6</f>
        <v>#DIV/0!</v>
      </c>
      <c r="AM350" s="163">
        <f t="shared" si="59"/>
        <v>0</v>
      </c>
      <c r="AN350" s="9"/>
    </row>
    <row r="351" spans="1:40" ht="18.75" customHeight="1">
      <c r="W351" s="75"/>
      <c r="X351" s="89"/>
      <c r="AL351" s="75"/>
      <c r="AM351" s="13"/>
      <c r="AN351" s="9"/>
    </row>
    <row r="352" spans="1:40">
      <c r="A352" s="12" t="s">
        <v>385</v>
      </c>
      <c r="E352" s="7" t="s">
        <v>111</v>
      </c>
      <c r="I352" s="145" t="s">
        <v>386</v>
      </c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>
        <f>SUM(J352:U352)</f>
        <v>0</v>
      </c>
      <c r="W352" s="172" t="e">
        <f>V352/V$6</f>
        <v>#DIV/0!</v>
      </c>
      <c r="X352" s="89"/>
      <c r="Y352" s="252">
        <v>0</v>
      </c>
      <c r="Z352" s="252">
        <v>0</v>
      </c>
      <c r="AA352" s="252">
        <v>0</v>
      </c>
      <c r="AB352" s="252">
        <v>0</v>
      </c>
      <c r="AC352" s="252">
        <v>0</v>
      </c>
      <c r="AD352" s="252">
        <v>0</v>
      </c>
      <c r="AE352" s="252">
        <v>0</v>
      </c>
      <c r="AF352" s="252">
        <v>0</v>
      </c>
      <c r="AG352" s="252">
        <v>0</v>
      </c>
      <c r="AH352" s="252">
        <v>0</v>
      </c>
      <c r="AI352" s="252">
        <v>0</v>
      </c>
      <c r="AJ352" s="252">
        <v>0</v>
      </c>
      <c r="AK352" s="252">
        <f>SUM(Y352:AJ352)</f>
        <v>0</v>
      </c>
      <c r="AL352" s="172" t="e">
        <f>AK352/AK$6</f>
        <v>#DIV/0!</v>
      </c>
      <c r="AM352" s="10">
        <f t="shared" si="59"/>
        <v>0</v>
      </c>
      <c r="AN352" s="9"/>
    </row>
    <row r="353" spans="9:40" ht="15.75">
      <c r="I353" s="155" t="s">
        <v>387</v>
      </c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>
        <f>+V350-V352</f>
        <v>0</v>
      </c>
      <c r="W353" s="173" t="e">
        <f>V353/V$6</f>
        <v>#DIV/0!</v>
      </c>
      <c r="X353" s="89"/>
      <c r="Y353" s="156">
        <f>+Y350-Y352</f>
        <v>0</v>
      </c>
      <c r="Z353" s="156">
        <f>+Z350-Z352</f>
        <v>0</v>
      </c>
      <c r="AA353" s="156">
        <f>+AA350-AA352</f>
        <v>0</v>
      </c>
      <c r="AB353" s="156">
        <f>+AB350-AB352</f>
        <v>0</v>
      </c>
      <c r="AC353" s="156">
        <f>+AC350-AC352</f>
        <v>0</v>
      </c>
      <c r="AD353" s="156">
        <f t="shared" ref="AD353:AK353" si="72">+AD350-AD352</f>
        <v>0</v>
      </c>
      <c r="AE353" s="156">
        <f t="shared" si="72"/>
        <v>0</v>
      </c>
      <c r="AF353" s="156">
        <f t="shared" si="72"/>
        <v>0</v>
      </c>
      <c r="AG353" s="156">
        <f t="shared" si="72"/>
        <v>0</v>
      </c>
      <c r="AH353" s="156">
        <f t="shared" si="72"/>
        <v>0</v>
      </c>
      <c r="AI353" s="156">
        <f t="shared" si="72"/>
        <v>0</v>
      </c>
      <c r="AJ353" s="156">
        <f t="shared" si="72"/>
        <v>0</v>
      </c>
      <c r="AK353" s="156">
        <f t="shared" si="72"/>
        <v>0</v>
      </c>
      <c r="AL353" s="173" t="e">
        <f>AK353/AK$6</f>
        <v>#DIV/0!</v>
      </c>
      <c r="AM353" s="164">
        <f t="shared" si="59"/>
        <v>0</v>
      </c>
      <c r="AN353" s="9"/>
    </row>
    <row r="354" spans="9:40">
      <c r="I354" s="143"/>
      <c r="J354" s="135"/>
      <c r="K354" s="135"/>
      <c r="L354" s="135"/>
      <c r="M354" s="135"/>
      <c r="N354" s="136"/>
      <c r="O354" s="136"/>
      <c r="P354" s="136"/>
      <c r="Q354" s="135"/>
      <c r="R354" s="136"/>
      <c r="S354" s="136"/>
      <c r="T354" s="136"/>
      <c r="U354" s="135"/>
      <c r="V354" s="135"/>
      <c r="W354" s="81"/>
      <c r="Y354" s="135"/>
      <c r="Z354" s="135"/>
      <c r="AA354" s="135"/>
      <c r="AB354" s="135"/>
      <c r="AC354" s="136"/>
      <c r="AD354" s="136"/>
      <c r="AE354" s="136"/>
      <c r="AF354" s="135"/>
      <c r="AG354" s="136"/>
      <c r="AH354" s="136"/>
      <c r="AI354" s="136"/>
      <c r="AJ354" s="135"/>
      <c r="AK354" s="135"/>
      <c r="AL354" s="81"/>
      <c r="AM354" s="165"/>
    </row>
    <row r="355" spans="9:40">
      <c r="J355" s="138"/>
      <c r="K355" s="138"/>
      <c r="L355" s="138"/>
      <c r="M355" s="138"/>
      <c r="N355" s="138"/>
      <c r="O355" s="138"/>
      <c r="P355" s="138"/>
      <c r="Q355" s="138"/>
      <c r="U355" s="138"/>
      <c r="V355" s="138"/>
      <c r="W355" s="82"/>
      <c r="X355" s="94"/>
      <c r="Y355" s="138"/>
      <c r="Z355" s="138"/>
      <c r="AA355" s="138"/>
      <c r="AB355" s="138"/>
      <c r="AC355" s="138"/>
      <c r="AD355" s="138"/>
      <c r="AE355" s="138"/>
      <c r="AF355" s="138"/>
      <c r="AJ355" s="138"/>
      <c r="AK355" s="138"/>
      <c r="AL355" s="82"/>
    </row>
  </sheetData>
  <mergeCells count="4">
    <mergeCell ref="J2:U2"/>
    <mergeCell ref="V2:W2"/>
    <mergeCell ref="Y2:AJ2"/>
    <mergeCell ref="AK2:AL2"/>
  </mergeCells>
  <conditionalFormatting sqref="AM1:AM10 AM287 AM56:AM68 AM147:AM152 AM166:AM169 AM181:AM182 AM171:AM179 AM185:AM196 AM38:AM45 AM47:AM54 AM12:AM35 AM72:AM104 AM109:AM145 AM154:AM161 AM247:AM253 AM257:AM259 AM262 AM265:AM280 AM291:AM1048576 AM236:AM245 AM198:AM234">
    <cfRule type="cellIs" dxfId="139" priority="52" operator="lessThan">
      <formula>0</formula>
    </cfRule>
  </conditionalFormatting>
  <conditionalFormatting sqref="AM288">
    <cfRule type="cellIs" dxfId="138" priority="51" operator="lessThan">
      <formula>0</formula>
    </cfRule>
  </conditionalFormatting>
  <conditionalFormatting sqref="AM105">
    <cfRule type="cellIs" dxfId="137" priority="50" operator="lessThan">
      <formula>0</formula>
    </cfRule>
  </conditionalFormatting>
  <conditionalFormatting sqref="AM106">
    <cfRule type="cellIs" dxfId="136" priority="49" operator="lessThan">
      <formula>0</formula>
    </cfRule>
  </conditionalFormatting>
  <conditionalFormatting sqref="AM107">
    <cfRule type="cellIs" dxfId="135" priority="48" operator="lessThan">
      <formula>0</formula>
    </cfRule>
  </conditionalFormatting>
  <conditionalFormatting sqref="AM108">
    <cfRule type="cellIs" dxfId="134" priority="47" operator="lessThan">
      <formula>0</formula>
    </cfRule>
  </conditionalFormatting>
  <conditionalFormatting sqref="AM263">
    <cfRule type="cellIs" dxfId="133" priority="46" operator="lessThan">
      <formula>0</formula>
    </cfRule>
  </conditionalFormatting>
  <conditionalFormatting sqref="AM281:AM286">
    <cfRule type="cellIs" dxfId="132" priority="45" operator="lessThan">
      <formula>0</formula>
    </cfRule>
  </conditionalFormatting>
  <conditionalFormatting sqref="AM55">
    <cfRule type="cellIs" dxfId="131" priority="44" operator="lessThan">
      <formula>0</formula>
    </cfRule>
  </conditionalFormatting>
  <conditionalFormatting sqref="AM69">
    <cfRule type="cellIs" dxfId="130" priority="43" operator="lessThan">
      <formula>0</formula>
    </cfRule>
  </conditionalFormatting>
  <conditionalFormatting sqref="AM71">
    <cfRule type="cellIs" dxfId="129" priority="42" operator="lessThan">
      <formula>0</formula>
    </cfRule>
  </conditionalFormatting>
  <conditionalFormatting sqref="AM70">
    <cfRule type="cellIs" dxfId="128" priority="41" operator="lessThan">
      <formula>0</formula>
    </cfRule>
  </conditionalFormatting>
  <conditionalFormatting sqref="AM146">
    <cfRule type="cellIs" dxfId="127" priority="40" operator="lessThan">
      <formula>0</formula>
    </cfRule>
  </conditionalFormatting>
  <conditionalFormatting sqref="AM184">
    <cfRule type="cellIs" dxfId="126" priority="39" operator="lessThan">
      <formula>0</formula>
    </cfRule>
  </conditionalFormatting>
  <conditionalFormatting sqref="AM162:AM165">
    <cfRule type="cellIs" dxfId="125" priority="38" operator="lessThan">
      <formula>0</formula>
    </cfRule>
  </conditionalFormatting>
  <conditionalFormatting sqref="AM180">
    <cfRule type="cellIs" dxfId="124" priority="37" operator="lessThan">
      <formula>0</formula>
    </cfRule>
  </conditionalFormatting>
  <conditionalFormatting sqref="AM183">
    <cfRule type="cellIs" dxfId="123" priority="36" operator="lessThan">
      <formula>0</formula>
    </cfRule>
  </conditionalFormatting>
  <conditionalFormatting sqref="AM197">
    <cfRule type="cellIs" dxfId="122" priority="35" operator="lessThan">
      <formula>0</formula>
    </cfRule>
  </conditionalFormatting>
  <conditionalFormatting sqref="AM170">
    <cfRule type="cellIs" dxfId="121" priority="34" operator="lessThan">
      <formula>0</formula>
    </cfRule>
  </conditionalFormatting>
  <conditionalFormatting sqref="AM235">
    <cfRule type="cellIs" dxfId="120" priority="33" operator="lessThan">
      <formula>0</formula>
    </cfRule>
  </conditionalFormatting>
  <conditionalFormatting sqref="AM246">
    <cfRule type="cellIs" dxfId="119" priority="32" operator="lessThan">
      <formula>0</formula>
    </cfRule>
  </conditionalFormatting>
  <conditionalFormatting sqref="AM11">
    <cfRule type="cellIs" dxfId="118" priority="31" operator="lessThan">
      <formula>0</formula>
    </cfRule>
  </conditionalFormatting>
  <conditionalFormatting sqref="AM36:AM37">
    <cfRule type="cellIs" dxfId="117" priority="30" operator="lessThan">
      <formula>0</formula>
    </cfRule>
  </conditionalFormatting>
  <conditionalFormatting sqref="AM153">
    <cfRule type="cellIs" dxfId="116" priority="29" operator="lessThan">
      <formula>0</formula>
    </cfRule>
  </conditionalFormatting>
  <conditionalFormatting sqref="AM254:AM256">
    <cfRule type="cellIs" dxfId="115" priority="28" operator="lessThan">
      <formula>0</formula>
    </cfRule>
  </conditionalFormatting>
  <conditionalFormatting sqref="AM289">
    <cfRule type="cellIs" dxfId="114" priority="27" operator="lessThan">
      <formula>0</formula>
    </cfRule>
  </conditionalFormatting>
  <conditionalFormatting sqref="DJ290">
    <cfRule type="cellIs" dxfId="113" priority="26" operator="lessThan">
      <formula>0</formula>
    </cfRule>
  </conditionalFormatting>
  <conditionalFormatting sqref="DK290:DL290">
    <cfRule type="cellIs" dxfId="112" priority="25" operator="lessThan">
      <formula>0</formula>
    </cfRule>
  </conditionalFormatting>
  <conditionalFormatting sqref="R290">
    <cfRule type="cellIs" dxfId="111" priority="24" operator="lessThan">
      <formula>0</formula>
    </cfRule>
  </conditionalFormatting>
  <conditionalFormatting sqref="S290">
    <cfRule type="cellIs" dxfId="110" priority="23" operator="lessThan">
      <formula>0</formula>
    </cfRule>
  </conditionalFormatting>
  <conditionalFormatting sqref="Z290">
    <cfRule type="cellIs" dxfId="109" priority="22" operator="lessThan">
      <formula>0</formula>
    </cfRule>
  </conditionalFormatting>
  <conditionalFormatting sqref="AA290">
    <cfRule type="cellIs" dxfId="108" priority="21" operator="lessThan">
      <formula>0</formula>
    </cfRule>
  </conditionalFormatting>
  <conditionalFormatting sqref="AH290">
    <cfRule type="cellIs" dxfId="107" priority="20" operator="lessThan">
      <formula>0</formula>
    </cfRule>
  </conditionalFormatting>
  <conditionalFormatting sqref="AI290">
    <cfRule type="cellIs" dxfId="106" priority="19" operator="lessThan">
      <formula>0</formula>
    </cfRule>
  </conditionalFormatting>
  <conditionalFormatting sqref="AP290">
    <cfRule type="cellIs" dxfId="105" priority="18" operator="lessThan">
      <formula>0</formula>
    </cfRule>
  </conditionalFormatting>
  <conditionalFormatting sqref="AQ290">
    <cfRule type="cellIs" dxfId="104" priority="17" operator="lessThan">
      <formula>0</formula>
    </cfRule>
  </conditionalFormatting>
  <conditionalFormatting sqref="AX290">
    <cfRule type="cellIs" dxfId="103" priority="16" operator="lessThan">
      <formula>0</formula>
    </cfRule>
  </conditionalFormatting>
  <conditionalFormatting sqref="BF290">
    <cfRule type="cellIs" dxfId="102" priority="15" operator="lessThan">
      <formula>0</formula>
    </cfRule>
  </conditionalFormatting>
  <conditionalFormatting sqref="BG290">
    <cfRule type="cellIs" dxfId="101" priority="14" operator="lessThan">
      <formula>0</formula>
    </cfRule>
  </conditionalFormatting>
  <conditionalFormatting sqref="BN290">
    <cfRule type="cellIs" dxfId="100" priority="13" operator="lessThan">
      <formula>0</formula>
    </cfRule>
  </conditionalFormatting>
  <conditionalFormatting sqref="BO290">
    <cfRule type="cellIs" dxfId="99" priority="12" operator="lessThan">
      <formula>0</formula>
    </cfRule>
  </conditionalFormatting>
  <conditionalFormatting sqref="BV290">
    <cfRule type="cellIs" dxfId="98" priority="11" operator="lessThan">
      <formula>0</formula>
    </cfRule>
  </conditionalFormatting>
  <conditionalFormatting sqref="BW290">
    <cfRule type="cellIs" dxfId="97" priority="10" operator="lessThan">
      <formula>0</formula>
    </cfRule>
  </conditionalFormatting>
  <conditionalFormatting sqref="CD290">
    <cfRule type="cellIs" dxfId="96" priority="9" operator="lessThan">
      <formula>0</formula>
    </cfRule>
  </conditionalFormatting>
  <conditionalFormatting sqref="CE290">
    <cfRule type="cellIs" dxfId="95" priority="8" operator="lessThan">
      <formula>0</formula>
    </cfRule>
  </conditionalFormatting>
  <conditionalFormatting sqref="CL290">
    <cfRule type="cellIs" dxfId="94" priority="7" operator="lessThan">
      <formula>0</formula>
    </cfRule>
  </conditionalFormatting>
  <conditionalFormatting sqref="CM290">
    <cfRule type="cellIs" dxfId="93" priority="6" operator="lessThan">
      <formula>0</formula>
    </cfRule>
  </conditionalFormatting>
  <conditionalFormatting sqref="CT290">
    <cfRule type="cellIs" dxfId="92" priority="5" operator="lessThan">
      <formula>0</formula>
    </cfRule>
  </conditionalFormatting>
  <conditionalFormatting sqref="CU290">
    <cfRule type="cellIs" dxfId="91" priority="4" operator="lessThan">
      <formula>0</formula>
    </cfRule>
  </conditionalFormatting>
  <conditionalFormatting sqref="DB290">
    <cfRule type="cellIs" dxfId="90" priority="3" operator="lessThan">
      <formula>0</formula>
    </cfRule>
  </conditionalFormatting>
  <conditionalFormatting sqref="DC290">
    <cfRule type="cellIs" dxfId="89" priority="2" operator="lessThan">
      <formula>0</formula>
    </cfRule>
  </conditionalFormatting>
  <conditionalFormatting sqref="AY290">
    <cfRule type="cellIs" dxfId="88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9">
    <tabColor rgb="FF002060"/>
  </sheetPr>
  <dimension ref="A1"/>
  <sheetViews>
    <sheetView workbookViewId="0">
      <selection activeCell="E27" sqref="E27"/>
    </sheetView>
  </sheetViews>
  <sheetFormatPr defaultColWidth="11.5703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>
    <tabColor rgb="FFFFFF00"/>
    <outlinePr summaryBelow="0" summaryRight="0"/>
  </sheetPr>
  <dimension ref="A1:AT176"/>
  <sheetViews>
    <sheetView showGridLines="0" zoomScale="70" zoomScaleNormal="70" workbookViewId="0">
      <pane xSplit="9" ySplit="3" topLeftCell="V4" activePane="bottomRight" state="frozen"/>
      <selection pane="bottomRight" activeCell="Y44" sqref="Y44"/>
      <selection pane="bottomLeft" activeCell="W46" sqref="W46"/>
      <selection pane="topRight" activeCell="W46" sqref="W46"/>
    </sheetView>
  </sheetViews>
  <sheetFormatPr defaultColWidth="11.42578125" defaultRowHeight="15" customHeight="1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36.85546875" style="5" customWidth="1" collapsed="1"/>
    <col min="10" max="10" width="21.140625" style="4" hidden="1" customWidth="1" outlineLevel="1"/>
    <col min="11" max="12" width="21.5703125" style="4" hidden="1" customWidth="1" outlineLevel="1"/>
    <col min="13" max="14" width="21.5703125" style="3" hidden="1" customWidth="1" outlineLevel="1"/>
    <col min="15" max="15" width="21.140625" style="3" hidden="1" customWidth="1" outlineLevel="1"/>
    <col min="16" max="16" width="21.5703125" style="3" hidden="1" customWidth="1" outlineLevel="1"/>
    <col min="17" max="17" width="21.140625" style="4" hidden="1" customWidth="1" outlineLevel="1"/>
    <col min="18" max="19" width="20.5703125" style="3" hidden="1" customWidth="1" outlineLevel="1"/>
    <col min="20" max="20" width="21.140625" style="3" hidden="1" customWidth="1" outlineLevel="1"/>
    <col min="21" max="21" width="13.5703125" style="4" hidden="1" customWidth="1" outlineLevel="1"/>
    <col min="22" max="22" width="11.42578125" style="4" customWidth="1"/>
    <col min="23" max="23" width="11.42578125" style="83" customWidth="1"/>
    <col min="24" max="24" width="1.42578125" style="189" customWidth="1"/>
    <col min="25" max="25" width="19.140625" style="4" customWidth="1" outlineLevel="1"/>
    <col min="26" max="26" width="19.5703125" style="4" customWidth="1" outlineLevel="1"/>
    <col min="27" max="27" width="19.140625" style="4" customWidth="1" outlineLevel="1"/>
    <col min="28" max="29" width="19.5703125" style="3" customWidth="1" outlineLevel="1"/>
    <col min="30" max="30" width="19.140625" style="3" customWidth="1" outlineLevel="1"/>
    <col min="31" max="31" width="19.5703125" style="3" customWidth="1" outlineLevel="1"/>
    <col min="32" max="32" width="19.5703125" style="4" customWidth="1" outlineLevel="1"/>
    <col min="33" max="33" width="19.5703125" style="3" customWidth="1" outlineLevel="1"/>
    <col min="34" max="35" width="19.140625" style="3" customWidth="1" outlineLevel="1"/>
    <col min="36" max="36" width="19.85546875" style="4" customWidth="1" outlineLevel="1"/>
    <col min="37" max="37" width="13.140625" style="4" customWidth="1"/>
    <col min="38" max="38" width="11.42578125" style="83" customWidth="1"/>
    <col min="39" max="39" width="11.42578125" style="2" customWidth="1"/>
    <col min="40" max="51" width="11.42578125" style="1" customWidth="1"/>
    <col min="52" max="16384" width="11.42578125" style="1"/>
  </cols>
  <sheetData>
    <row r="1" spans="1:39" s="57" customFormat="1" ht="6.75" customHeight="1">
      <c r="A1" s="6"/>
      <c r="B1" s="8"/>
      <c r="C1" s="8"/>
      <c r="D1" s="6"/>
      <c r="E1" s="7"/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39" s="52" customFormat="1" ht="18.75">
      <c r="A2" s="55"/>
      <c r="B2" s="55"/>
      <c r="C2" s="55"/>
      <c r="D2" s="55"/>
      <c r="E2" s="56"/>
      <c r="F2" s="55"/>
      <c r="G2" s="55"/>
      <c r="H2" s="55"/>
      <c r="I2" s="54"/>
      <c r="J2" s="284">
        <v>2025</v>
      </c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6"/>
      <c r="V2" s="287" t="s">
        <v>92</v>
      </c>
      <c r="W2" s="288"/>
      <c r="X2" s="85"/>
      <c r="Y2" s="284">
        <v>2026</v>
      </c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6"/>
      <c r="AK2" s="287" t="s">
        <v>92</v>
      </c>
      <c r="AL2" s="289"/>
      <c r="AM2" s="53"/>
    </row>
    <row r="3" spans="1:39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4" t="s">
        <v>69</v>
      </c>
      <c r="K3" s="64" t="s">
        <v>70</v>
      </c>
      <c r="L3" s="64" t="s">
        <v>71</v>
      </c>
      <c r="M3" s="61" t="s">
        <v>72</v>
      </c>
      <c r="N3" s="61" t="s">
        <v>73</v>
      </c>
      <c r="O3" s="61" t="s">
        <v>74</v>
      </c>
      <c r="P3" s="61" t="s">
        <v>75</v>
      </c>
      <c r="Q3" s="63" t="s">
        <v>76</v>
      </c>
      <c r="R3" s="61" t="s">
        <v>77</v>
      </c>
      <c r="S3" s="61" t="s">
        <v>78</v>
      </c>
      <c r="T3" s="61" t="s">
        <v>79</v>
      </c>
      <c r="U3" s="62" t="s">
        <v>80</v>
      </c>
      <c r="V3" s="46">
        <v>2025</v>
      </c>
      <c r="W3" s="69" t="s">
        <v>95</v>
      </c>
      <c r="X3" s="86"/>
      <c r="Y3" s="134" t="s">
        <v>69</v>
      </c>
      <c r="Z3" s="64" t="s">
        <v>70</v>
      </c>
      <c r="AA3" s="64" t="s">
        <v>71</v>
      </c>
      <c r="AB3" s="61" t="s">
        <v>72</v>
      </c>
      <c r="AC3" s="61" t="s">
        <v>73</v>
      </c>
      <c r="AD3" s="61" t="s">
        <v>74</v>
      </c>
      <c r="AE3" s="61" t="s">
        <v>75</v>
      </c>
      <c r="AF3" s="63" t="s">
        <v>76</v>
      </c>
      <c r="AG3" s="61" t="s">
        <v>77</v>
      </c>
      <c r="AH3" s="61" t="s">
        <v>78</v>
      </c>
      <c r="AI3" s="61" t="s">
        <v>79</v>
      </c>
      <c r="AJ3" s="62" t="s">
        <v>80</v>
      </c>
      <c r="AK3" s="46">
        <v>2026</v>
      </c>
      <c r="AL3" s="69" t="s">
        <v>95</v>
      </c>
      <c r="AM3" s="45" t="s">
        <v>96</v>
      </c>
    </row>
    <row r="4" spans="1:39">
      <c r="I4" s="43" t="s">
        <v>97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39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39" collapsed="1">
      <c r="A6" s="12" t="s">
        <v>98</v>
      </c>
      <c r="B6" s="19"/>
      <c r="C6" s="19"/>
      <c r="D6" s="12"/>
      <c r="E6" s="7" t="s">
        <v>99</v>
      </c>
      <c r="I6" s="170" t="s">
        <v>100</v>
      </c>
      <c r="J6" s="15">
        <f t="shared" ref="J6:V6" si="1">SUM(J7:J12)</f>
        <v>17192824</v>
      </c>
      <c r="K6" s="15">
        <f t="shared" si="1"/>
        <v>15590830</v>
      </c>
      <c r="L6" s="15">
        <f t="shared" si="1"/>
        <v>18254554</v>
      </c>
      <c r="M6" s="15">
        <f t="shared" si="1"/>
        <v>17513698</v>
      </c>
      <c r="N6" s="15">
        <f t="shared" si="1"/>
        <v>19514034</v>
      </c>
      <c r="O6" s="15">
        <f t="shared" si="1"/>
        <v>18936949</v>
      </c>
      <c r="P6" s="15">
        <f t="shared" si="1"/>
        <v>18138616</v>
      </c>
      <c r="Q6" s="15">
        <f t="shared" si="1"/>
        <v>18621506</v>
      </c>
      <c r="R6" s="15">
        <f t="shared" si="1"/>
        <v>19604953</v>
      </c>
      <c r="S6" s="15">
        <f t="shared" si="1"/>
        <v>20801505</v>
      </c>
      <c r="T6" s="15">
        <f t="shared" si="1"/>
        <v>19675988</v>
      </c>
      <c r="U6" s="15">
        <f t="shared" si="1"/>
        <v>20027482</v>
      </c>
      <c r="V6" s="15">
        <f t="shared" si="1"/>
        <v>223872939</v>
      </c>
      <c r="W6" s="72">
        <f t="shared" ref="W6:W34" si="2">V6/V$6</f>
        <v>1</v>
      </c>
      <c r="X6" s="89"/>
      <c r="Y6" s="15">
        <f t="shared" ref="Y6:AK6" si="3">SUM(Y7:Y12)</f>
        <v>18780610.57698315</v>
      </c>
      <c r="Z6" s="15">
        <f t="shared" si="3"/>
        <v>17035191.84698315</v>
      </c>
      <c r="AA6" s="15">
        <f t="shared" si="3"/>
        <v>20269983.606983151</v>
      </c>
      <c r="AB6" s="15">
        <f t="shared" si="3"/>
        <v>19487181.636983152</v>
      </c>
      <c r="AC6" s="15">
        <f t="shared" si="3"/>
        <v>21864208.656983152</v>
      </c>
      <c r="AD6" s="15">
        <f t="shared" si="3"/>
        <v>21197315.606983148</v>
      </c>
      <c r="AE6" s="15">
        <f t="shared" si="3"/>
        <v>20370243.016983155</v>
      </c>
      <c r="AF6" s="15">
        <f t="shared" si="3"/>
        <v>20697143.366983153</v>
      </c>
      <c r="AG6" s="15">
        <f t="shared" si="3"/>
        <v>21947971.196983151</v>
      </c>
      <c r="AH6" s="15">
        <f t="shared" si="3"/>
        <v>23514210.136983156</v>
      </c>
      <c r="AI6" s="15">
        <f t="shared" si="3"/>
        <v>22914420.836983152</v>
      </c>
      <c r="AJ6" s="15">
        <f t="shared" si="3"/>
        <v>22662172.736983154</v>
      </c>
      <c r="AK6" s="15">
        <f t="shared" si="3"/>
        <v>250740653.22379783</v>
      </c>
      <c r="AL6" s="72">
        <f t="shared" ref="AL6:AL34" si="4">AK6/AK$6</f>
        <v>1</v>
      </c>
      <c r="AM6" s="10">
        <f>IFERROR(AK6/V6-1,0)</f>
        <v>0.12001322868146125</v>
      </c>
    </row>
    <row r="7" spans="1:39" ht="15" hidden="1" customHeight="1" outlineLevel="1">
      <c r="A7" s="12" t="s">
        <v>98</v>
      </c>
      <c r="B7" s="19" t="s">
        <v>101</v>
      </c>
      <c r="C7" s="19" t="s">
        <v>102</v>
      </c>
      <c r="D7" s="12" t="s">
        <v>103</v>
      </c>
      <c r="E7" s="20"/>
      <c r="F7" s="12"/>
      <c r="G7" s="12"/>
      <c r="H7" s="12"/>
      <c r="I7" s="116" t="s">
        <v>27</v>
      </c>
      <c r="J7" s="65">
        <f>SUM(A:B!J7)</f>
        <v>13803132</v>
      </c>
      <c r="K7" s="65">
        <f>SUM(A:B!K7)</f>
        <v>12317959</v>
      </c>
      <c r="L7" s="65">
        <f>SUM(A:B!L7)</f>
        <v>14526332</v>
      </c>
      <c r="M7" s="65">
        <f>SUM(A:B!M7)</f>
        <v>13887455</v>
      </c>
      <c r="N7" s="65">
        <f>SUM(A:B!N7)</f>
        <v>15477447</v>
      </c>
      <c r="O7" s="65">
        <f>SUM(A:B!O7)</f>
        <v>15236060</v>
      </c>
      <c r="P7" s="65">
        <f>SUM(A:B!P7)</f>
        <v>14546459</v>
      </c>
      <c r="Q7" s="65">
        <f>SUM(A:B!Q7)</f>
        <v>14677535</v>
      </c>
      <c r="R7" s="65">
        <f>SUM(A:B!R7)</f>
        <v>15342133</v>
      </c>
      <c r="S7" s="65">
        <f>SUM(A:B!S7)</f>
        <v>16387138</v>
      </c>
      <c r="T7" s="65">
        <f>SUM(A:B!T7)</f>
        <v>15468935.333333332</v>
      </c>
      <c r="U7" s="65">
        <f>SUM(A:B!U7)</f>
        <v>15732735.444444446</v>
      </c>
      <c r="V7" s="11">
        <f t="shared" ref="V7:V14" si="5">SUM(J7:U7)</f>
        <v>177403320.77777779</v>
      </c>
      <c r="W7" s="73">
        <f t="shared" si="2"/>
        <v>0.79242860512845548</v>
      </c>
      <c r="X7" s="89"/>
      <c r="Y7" s="65">
        <f>SUM(A:B!Y7)</f>
        <v>15202951.606983151</v>
      </c>
      <c r="Z7" s="65">
        <f>SUM(A:B!Z7)</f>
        <v>13599663.606983151</v>
      </c>
      <c r="AA7" s="65">
        <f>SUM(A:B!AA7)</f>
        <v>16337793.606983153</v>
      </c>
      <c r="AB7" s="65">
        <f>SUM(A:B!AB7)</f>
        <v>15675014.206983153</v>
      </c>
      <c r="AC7" s="65">
        <f>SUM(A:B!AC7)</f>
        <v>17580791.206983153</v>
      </c>
      <c r="AD7" s="65">
        <f>SUM(A:B!AD7)</f>
        <v>17284829.206983149</v>
      </c>
      <c r="AE7" s="65">
        <f>SUM(A:B!AE7)</f>
        <v>16564120.006983154</v>
      </c>
      <c r="AF7" s="65">
        <f>SUM(A:B!AF7)</f>
        <v>16552820.806983152</v>
      </c>
      <c r="AG7" s="65">
        <f>SUM(A:B!AG7)</f>
        <v>17437004.606983151</v>
      </c>
      <c r="AH7" s="65">
        <f>SUM(A:B!AH7)</f>
        <v>18829160.206983153</v>
      </c>
      <c r="AI7" s="65">
        <f>SUM(A:B!AI7)</f>
        <v>18352796.206983149</v>
      </c>
      <c r="AJ7" s="65">
        <f>SUM(A:B!AJ7)</f>
        <v>18147056.606983151</v>
      </c>
      <c r="AK7" s="65">
        <f t="shared" ref="AK7:AK13" si="6">SUM(Y7:AJ7)</f>
        <v>201564001.88379782</v>
      </c>
      <c r="AL7" s="73">
        <f t="shared" si="4"/>
        <v>0.80387443875681563</v>
      </c>
      <c r="AM7" s="14">
        <f t="shared" ref="AM7:AM94" si="7">IFERROR(AK7/V7-1,0)</f>
        <v>0.13619069248587867</v>
      </c>
    </row>
    <row r="8" spans="1:39" ht="15" hidden="1" customHeight="1" outlineLevel="1">
      <c r="A8" s="12" t="s">
        <v>98</v>
      </c>
      <c r="B8" s="19" t="s">
        <v>101</v>
      </c>
      <c r="C8" s="19" t="s">
        <v>104</v>
      </c>
      <c r="D8" s="12" t="s">
        <v>105</v>
      </c>
      <c r="E8" s="20"/>
      <c r="F8" s="12"/>
      <c r="G8" s="12"/>
      <c r="H8" s="12"/>
      <c r="I8" s="116" t="s">
        <v>28</v>
      </c>
      <c r="J8" s="65">
        <f>SUM(A:B!J8)</f>
        <v>3260550</v>
      </c>
      <c r="K8" s="65">
        <f>SUM(A:B!K8)</f>
        <v>3155615</v>
      </c>
      <c r="L8" s="65">
        <f>SUM(A:B!L8)</f>
        <v>3577713</v>
      </c>
      <c r="M8" s="65">
        <f>SUM(A:B!M8)</f>
        <v>3447065</v>
      </c>
      <c r="N8" s="65">
        <f>SUM(A:B!N8)</f>
        <v>3825441</v>
      </c>
      <c r="O8" s="65">
        <f>SUM(A:B!O8)</f>
        <v>3528128</v>
      </c>
      <c r="P8" s="65">
        <f>SUM(A:B!P8)</f>
        <v>3411360</v>
      </c>
      <c r="Q8" s="65">
        <f>SUM(A:B!Q8)</f>
        <v>3791076</v>
      </c>
      <c r="R8" s="65">
        <f>SUM(A:B!R8)</f>
        <v>4112189</v>
      </c>
      <c r="S8" s="65">
        <f>SUM(A:B!S8)</f>
        <v>4239492</v>
      </c>
      <c r="T8" s="65">
        <f>SUM(A:B!T8)</f>
        <v>4047585.666666667</v>
      </c>
      <c r="U8" s="65">
        <f>SUM(A:B!U8)</f>
        <v>4133088.888888889</v>
      </c>
      <c r="V8" s="11">
        <f t="shared" si="5"/>
        <v>44529303.555555552</v>
      </c>
      <c r="W8" s="73">
        <f t="shared" si="2"/>
        <v>0.19890435956422384</v>
      </c>
      <c r="X8" s="89"/>
      <c r="Y8" s="65">
        <f>SUM(A:B!Y8)</f>
        <v>3435117.42</v>
      </c>
      <c r="Z8" s="65">
        <f>SUM(A:B!Z8)</f>
        <v>3306549.54</v>
      </c>
      <c r="AA8" s="65">
        <f>SUM(A:B!AA8)</f>
        <v>3769065.3</v>
      </c>
      <c r="AB8" s="65">
        <f>SUM(A:B!AB8)</f>
        <v>3620940.68</v>
      </c>
      <c r="AC8" s="65">
        <f>SUM(A:B!AC8)</f>
        <v>4053744.8</v>
      </c>
      <c r="AD8" s="65">
        <f>SUM(A:B!AD8)</f>
        <v>3728103.4</v>
      </c>
      <c r="AE8" s="65">
        <f>SUM(A:B!AE8)</f>
        <v>3609621.96</v>
      </c>
      <c r="AF8" s="65">
        <f>SUM(A:B!AF8)</f>
        <v>3976339.3600000003</v>
      </c>
      <c r="AG8" s="65">
        <f>SUM(A:B!AG8)</f>
        <v>4349879.9399999995</v>
      </c>
      <c r="AH8" s="65">
        <f>SUM(A:B!AH8)</f>
        <v>4528492.08</v>
      </c>
      <c r="AI8" s="65">
        <f>SUM(A:B!AI8)</f>
        <v>4407774.28</v>
      </c>
      <c r="AJ8" s="65">
        <f>SUM(A:B!AJ8)</f>
        <v>4355630.58</v>
      </c>
      <c r="AK8" s="65">
        <f t="shared" si="6"/>
        <v>47141259.339999996</v>
      </c>
      <c r="AL8" s="73">
        <f t="shared" si="4"/>
        <v>0.18800804230945431</v>
      </c>
      <c r="AM8" s="14">
        <f t="shared" si="7"/>
        <v>5.8657009561933204E-2</v>
      </c>
    </row>
    <row r="9" spans="1:39" ht="15" hidden="1" customHeight="1" outlineLevel="1">
      <c r="A9" s="12" t="s">
        <v>98</v>
      </c>
      <c r="B9" s="19" t="s">
        <v>101</v>
      </c>
      <c r="C9" s="19" t="s">
        <v>106</v>
      </c>
      <c r="D9" s="12" t="s">
        <v>107</v>
      </c>
      <c r="E9" s="20"/>
      <c r="F9" s="12"/>
      <c r="G9" s="12"/>
      <c r="H9" s="12"/>
      <c r="I9" s="116" t="s">
        <v>5</v>
      </c>
      <c r="J9" s="65">
        <f>SUM(A:B!J9)</f>
        <v>119320</v>
      </c>
      <c r="K9" s="65">
        <f>SUM(A:B!K9)</f>
        <v>108214</v>
      </c>
      <c r="L9" s="65">
        <f>SUM(A:B!L9)</f>
        <v>130827</v>
      </c>
      <c r="M9" s="65">
        <f>SUM(A:B!M9)</f>
        <v>157657</v>
      </c>
      <c r="N9" s="65">
        <f>SUM(A:B!N9)</f>
        <v>189122</v>
      </c>
      <c r="O9" s="65">
        <f>SUM(A:B!O9)</f>
        <v>151966</v>
      </c>
      <c r="P9" s="65">
        <f>SUM(A:B!P9)</f>
        <v>162434</v>
      </c>
      <c r="Q9" s="65">
        <f>SUM(A:B!Q9)</f>
        <v>130655</v>
      </c>
      <c r="R9" s="65">
        <f>SUM(A:B!R9)</f>
        <v>131725</v>
      </c>
      <c r="S9" s="65">
        <f>SUM(A:B!S9)</f>
        <v>149171</v>
      </c>
      <c r="T9" s="65">
        <f>SUM(A:B!T9)</f>
        <v>137183.66666666666</v>
      </c>
      <c r="U9" s="65">
        <f>SUM(A:B!U9)</f>
        <v>139359.88888888888</v>
      </c>
      <c r="V9" s="11">
        <f t="shared" si="5"/>
        <v>1707634.5555555555</v>
      </c>
      <c r="W9" s="73">
        <f t="shared" si="2"/>
        <v>7.6276952595666575E-3</v>
      </c>
      <c r="X9" s="89"/>
      <c r="Y9" s="65">
        <f>SUM(A:B!Y9)</f>
        <v>133961.54999999999</v>
      </c>
      <c r="Z9" s="65">
        <f>SUM(A:B!Z9)</f>
        <v>121418.7</v>
      </c>
      <c r="AA9" s="65">
        <f>SUM(A:B!AA9)</f>
        <v>147824.69999999998</v>
      </c>
      <c r="AB9" s="65">
        <f>SUM(A:B!AB9)</f>
        <v>176406.75</v>
      </c>
      <c r="AC9" s="65">
        <f>SUM(A:B!AC9)</f>
        <v>212152.65</v>
      </c>
      <c r="AD9" s="65">
        <f>SUM(A:B!AD9)</f>
        <v>169683</v>
      </c>
      <c r="AE9" s="65">
        <f>SUM(A:B!AE9)</f>
        <v>180661.05</v>
      </c>
      <c r="AF9" s="65">
        <f>SUM(A:B!AF9)</f>
        <v>151003.19999999998</v>
      </c>
      <c r="AG9" s="65">
        <f>SUM(A:B!AG9)</f>
        <v>146626.65</v>
      </c>
      <c r="AH9" s="65">
        <f>SUM(A:B!AH9)</f>
        <v>137237.85</v>
      </c>
      <c r="AI9" s="65">
        <f>SUM(A:B!AI9)</f>
        <v>133570.35</v>
      </c>
      <c r="AJ9" s="65">
        <f>SUM(A:B!AJ9)</f>
        <v>132005.54999999999</v>
      </c>
      <c r="AK9" s="65">
        <f t="shared" si="6"/>
        <v>1842552</v>
      </c>
      <c r="AL9" s="73">
        <f t="shared" si="4"/>
        <v>7.3484374245265912E-3</v>
      </c>
      <c r="AM9" s="14">
        <f t="shared" si="7"/>
        <v>7.9008382680889833E-2</v>
      </c>
    </row>
    <row r="10" spans="1:39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6" t="s">
        <v>108</v>
      </c>
      <c r="J10" s="65">
        <f>SUM(A:B!J10)</f>
        <v>9822</v>
      </c>
      <c r="K10" s="65">
        <f>SUM(A:B!K10)</f>
        <v>9042</v>
      </c>
      <c r="L10" s="65">
        <f>SUM(A:B!L10)</f>
        <v>19682</v>
      </c>
      <c r="M10" s="65">
        <f>SUM(A:B!M10)</f>
        <v>21521</v>
      </c>
      <c r="N10" s="65">
        <f>SUM(A:B!N10)</f>
        <v>22024</v>
      </c>
      <c r="O10" s="65">
        <f>SUM(A:B!O10)</f>
        <v>20795</v>
      </c>
      <c r="P10" s="65">
        <f>SUM(A:B!P10)</f>
        <v>18363</v>
      </c>
      <c r="Q10" s="65">
        <f>SUM(A:B!Q10)</f>
        <v>22240</v>
      </c>
      <c r="R10" s="65">
        <f>SUM(A:B!R10)</f>
        <v>18906</v>
      </c>
      <c r="S10" s="65">
        <f>SUM(A:B!S10)</f>
        <v>25704</v>
      </c>
      <c r="T10" s="65">
        <f>SUM(A:B!T10)</f>
        <v>22283.333333333332</v>
      </c>
      <c r="U10" s="65">
        <f>SUM(A:B!U10)</f>
        <v>22297.777777777781</v>
      </c>
      <c r="V10" s="11">
        <f t="shared" si="5"/>
        <v>232680.11111111112</v>
      </c>
      <c r="W10" s="73">
        <f t="shared" si="2"/>
        <v>1.0393400477541018E-3</v>
      </c>
      <c r="X10" s="89"/>
      <c r="Y10" s="65">
        <f>SUM(A:B!Y10)</f>
        <v>8580</v>
      </c>
      <c r="Z10" s="65">
        <f>SUM(A:B!Z10)</f>
        <v>7560</v>
      </c>
      <c r="AA10" s="65">
        <f>SUM(A:B!AA10)</f>
        <v>15300</v>
      </c>
      <c r="AB10" s="65">
        <f>SUM(A:B!AB10)</f>
        <v>14820</v>
      </c>
      <c r="AC10" s="65">
        <f>SUM(A:B!AC10)</f>
        <v>17520</v>
      </c>
      <c r="AD10" s="65">
        <f>SUM(A:B!AD10)</f>
        <v>14700</v>
      </c>
      <c r="AE10" s="65">
        <f>SUM(A:B!AE10)</f>
        <v>15840</v>
      </c>
      <c r="AF10" s="65">
        <f>SUM(A:B!AF10)</f>
        <v>16980</v>
      </c>
      <c r="AG10" s="65">
        <f>SUM(A:B!AG10)</f>
        <v>14460</v>
      </c>
      <c r="AH10" s="65">
        <f>SUM(A:B!AH10)</f>
        <v>19320</v>
      </c>
      <c r="AI10" s="65">
        <f>SUM(A:B!AI10)</f>
        <v>20280</v>
      </c>
      <c r="AJ10" s="65">
        <f>SUM(A:B!AJ10)</f>
        <v>27480</v>
      </c>
      <c r="AK10" s="65">
        <f t="shared" si="6"/>
        <v>192840</v>
      </c>
      <c r="AL10" s="73">
        <f t="shared" si="4"/>
        <v>7.6908150920338087E-4</v>
      </c>
      <c r="AM10" s="14">
        <f t="shared" si="7"/>
        <v>-0.17122267528953683</v>
      </c>
    </row>
    <row r="11" spans="1:39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230" t="s">
        <v>109</v>
      </c>
      <c r="J11" s="65">
        <f>SUM(A:B!J11)</f>
        <v>0</v>
      </c>
      <c r="K11" s="65">
        <f>SUM(A:B!K11)</f>
        <v>0</v>
      </c>
      <c r="L11" s="65">
        <f>SUM(A:B!L11)</f>
        <v>0</v>
      </c>
      <c r="M11" s="65">
        <f>SUM(A:B!M11)</f>
        <v>0</v>
      </c>
      <c r="N11" s="65">
        <f>SUM(A:B!N11)</f>
        <v>0</v>
      </c>
      <c r="O11" s="65">
        <f>SUM(A:B!O11)</f>
        <v>0</v>
      </c>
      <c r="P11" s="65">
        <f>SUM(A:B!P11)</f>
        <v>0</v>
      </c>
      <c r="Q11" s="65">
        <f>SUM(A:B!Q11)</f>
        <v>0</v>
      </c>
      <c r="R11" s="65">
        <f>SUM(A:B!R11)</f>
        <v>0</v>
      </c>
      <c r="S11" s="65">
        <f>SUM(A:B!S11)</f>
        <v>0</v>
      </c>
      <c r="T11" s="65">
        <f>SUM(A:B!T11)</f>
        <v>0</v>
      </c>
      <c r="U11" s="65">
        <f>SUM(A:B!U11)</f>
        <v>0</v>
      </c>
      <c r="V11" s="11">
        <f t="shared" si="5"/>
        <v>0</v>
      </c>
      <c r="W11" s="73">
        <f t="shared" si="2"/>
        <v>0</v>
      </c>
      <c r="X11" s="89"/>
      <c r="Y11" s="65">
        <f>SUM(A:B!Y11)</f>
        <v>0</v>
      </c>
      <c r="Z11" s="65">
        <f>SUM(A:B!Z11)</f>
        <v>0</v>
      </c>
      <c r="AA11" s="65">
        <f>SUM(A:B!AA11)</f>
        <v>0</v>
      </c>
      <c r="AB11" s="65">
        <f>SUM(A:B!AB11)</f>
        <v>0</v>
      </c>
      <c r="AC11" s="65">
        <f>SUM(A:B!AC11)</f>
        <v>0</v>
      </c>
      <c r="AD11" s="65">
        <f>SUM(A:B!AD11)</f>
        <v>0</v>
      </c>
      <c r="AE11" s="65">
        <f>SUM(A:B!AE11)</f>
        <v>0</v>
      </c>
      <c r="AF11" s="65">
        <f>SUM(A:B!AF11)</f>
        <v>0</v>
      </c>
      <c r="AG11" s="65">
        <f>SUM(A:B!AG11)</f>
        <v>0</v>
      </c>
      <c r="AH11" s="65">
        <f>SUM(A:B!AH11)</f>
        <v>0</v>
      </c>
      <c r="AI11" s="65">
        <f>SUM(A:B!AI11)</f>
        <v>0</v>
      </c>
      <c r="AJ11" s="65">
        <f>SUM(A:B!AJ11)</f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</row>
    <row r="12" spans="1:39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16"/>
      <c r="J12" s="65">
        <f>SUM(A:B!J12)</f>
        <v>0</v>
      </c>
      <c r="K12" s="65">
        <f>SUM(A:B!K12)</f>
        <v>0</v>
      </c>
      <c r="L12" s="65">
        <f>SUM(A:B!L12)</f>
        <v>0</v>
      </c>
      <c r="M12" s="65">
        <f>SUM(A:B!M12)</f>
        <v>0</v>
      </c>
      <c r="N12" s="65">
        <f>SUM(A:B!N12)</f>
        <v>0</v>
      </c>
      <c r="O12" s="65">
        <f>SUM(A:B!O12)</f>
        <v>0</v>
      </c>
      <c r="P12" s="65">
        <f>SUM(A:B!P12)</f>
        <v>0</v>
      </c>
      <c r="Q12" s="65">
        <f>SUM(A:B!Q12)</f>
        <v>0</v>
      </c>
      <c r="R12" s="65">
        <f>SUM(A:B!R12)</f>
        <v>0</v>
      </c>
      <c r="S12" s="65">
        <f>SUM(A:B!S12)</f>
        <v>0</v>
      </c>
      <c r="T12" s="65">
        <f>SUM(A:B!T12)</f>
        <v>0</v>
      </c>
      <c r="U12" s="65">
        <f>SUM(A:B!U12)</f>
        <v>0</v>
      </c>
      <c r="V12" s="11">
        <f t="shared" si="5"/>
        <v>0</v>
      </c>
      <c r="W12" s="73">
        <f t="shared" si="2"/>
        <v>0</v>
      </c>
      <c r="X12" s="89"/>
      <c r="Y12" s="65">
        <f>SUM(A:B!Y12)</f>
        <v>0</v>
      </c>
      <c r="Z12" s="65">
        <f>SUM(A:B!Z12)</f>
        <v>0</v>
      </c>
      <c r="AA12" s="65">
        <f>SUM(A:B!AA12)</f>
        <v>0</v>
      </c>
      <c r="AB12" s="65">
        <f>SUM(A:B!AB12)</f>
        <v>0</v>
      </c>
      <c r="AC12" s="65">
        <f>SUM(A:B!AC12)</f>
        <v>0</v>
      </c>
      <c r="AD12" s="65">
        <f>SUM(A:B!AD12)</f>
        <v>0</v>
      </c>
      <c r="AE12" s="65">
        <f>SUM(A:B!AE12)</f>
        <v>0</v>
      </c>
      <c r="AF12" s="65">
        <f>SUM(A:B!AF12)</f>
        <v>0</v>
      </c>
      <c r="AG12" s="65">
        <f>SUM(A:B!AG12)</f>
        <v>0</v>
      </c>
      <c r="AH12" s="65">
        <f>SUM(A:B!AH12)</f>
        <v>0</v>
      </c>
      <c r="AI12" s="65">
        <f>SUM(A:B!AI12)</f>
        <v>0</v>
      </c>
      <c r="AJ12" s="65">
        <f>SUM(A:B!AJ12)</f>
        <v>0</v>
      </c>
      <c r="AK12" s="65">
        <f t="shared" si="6"/>
        <v>0</v>
      </c>
      <c r="AL12" s="73">
        <f t="shared" si="4"/>
        <v>0</v>
      </c>
      <c r="AM12" s="14">
        <f t="shared" si="7"/>
        <v>0</v>
      </c>
    </row>
    <row r="13" spans="1:39" collapsed="1">
      <c r="A13" s="12" t="s">
        <v>110</v>
      </c>
      <c r="B13" s="19"/>
      <c r="E13" s="7" t="s">
        <v>111</v>
      </c>
      <c r="I13" s="170" t="s">
        <v>112</v>
      </c>
      <c r="J13" s="15">
        <f>SUM(J14:J33)</f>
        <v>15902755</v>
      </c>
      <c r="K13" s="15">
        <f t="shared" ref="K13:V13" si="8">SUM(K14:K33)</f>
        <v>14219176</v>
      </c>
      <c r="L13" s="15">
        <f t="shared" si="8"/>
        <v>16515274</v>
      </c>
      <c r="M13" s="15">
        <f t="shared" si="8"/>
        <v>15682912</v>
      </c>
      <c r="N13" s="15">
        <f t="shared" si="8"/>
        <v>17504319</v>
      </c>
      <c r="O13" s="15">
        <f t="shared" si="8"/>
        <v>16938367</v>
      </c>
      <c r="P13" s="15">
        <f t="shared" si="8"/>
        <v>16483004</v>
      </c>
      <c r="Q13" s="15">
        <f t="shared" si="8"/>
        <v>16897261</v>
      </c>
      <c r="R13" s="15">
        <f t="shared" si="8"/>
        <v>17783190</v>
      </c>
      <c r="S13" s="15">
        <f t="shared" si="8"/>
        <v>18791330</v>
      </c>
      <c r="T13" s="15">
        <f t="shared" si="8"/>
        <v>17823927.000000004</v>
      </c>
      <c r="U13" s="15">
        <f t="shared" si="8"/>
        <v>18132815.666666664</v>
      </c>
      <c r="V13" s="15">
        <f t="shared" si="8"/>
        <v>202674330.66666669</v>
      </c>
      <c r="W13" s="72">
        <f t="shared" si="2"/>
        <v>0.90530964381839241</v>
      </c>
      <c r="X13" s="89"/>
      <c r="Y13" s="15">
        <f t="shared" ref="Y13:AJ13" si="9">SUM(Y14:Y30)</f>
        <v>17094951.048908617</v>
      </c>
      <c r="Z13" s="15">
        <f t="shared" si="9"/>
        <v>15592765.835294379</v>
      </c>
      <c r="AA13" s="15">
        <f t="shared" si="9"/>
        <v>18304072.747633677</v>
      </c>
      <c r="AB13" s="15">
        <f t="shared" si="9"/>
        <v>17779060.559260037</v>
      </c>
      <c r="AC13" s="15">
        <f t="shared" si="9"/>
        <v>19790062.850038737</v>
      </c>
      <c r="AD13" s="15">
        <f t="shared" si="9"/>
        <v>19328858.285153475</v>
      </c>
      <c r="AE13" s="15">
        <f t="shared" si="9"/>
        <v>18583116.639239077</v>
      </c>
      <c r="AF13" s="15">
        <f t="shared" si="9"/>
        <v>18827660.37678045</v>
      </c>
      <c r="AG13" s="15">
        <f t="shared" si="9"/>
        <v>19925440.213959996</v>
      </c>
      <c r="AH13" s="15">
        <f t="shared" si="9"/>
        <v>21324895.497929521</v>
      </c>
      <c r="AI13" s="15">
        <f t="shared" si="9"/>
        <v>20886262.677225634</v>
      </c>
      <c r="AJ13" s="15">
        <f t="shared" si="9"/>
        <v>20641000.591902535</v>
      </c>
      <c r="AK13" s="15">
        <f t="shared" si="6"/>
        <v>228078147.32332614</v>
      </c>
      <c r="AL13" s="72">
        <f t="shared" si="4"/>
        <v>0.90961774403513129</v>
      </c>
      <c r="AM13" s="10">
        <f t="shared" si="7"/>
        <v>0.12534303960988757</v>
      </c>
    </row>
    <row r="14" spans="1:39" hidden="1" outlineLevel="1">
      <c r="A14" s="37" t="s">
        <v>110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174" t="s">
        <v>115</v>
      </c>
      <c r="J14" s="65">
        <f>SUM(A:B!J14)</f>
        <v>12973548</v>
      </c>
      <c r="K14" s="65">
        <f>SUM(A:B!K14)</f>
        <v>11404250</v>
      </c>
      <c r="L14" s="65">
        <f>SUM(A:B!L14)</f>
        <v>13331662</v>
      </c>
      <c r="M14" s="65">
        <f>SUM(A:B!M14)</f>
        <v>12710487</v>
      </c>
      <c r="N14" s="65">
        <f>SUM(A:B!N14)</f>
        <v>14240584</v>
      </c>
      <c r="O14" s="65">
        <f>SUM(A:B!O14)</f>
        <v>14028976</v>
      </c>
      <c r="P14" s="65">
        <f>SUM(A:B!P14)</f>
        <v>13394436</v>
      </c>
      <c r="Q14" s="65">
        <f>SUM(A:B!Q14)</f>
        <v>13534987</v>
      </c>
      <c r="R14" s="65">
        <f>SUM(A:B!R14)</f>
        <v>14128501</v>
      </c>
      <c r="S14" s="65">
        <f>SUM(A:B!S14)</f>
        <v>15091913</v>
      </c>
      <c r="T14" s="65">
        <f>SUM(A:B!T14)</f>
        <v>14251800.333333334</v>
      </c>
      <c r="U14" s="65">
        <f>SUM(A:B!U14)</f>
        <v>14490738.11111111</v>
      </c>
      <c r="V14" s="11">
        <f t="shared" si="5"/>
        <v>163581882.44444445</v>
      </c>
      <c r="W14" s="73">
        <f t="shared" si="2"/>
        <v>0.73069073544634378</v>
      </c>
      <c r="X14" s="89"/>
      <c r="Y14" s="65">
        <f>SUM(A:B!Y14)</f>
        <v>13883313.308908619</v>
      </c>
      <c r="Z14" s="65">
        <f>SUM(A:B!Z14)</f>
        <v>12500474.30529438</v>
      </c>
      <c r="AA14" s="65">
        <f>SUM(A:B!AA14)</f>
        <v>14787073.177633677</v>
      </c>
      <c r="AB14" s="65">
        <f>SUM(A:B!AB14)</f>
        <v>14347589.879260037</v>
      </c>
      <c r="AC14" s="65">
        <f>SUM(A:B!AC14)</f>
        <v>15960345.320038736</v>
      </c>
      <c r="AD14" s="65">
        <f>SUM(A:B!AD14)</f>
        <v>15798488.985153474</v>
      </c>
      <c r="AE14" s="65">
        <f>SUM(A:B!AE14)</f>
        <v>15161170.879239075</v>
      </c>
      <c r="AF14" s="65">
        <f>SUM(A:B!AF14)</f>
        <v>15119203.576780451</v>
      </c>
      <c r="AG14" s="65">
        <f>SUM(A:B!AG14)</f>
        <v>15888161.013959995</v>
      </c>
      <c r="AH14" s="65">
        <f>SUM(A:B!AH14)</f>
        <v>17125575.777929518</v>
      </c>
      <c r="AI14" s="65">
        <f>SUM(A:B!AI14)</f>
        <v>16785034.127225637</v>
      </c>
      <c r="AJ14" s="65">
        <f>SUM(A:B!AJ14)</f>
        <v>16585451.161902538</v>
      </c>
      <c r="AK14" s="65">
        <f>SUM(A:B!AK14)</f>
        <v>183941881.51332617</v>
      </c>
      <c r="AL14" s="73">
        <f t="shared" si="4"/>
        <v>0.7335941705039325</v>
      </c>
      <c r="AM14" s="14">
        <f t="shared" si="7"/>
        <v>0.12446365553835936</v>
      </c>
    </row>
    <row r="15" spans="1:39" hidden="1" outlineLevel="1">
      <c r="A15" s="37" t="s">
        <v>110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175" t="s">
        <v>118</v>
      </c>
      <c r="J15" s="65">
        <f>SUM(A:B!J15)</f>
        <v>2994699</v>
      </c>
      <c r="K15" s="65">
        <f>SUM(A:B!K15)</f>
        <v>2908739</v>
      </c>
      <c r="L15" s="65">
        <f>SUM(A:B!L15)</f>
        <v>3286842</v>
      </c>
      <c r="M15" s="65">
        <f>SUM(A:B!M15)</f>
        <v>3157931</v>
      </c>
      <c r="N15" s="65">
        <f>SUM(A:B!N15)</f>
        <v>3455437</v>
      </c>
      <c r="O15" s="65">
        <f>SUM(A:B!O15)</f>
        <v>3184771</v>
      </c>
      <c r="P15" s="65">
        <f>SUM(A:B!P15)</f>
        <v>3126152</v>
      </c>
      <c r="Q15" s="65">
        <f>SUM(A:B!Q15)</f>
        <v>3519227</v>
      </c>
      <c r="R15" s="65">
        <f>SUM(A:B!R15)</f>
        <v>3822059</v>
      </c>
      <c r="S15" s="65">
        <f>SUM(A:B!S15)</f>
        <v>3918058</v>
      </c>
      <c r="T15" s="65">
        <f>SUM(A:B!T15)</f>
        <v>3753114.6666666665</v>
      </c>
      <c r="U15" s="65">
        <f>SUM(A:B!U15)</f>
        <v>3831077.222222222</v>
      </c>
      <c r="V15" s="11">
        <f t="shared" ref="V15:V19" si="10">SUM(J15:U15)</f>
        <v>40958106.888888888</v>
      </c>
      <c r="W15" s="73">
        <f t="shared" si="2"/>
        <v>0.18295246880592786</v>
      </c>
      <c r="X15" s="89"/>
      <c r="Y15" s="65">
        <f>SUM(A:B!Y15)</f>
        <v>3080783.9699999997</v>
      </c>
      <c r="Z15" s="65">
        <f>SUM(A:B!Z15)</f>
        <v>2973366.35</v>
      </c>
      <c r="AA15" s="65">
        <f>SUM(A:B!AA15)</f>
        <v>3369026.87</v>
      </c>
      <c r="AB15" s="65">
        <f>SUM(A:B!AB15)</f>
        <v>3257493.6300000004</v>
      </c>
      <c r="AC15" s="65">
        <f>SUM(A:B!AC15)</f>
        <v>3620816.11</v>
      </c>
      <c r="AD15" s="65">
        <f>SUM(A:B!AD15)</f>
        <v>3359822.1</v>
      </c>
      <c r="AE15" s="65">
        <f>SUM(A:B!AE15)</f>
        <v>3242504.0300000003</v>
      </c>
      <c r="AF15" s="65">
        <f>SUM(A:B!AF15)</f>
        <v>3553874.72</v>
      </c>
      <c r="AG15" s="65">
        <f>SUM(A:B!AG15)</f>
        <v>3889819.1799999997</v>
      </c>
      <c r="AH15" s="65">
        <f>SUM(A:B!AH15)</f>
        <v>4056448.62</v>
      </c>
      <c r="AI15" s="65">
        <f>SUM(A:B!AI15)</f>
        <v>3961212.97</v>
      </c>
      <c r="AJ15" s="65">
        <f>SUM(A:B!AJ15)</f>
        <v>3911332.07</v>
      </c>
      <c r="AK15" s="65">
        <f>SUM(A:B!AK15)</f>
        <v>42276500.619999997</v>
      </c>
      <c r="AL15" s="73">
        <f t="shared" si="4"/>
        <v>0.16860648672820611</v>
      </c>
      <c r="AM15" s="14">
        <f t="shared" si="7"/>
        <v>3.2188834671671884E-2</v>
      </c>
    </row>
    <row r="16" spans="1:39" hidden="1" outlineLevel="1">
      <c r="A16" s="37" t="s">
        <v>110</v>
      </c>
      <c r="B16" s="39"/>
      <c r="C16" s="39" t="s">
        <v>119</v>
      </c>
      <c r="D16" s="37" t="s">
        <v>120</v>
      </c>
      <c r="E16" s="38"/>
      <c r="F16" s="37"/>
      <c r="G16" s="37"/>
      <c r="H16" s="37"/>
      <c r="I16" s="170" t="s">
        <v>5</v>
      </c>
      <c r="J16" s="65">
        <f>SUM(A:B!J16)</f>
        <v>111034</v>
      </c>
      <c r="K16" s="65">
        <f>SUM(A:B!K16)</f>
        <v>101129</v>
      </c>
      <c r="L16" s="65">
        <f>SUM(A:B!L16)</f>
        <v>122898</v>
      </c>
      <c r="M16" s="65">
        <f>SUM(A:B!M16)</f>
        <v>146759</v>
      </c>
      <c r="N16" s="65">
        <f>SUM(A:B!N16)</f>
        <v>171893</v>
      </c>
      <c r="O16" s="65">
        <f>SUM(A:B!O16)</f>
        <v>138211</v>
      </c>
      <c r="P16" s="65">
        <f>SUM(A:B!P16)</f>
        <v>152522</v>
      </c>
      <c r="Q16" s="65">
        <f>SUM(A:B!Q16)</f>
        <v>127651</v>
      </c>
      <c r="R16" s="65">
        <f>SUM(A:B!R16)</f>
        <v>123662</v>
      </c>
      <c r="S16" s="65">
        <f>SUM(A:B!S16)</f>
        <v>138375</v>
      </c>
      <c r="T16" s="65">
        <f>SUM(A:B!T16)</f>
        <v>129896</v>
      </c>
      <c r="U16" s="65">
        <f>SUM(A:B!U16)</f>
        <v>130644.33333333333</v>
      </c>
      <c r="V16" s="11">
        <f t="shared" si="10"/>
        <v>1594674.3333333333</v>
      </c>
      <c r="W16" s="73">
        <f t="shared" si="2"/>
        <v>7.1231223409870597E-3</v>
      </c>
      <c r="X16" s="89"/>
      <c r="Y16" s="65">
        <f>SUM(A:B!Y16)</f>
        <v>123989.76999999999</v>
      </c>
      <c r="Z16" s="65">
        <f>SUM(A:B!Z16)</f>
        <v>112877.18</v>
      </c>
      <c r="AA16" s="65">
        <f>SUM(A:B!AA16)</f>
        <v>135732.69999999998</v>
      </c>
      <c r="AB16" s="65">
        <f>SUM(A:B!AB16)</f>
        <v>162121.04999999999</v>
      </c>
      <c r="AC16" s="65">
        <f>SUM(A:B!AC16)</f>
        <v>194885.41999999998</v>
      </c>
      <c r="AD16" s="65">
        <f>SUM(A:B!AD16)</f>
        <v>158787.20000000001</v>
      </c>
      <c r="AE16" s="65">
        <f>SUM(A:B!AE16)</f>
        <v>166769.72999999998</v>
      </c>
      <c r="AF16" s="65">
        <f>SUM(A:B!AF16)</f>
        <v>140998.07999999999</v>
      </c>
      <c r="AG16" s="65">
        <f>SUM(A:B!AG16)</f>
        <v>135892.01999999999</v>
      </c>
      <c r="AH16" s="65">
        <f>SUM(A:B!AH16)</f>
        <v>127415.1</v>
      </c>
      <c r="AI16" s="65">
        <f>SUM(A:B!AI16)</f>
        <v>123791.58</v>
      </c>
      <c r="AJ16" s="65">
        <f>SUM(A:B!AJ16)</f>
        <v>122233.35999999999</v>
      </c>
      <c r="AK16" s="65">
        <f>SUM(A:B!AK16)</f>
        <v>1705493.19</v>
      </c>
      <c r="AL16" s="73">
        <f t="shared" si="4"/>
        <v>6.8018215956299954E-3</v>
      </c>
      <c r="AM16" s="14">
        <f t="shared" si="7"/>
        <v>6.9493096082523076E-2</v>
      </c>
    </row>
    <row r="17" spans="1:39" hidden="1" outlineLevel="1">
      <c r="A17" s="37" t="s">
        <v>110</v>
      </c>
      <c r="B17" s="39"/>
      <c r="C17" s="39" t="s">
        <v>121</v>
      </c>
      <c r="D17" s="37"/>
      <c r="E17" s="38"/>
      <c r="F17" s="37"/>
      <c r="G17" s="37"/>
      <c r="H17" s="37"/>
      <c r="I17" s="174" t="s">
        <v>122</v>
      </c>
      <c r="J17" s="65">
        <f>SUM(A:B!J17)</f>
        <v>0</v>
      </c>
      <c r="K17" s="65">
        <f>SUM(A:B!K17)</f>
        <v>451</v>
      </c>
      <c r="L17" s="65">
        <f>SUM(A:B!L17)</f>
        <v>0</v>
      </c>
      <c r="M17" s="65">
        <f>SUM(A:B!M17)</f>
        <v>863</v>
      </c>
      <c r="N17" s="65">
        <f>SUM(A:B!N17)</f>
        <v>0</v>
      </c>
      <c r="O17" s="65">
        <f>SUM(A:B!O17)</f>
        <v>0</v>
      </c>
      <c r="P17" s="65">
        <f>SUM(A:B!P17)</f>
        <v>1786</v>
      </c>
      <c r="Q17" s="65">
        <f>SUM(A:B!Q17)</f>
        <v>0</v>
      </c>
      <c r="R17" s="65">
        <f>SUM(A:B!R17)</f>
        <v>0</v>
      </c>
      <c r="S17" s="65">
        <f>SUM(A:B!S17)</f>
        <v>308</v>
      </c>
      <c r="T17" s="65">
        <f>SUM(A:B!T17)</f>
        <v>102.66666666666667</v>
      </c>
      <c r="U17" s="65">
        <f>SUM(A:B!U17)</f>
        <v>136.88888888888889</v>
      </c>
      <c r="V17" s="11">
        <f t="shared" si="10"/>
        <v>3647.5555555555552</v>
      </c>
      <c r="W17" s="73">
        <f t="shared" si="2"/>
        <v>1.6292972128960863E-5</v>
      </c>
      <c r="X17" s="89"/>
      <c r="Y17" s="65">
        <f>SUM(A:B!Y17)</f>
        <v>0</v>
      </c>
      <c r="Z17" s="65">
        <f>SUM(A:B!Z17)</f>
        <v>0</v>
      </c>
      <c r="AA17" s="65">
        <f>SUM(A:B!AA17)</f>
        <v>0</v>
      </c>
      <c r="AB17" s="65">
        <f>SUM(A:B!AB17)</f>
        <v>0</v>
      </c>
      <c r="AC17" s="65">
        <f>SUM(A:B!AC17)</f>
        <v>0</v>
      </c>
      <c r="AD17" s="65">
        <f>SUM(A:B!AD17)</f>
        <v>0</v>
      </c>
      <c r="AE17" s="65">
        <f>SUM(A:B!AE17)</f>
        <v>0</v>
      </c>
      <c r="AF17" s="65">
        <f>SUM(A:B!AF17)</f>
        <v>0</v>
      </c>
      <c r="AG17" s="65">
        <f>SUM(A:B!AG17)</f>
        <v>0</v>
      </c>
      <c r="AH17" s="65">
        <f>SUM(A:B!AH17)</f>
        <v>0</v>
      </c>
      <c r="AI17" s="65">
        <f>SUM(A:B!AI17)</f>
        <v>0</v>
      </c>
      <c r="AJ17" s="65">
        <f>SUM(A:B!AJ17)</f>
        <v>0</v>
      </c>
      <c r="AK17" s="65">
        <f>SUM(A:B!AK17)</f>
        <v>0</v>
      </c>
      <c r="AL17" s="73">
        <f t="shared" si="4"/>
        <v>0</v>
      </c>
      <c r="AM17" s="14">
        <f t="shared" si="7"/>
        <v>-1</v>
      </c>
    </row>
    <row r="18" spans="1:39" hidden="1" outlineLevel="1">
      <c r="A18" s="37" t="s">
        <v>110</v>
      </c>
      <c r="B18" s="39"/>
      <c r="C18" s="39" t="s">
        <v>123</v>
      </c>
      <c r="D18" s="37"/>
      <c r="E18" s="38"/>
      <c r="F18" s="37"/>
      <c r="G18" s="37"/>
      <c r="H18" s="37"/>
      <c r="I18" s="175" t="s">
        <v>124</v>
      </c>
      <c r="J18" s="65">
        <f>SUM(A:B!J18)</f>
        <v>10118</v>
      </c>
      <c r="K18" s="65">
        <f>SUM(A:B!K18)</f>
        <v>11513</v>
      </c>
      <c r="L18" s="65">
        <f>SUM(A:B!L18)</f>
        <v>5892</v>
      </c>
      <c r="M18" s="65">
        <f>SUM(A:B!M18)</f>
        <v>235</v>
      </c>
      <c r="N18" s="65">
        <f>SUM(A:B!N18)</f>
        <v>5571</v>
      </c>
      <c r="O18" s="65">
        <f>SUM(A:B!O18)</f>
        <v>4098</v>
      </c>
      <c r="P18" s="65">
        <f>SUM(A:B!P18)</f>
        <v>6579</v>
      </c>
      <c r="Q18" s="65">
        <f>SUM(A:B!Q18)</f>
        <v>0</v>
      </c>
      <c r="R18" s="65">
        <f>SUM(A:B!R18)</f>
        <v>0</v>
      </c>
      <c r="S18" s="65">
        <f>SUM(A:B!S18)</f>
        <v>14509</v>
      </c>
      <c r="T18" s="65">
        <f>SUM(A:B!T18)</f>
        <v>4836.333333333333</v>
      </c>
      <c r="U18" s="65">
        <f>SUM(A:B!U18)</f>
        <v>6448.4444444444443</v>
      </c>
      <c r="V18" s="11">
        <f t="shared" si="10"/>
        <v>69799.777777777781</v>
      </c>
      <c r="W18" s="73">
        <f t="shared" si="2"/>
        <v>3.1178300552787123E-4</v>
      </c>
      <c r="X18" s="89"/>
      <c r="Y18" s="65">
        <f>SUM(A:B!Y18)</f>
        <v>0</v>
      </c>
      <c r="Z18" s="65">
        <f>SUM(A:B!Z18)</f>
        <v>0</v>
      </c>
      <c r="AA18" s="65">
        <f>SUM(A:B!AA18)</f>
        <v>0</v>
      </c>
      <c r="AB18" s="65">
        <f>SUM(A:B!AB18)</f>
        <v>0</v>
      </c>
      <c r="AC18" s="65">
        <f>SUM(A:B!AC18)</f>
        <v>0</v>
      </c>
      <c r="AD18" s="65">
        <f>SUM(A:B!AD18)</f>
        <v>0</v>
      </c>
      <c r="AE18" s="65">
        <f>SUM(A:B!AE18)</f>
        <v>0</v>
      </c>
      <c r="AF18" s="65">
        <f>SUM(A:B!AF18)</f>
        <v>0</v>
      </c>
      <c r="AG18" s="65">
        <f>SUM(A:B!AG18)</f>
        <v>0</v>
      </c>
      <c r="AH18" s="65">
        <f>SUM(A:B!AH18)</f>
        <v>0</v>
      </c>
      <c r="AI18" s="65">
        <f>SUM(A:B!AI18)</f>
        <v>0</v>
      </c>
      <c r="AJ18" s="65">
        <f>SUM(A:B!AJ18)</f>
        <v>0</v>
      </c>
      <c r="AK18" s="65">
        <f>SUM(A:B!AK18)</f>
        <v>0</v>
      </c>
      <c r="AL18" s="73">
        <f t="shared" si="4"/>
        <v>0</v>
      </c>
      <c r="AM18" s="14">
        <f t="shared" si="7"/>
        <v>-1</v>
      </c>
    </row>
    <row r="19" spans="1:39" hidden="1" outlineLevel="1">
      <c r="A19" s="37" t="s">
        <v>110</v>
      </c>
      <c r="B19" s="39"/>
      <c r="C19" s="39" t="s">
        <v>125</v>
      </c>
      <c r="D19" s="37"/>
      <c r="E19" s="38"/>
      <c r="F19" s="37"/>
      <c r="G19" s="37"/>
      <c r="H19" s="37"/>
      <c r="I19" s="170" t="s">
        <v>126</v>
      </c>
      <c r="J19" s="65">
        <f>SUM(A:B!J19)</f>
        <v>-2264</v>
      </c>
      <c r="K19" s="65">
        <f>SUM(A:B!K19)</f>
        <v>0</v>
      </c>
      <c r="L19" s="65">
        <f>SUM(A:B!L19)</f>
        <v>203</v>
      </c>
      <c r="M19" s="65">
        <f>SUM(A:B!M19)</f>
        <v>0</v>
      </c>
      <c r="N19" s="65">
        <f>SUM(A:B!N19)</f>
        <v>0</v>
      </c>
      <c r="O19" s="65">
        <f>SUM(A:B!O19)</f>
        <v>1796</v>
      </c>
      <c r="P19" s="65">
        <f>SUM(A:B!P19)</f>
        <v>0</v>
      </c>
      <c r="Q19" s="65">
        <f>SUM(A:B!Q19)</f>
        <v>0</v>
      </c>
      <c r="R19" s="65">
        <f>SUM(A:B!R19)</f>
        <v>4772</v>
      </c>
      <c r="S19" s="65">
        <f>SUM(A:B!S19)</f>
        <v>0</v>
      </c>
      <c r="T19" s="65">
        <f>SUM(A:B!T19)</f>
        <v>1590.6666666666667</v>
      </c>
      <c r="U19" s="65">
        <f>SUM(A:B!U19)</f>
        <v>2120.8888888888891</v>
      </c>
      <c r="V19" s="11">
        <f t="shared" si="10"/>
        <v>8218.5555555555566</v>
      </c>
      <c r="W19" s="73">
        <f t="shared" si="2"/>
        <v>3.6710803870563186E-5</v>
      </c>
      <c r="X19" s="89"/>
      <c r="Y19" s="65">
        <f>SUM(A:B!Y19)</f>
        <v>0</v>
      </c>
      <c r="Z19" s="65">
        <f>SUM(A:B!Z19)</f>
        <v>0</v>
      </c>
      <c r="AA19" s="65">
        <f>SUM(A:B!AA19)</f>
        <v>0</v>
      </c>
      <c r="AB19" s="65">
        <f>SUM(A:B!AB19)</f>
        <v>0</v>
      </c>
      <c r="AC19" s="65">
        <f>SUM(A:B!AC19)</f>
        <v>0</v>
      </c>
      <c r="AD19" s="65">
        <f>SUM(A:B!AD19)</f>
        <v>0</v>
      </c>
      <c r="AE19" s="65">
        <f>SUM(A:B!AE19)</f>
        <v>0</v>
      </c>
      <c r="AF19" s="65">
        <f>SUM(A:B!AF19)</f>
        <v>0</v>
      </c>
      <c r="AG19" s="65">
        <f>SUM(A:B!AG19)</f>
        <v>0</v>
      </c>
      <c r="AH19" s="65">
        <f>SUM(A:B!AH19)</f>
        <v>0</v>
      </c>
      <c r="AI19" s="65">
        <f>SUM(A:B!AI19)</f>
        <v>0</v>
      </c>
      <c r="AJ19" s="65">
        <f>SUM(A:B!AJ19)</f>
        <v>0</v>
      </c>
      <c r="AK19" s="65">
        <f>SUM(A:B!AK19)</f>
        <v>0</v>
      </c>
      <c r="AL19" s="73">
        <f t="shared" si="4"/>
        <v>0</v>
      </c>
      <c r="AM19" s="14">
        <f t="shared" si="7"/>
        <v>-1</v>
      </c>
    </row>
    <row r="20" spans="1:39" hidden="1" outlineLevel="1">
      <c r="A20" s="37"/>
      <c r="B20" s="39"/>
      <c r="C20" s="39"/>
      <c r="D20" s="37"/>
      <c r="E20" s="38"/>
      <c r="F20" s="37"/>
      <c r="G20" s="37"/>
      <c r="H20" s="37"/>
      <c r="I20" s="170" t="s">
        <v>129</v>
      </c>
      <c r="J20" s="65">
        <f>SUM(A:B!J20)</f>
        <v>-1655</v>
      </c>
      <c r="K20" s="65">
        <f>SUM(A:B!K20)</f>
        <v>-16260</v>
      </c>
      <c r="L20" s="65">
        <f>SUM(A:B!L20)</f>
        <v>-47534</v>
      </c>
      <c r="M20" s="65">
        <f>SUM(A:B!M20)</f>
        <v>-80019</v>
      </c>
      <c r="N20" s="65">
        <f>SUM(A:B!N20)</f>
        <v>-101412</v>
      </c>
      <c r="O20" s="65">
        <f>SUM(A:B!O20)</f>
        <v>-102362</v>
      </c>
      <c r="P20" s="65">
        <f>SUM(A:B!P20)</f>
        <v>-41438</v>
      </c>
      <c r="Q20" s="65">
        <f>SUM(A:B!Q20)</f>
        <v>-73785</v>
      </c>
      <c r="R20" s="65">
        <f>SUM(A:B!R20)</f>
        <v>-64971</v>
      </c>
      <c r="S20" s="65">
        <f>SUM(A:B!S20)</f>
        <v>-85384</v>
      </c>
      <c r="T20" s="65">
        <f>SUM(A:B!T20)</f>
        <v>-74713.333333333328</v>
      </c>
      <c r="U20" s="65">
        <f>SUM(A:B!U20)</f>
        <v>-75022.777777777781</v>
      </c>
      <c r="V20" s="11">
        <f t="shared" ref="V20:V33" si="11">SUM(J20:U20)</f>
        <v>-764556.11111111112</v>
      </c>
      <c r="W20" s="73">
        <f t="shared" ref="W20:W33" si="12">V20/V$6</f>
        <v>-3.4151341136907623E-3</v>
      </c>
      <c r="X20" s="89"/>
      <c r="Y20" s="65">
        <f>SUM(A:B!Y20)</f>
        <v>0</v>
      </c>
      <c r="Z20" s="65">
        <f>SUM(A:B!Z20)</f>
        <v>0</v>
      </c>
      <c r="AA20" s="65">
        <f>SUM(A:B!AA20)</f>
        <v>0</v>
      </c>
      <c r="AB20" s="65">
        <f>SUM(A:B!AB20)</f>
        <v>0</v>
      </c>
      <c r="AC20" s="65">
        <f>SUM(A:B!AC20)</f>
        <v>0</v>
      </c>
      <c r="AD20" s="65">
        <f>SUM(A:B!AD20)</f>
        <v>0</v>
      </c>
      <c r="AE20" s="65">
        <f>SUM(A:B!AE20)</f>
        <v>0</v>
      </c>
      <c r="AF20" s="65">
        <f>SUM(A:B!AF20)</f>
        <v>0</v>
      </c>
      <c r="AG20" s="65">
        <f>SUM(A:B!AG20)</f>
        <v>0</v>
      </c>
      <c r="AH20" s="65">
        <f>SUM(A:B!AH20)</f>
        <v>0</v>
      </c>
      <c r="AI20" s="65">
        <f>SUM(A:B!AI20)</f>
        <v>0</v>
      </c>
      <c r="AJ20" s="65">
        <f>SUM(A:B!AJ20)</f>
        <v>0</v>
      </c>
      <c r="AK20" s="65">
        <f>SUM(A:B!AK20)</f>
        <v>0</v>
      </c>
      <c r="AL20" s="73">
        <f t="shared" ref="AL20:AL33" si="13">AK20/AK$6</f>
        <v>0</v>
      </c>
      <c r="AM20" s="14">
        <f t="shared" ref="AM20:AM33" si="14">IFERROR(AK20/V20-1,0)</f>
        <v>-1</v>
      </c>
    </row>
    <row r="21" spans="1:39" hidden="1" outlineLevel="1">
      <c r="A21" s="37"/>
      <c r="B21" s="39"/>
      <c r="C21" s="39"/>
      <c r="D21" s="37"/>
      <c r="E21" s="38"/>
      <c r="F21" s="37"/>
      <c r="G21" s="37"/>
      <c r="H21" s="37"/>
      <c r="I21" s="170" t="s">
        <v>131</v>
      </c>
      <c r="J21" s="65">
        <f>SUM(A:B!J21)</f>
        <v>15107</v>
      </c>
      <c r="K21" s="65">
        <f>SUM(A:B!K21)</f>
        <v>4291</v>
      </c>
      <c r="L21" s="65">
        <f>SUM(A:B!L21)</f>
        <v>-4238</v>
      </c>
      <c r="M21" s="65">
        <f>SUM(A:B!M21)</f>
        <v>-6859</v>
      </c>
      <c r="N21" s="65">
        <f>SUM(A:B!N21)</f>
        <v>-21701</v>
      </c>
      <c r="O21" s="65">
        <f>SUM(A:B!O21)</f>
        <v>-91077</v>
      </c>
      <c r="P21" s="65">
        <f>SUM(A:B!P21)</f>
        <v>77691</v>
      </c>
      <c r="Q21" s="65">
        <f>SUM(A:B!Q21)</f>
        <v>-5176</v>
      </c>
      <c r="R21" s="65">
        <f>SUM(A:B!R21)</f>
        <v>-20498</v>
      </c>
      <c r="S21" s="65">
        <f>SUM(A:B!S21)</f>
        <v>-9262</v>
      </c>
      <c r="T21" s="65">
        <f>SUM(A:B!T21)</f>
        <v>-11645.333333333334</v>
      </c>
      <c r="U21" s="65">
        <f>SUM(A:B!U21)</f>
        <v>-13801.777777777777</v>
      </c>
      <c r="V21" s="11">
        <f t="shared" si="11"/>
        <v>-87169.111111111109</v>
      </c>
      <c r="W21" s="73">
        <f t="shared" si="12"/>
        <v>-3.8936868163021306E-4</v>
      </c>
      <c r="X21" s="89"/>
      <c r="Y21" s="65">
        <f>SUM(A:B!Y21)</f>
        <v>0</v>
      </c>
      <c r="Z21" s="65">
        <f>SUM(A:B!Z21)</f>
        <v>0</v>
      </c>
      <c r="AA21" s="65">
        <f>SUM(A:B!AA21)</f>
        <v>0</v>
      </c>
      <c r="AB21" s="65">
        <f>SUM(A:B!AB21)</f>
        <v>0</v>
      </c>
      <c r="AC21" s="65">
        <f>SUM(A:B!AC21)</f>
        <v>0</v>
      </c>
      <c r="AD21" s="65">
        <f>SUM(A:B!AD21)</f>
        <v>0</v>
      </c>
      <c r="AE21" s="65">
        <f>SUM(A:B!AE21)</f>
        <v>0</v>
      </c>
      <c r="AF21" s="65">
        <f>SUM(A:B!AF21)</f>
        <v>0</v>
      </c>
      <c r="AG21" s="65">
        <f>SUM(A:B!AG21)</f>
        <v>0</v>
      </c>
      <c r="AH21" s="65">
        <f>SUM(A:B!AH21)</f>
        <v>0</v>
      </c>
      <c r="AI21" s="65">
        <f>SUM(A:B!AI21)</f>
        <v>0</v>
      </c>
      <c r="AJ21" s="65">
        <f>SUM(A:B!AJ21)</f>
        <v>0</v>
      </c>
      <c r="AK21" s="65">
        <f>SUM(A:B!AK21)</f>
        <v>0</v>
      </c>
      <c r="AL21" s="73">
        <f t="shared" si="13"/>
        <v>0</v>
      </c>
      <c r="AM21" s="14">
        <f t="shared" si="14"/>
        <v>-1</v>
      </c>
    </row>
    <row r="22" spans="1:39" hidden="1" outlineLevel="1">
      <c r="A22" s="37"/>
      <c r="B22" s="39"/>
      <c r="C22" s="39"/>
      <c r="D22" s="37"/>
      <c r="E22" s="38"/>
      <c r="F22" s="37"/>
      <c r="G22" s="37"/>
      <c r="H22" s="37"/>
      <c r="I22" s="170" t="s">
        <v>133</v>
      </c>
      <c r="J22" s="65">
        <f>SUM(A:B!J22)</f>
        <v>0</v>
      </c>
      <c r="K22" s="65">
        <f>SUM(A:B!K22)</f>
        <v>-1925</v>
      </c>
      <c r="L22" s="65">
        <f>SUM(A:B!L22)</f>
        <v>-2961</v>
      </c>
      <c r="M22" s="65">
        <f>SUM(A:B!M22)</f>
        <v>-232</v>
      </c>
      <c r="N22" s="65">
        <f>SUM(A:B!N22)</f>
        <v>-4780</v>
      </c>
      <c r="O22" s="65">
        <f>SUM(A:B!O22)</f>
        <v>0</v>
      </c>
      <c r="P22" s="65">
        <f>SUM(A:B!P22)</f>
        <v>-2453</v>
      </c>
      <c r="Q22" s="65">
        <f>SUM(A:B!Q22)</f>
        <v>-1311</v>
      </c>
      <c r="R22" s="65">
        <f>SUM(A:B!R22)</f>
        <v>0</v>
      </c>
      <c r="S22" s="65">
        <f>SUM(A:B!S22)</f>
        <v>-4724</v>
      </c>
      <c r="T22" s="65">
        <f>SUM(A:B!T22)</f>
        <v>-2011.6666666666667</v>
      </c>
      <c r="U22" s="65">
        <f>SUM(A:B!U22)</f>
        <v>-2245.2222222222222</v>
      </c>
      <c r="V22" s="11">
        <f t="shared" si="11"/>
        <v>-22642.888888888891</v>
      </c>
      <c r="W22" s="73">
        <f t="shared" si="12"/>
        <v>-1.0114169666968499E-4</v>
      </c>
      <c r="X22" s="89"/>
      <c r="Y22" s="65">
        <f>SUM(A:B!Y22)</f>
        <v>0</v>
      </c>
      <c r="Z22" s="65">
        <f>SUM(A:B!Z22)</f>
        <v>0</v>
      </c>
      <c r="AA22" s="65">
        <f>SUM(A:B!AA22)</f>
        <v>0</v>
      </c>
      <c r="AB22" s="65">
        <f>SUM(A:B!AB22)</f>
        <v>0</v>
      </c>
      <c r="AC22" s="65">
        <f>SUM(A:B!AC22)</f>
        <v>0</v>
      </c>
      <c r="AD22" s="65">
        <f>SUM(A:B!AD22)</f>
        <v>0</v>
      </c>
      <c r="AE22" s="65">
        <f>SUM(A:B!AE22)</f>
        <v>0</v>
      </c>
      <c r="AF22" s="65">
        <f>SUM(A:B!AF22)</f>
        <v>0</v>
      </c>
      <c r="AG22" s="65">
        <f>SUM(A:B!AG22)</f>
        <v>0</v>
      </c>
      <c r="AH22" s="65">
        <f>SUM(A:B!AH22)</f>
        <v>0</v>
      </c>
      <c r="AI22" s="65">
        <f>SUM(A:B!AI22)</f>
        <v>0</v>
      </c>
      <c r="AJ22" s="65">
        <f>SUM(A:B!AJ22)</f>
        <v>0</v>
      </c>
      <c r="AK22" s="65">
        <f>SUM(A:B!AK22)</f>
        <v>0</v>
      </c>
      <c r="AL22" s="73">
        <f t="shared" si="13"/>
        <v>0</v>
      </c>
      <c r="AM22" s="14">
        <f t="shared" si="14"/>
        <v>-1</v>
      </c>
    </row>
    <row r="23" spans="1:39" hidden="1" outlineLevel="1">
      <c r="A23" s="37" t="s">
        <v>110</v>
      </c>
      <c r="B23" s="39"/>
      <c r="C23" s="39" t="s">
        <v>127</v>
      </c>
      <c r="D23" s="37" t="s">
        <v>128</v>
      </c>
      <c r="E23" s="38"/>
      <c r="F23" s="37"/>
      <c r="G23" s="37"/>
      <c r="H23" s="37"/>
      <c r="I23" s="174" t="s">
        <v>135</v>
      </c>
      <c r="J23" s="65">
        <f>SUM(A:B!J23)</f>
        <v>0</v>
      </c>
      <c r="K23" s="65">
        <f>SUM(A:B!K23)</f>
        <v>0</v>
      </c>
      <c r="L23" s="65">
        <f>SUM(A:B!L23)</f>
        <v>26670</v>
      </c>
      <c r="M23" s="65">
        <f>SUM(A:B!M23)</f>
        <v>-26670</v>
      </c>
      <c r="N23" s="65">
        <f>SUM(A:B!N23)</f>
        <v>0</v>
      </c>
      <c r="O23" s="65">
        <f>SUM(A:B!O23)</f>
        <v>0</v>
      </c>
      <c r="P23" s="65">
        <f>SUM(A:B!P23)</f>
        <v>0</v>
      </c>
      <c r="Q23" s="65">
        <f>SUM(A:B!Q23)</f>
        <v>0</v>
      </c>
      <c r="R23" s="65">
        <f>SUM(A:B!R23)</f>
        <v>0</v>
      </c>
      <c r="S23" s="65">
        <f>SUM(A:B!S23)</f>
        <v>0</v>
      </c>
      <c r="T23" s="65">
        <f>SUM(A:B!T23)</f>
        <v>0</v>
      </c>
      <c r="U23" s="65">
        <f>SUM(A:B!U23)</f>
        <v>0</v>
      </c>
      <c r="V23" s="11">
        <f t="shared" si="11"/>
        <v>0</v>
      </c>
      <c r="W23" s="73">
        <f t="shared" si="12"/>
        <v>0</v>
      </c>
      <c r="X23" s="89"/>
      <c r="Y23" s="65">
        <f>SUM(A:B!Y23)</f>
        <v>0</v>
      </c>
      <c r="Z23" s="65">
        <f>SUM(A:B!Z23)</f>
        <v>0</v>
      </c>
      <c r="AA23" s="65">
        <f>SUM(A:B!AA23)</f>
        <v>0</v>
      </c>
      <c r="AB23" s="65">
        <f>SUM(A:B!AB23)</f>
        <v>0</v>
      </c>
      <c r="AC23" s="65">
        <f>SUM(A:B!AC23)</f>
        <v>0</v>
      </c>
      <c r="AD23" s="65">
        <f>SUM(A:B!AD23)</f>
        <v>0</v>
      </c>
      <c r="AE23" s="65">
        <f>SUM(A:B!AE23)</f>
        <v>0</v>
      </c>
      <c r="AF23" s="65">
        <f>SUM(A:B!AF23)</f>
        <v>0</v>
      </c>
      <c r="AG23" s="65">
        <f>SUM(A:B!AG23)</f>
        <v>0</v>
      </c>
      <c r="AH23" s="65">
        <f>SUM(A:B!AH23)</f>
        <v>0</v>
      </c>
      <c r="AI23" s="65">
        <f>SUM(A:B!AI23)</f>
        <v>0</v>
      </c>
      <c r="AJ23" s="65">
        <f>SUM(A:B!AJ23)</f>
        <v>0</v>
      </c>
      <c r="AK23" s="65">
        <f>SUM(A:B!AK23)</f>
        <v>0</v>
      </c>
      <c r="AL23" s="73">
        <f t="shared" si="13"/>
        <v>0</v>
      </c>
      <c r="AM23" s="14">
        <f t="shared" si="14"/>
        <v>0</v>
      </c>
    </row>
    <row r="24" spans="1:39" hidden="1" outlineLevel="1">
      <c r="A24" s="37" t="s">
        <v>110</v>
      </c>
      <c r="B24" s="39"/>
      <c r="C24" s="39" t="s">
        <v>130</v>
      </c>
      <c r="D24" s="37"/>
      <c r="E24" s="38"/>
      <c r="F24" s="37"/>
      <c r="G24" s="37"/>
      <c r="H24" s="37"/>
      <c r="I24" s="175" t="s">
        <v>137</v>
      </c>
      <c r="J24" s="65">
        <f>SUM(A:B!J24)</f>
        <v>0</v>
      </c>
      <c r="K24" s="65">
        <f>SUM(A:B!K24)</f>
        <v>0</v>
      </c>
      <c r="L24" s="65">
        <f>SUM(A:B!L24)</f>
        <v>6840</v>
      </c>
      <c r="M24" s="65">
        <f>SUM(A:B!M24)</f>
        <v>-6840</v>
      </c>
      <c r="N24" s="65">
        <f>SUM(A:B!N24)</f>
        <v>0</v>
      </c>
      <c r="O24" s="65">
        <f>SUM(A:B!O24)</f>
        <v>0</v>
      </c>
      <c r="P24" s="65">
        <f>SUM(A:B!P24)</f>
        <v>0</v>
      </c>
      <c r="Q24" s="65">
        <f>SUM(A:B!Q24)</f>
        <v>0</v>
      </c>
      <c r="R24" s="65">
        <f>SUM(A:B!R24)</f>
        <v>0</v>
      </c>
      <c r="S24" s="65">
        <f>SUM(A:B!S24)</f>
        <v>0</v>
      </c>
      <c r="T24" s="65">
        <f>SUM(A:B!T24)</f>
        <v>0</v>
      </c>
      <c r="U24" s="65">
        <f>SUM(A:B!U24)</f>
        <v>0</v>
      </c>
      <c r="V24" s="11">
        <f t="shared" si="11"/>
        <v>0</v>
      </c>
      <c r="W24" s="73">
        <f t="shared" si="12"/>
        <v>0</v>
      </c>
      <c r="X24" s="89"/>
      <c r="Y24" s="65">
        <f>SUM(A:B!Y24)</f>
        <v>0</v>
      </c>
      <c r="Z24" s="65">
        <f>SUM(A:B!Z24)</f>
        <v>0</v>
      </c>
      <c r="AA24" s="65">
        <f>SUM(A:B!AA24)</f>
        <v>0</v>
      </c>
      <c r="AB24" s="65">
        <f>SUM(A:B!AB24)</f>
        <v>0</v>
      </c>
      <c r="AC24" s="65">
        <f>SUM(A:B!AC24)</f>
        <v>0</v>
      </c>
      <c r="AD24" s="65">
        <f>SUM(A:B!AD24)</f>
        <v>0</v>
      </c>
      <c r="AE24" s="65">
        <f>SUM(A:B!AE24)</f>
        <v>0</v>
      </c>
      <c r="AF24" s="65">
        <f>SUM(A:B!AF24)</f>
        <v>0</v>
      </c>
      <c r="AG24" s="65">
        <f>SUM(A:B!AG24)</f>
        <v>0</v>
      </c>
      <c r="AH24" s="65">
        <f>SUM(A:B!AH24)</f>
        <v>0</v>
      </c>
      <c r="AI24" s="65">
        <f>SUM(A:B!AI24)</f>
        <v>0</v>
      </c>
      <c r="AJ24" s="65">
        <f>SUM(A:B!AJ24)</f>
        <v>0</v>
      </c>
      <c r="AK24" s="65">
        <f>SUM(A:B!AK24)</f>
        <v>0</v>
      </c>
      <c r="AL24" s="73">
        <f t="shared" si="13"/>
        <v>0</v>
      </c>
      <c r="AM24" s="14">
        <f t="shared" si="14"/>
        <v>0</v>
      </c>
    </row>
    <row r="25" spans="1:39" hidden="1" outlineLevel="1">
      <c r="A25" s="37" t="s">
        <v>110</v>
      </c>
      <c r="B25" s="39"/>
      <c r="C25" s="39" t="s">
        <v>132</v>
      </c>
      <c r="D25" s="37"/>
      <c r="E25" s="38"/>
      <c r="F25" s="37"/>
      <c r="G25" s="37"/>
      <c r="H25" s="37"/>
      <c r="I25" s="174" t="s">
        <v>139</v>
      </c>
      <c r="J25" s="65">
        <f>SUM(A:B!J25)</f>
        <v>0</v>
      </c>
      <c r="K25" s="65">
        <f>SUM(A:B!K25)</f>
        <v>0</v>
      </c>
      <c r="L25" s="65">
        <f>SUM(A:B!L25)</f>
        <v>0</v>
      </c>
      <c r="M25" s="65">
        <f>SUM(A:B!M25)</f>
        <v>1204</v>
      </c>
      <c r="N25" s="65">
        <f>SUM(A:B!N25)</f>
        <v>2511</v>
      </c>
      <c r="O25" s="65">
        <f>SUM(A:B!O25)</f>
        <v>0</v>
      </c>
      <c r="P25" s="65">
        <f>SUM(A:B!P25)</f>
        <v>2415</v>
      </c>
      <c r="Q25" s="65">
        <f>SUM(A:B!Q25)</f>
        <v>0</v>
      </c>
      <c r="R25" s="65">
        <f>SUM(A:B!R25)</f>
        <v>4705</v>
      </c>
      <c r="S25" s="65">
        <f>SUM(A:B!S25)</f>
        <v>5962</v>
      </c>
      <c r="T25" s="65">
        <f>SUM(A:B!T25)</f>
        <v>3555.666666666667</v>
      </c>
      <c r="U25" s="65">
        <f>SUM(A:B!U25)</f>
        <v>4740.8888888888896</v>
      </c>
      <c r="V25" s="11">
        <f t="shared" si="11"/>
        <v>25093.555555555558</v>
      </c>
      <c r="W25" s="73">
        <f t="shared" si="12"/>
        <v>1.1208838222093274E-4</v>
      </c>
      <c r="X25" s="89"/>
      <c r="Y25" s="65">
        <f>SUM(A:B!Y25)</f>
        <v>0</v>
      </c>
      <c r="Z25" s="65">
        <f>SUM(A:B!Z25)</f>
        <v>0</v>
      </c>
      <c r="AA25" s="65">
        <f>SUM(A:B!AA25)</f>
        <v>0</v>
      </c>
      <c r="AB25" s="65">
        <f>SUM(A:B!AB25)</f>
        <v>0</v>
      </c>
      <c r="AC25" s="65">
        <f>SUM(A:B!AC25)</f>
        <v>0</v>
      </c>
      <c r="AD25" s="65">
        <f>SUM(A:B!AD25)</f>
        <v>0</v>
      </c>
      <c r="AE25" s="65">
        <f>SUM(A:B!AE25)</f>
        <v>0</v>
      </c>
      <c r="AF25" s="65">
        <f>SUM(A:B!AF25)</f>
        <v>0</v>
      </c>
      <c r="AG25" s="65">
        <f>SUM(A:B!AG25)</f>
        <v>0</v>
      </c>
      <c r="AH25" s="65">
        <f>SUM(A:B!AH25)</f>
        <v>0</v>
      </c>
      <c r="AI25" s="65">
        <f>SUM(A:B!AI25)</f>
        <v>0</v>
      </c>
      <c r="AJ25" s="65">
        <f>SUM(A:B!AJ25)</f>
        <v>0</v>
      </c>
      <c r="AK25" s="65">
        <f>SUM(A:B!AK25)</f>
        <v>0</v>
      </c>
      <c r="AL25" s="73">
        <f t="shared" si="13"/>
        <v>0</v>
      </c>
      <c r="AM25" s="14">
        <f t="shared" si="14"/>
        <v>-1</v>
      </c>
    </row>
    <row r="26" spans="1:39" hidden="1" outlineLevel="1">
      <c r="A26" s="37" t="s">
        <v>110</v>
      </c>
      <c r="B26" s="39"/>
      <c r="C26" s="39" t="s">
        <v>134</v>
      </c>
      <c r="D26" s="37"/>
      <c r="E26" s="38"/>
      <c r="F26" s="37"/>
      <c r="G26" s="37"/>
      <c r="H26" s="37"/>
      <c r="I26" s="175" t="s">
        <v>140</v>
      </c>
      <c r="J26" s="65">
        <f>SUM(A:B!J26)</f>
        <v>0</v>
      </c>
      <c r="K26" s="65">
        <f>SUM(A:B!K26)</f>
        <v>0</v>
      </c>
      <c r="L26" s="65">
        <f>SUM(A:B!L26)</f>
        <v>0</v>
      </c>
      <c r="M26" s="65">
        <f>SUM(A:B!M26)</f>
        <v>0</v>
      </c>
      <c r="N26" s="65">
        <f>SUM(A:B!N26)</f>
        <v>1209</v>
      </c>
      <c r="O26" s="65">
        <f>SUM(A:B!O26)</f>
        <v>0</v>
      </c>
      <c r="P26" s="65">
        <f>SUM(A:B!P26)</f>
        <v>0</v>
      </c>
      <c r="Q26" s="65">
        <f>SUM(A:B!Q26)</f>
        <v>0</v>
      </c>
      <c r="R26" s="65">
        <f>SUM(A:B!R26)</f>
        <v>2382</v>
      </c>
      <c r="S26" s="65">
        <f>SUM(A:B!S26)</f>
        <v>2424</v>
      </c>
      <c r="T26" s="65">
        <f>SUM(A:B!T26)</f>
        <v>1602</v>
      </c>
      <c r="U26" s="65">
        <f>SUM(A:B!U26)</f>
        <v>2136</v>
      </c>
      <c r="V26" s="11">
        <f t="shared" si="11"/>
        <v>9753</v>
      </c>
      <c r="W26" s="73">
        <f t="shared" si="12"/>
        <v>4.3564890171920244E-5</v>
      </c>
      <c r="X26" s="89"/>
      <c r="Y26" s="65">
        <f>SUM(A:B!Y26)</f>
        <v>0</v>
      </c>
      <c r="Z26" s="65">
        <f>SUM(A:B!Z26)</f>
        <v>0</v>
      </c>
      <c r="AA26" s="65">
        <f>SUM(A:B!AA26)</f>
        <v>0</v>
      </c>
      <c r="AB26" s="65">
        <f>SUM(A:B!AB26)</f>
        <v>0</v>
      </c>
      <c r="AC26" s="65">
        <f>SUM(A:B!AC26)</f>
        <v>0</v>
      </c>
      <c r="AD26" s="65">
        <f>SUM(A:B!AD26)</f>
        <v>0</v>
      </c>
      <c r="AE26" s="65">
        <f>SUM(A:B!AE26)</f>
        <v>0</v>
      </c>
      <c r="AF26" s="65">
        <f>SUM(A:B!AF26)</f>
        <v>0</v>
      </c>
      <c r="AG26" s="65">
        <f>SUM(A:B!AG26)</f>
        <v>0</v>
      </c>
      <c r="AH26" s="65">
        <f>SUM(A:B!AH26)</f>
        <v>0</v>
      </c>
      <c r="AI26" s="65">
        <f>SUM(A:B!AI26)</f>
        <v>0</v>
      </c>
      <c r="AJ26" s="65">
        <f>SUM(A:B!AJ26)</f>
        <v>0</v>
      </c>
      <c r="AK26" s="65">
        <f>SUM(A:B!AK26)</f>
        <v>0</v>
      </c>
      <c r="AL26" s="73">
        <f t="shared" si="13"/>
        <v>0</v>
      </c>
      <c r="AM26" s="14">
        <f t="shared" si="14"/>
        <v>-1</v>
      </c>
    </row>
    <row r="27" spans="1:39" hidden="1" outlineLevel="1">
      <c r="A27" s="37" t="s">
        <v>110</v>
      </c>
      <c r="B27" s="39"/>
      <c r="C27" s="39" t="s">
        <v>136</v>
      </c>
      <c r="D27" s="37"/>
      <c r="E27" s="38"/>
      <c r="F27" s="37"/>
      <c r="G27" s="37"/>
      <c r="H27" s="37"/>
      <c r="I27" s="170" t="s">
        <v>136</v>
      </c>
      <c r="J27" s="65">
        <f>SUM(A:B!J27)</f>
        <v>0</v>
      </c>
      <c r="K27" s="65">
        <f>SUM(A:B!K27)</f>
        <v>0</v>
      </c>
      <c r="L27" s="65">
        <f>SUM(A:B!L27)</f>
        <v>0</v>
      </c>
      <c r="M27" s="65">
        <f>SUM(A:B!M27)</f>
        <v>0</v>
      </c>
      <c r="N27" s="65">
        <f>SUM(A:B!N27)</f>
        <v>0</v>
      </c>
      <c r="O27" s="65">
        <f>SUM(A:B!O27)</f>
        <v>0</v>
      </c>
      <c r="P27" s="65">
        <f>SUM(A:B!P27)</f>
        <v>0</v>
      </c>
      <c r="Q27" s="65">
        <f>SUM(A:B!Q27)</f>
        <v>0</v>
      </c>
      <c r="R27" s="65">
        <f>SUM(A:B!R27)</f>
        <v>0</v>
      </c>
      <c r="S27" s="65">
        <f>SUM(A:B!S27)</f>
        <v>0</v>
      </c>
      <c r="T27" s="65">
        <f>SUM(A:B!T27)</f>
        <v>0</v>
      </c>
      <c r="U27" s="65">
        <f>SUM(A:B!U27)</f>
        <v>0</v>
      </c>
      <c r="V27" s="11">
        <f t="shared" si="11"/>
        <v>0</v>
      </c>
      <c r="W27" s="73">
        <f t="shared" si="12"/>
        <v>0</v>
      </c>
      <c r="X27" s="89"/>
      <c r="Y27" s="65">
        <f>SUM(A:B!Y27)</f>
        <v>0</v>
      </c>
      <c r="Z27" s="65">
        <f>SUM(A:B!Z27)</f>
        <v>0</v>
      </c>
      <c r="AA27" s="65">
        <f>SUM(A:B!AA27)</f>
        <v>0</v>
      </c>
      <c r="AB27" s="65">
        <f>SUM(A:B!AB27)</f>
        <v>0</v>
      </c>
      <c r="AC27" s="65">
        <f>SUM(A:B!AC27)</f>
        <v>0</v>
      </c>
      <c r="AD27" s="65">
        <f>SUM(A:B!AD27)</f>
        <v>0</v>
      </c>
      <c r="AE27" s="65">
        <f>SUM(A:B!AE27)</f>
        <v>0</v>
      </c>
      <c r="AF27" s="65">
        <f>SUM(A:B!AF27)</f>
        <v>0</v>
      </c>
      <c r="AG27" s="65">
        <f>SUM(A:B!AG27)</f>
        <v>0</v>
      </c>
      <c r="AH27" s="65">
        <f>SUM(A:B!AH27)</f>
        <v>0</v>
      </c>
      <c r="AI27" s="65">
        <f>SUM(A:B!AI27)</f>
        <v>0</v>
      </c>
      <c r="AJ27" s="65">
        <f>SUM(A:B!AJ27)</f>
        <v>0</v>
      </c>
      <c r="AK27" s="65">
        <f>SUM(A:B!AK27)</f>
        <v>0</v>
      </c>
      <c r="AL27" s="73">
        <f t="shared" si="13"/>
        <v>0</v>
      </c>
      <c r="AM27" s="14">
        <f t="shared" si="14"/>
        <v>0</v>
      </c>
    </row>
    <row r="28" spans="1:39" hidden="1" outlineLevel="1">
      <c r="A28" s="37" t="s">
        <v>110</v>
      </c>
      <c r="B28" s="39"/>
      <c r="C28" s="39" t="s">
        <v>138</v>
      </c>
      <c r="D28" s="37" t="s">
        <v>103</v>
      </c>
      <c r="E28" s="38"/>
      <c r="F28" s="37"/>
      <c r="G28" s="37"/>
      <c r="H28" s="37"/>
      <c r="I28" s="174" t="s">
        <v>141</v>
      </c>
      <c r="J28" s="65">
        <f>SUM(A:B!J28)</f>
        <v>0</v>
      </c>
      <c r="K28" s="65">
        <f>SUM(A:B!K28)</f>
        <v>0</v>
      </c>
      <c r="L28" s="65">
        <f>SUM(A:B!L28)</f>
        <v>0</v>
      </c>
      <c r="M28" s="65">
        <f>SUM(A:B!M28)</f>
        <v>0</v>
      </c>
      <c r="N28" s="65">
        <f>SUM(A:B!N28)</f>
        <v>0</v>
      </c>
      <c r="O28" s="65">
        <f>SUM(A:B!O28)</f>
        <v>0</v>
      </c>
      <c r="P28" s="65">
        <f>SUM(A:B!P28)</f>
        <v>0</v>
      </c>
      <c r="Q28" s="65">
        <f>SUM(A:B!Q28)</f>
        <v>0</v>
      </c>
      <c r="R28" s="65">
        <f>SUM(A:B!R28)</f>
        <v>0</v>
      </c>
      <c r="S28" s="65">
        <f>SUM(A:B!S28)</f>
        <v>0</v>
      </c>
      <c r="T28" s="65">
        <f>SUM(A:B!T28)</f>
        <v>0</v>
      </c>
      <c r="U28" s="65">
        <f>SUM(A:B!U28)</f>
        <v>0</v>
      </c>
      <c r="V28" s="11">
        <f t="shared" si="11"/>
        <v>0</v>
      </c>
      <c r="W28" s="73">
        <f t="shared" si="12"/>
        <v>0</v>
      </c>
      <c r="X28" s="89"/>
      <c r="Y28" s="65">
        <f>SUM(A:B!Y28)</f>
        <v>0</v>
      </c>
      <c r="Z28" s="65">
        <f>SUM(A:B!Z28)</f>
        <v>0</v>
      </c>
      <c r="AA28" s="65">
        <f>SUM(A:B!AA28)</f>
        <v>0</v>
      </c>
      <c r="AB28" s="65">
        <f>SUM(A:B!AB28)</f>
        <v>0</v>
      </c>
      <c r="AC28" s="65">
        <f>SUM(A:B!AC28)</f>
        <v>0</v>
      </c>
      <c r="AD28" s="65">
        <f>SUM(A:B!AD28)</f>
        <v>0</v>
      </c>
      <c r="AE28" s="65">
        <f>SUM(A:B!AE28)</f>
        <v>0</v>
      </c>
      <c r="AF28" s="65">
        <f>SUM(A:B!AF28)</f>
        <v>0</v>
      </c>
      <c r="AG28" s="65">
        <f>SUM(A:B!AG28)</f>
        <v>0</v>
      </c>
      <c r="AH28" s="65">
        <f>SUM(A:B!AH28)</f>
        <v>0</v>
      </c>
      <c r="AI28" s="65">
        <f>SUM(A:B!AI28)</f>
        <v>0</v>
      </c>
      <c r="AJ28" s="65">
        <f>SUM(A:B!AJ28)</f>
        <v>0</v>
      </c>
      <c r="AK28" s="65">
        <f>SUM(A:B!AK28)</f>
        <v>0</v>
      </c>
      <c r="AL28" s="73">
        <f t="shared" si="13"/>
        <v>0</v>
      </c>
      <c r="AM28" s="14">
        <f t="shared" si="14"/>
        <v>0</v>
      </c>
    </row>
    <row r="29" spans="1:39" hidden="1" outlineLevel="1">
      <c r="A29" s="37" t="s">
        <v>110</v>
      </c>
      <c r="B29" s="39"/>
      <c r="C29" s="39" t="s">
        <v>399</v>
      </c>
      <c r="D29" s="37" t="s">
        <v>103</v>
      </c>
      <c r="E29" s="38"/>
      <c r="F29" s="37"/>
      <c r="G29" s="37"/>
      <c r="H29" s="37"/>
      <c r="I29" s="175" t="s">
        <v>142</v>
      </c>
      <c r="J29" s="65">
        <f>SUM(A:B!J29)</f>
        <v>0</v>
      </c>
      <c r="K29" s="65">
        <f>SUM(A:B!K29)</f>
        <v>0</v>
      </c>
      <c r="L29" s="65">
        <f>SUM(A:B!L29)</f>
        <v>0</v>
      </c>
      <c r="M29" s="65">
        <f>SUM(A:B!M29)</f>
        <v>0</v>
      </c>
      <c r="N29" s="65">
        <f>SUM(A:B!N29)</f>
        <v>0</v>
      </c>
      <c r="O29" s="65">
        <f>SUM(A:B!O29)</f>
        <v>0</v>
      </c>
      <c r="P29" s="65">
        <f>SUM(A:B!P29)</f>
        <v>0</v>
      </c>
      <c r="Q29" s="65">
        <f>SUM(A:B!Q29)</f>
        <v>0</v>
      </c>
      <c r="R29" s="65">
        <f>SUM(A:B!R29)</f>
        <v>0</v>
      </c>
      <c r="S29" s="65">
        <f>SUM(A:B!S29)</f>
        <v>0</v>
      </c>
      <c r="T29" s="65">
        <f>SUM(A:B!T29)</f>
        <v>0</v>
      </c>
      <c r="U29" s="65">
        <f>SUM(A:B!U29)</f>
        <v>0</v>
      </c>
      <c r="V29" s="11">
        <f t="shared" si="11"/>
        <v>0</v>
      </c>
      <c r="W29" s="73">
        <f t="shared" si="12"/>
        <v>0</v>
      </c>
      <c r="X29" s="89"/>
      <c r="Y29" s="65">
        <f>SUM(A:B!Y29)</f>
        <v>0</v>
      </c>
      <c r="Z29" s="65">
        <f>SUM(A:B!Z29)</f>
        <v>0</v>
      </c>
      <c r="AA29" s="65">
        <f>SUM(A:B!AA29)</f>
        <v>0</v>
      </c>
      <c r="AB29" s="65">
        <f>SUM(A:B!AB29)</f>
        <v>0</v>
      </c>
      <c r="AC29" s="65">
        <f>SUM(A:B!AC29)</f>
        <v>0</v>
      </c>
      <c r="AD29" s="65">
        <f>SUM(A:B!AD29)</f>
        <v>0</v>
      </c>
      <c r="AE29" s="65">
        <f>SUM(A:B!AE29)</f>
        <v>0</v>
      </c>
      <c r="AF29" s="65">
        <f>SUM(A:B!AF29)</f>
        <v>0</v>
      </c>
      <c r="AG29" s="65">
        <f>SUM(A:B!AG29)</f>
        <v>0</v>
      </c>
      <c r="AH29" s="65">
        <f>SUM(A:B!AH29)</f>
        <v>0</v>
      </c>
      <c r="AI29" s="65">
        <f>SUM(A:B!AI29)</f>
        <v>0</v>
      </c>
      <c r="AJ29" s="65">
        <f>SUM(A:B!AJ29)</f>
        <v>0</v>
      </c>
      <c r="AK29" s="65">
        <f>SUM(A:B!AK29)</f>
        <v>0</v>
      </c>
      <c r="AL29" s="73">
        <f t="shared" si="13"/>
        <v>0</v>
      </c>
      <c r="AM29" s="14">
        <f t="shared" si="14"/>
        <v>0</v>
      </c>
    </row>
    <row r="30" spans="1:39" hidden="1" outlineLevel="1">
      <c r="A30" s="37"/>
      <c r="B30" s="39"/>
      <c r="C30" s="39"/>
      <c r="D30" s="37"/>
      <c r="E30" s="38"/>
      <c r="F30" s="37"/>
      <c r="G30" s="37"/>
      <c r="H30" s="37"/>
      <c r="I30" s="175" t="s">
        <v>143</v>
      </c>
      <c r="J30" s="65">
        <f>SUM(A:B!J30)</f>
        <v>5756</v>
      </c>
      <c r="K30" s="65">
        <f>SUM(A:B!K30)</f>
        <v>6248</v>
      </c>
      <c r="L30" s="65">
        <f>SUM(A:B!L30)</f>
        <v>14445</v>
      </c>
      <c r="M30" s="65">
        <f>SUM(A:B!M30)</f>
        <v>13905</v>
      </c>
      <c r="N30" s="65">
        <f>SUM(A:B!N30)</f>
        <v>16034</v>
      </c>
      <c r="O30" s="65">
        <f>SUM(A:B!O30)</f>
        <v>6728</v>
      </c>
      <c r="P30" s="65">
        <f>SUM(A:B!P30)</f>
        <v>12477</v>
      </c>
      <c r="Q30" s="65">
        <f>SUM(A:B!Q30)</f>
        <v>39639</v>
      </c>
      <c r="R30" s="65">
        <f>SUM(A:B!R30)</f>
        <v>14656</v>
      </c>
      <c r="S30" s="65">
        <f>SUM(A:B!S30)</f>
        <v>19596</v>
      </c>
      <c r="T30" s="65">
        <f>SUM(A:B!T30)</f>
        <v>24630.333333333336</v>
      </c>
      <c r="U30" s="65">
        <f>SUM(A:B!U30)</f>
        <v>19627.444444444445</v>
      </c>
      <c r="V30" s="11">
        <f t="shared" si="11"/>
        <v>193741.77777777778</v>
      </c>
      <c r="W30" s="73">
        <f t="shared" si="12"/>
        <v>8.6540954276647872E-4</v>
      </c>
      <c r="X30" s="89"/>
      <c r="Y30" s="65">
        <f>SUM(A:B!Y30)</f>
        <v>6864</v>
      </c>
      <c r="Z30" s="65">
        <f>SUM(A:B!Z30)</f>
        <v>6048</v>
      </c>
      <c r="AA30" s="65">
        <f>SUM(A:B!AA30)</f>
        <v>12240</v>
      </c>
      <c r="AB30" s="65">
        <f>SUM(A:B!AB30)</f>
        <v>11856</v>
      </c>
      <c r="AC30" s="65">
        <f>SUM(A:B!AC30)</f>
        <v>14016</v>
      </c>
      <c r="AD30" s="65">
        <f>SUM(A:B!AD30)</f>
        <v>11760</v>
      </c>
      <c r="AE30" s="65">
        <f>SUM(A:B!AE30)</f>
        <v>12672</v>
      </c>
      <c r="AF30" s="65">
        <f>SUM(A:B!AF30)</f>
        <v>13584</v>
      </c>
      <c r="AG30" s="65">
        <f>SUM(A:B!AG30)</f>
        <v>11568</v>
      </c>
      <c r="AH30" s="65">
        <f>SUM(A:B!AH30)</f>
        <v>15456</v>
      </c>
      <c r="AI30" s="65">
        <f>SUM(A:B!AI30)</f>
        <v>16224</v>
      </c>
      <c r="AJ30" s="65">
        <f>SUM(A:B!AJ30)</f>
        <v>21984</v>
      </c>
      <c r="AK30" s="65">
        <f>SUM(A:B!AK30)</f>
        <v>154272</v>
      </c>
      <c r="AL30" s="73">
        <f t="shared" si="13"/>
        <v>6.1526520736270474E-4</v>
      </c>
      <c r="AM30" s="14">
        <f t="shared" si="14"/>
        <v>-0.20372362755466045</v>
      </c>
    </row>
    <row r="31" spans="1:39" hidden="1" outlineLevel="1">
      <c r="A31" s="37"/>
      <c r="B31" s="39"/>
      <c r="C31" s="39"/>
      <c r="D31" s="37"/>
      <c r="E31" s="38"/>
      <c r="F31" s="37"/>
      <c r="G31" s="37"/>
      <c r="H31" s="37"/>
      <c r="I31" s="175" t="s">
        <v>144</v>
      </c>
      <c r="J31" s="65">
        <f>SUM(A:B!J31)</f>
        <v>-169846</v>
      </c>
      <c r="K31" s="65">
        <f>SUM(A:B!K31)</f>
        <v>-167978</v>
      </c>
      <c r="L31" s="65">
        <f>SUM(A:B!L31)</f>
        <v>-186098</v>
      </c>
      <c r="M31" s="65">
        <f>SUM(A:B!M31)</f>
        <v>-197938</v>
      </c>
      <c r="N31" s="65">
        <f>SUM(A:B!N31)</f>
        <v>-216128</v>
      </c>
      <c r="O31" s="65">
        <f>SUM(A:B!O31)</f>
        <v>-198097</v>
      </c>
      <c r="P31" s="65">
        <f>SUM(A:B!P31)</f>
        <v>-210124</v>
      </c>
      <c r="Q31" s="65">
        <f>SUM(A:B!Q31)</f>
        <v>-206915</v>
      </c>
      <c r="R31" s="65">
        <f>SUM(A:B!R31)</f>
        <v>-188174</v>
      </c>
      <c r="S31" s="65">
        <f>SUM(A:B!S31)</f>
        <v>-253073</v>
      </c>
      <c r="T31" s="65">
        <f>SUM(A:B!T31)</f>
        <v>-216054</v>
      </c>
      <c r="U31" s="65">
        <f>SUM(A:B!U31)</f>
        <v>-219100.33333333331</v>
      </c>
      <c r="V31" s="11">
        <f t="shared" si="11"/>
        <v>-2429525.3333333335</v>
      </c>
      <c r="W31" s="73">
        <f t="shared" si="12"/>
        <v>-1.0852251032150578E-2</v>
      </c>
      <c r="X31" s="89"/>
      <c r="Y31" s="65">
        <f>SUM(A:B!Y31)</f>
        <v>0</v>
      </c>
      <c r="Z31" s="65">
        <f>SUM(A:B!Z31)</f>
        <v>0</v>
      </c>
      <c r="AA31" s="65">
        <f>SUM(A:B!AA31)</f>
        <v>0</v>
      </c>
      <c r="AB31" s="65">
        <f>SUM(A:B!AB31)</f>
        <v>0</v>
      </c>
      <c r="AC31" s="65">
        <f>SUM(A:B!AC31)</f>
        <v>0</v>
      </c>
      <c r="AD31" s="65">
        <f>SUM(A:B!AD31)</f>
        <v>0</v>
      </c>
      <c r="AE31" s="65">
        <f>SUM(A:B!AE31)</f>
        <v>0</v>
      </c>
      <c r="AF31" s="65">
        <f>SUM(A:B!AF31)</f>
        <v>0</v>
      </c>
      <c r="AG31" s="65">
        <f>SUM(A:B!AG31)</f>
        <v>0</v>
      </c>
      <c r="AH31" s="65">
        <f>SUM(A:B!AH31)</f>
        <v>0</v>
      </c>
      <c r="AI31" s="65">
        <f>SUM(A:B!AI31)</f>
        <v>0</v>
      </c>
      <c r="AJ31" s="65">
        <f>SUM(A:B!AJ31)</f>
        <v>0</v>
      </c>
      <c r="AK31" s="65">
        <f>SUM(A:B!AK31)</f>
        <v>0</v>
      </c>
      <c r="AL31" s="73">
        <f t="shared" si="13"/>
        <v>0</v>
      </c>
      <c r="AM31" s="14">
        <f t="shared" si="14"/>
        <v>-1</v>
      </c>
    </row>
    <row r="32" spans="1:39" hidden="1" outlineLevel="1">
      <c r="A32" s="37"/>
      <c r="B32" s="39"/>
      <c r="C32" s="39"/>
      <c r="D32" s="37"/>
      <c r="E32" s="38"/>
      <c r="F32" s="37"/>
      <c r="G32" s="37"/>
      <c r="H32" s="37"/>
      <c r="I32" s="175" t="s">
        <v>145</v>
      </c>
      <c r="J32" s="65">
        <f>SUM(A:B!J32)</f>
        <v>-30257</v>
      </c>
      <c r="K32" s="65">
        <f>SUM(A:B!K32)</f>
        <v>-31282</v>
      </c>
      <c r="L32" s="65">
        <f>SUM(A:B!L32)</f>
        <v>-37037</v>
      </c>
      <c r="M32" s="65">
        <f>SUM(A:B!M32)</f>
        <v>-29914</v>
      </c>
      <c r="N32" s="65">
        <f>SUM(A:B!N32)</f>
        <v>-42589</v>
      </c>
      <c r="O32" s="65">
        <f>SUM(A:B!O32)</f>
        <v>-30035</v>
      </c>
      <c r="P32" s="65">
        <f>SUM(A:B!P32)</f>
        <v>-37039</v>
      </c>
      <c r="Q32" s="65">
        <f>SUM(A:B!Q32)</f>
        <v>-37056</v>
      </c>
      <c r="R32" s="65">
        <f>SUM(A:B!R32)</f>
        <v>-43904</v>
      </c>
      <c r="S32" s="65">
        <f>SUM(A:B!S32)</f>
        <v>-42746</v>
      </c>
      <c r="T32" s="65">
        <f>SUM(A:B!T32)</f>
        <v>-41235.333333333336</v>
      </c>
      <c r="U32" s="65">
        <f>SUM(A:B!U32)</f>
        <v>-42628.444444444445</v>
      </c>
      <c r="V32" s="11">
        <f t="shared" si="11"/>
        <v>-445722.77777777775</v>
      </c>
      <c r="W32" s="73">
        <f t="shared" si="12"/>
        <v>-1.9909631765622987E-3</v>
      </c>
      <c r="X32" s="89"/>
      <c r="Y32" s="65">
        <f>SUM(A:B!Y32)</f>
        <v>0</v>
      </c>
      <c r="Z32" s="65">
        <f>SUM(A:B!Z32)</f>
        <v>0</v>
      </c>
      <c r="AA32" s="65">
        <f>SUM(A:B!AA32)</f>
        <v>0</v>
      </c>
      <c r="AB32" s="65">
        <f>SUM(A:B!AB32)</f>
        <v>0</v>
      </c>
      <c r="AC32" s="65">
        <f>SUM(A:B!AC32)</f>
        <v>0</v>
      </c>
      <c r="AD32" s="65">
        <f>SUM(A:B!AD32)</f>
        <v>0</v>
      </c>
      <c r="AE32" s="65">
        <f>SUM(A:B!AE32)</f>
        <v>0</v>
      </c>
      <c r="AF32" s="65">
        <f>SUM(A:B!AF32)</f>
        <v>0</v>
      </c>
      <c r="AG32" s="65">
        <f>SUM(A:B!AG32)</f>
        <v>0</v>
      </c>
      <c r="AH32" s="65">
        <f>SUM(A:B!AH32)</f>
        <v>0</v>
      </c>
      <c r="AI32" s="65">
        <f>SUM(A:B!AI32)</f>
        <v>0</v>
      </c>
      <c r="AJ32" s="65">
        <f>SUM(A:B!AJ32)</f>
        <v>0</v>
      </c>
      <c r="AK32" s="65">
        <f>SUM(A:B!AK32)</f>
        <v>0</v>
      </c>
      <c r="AL32" s="73">
        <f t="shared" si="13"/>
        <v>0</v>
      </c>
      <c r="AM32" s="14">
        <f t="shared" si="14"/>
        <v>-1</v>
      </c>
    </row>
    <row r="33" spans="1:44" hidden="1" outlineLevel="1">
      <c r="A33" s="37"/>
      <c r="B33" s="39"/>
      <c r="C33" s="39"/>
      <c r="D33" s="37"/>
      <c r="E33" s="38"/>
      <c r="F33" s="37"/>
      <c r="G33" s="37"/>
      <c r="H33" s="37"/>
      <c r="I33" s="175" t="s">
        <v>146</v>
      </c>
      <c r="J33" s="65">
        <f>SUM(A:B!J33)</f>
        <v>-3485</v>
      </c>
      <c r="K33" s="65">
        <f>SUM(A:B!K33)</f>
        <v>0</v>
      </c>
      <c r="L33" s="65">
        <f>SUM(A:B!L33)</f>
        <v>-2310</v>
      </c>
      <c r="M33" s="65">
        <f>SUM(A:B!M33)</f>
        <v>0</v>
      </c>
      <c r="N33" s="65">
        <f>SUM(A:B!N33)</f>
        <v>-2310</v>
      </c>
      <c r="O33" s="65">
        <f>SUM(A:B!O33)</f>
        <v>-4642</v>
      </c>
      <c r="P33" s="65">
        <f>SUM(A:B!P33)</f>
        <v>0</v>
      </c>
      <c r="Q33" s="65">
        <f>SUM(A:B!Q33)</f>
        <v>0</v>
      </c>
      <c r="R33" s="65">
        <f>SUM(A:B!R33)</f>
        <v>0</v>
      </c>
      <c r="S33" s="65">
        <f>SUM(A:B!S33)</f>
        <v>-4626</v>
      </c>
      <c r="T33" s="65">
        <f>SUM(A:B!T33)</f>
        <v>-1542</v>
      </c>
      <c r="U33" s="65">
        <f>SUM(A:B!U33)</f>
        <v>-2056</v>
      </c>
      <c r="V33" s="11">
        <f t="shared" si="11"/>
        <v>-20971</v>
      </c>
      <c r="W33" s="73">
        <f t="shared" si="12"/>
        <v>-9.3673670849517005E-5</v>
      </c>
      <c r="X33" s="89"/>
      <c r="Y33" s="65">
        <f>SUM(A:B!Y33)</f>
        <v>0</v>
      </c>
      <c r="Z33" s="65">
        <f>SUM(A:B!Z33)</f>
        <v>0</v>
      </c>
      <c r="AA33" s="65">
        <f>SUM(A:B!AA33)</f>
        <v>0</v>
      </c>
      <c r="AB33" s="65">
        <f>SUM(A:B!AB33)</f>
        <v>0</v>
      </c>
      <c r="AC33" s="65">
        <f>SUM(A:B!AC33)</f>
        <v>0</v>
      </c>
      <c r="AD33" s="65">
        <f>SUM(A:B!AD33)</f>
        <v>0</v>
      </c>
      <c r="AE33" s="65">
        <f>SUM(A:B!AE33)</f>
        <v>0</v>
      </c>
      <c r="AF33" s="65">
        <f>SUM(A:B!AF33)</f>
        <v>0</v>
      </c>
      <c r="AG33" s="65">
        <f>SUM(A:B!AG33)</f>
        <v>0</v>
      </c>
      <c r="AH33" s="65">
        <f>SUM(A:B!AH33)</f>
        <v>0</v>
      </c>
      <c r="AI33" s="65">
        <f>SUM(A:B!AI33)</f>
        <v>0</v>
      </c>
      <c r="AJ33" s="65">
        <f>SUM(A:B!AJ33)</f>
        <v>0</v>
      </c>
      <c r="AK33" s="65">
        <f>SUM(A:B!AK33)</f>
        <v>0</v>
      </c>
      <c r="AL33" s="73">
        <f t="shared" si="13"/>
        <v>0</v>
      </c>
      <c r="AM33" s="14">
        <f t="shared" si="14"/>
        <v>-1</v>
      </c>
    </row>
    <row r="34" spans="1:44" ht="15.75" collapsed="1">
      <c r="I34" s="36" t="s">
        <v>147</v>
      </c>
      <c r="J34" s="35">
        <f t="shared" ref="J34:V34" si="15">J6-J13</f>
        <v>1290069</v>
      </c>
      <c r="K34" s="35">
        <f t="shared" si="15"/>
        <v>1371654</v>
      </c>
      <c r="L34" s="35">
        <f t="shared" si="15"/>
        <v>1739280</v>
      </c>
      <c r="M34" s="35">
        <f t="shared" si="15"/>
        <v>1830786</v>
      </c>
      <c r="N34" s="35">
        <f t="shared" si="15"/>
        <v>2009715</v>
      </c>
      <c r="O34" s="35">
        <f t="shared" si="15"/>
        <v>1998582</v>
      </c>
      <c r="P34" s="35">
        <f t="shared" si="15"/>
        <v>1655612</v>
      </c>
      <c r="Q34" s="35">
        <f t="shared" si="15"/>
        <v>1724245</v>
      </c>
      <c r="R34" s="35">
        <f>SUM(R35:R38)</f>
        <v>1800607.3333333333</v>
      </c>
      <c r="S34" s="35">
        <f>SUM(S35:S38)</f>
        <v>1737309.111111111</v>
      </c>
      <c r="T34" s="35">
        <f>SUM(T35:T38)</f>
        <v>1761815.8148148146</v>
      </c>
      <c r="U34" s="35">
        <f>SUM(U35:U38)</f>
        <v>1766577.4197530863</v>
      </c>
      <c r="V34" s="35">
        <f>SUM(V35:V38)</f>
        <v>20686243.679012347</v>
      </c>
      <c r="W34" s="73">
        <f t="shared" si="2"/>
        <v>9.2401715774197909E-2</v>
      </c>
      <c r="X34" s="89"/>
      <c r="Y34" s="35">
        <f t="shared" ref="Y34:AK34" si="16">Y6-Y13</f>
        <v>1685659.5280745327</v>
      </c>
      <c r="Z34" s="35">
        <f t="shared" si="16"/>
        <v>1442426.0116887707</v>
      </c>
      <c r="AA34" s="35">
        <f t="shared" si="16"/>
        <v>1965910.8593494743</v>
      </c>
      <c r="AB34" s="35">
        <f t="shared" si="16"/>
        <v>1708121.0777231157</v>
      </c>
      <c r="AC34" s="35">
        <f t="shared" si="16"/>
        <v>2074145.806944415</v>
      </c>
      <c r="AD34" s="35">
        <f t="shared" si="16"/>
        <v>1868457.3218296729</v>
      </c>
      <c r="AE34" s="35">
        <f t="shared" si="16"/>
        <v>1787126.3777440786</v>
      </c>
      <c r="AF34" s="35">
        <f t="shared" si="16"/>
        <v>1869482.9902027026</v>
      </c>
      <c r="AG34" s="35">
        <f t="shared" si="16"/>
        <v>2022530.9830231555</v>
      </c>
      <c r="AH34" s="35">
        <f t="shared" si="16"/>
        <v>2189314.6390536353</v>
      </c>
      <c r="AI34" s="35">
        <f t="shared" si="16"/>
        <v>2028158.1597575173</v>
      </c>
      <c r="AJ34" s="35">
        <f t="shared" si="16"/>
        <v>2021172.1450806186</v>
      </c>
      <c r="AK34" s="35">
        <f>AK6-AK13</f>
        <v>22662505.900471687</v>
      </c>
      <c r="AL34" s="73">
        <f t="shared" si="4"/>
        <v>9.0382255964868749E-2</v>
      </c>
      <c r="AM34" s="34">
        <f t="shared" si="7"/>
        <v>9.5535093375333169E-2</v>
      </c>
      <c r="AN34" s="9">
        <f>+AK34-V34</f>
        <v>1976262.2214593403</v>
      </c>
    </row>
    <row r="35" spans="1:44" hidden="1" outlineLevel="1">
      <c r="I35" s="31" t="s">
        <v>148</v>
      </c>
      <c r="J35" s="30">
        <f>SUM(A:B!J35)</f>
        <v>1001085</v>
      </c>
      <c r="K35" s="30">
        <f>SUM(A:B!K35)</f>
        <v>1097495</v>
      </c>
      <c r="L35" s="30">
        <f>SUM(A:B!L35)</f>
        <v>1401632</v>
      </c>
      <c r="M35" s="30">
        <f>SUM(A:B!M35)</f>
        <v>1479528</v>
      </c>
      <c r="N35" s="30">
        <f>SUM(A:B!N35)</f>
        <v>1551893</v>
      </c>
      <c r="O35" s="30">
        <f>SUM(A:B!O35)</f>
        <v>1507543</v>
      </c>
      <c r="P35" s="30">
        <f>SUM(A:B!P35)</f>
        <v>1399383</v>
      </c>
      <c r="Q35" s="30">
        <f>SUM(A:B!Q35)</f>
        <v>1423247</v>
      </c>
      <c r="R35" s="30">
        <f>+AVERAGE(O35:Q35)</f>
        <v>1443391</v>
      </c>
      <c r="S35" s="30">
        <f>+AVERAGE(P35:R35)</f>
        <v>1422007</v>
      </c>
      <c r="T35" s="30">
        <f>+AVERAGE(Q35:S35)</f>
        <v>1429548.3333333333</v>
      </c>
      <c r="U35" s="30">
        <f>+AVERAGE(R35:T35)</f>
        <v>1431648.7777777778</v>
      </c>
      <c r="V35" s="32">
        <f t="shared" ref="V35:V42" si="17">SUM(J35:U35)</f>
        <v>16588401.111111112</v>
      </c>
      <c r="W35" s="74">
        <f>V35/V$39</f>
        <v>1.5497059442520231</v>
      </c>
      <c r="X35" s="90"/>
      <c r="Y35" s="30">
        <f>SUM(A:B!Y35)</f>
        <v>1319638.298074533</v>
      </c>
      <c r="Z35" s="30">
        <f>SUM(A:B!Z35)</f>
        <v>1099189.3016887712</v>
      </c>
      <c r="AA35" s="30">
        <f>SUM(A:B!AA35)</f>
        <v>1550720.4293494746</v>
      </c>
      <c r="AB35" s="30">
        <f>SUM(A:B!AB35)</f>
        <v>1327424.3277231138</v>
      </c>
      <c r="AC35" s="30">
        <f>SUM(A:B!AC35)</f>
        <v>1620445.886944416</v>
      </c>
      <c r="AD35" s="30">
        <f>SUM(A:B!AD35)</f>
        <v>1486340.2218296777</v>
      </c>
      <c r="AE35" s="30">
        <f>SUM(A:B!AE35)</f>
        <v>1402949.1277440765</v>
      </c>
      <c r="AF35" s="30">
        <f>SUM(A:B!AF35)</f>
        <v>1433617.2302027009</v>
      </c>
      <c r="AG35" s="30">
        <f>SUM(A:B!AG35)</f>
        <v>1548843.593023157</v>
      </c>
      <c r="AH35" s="30">
        <f>SUM(A:B!AH35)</f>
        <v>1703584.4290536325</v>
      </c>
      <c r="AI35" s="30">
        <f>SUM(A:B!AI35)</f>
        <v>1567762.0797575125</v>
      </c>
      <c r="AJ35" s="30">
        <f>SUM(A:B!AJ35)</f>
        <v>1561605.4450806158</v>
      </c>
      <c r="AK35" s="30">
        <f t="shared" ref="AK35:AK42" si="18">SUM(Y35:AJ35)</f>
        <v>17622120.370471682</v>
      </c>
      <c r="AL35" s="74">
        <f>AK35/AK$39</f>
        <v>1.5244015014636771</v>
      </c>
      <c r="AM35" s="29">
        <f>IFERROR(AK35/V35-1,0)</f>
        <v>6.2315786339900647E-2</v>
      </c>
      <c r="AN35" s="236"/>
    </row>
    <row r="36" spans="1:44" hidden="1" outlineLevel="1">
      <c r="I36" s="31" t="s">
        <v>149</v>
      </c>
      <c r="J36" s="30">
        <f>SUM(A:B!J36)</f>
        <v>270882</v>
      </c>
      <c r="K36" s="30">
        <f>SUM(A:B!K36)</f>
        <v>262355</v>
      </c>
      <c r="L36" s="30">
        <f>SUM(A:B!L36)</f>
        <v>319414</v>
      </c>
      <c r="M36" s="30">
        <f>SUM(A:B!M36)</f>
        <v>332510</v>
      </c>
      <c r="N36" s="30">
        <f>SUM(A:B!N36)</f>
        <v>427513</v>
      </c>
      <c r="O36" s="30">
        <f>SUM(A:B!O36)</f>
        <v>460370</v>
      </c>
      <c r="P36" s="30">
        <f>SUM(A:B!P36)</f>
        <v>237976</v>
      </c>
      <c r="Q36" s="30">
        <f>SUM(A:B!Q36)</f>
        <v>314082</v>
      </c>
      <c r="R36" s="30">
        <f>+AVERAGE(O36:Q36)</f>
        <v>337476</v>
      </c>
      <c r="S36" s="30">
        <f>+AVERAGE(P36:R36)</f>
        <v>296511.33333333331</v>
      </c>
      <c r="T36" s="30">
        <f>+AVERAGE(Q36:S36)</f>
        <v>316023.11111111107</v>
      </c>
      <c r="U36" s="30">
        <f>+AVERAGE(R36:T36)</f>
        <v>316670.14814814809</v>
      </c>
      <c r="V36" s="32">
        <f t="shared" si="17"/>
        <v>3891782.5925925924</v>
      </c>
      <c r="W36" s="74">
        <f>V36/V$39</f>
        <v>0.36357443837294079</v>
      </c>
      <c r="X36" s="90"/>
      <c r="Y36" s="30">
        <f>SUM(A:B!Y36)</f>
        <v>354333.45</v>
      </c>
      <c r="Z36" s="30">
        <f>SUM(A:B!Z36)</f>
        <v>333183.18999999994</v>
      </c>
      <c r="AA36" s="30">
        <f>SUM(A:B!AA36)</f>
        <v>400038.42999999993</v>
      </c>
      <c r="AB36" s="30">
        <f>SUM(A:B!AB36)</f>
        <v>363447.05</v>
      </c>
      <c r="AC36" s="30">
        <f>SUM(A:B!AC36)</f>
        <v>432928.68999999994</v>
      </c>
      <c r="AD36" s="30">
        <f>SUM(A:B!AD36)</f>
        <v>368281.30000000005</v>
      </c>
      <c r="AE36" s="30">
        <f>SUM(A:B!AE36)</f>
        <v>367117.93</v>
      </c>
      <c r="AF36" s="30">
        <f>SUM(A:B!AF36)</f>
        <v>422464.64</v>
      </c>
      <c r="AG36" s="30">
        <f>SUM(A:B!AG36)</f>
        <v>460060.76000000007</v>
      </c>
      <c r="AH36" s="30">
        <f>SUM(A:B!AH36)</f>
        <v>472043.46000000008</v>
      </c>
      <c r="AI36" s="30">
        <f>SUM(A:B!AI36)</f>
        <v>446561.31</v>
      </c>
      <c r="AJ36" s="30">
        <f>SUM(A:B!AJ36)</f>
        <v>444298.50999999995</v>
      </c>
      <c r="AK36" s="30">
        <f t="shared" si="18"/>
        <v>4864758.72</v>
      </c>
      <c r="AL36" s="74">
        <f>AK36/AK$39</f>
        <v>0.42082594722555627</v>
      </c>
      <c r="AM36" s="29">
        <f>IFERROR(AK36/V36-1,0)</f>
        <v>0.25000783169628171</v>
      </c>
      <c r="AN36" s="236"/>
    </row>
    <row r="37" spans="1:44" hidden="1" outlineLevel="1">
      <c r="I37" s="31" t="s">
        <v>150</v>
      </c>
      <c r="J37" s="30">
        <f>SUM(A:B!J37)</f>
        <v>14035</v>
      </c>
      <c r="K37" s="30">
        <f>SUM(A:B!K37)</f>
        <v>9009</v>
      </c>
      <c r="L37" s="30">
        <f>SUM(A:B!L37)</f>
        <v>12996</v>
      </c>
      <c r="M37" s="30">
        <f>SUM(A:B!M37)</f>
        <v>11131</v>
      </c>
      <c r="N37" s="30">
        <f>SUM(A:B!N37)</f>
        <v>24319</v>
      </c>
      <c r="O37" s="30">
        <f>SUM(A:B!O37)</f>
        <v>16600</v>
      </c>
      <c r="P37" s="30">
        <f>SUM(A:B!P37)</f>
        <v>12364</v>
      </c>
      <c r="Q37" s="30">
        <f>SUM(A:B!Q37)</f>
        <v>4315</v>
      </c>
      <c r="R37" s="30">
        <f>+AVERAGE(O37:Q37)</f>
        <v>11093</v>
      </c>
      <c r="S37" s="30">
        <f>+AVERAGE(P37:R37)</f>
        <v>9257.3333333333339</v>
      </c>
      <c r="T37" s="30">
        <f>+AVERAGE(Q37:S37)</f>
        <v>8221.7777777777792</v>
      </c>
      <c r="U37" s="30">
        <f>+AVERAGE(R37:T37)</f>
        <v>9524.0370370370383</v>
      </c>
      <c r="V37" s="32">
        <f t="shared" si="17"/>
        <v>142865.14814814815</v>
      </c>
      <c r="W37" s="74">
        <f>V37/V$39</f>
        <v>1.3346612963399793E-2</v>
      </c>
      <c r="X37" s="90"/>
      <c r="Y37" s="30">
        <f>SUM(A:B!Y37)</f>
        <v>9971.7800000000007</v>
      </c>
      <c r="Z37" s="30">
        <f>SUM(A:B!Z37)</f>
        <v>8541.52</v>
      </c>
      <c r="AA37" s="30">
        <f>SUM(A:B!AA37)</f>
        <v>12092</v>
      </c>
      <c r="AB37" s="30">
        <f>SUM(A:B!AB37)</f>
        <v>14285.7</v>
      </c>
      <c r="AC37" s="30">
        <f>SUM(A:B!AC37)</f>
        <v>17267.23</v>
      </c>
      <c r="AD37" s="30">
        <f>SUM(A:B!AD37)</f>
        <v>10895.800000000001</v>
      </c>
      <c r="AE37" s="30">
        <f>SUM(A:B!AE37)</f>
        <v>13891.32</v>
      </c>
      <c r="AF37" s="30">
        <f>SUM(A:B!AF37)</f>
        <v>10005.120000000001</v>
      </c>
      <c r="AG37" s="30">
        <f>SUM(A:B!AG37)</f>
        <v>10734.630000000001</v>
      </c>
      <c r="AH37" s="30">
        <f>SUM(A:B!AH37)</f>
        <v>9822.75</v>
      </c>
      <c r="AI37" s="30">
        <f>SUM(A:B!AI37)</f>
        <v>9778.77</v>
      </c>
      <c r="AJ37" s="30">
        <f>SUM(A:B!AJ37)</f>
        <v>9772.19</v>
      </c>
      <c r="AK37" s="30">
        <f t="shared" si="18"/>
        <v>137058.81</v>
      </c>
      <c r="AL37" s="74">
        <f>AK37/AK$39</f>
        <v>1.18562721942883E-2</v>
      </c>
      <c r="AM37" s="29">
        <f>IFERROR(AK37/V37-1,0)</f>
        <v>-4.0642089574758233E-2</v>
      </c>
      <c r="AN37" s="236"/>
    </row>
    <row r="38" spans="1:44" ht="14.25" hidden="1" customHeight="1" outlineLevel="1">
      <c r="I38" s="31" t="s">
        <v>151</v>
      </c>
      <c r="J38" s="30">
        <f>SUM(A:B!J38)</f>
        <v>4066</v>
      </c>
      <c r="K38" s="30">
        <f>SUM(A:B!K38)</f>
        <v>2794</v>
      </c>
      <c r="L38" s="30">
        <f>SUM(A:B!L38)</f>
        <v>5238</v>
      </c>
      <c r="M38" s="30">
        <f>SUM(A:B!M38)</f>
        <v>7617</v>
      </c>
      <c r="N38" s="30">
        <f>SUM(A:B!N38)</f>
        <v>5989</v>
      </c>
      <c r="O38" s="30">
        <f>SUM(A:B!O38)</f>
        <v>14066</v>
      </c>
      <c r="P38" s="30">
        <f>SUM(A:B!P38)</f>
        <v>5887</v>
      </c>
      <c r="Q38" s="30">
        <f>SUM(A:B!Q38)</f>
        <v>-17400</v>
      </c>
      <c r="R38" s="30">
        <f>+AVERAGE(N38:P38)</f>
        <v>8647.3333333333339</v>
      </c>
      <c r="S38" s="30">
        <f>+AVERAGE(R38,P38,O38)</f>
        <v>9533.4444444444453</v>
      </c>
      <c r="T38" s="30">
        <f>+AVERAGE(R38:S38,P38)</f>
        <v>8022.592592592594</v>
      </c>
      <c r="U38" s="30">
        <f>+AVERAGE(R38:T38)</f>
        <v>8734.4567901234586</v>
      </c>
      <c r="V38" s="32">
        <f t="shared" si="17"/>
        <v>63194.827160493835</v>
      </c>
      <c r="W38" s="74">
        <f t="shared" ref="W38:W46" si="19">V38/V$39</f>
        <v>5.9037274684055905E-3</v>
      </c>
      <c r="X38" s="90"/>
      <c r="Y38" s="30">
        <f>SUM(A:B!Y38)</f>
        <v>0</v>
      </c>
      <c r="Z38" s="30">
        <f>SUM(A:B!Z38)</f>
        <v>0</v>
      </c>
      <c r="AA38" s="30">
        <f>SUM(A:B!AA38)</f>
        <v>0</v>
      </c>
      <c r="AB38" s="30">
        <f>SUM(A:B!AB38)</f>
        <v>0</v>
      </c>
      <c r="AC38" s="30">
        <f>SUM(A:B!AC38)</f>
        <v>0</v>
      </c>
      <c r="AD38" s="30">
        <f>SUM(A:B!AD38)</f>
        <v>0</v>
      </c>
      <c r="AE38" s="30">
        <f>SUM(A:B!AE38)</f>
        <v>0</v>
      </c>
      <c r="AF38" s="30">
        <f>SUM(A:B!AF38)</f>
        <v>0</v>
      </c>
      <c r="AG38" s="30">
        <f>SUM(A:B!AG38)</f>
        <v>0</v>
      </c>
      <c r="AH38" s="30">
        <f>SUM(A:B!AH38)</f>
        <v>0</v>
      </c>
      <c r="AI38" s="30">
        <f>SUM(A:B!AI38)</f>
        <v>0</v>
      </c>
      <c r="AJ38" s="30">
        <f>SUM(A:B!AJ38)</f>
        <v>0</v>
      </c>
      <c r="AK38" s="30">
        <f t="shared" si="18"/>
        <v>0</v>
      </c>
      <c r="AL38" s="74">
        <f t="shared" ref="AL38:AL46" si="20">AK38/AK$39</f>
        <v>0</v>
      </c>
      <c r="AM38" s="29">
        <f>IFERROR(AK38/V38-1,0)</f>
        <v>-1</v>
      </c>
    </row>
    <row r="39" spans="1:44" collapsed="1">
      <c r="I39" s="18" t="s">
        <v>152</v>
      </c>
      <c r="J39" s="33">
        <f>SUM(A:B!J39)</f>
        <v>805453</v>
      </c>
      <c r="K39" s="33">
        <f>SUM(A:B!K39)</f>
        <v>726479</v>
      </c>
      <c r="L39" s="33">
        <f>SUM(A:B!L39)</f>
        <v>872823</v>
      </c>
      <c r="M39" s="33">
        <f>SUM(A:B!M39)</f>
        <v>812408</v>
      </c>
      <c r="N39" s="33">
        <f>SUM(A:B!N39)</f>
        <v>934031</v>
      </c>
      <c r="O39" s="33">
        <f>SUM(A:B!O39)</f>
        <v>907026</v>
      </c>
      <c r="P39" s="33">
        <f>SUM(A:B!P39)</f>
        <v>868664</v>
      </c>
      <c r="Q39" s="33">
        <f>SUM(A:B!Q39)</f>
        <v>888226</v>
      </c>
      <c r="R39" s="33">
        <f>SUM(A:B!R39)</f>
        <v>937506</v>
      </c>
      <c r="S39" s="33">
        <f>SUM(A:B!S39)</f>
        <v>994583</v>
      </c>
      <c r="T39" s="33">
        <f>SUM(A:B!T39)</f>
        <v>983430</v>
      </c>
      <c r="U39" s="33">
        <f>SUM(A:B!U39)</f>
        <v>973596</v>
      </c>
      <c r="V39" s="33">
        <f t="shared" si="17"/>
        <v>10704225</v>
      </c>
      <c r="W39" s="74">
        <f t="shared" si="19"/>
        <v>1</v>
      </c>
      <c r="X39" s="90"/>
      <c r="Y39" s="33">
        <f>SUM(A:B!Y39)</f>
        <v>866428.29939173604</v>
      </c>
      <c r="Z39" s="33">
        <f>SUM(A:B!Z39)</f>
        <v>785361.29939173604</v>
      </c>
      <c r="AA39" s="33">
        <f>SUM(A:B!AA39)</f>
        <v>934659.29939173604</v>
      </c>
      <c r="AB39" s="33">
        <f>SUM(A:B!AB39)</f>
        <v>898366.29939173604</v>
      </c>
      <c r="AC39" s="33">
        <f>SUM(A:B!AC39)</f>
        <v>1007849.299391736</v>
      </c>
      <c r="AD39" s="33">
        <f>SUM(A:B!AD39)</f>
        <v>978012.29939173604</v>
      </c>
      <c r="AE39" s="33">
        <f>SUM(A:B!AE39)</f>
        <v>939591.29939173604</v>
      </c>
      <c r="AF39" s="33">
        <f>SUM(A:B!AF39)</f>
        <v>953920.29939173604</v>
      </c>
      <c r="AG39" s="33">
        <f>SUM(A:B!AG39)</f>
        <v>1011427.299391736</v>
      </c>
      <c r="AH39" s="33">
        <f>SUM(A:B!AH39)</f>
        <v>1083924.299391736</v>
      </c>
      <c r="AI39" s="33">
        <f>SUM(A:B!AI39)</f>
        <v>1056224.299391736</v>
      </c>
      <c r="AJ39" s="33">
        <f>SUM(A:B!AJ39)</f>
        <v>1044261.299391736</v>
      </c>
      <c r="AK39" s="33">
        <f t="shared" si="18"/>
        <v>11560025.592700832</v>
      </c>
      <c r="AL39" s="74">
        <f t="shared" si="20"/>
        <v>1</v>
      </c>
      <c r="AM39" s="16">
        <f>IFERROR(AK39/V39-1,0)</f>
        <v>7.9949794842768318E-2</v>
      </c>
      <c r="AN39" s="131">
        <f>+AK39-V39</f>
        <v>855800.59270083159</v>
      </c>
      <c r="AO39" s="269">
        <f>+AK39/12</f>
        <v>963335.46605840267</v>
      </c>
      <c r="AP39" s="1" t="s">
        <v>437</v>
      </c>
      <c r="AR39" s="269"/>
    </row>
    <row r="40" spans="1:44" hidden="1" outlineLevel="1">
      <c r="E40" s="129"/>
      <c r="I40" s="31" t="s">
        <v>153</v>
      </c>
      <c r="J40" s="30">
        <f>SUM(A:B!J40)</f>
        <v>652504</v>
      </c>
      <c r="K40" s="30">
        <f>SUM(A:B!K40)</f>
        <v>579451</v>
      </c>
      <c r="L40" s="30">
        <f>SUM(A:B!L40)</f>
        <v>706034</v>
      </c>
      <c r="M40" s="30">
        <f>SUM(A:B!M40)</f>
        <v>653794</v>
      </c>
      <c r="N40" s="30">
        <f>SUM(A:B!N40)</f>
        <v>753315</v>
      </c>
      <c r="O40" s="30">
        <f>SUM(A:B!O40)</f>
        <v>741483</v>
      </c>
      <c r="P40" s="30">
        <f>SUM(A:B!P40)</f>
        <v>707921</v>
      </c>
      <c r="Q40" s="30">
        <f>SUM(A:B!Q40)</f>
        <v>715486</v>
      </c>
      <c r="R40" s="30">
        <f>SUM(A:B!R40)</f>
        <v>746800</v>
      </c>
      <c r="S40" s="30">
        <f>SUM(A:B!S40)</f>
        <v>797450</v>
      </c>
      <c r="T40" s="30">
        <f>SUM(A:B!T40)</f>
        <v>790299</v>
      </c>
      <c r="U40" s="30">
        <f>SUM(A:B!U40)</f>
        <v>782396</v>
      </c>
      <c r="V40" s="32">
        <f t="shared" si="17"/>
        <v>8626933</v>
      </c>
      <c r="W40" s="74">
        <f t="shared" si="19"/>
        <v>0.80593718835319694</v>
      </c>
      <c r="X40" s="90"/>
      <c r="Y40" s="30">
        <f>SUM(A:B!Y40)</f>
        <v>710418.29939173604</v>
      </c>
      <c r="Z40" s="30">
        <f>SUM(A:B!Z40)</f>
        <v>635498.29939173616</v>
      </c>
      <c r="AA40" s="30">
        <f>SUM(A:B!AA40)</f>
        <v>763448.29939173604</v>
      </c>
      <c r="AB40" s="30">
        <f>SUM(A:B!AB40)</f>
        <v>732477.29939173604</v>
      </c>
      <c r="AC40" s="30">
        <f>SUM(A:B!AC40)</f>
        <v>821532.29939173604</v>
      </c>
      <c r="AD40" s="30">
        <f>SUM(A:B!AD40)</f>
        <v>807702.29939173604</v>
      </c>
      <c r="AE40" s="30">
        <f>SUM(A:B!AE40)</f>
        <v>774024.29939173604</v>
      </c>
      <c r="AF40" s="30">
        <f>SUM(A:B!AF40)</f>
        <v>773496.29939173604</v>
      </c>
      <c r="AG40" s="30">
        <f>SUM(A:B!AG40)</f>
        <v>814813.29939173604</v>
      </c>
      <c r="AH40" s="30">
        <f>SUM(A:B!AH40)</f>
        <v>879867.29939173604</v>
      </c>
      <c r="AI40" s="30">
        <f>SUM(A:B!AI40)</f>
        <v>857607.29939173604</v>
      </c>
      <c r="AJ40" s="30">
        <f>SUM(A:B!AJ40)</f>
        <v>847993.29939173604</v>
      </c>
      <c r="AK40" s="32">
        <f t="shared" si="18"/>
        <v>9418878.5927008335</v>
      </c>
      <c r="AL40" s="74">
        <f t="shared" si="20"/>
        <v>0.81478008133892454</v>
      </c>
      <c r="AM40" s="29">
        <f t="shared" si="7"/>
        <v>9.1799205198514144E-2</v>
      </c>
    </row>
    <row r="41" spans="1:44" hidden="1" outlineLevel="1">
      <c r="E41" s="129"/>
      <c r="I41" s="31" t="s">
        <v>154</v>
      </c>
      <c r="J41" s="30">
        <f>SUM(A:B!J41)</f>
        <v>147578</v>
      </c>
      <c r="K41" s="30">
        <f>SUM(A:B!K41)</f>
        <v>142154</v>
      </c>
      <c r="L41" s="30">
        <f>SUM(A:B!L41)</f>
        <v>160901</v>
      </c>
      <c r="M41" s="30">
        <f>SUM(A:B!M41)</f>
        <v>151568</v>
      </c>
      <c r="N41" s="30">
        <f>SUM(A:B!N41)</f>
        <v>172299</v>
      </c>
      <c r="O41" s="30">
        <f>SUM(A:B!O41)</f>
        <v>158797</v>
      </c>
      <c r="P41" s="30">
        <f>SUM(A:B!P41)</f>
        <v>153571</v>
      </c>
      <c r="Q41" s="30">
        <f>SUM(A:B!Q41)</f>
        <v>166736</v>
      </c>
      <c r="R41" s="30">
        <f>SUM(A:B!R41)</f>
        <v>184888</v>
      </c>
      <c r="S41" s="30">
        <f>SUM(A:B!S41)</f>
        <v>190545</v>
      </c>
      <c r="T41" s="30">
        <f>SUM(A:B!T41)</f>
        <v>187819</v>
      </c>
      <c r="U41" s="30">
        <f>SUM(A:B!U41)</f>
        <v>185941</v>
      </c>
      <c r="V41" s="32">
        <f t="shared" si="17"/>
        <v>2002797</v>
      </c>
      <c r="W41" s="74">
        <f t="shared" si="19"/>
        <v>0.18710341010208587</v>
      </c>
      <c r="X41" s="90"/>
      <c r="Y41" s="30">
        <f>SUM(A:B!Y41)</f>
        <v>150531</v>
      </c>
      <c r="Z41" s="30">
        <f>SUM(A:B!Z41)</f>
        <v>144897</v>
      </c>
      <c r="AA41" s="30">
        <f>SUM(A:B!AA41)</f>
        <v>165165</v>
      </c>
      <c r="AB41" s="30">
        <f>SUM(A:B!AB41)</f>
        <v>158674</v>
      </c>
      <c r="AC41" s="30">
        <f>SUM(A:B!AC41)</f>
        <v>177640</v>
      </c>
      <c r="AD41" s="30">
        <f>SUM(A:B!AD41)</f>
        <v>163370</v>
      </c>
      <c r="AE41" s="30">
        <f>SUM(A:B!AE41)</f>
        <v>158178</v>
      </c>
      <c r="AF41" s="30">
        <f>SUM(A:B!AF41)</f>
        <v>174248</v>
      </c>
      <c r="AG41" s="30">
        <f>SUM(A:B!AG41)</f>
        <v>190617</v>
      </c>
      <c r="AH41" s="30">
        <f>SUM(A:B!AH41)</f>
        <v>198444</v>
      </c>
      <c r="AI41" s="30">
        <f>SUM(A:B!AI41)</f>
        <v>193154</v>
      </c>
      <c r="AJ41" s="30">
        <f>SUM(A:B!AJ41)</f>
        <v>190869</v>
      </c>
      <c r="AK41" s="32">
        <f t="shared" si="18"/>
        <v>2065787</v>
      </c>
      <c r="AL41" s="74">
        <f t="shared" si="20"/>
        <v>0.17870090195166766</v>
      </c>
      <c r="AM41" s="29">
        <f t="shared" si="7"/>
        <v>3.1451015754467404E-2</v>
      </c>
    </row>
    <row r="42" spans="1:44" hidden="1" outlineLevel="1">
      <c r="E42" s="129"/>
      <c r="I42" s="31" t="s">
        <v>155</v>
      </c>
      <c r="J42" s="30">
        <f>SUM(A:B!J42)</f>
        <v>5372</v>
      </c>
      <c r="K42" s="30">
        <f>SUM(A:B!K42)</f>
        <v>4872</v>
      </c>
      <c r="L42" s="30">
        <f>SUM(A:B!L42)</f>
        <v>5890</v>
      </c>
      <c r="M42" s="30">
        <f>SUM(A:B!M42)</f>
        <v>7047</v>
      </c>
      <c r="N42" s="30">
        <f>SUM(A:B!N42)</f>
        <v>8416</v>
      </c>
      <c r="O42" s="30">
        <f>SUM(A:B!O42)</f>
        <v>6746</v>
      </c>
      <c r="P42" s="30">
        <f>SUM(A:B!P42)</f>
        <v>7174</v>
      </c>
      <c r="Q42" s="30">
        <f>SUM(A:B!Q42)</f>
        <v>6006</v>
      </c>
      <c r="R42" s="30">
        <f>SUM(A:B!R42)</f>
        <v>5818</v>
      </c>
      <c r="S42" s="30">
        <f>SUM(A:B!S42)</f>
        <v>6588</v>
      </c>
      <c r="T42" s="30">
        <f>SUM(A:B!T42)</f>
        <v>5312</v>
      </c>
      <c r="U42" s="30">
        <f>SUM(A:B!U42)</f>
        <v>5259</v>
      </c>
      <c r="V42" s="32">
        <f t="shared" si="17"/>
        <v>74500</v>
      </c>
      <c r="W42" s="74">
        <f t="shared" si="19"/>
        <v>6.9598686499956789E-3</v>
      </c>
      <c r="X42" s="90"/>
      <c r="Y42" s="30">
        <f>SUM(A:B!Y42)</f>
        <v>5479</v>
      </c>
      <c r="Z42" s="30">
        <f>SUM(A:B!Z42)</f>
        <v>4966</v>
      </c>
      <c r="AA42" s="30">
        <f>SUM(A:B!AA42)</f>
        <v>6046</v>
      </c>
      <c r="AB42" s="30">
        <f>SUM(A:B!AB42)</f>
        <v>7215</v>
      </c>
      <c r="AC42" s="30">
        <f>SUM(A:B!AC42)</f>
        <v>8677</v>
      </c>
      <c r="AD42" s="30">
        <f>SUM(A:B!AD42)</f>
        <v>6940</v>
      </c>
      <c r="AE42" s="30">
        <f>SUM(A:B!AE42)</f>
        <v>7389</v>
      </c>
      <c r="AF42" s="30">
        <f>SUM(A:B!AF42)</f>
        <v>6176</v>
      </c>
      <c r="AG42" s="30">
        <f>SUM(A:B!AG42)</f>
        <v>5997</v>
      </c>
      <c r="AH42" s="30">
        <f>SUM(A:B!AH42)</f>
        <v>5613</v>
      </c>
      <c r="AI42" s="30">
        <f>SUM(A:B!AI42)</f>
        <v>5463</v>
      </c>
      <c r="AJ42" s="30">
        <f>SUM(A:B!AJ42)</f>
        <v>5399</v>
      </c>
      <c r="AK42" s="32">
        <f t="shared" si="18"/>
        <v>75360</v>
      </c>
      <c r="AL42" s="74">
        <f t="shared" si="20"/>
        <v>6.5190167094079272E-3</v>
      </c>
      <c r="AM42" s="29">
        <f t="shared" si="7"/>
        <v>1.1543624161073796E-2</v>
      </c>
    </row>
    <row r="43" spans="1:44">
      <c r="I43" s="18" t="s">
        <v>156</v>
      </c>
      <c r="J43" s="17">
        <f t="shared" ref="J43:V43" si="21">J34/J39</f>
        <v>1.601668874533958</v>
      </c>
      <c r="K43" s="17">
        <f t="shared" si="21"/>
        <v>1.8880848586125683</v>
      </c>
      <c r="L43" s="17">
        <f t="shared" si="21"/>
        <v>1.9927064250140063</v>
      </c>
      <c r="M43" s="17">
        <f t="shared" si="21"/>
        <v>2.2535302458863034</v>
      </c>
      <c r="N43" s="17">
        <f t="shared" si="21"/>
        <v>2.1516577072923706</v>
      </c>
      <c r="O43" s="17">
        <f t="shared" si="21"/>
        <v>2.2034451052119786</v>
      </c>
      <c r="P43" s="17">
        <f t="shared" si="21"/>
        <v>1.9059291049243436</v>
      </c>
      <c r="Q43" s="17">
        <f t="shared" si="21"/>
        <v>1.9412232922702104</v>
      </c>
      <c r="R43" s="17">
        <f>+R34/R39</f>
        <v>1.9206355301548292</v>
      </c>
      <c r="S43" s="17">
        <f>+S34/S39</f>
        <v>1.7467713716312374</v>
      </c>
      <c r="T43" s="17">
        <f>+T34/T39</f>
        <v>1.7915009861554096</v>
      </c>
      <c r="U43" s="17">
        <f>+U34/U39</f>
        <v>1.8144871381487664</v>
      </c>
      <c r="V43" s="17">
        <f>+V34/V39</f>
        <v>1.9325307230567694</v>
      </c>
      <c r="W43" s="74">
        <f t="shared" si="19"/>
        <v>1.8053906032961464E-7</v>
      </c>
      <c r="X43" s="90"/>
      <c r="Y43" s="17">
        <f t="shared" ref="Y43:AK43" si="22">Y34/Y39</f>
        <v>1.9455268592426247</v>
      </c>
      <c r="Z43" s="17">
        <f t="shared" si="22"/>
        <v>1.8366400442776245</v>
      </c>
      <c r="AA43" s="17">
        <f t="shared" si="22"/>
        <v>2.1033448879488637</v>
      </c>
      <c r="AB43" s="17">
        <f t="shared" si="22"/>
        <v>1.9013637075206924</v>
      </c>
      <c r="AC43" s="17">
        <f t="shared" si="22"/>
        <v>2.0579920115003478</v>
      </c>
      <c r="AD43" s="17">
        <f t="shared" si="22"/>
        <v>1.9104640330103613</v>
      </c>
      <c r="AE43" s="17">
        <f t="shared" si="22"/>
        <v>1.902025251724885</v>
      </c>
      <c r="AF43" s="17">
        <f t="shared" si="22"/>
        <v>1.9597895037926878</v>
      </c>
      <c r="AG43" s="17">
        <f t="shared" si="22"/>
        <v>1.9996800405125399</v>
      </c>
      <c r="AH43" s="17">
        <f t="shared" si="22"/>
        <v>2.0198040031782747</v>
      </c>
      <c r="AI43" s="17">
        <f t="shared" si="22"/>
        <v>1.9201964591474592</v>
      </c>
      <c r="AJ43" s="17">
        <f t="shared" si="22"/>
        <v>1.935504213608142</v>
      </c>
      <c r="AK43" s="17">
        <f>AK34/AK39</f>
        <v>1.9604200456771586</v>
      </c>
      <c r="AL43" s="74">
        <f t="shared" si="20"/>
        <v>1.6958613369463441E-7</v>
      </c>
      <c r="AM43" s="16">
        <f t="shared" si="7"/>
        <v>1.4431502841142585E-2</v>
      </c>
      <c r="AN43" s="277">
        <f>+AK6/AK39</f>
        <v>21.690319905703248</v>
      </c>
    </row>
    <row r="44" spans="1:44" outlineLevel="1">
      <c r="I44" s="31" t="s">
        <v>153</v>
      </c>
      <c r="J44" s="30">
        <f t="shared" ref="J44:S44" si="23">IFERROR((J7+J11-(J14+J17+J23+J25+J28))/J40,0)</f>
        <v>1.271385309515344</v>
      </c>
      <c r="K44" s="30">
        <f t="shared" ref="K44:U44" si="24">IFERROR((K7+K11-(K14+K17+K23+K25+K28))/K40,0)</f>
        <v>1.5760745947457162</v>
      </c>
      <c r="L44" s="30">
        <f t="shared" si="24"/>
        <v>1.6543112654631362</v>
      </c>
      <c r="M44" s="30">
        <f t="shared" si="24"/>
        <v>1.8378434185691517</v>
      </c>
      <c r="N44" s="30">
        <f t="shared" si="24"/>
        <v>1.6385602304480862</v>
      </c>
      <c r="O44" s="30">
        <f t="shared" si="24"/>
        <v>1.6279321306085237</v>
      </c>
      <c r="P44" s="30">
        <f t="shared" si="24"/>
        <v>1.6213984328759847</v>
      </c>
      <c r="Q44" s="30">
        <f t="shared" si="24"/>
        <v>1.5968837964684144</v>
      </c>
      <c r="R44" s="30">
        <f>+R35/R40</f>
        <v>1.9327678093197642</v>
      </c>
      <c r="S44" s="30">
        <f>+S35/S40</f>
        <v>1.7831926766568438</v>
      </c>
      <c r="T44" s="30">
        <f>+T35/T40</f>
        <v>1.808870229284528</v>
      </c>
      <c r="U44" s="30">
        <f>+U35/U40</f>
        <v>1.8298262999526809</v>
      </c>
      <c r="V44" s="30">
        <f>+V35/V40</f>
        <v>1.9228619384329415</v>
      </c>
      <c r="W44" s="74">
        <f t="shared" si="19"/>
        <v>1.7963579226267587E-7</v>
      </c>
      <c r="X44" s="90"/>
      <c r="Y44" s="30">
        <f>IFERROR((Y7+Y11-(Y14+Y17+Y23+Y25+Y28))/Y40,0)</f>
        <v>1.8575511064458976</v>
      </c>
      <c r="Z44" s="30">
        <f t="shared" ref="Z44:AK44" si="25">IFERROR((Z7+Z11-(Z14+Z17+Z23+Z25+Z28))/Z40,0)</f>
        <v>1.7296494778048264</v>
      </c>
      <c r="AA44" s="30">
        <f t="shared" si="25"/>
        <v>2.0312055584968696</v>
      </c>
      <c r="AB44" s="30">
        <f t="shared" si="25"/>
        <v>1.8122395449325674</v>
      </c>
      <c r="AC44" s="30">
        <f t="shared" si="25"/>
        <v>1.9724676536080175</v>
      </c>
      <c r="AD44" s="30">
        <f t="shared" si="25"/>
        <v>1.8402079862209224</v>
      </c>
      <c r="AE44" s="30">
        <f t="shared" si="25"/>
        <v>1.8125388684135377</v>
      </c>
      <c r="AF44" s="30">
        <f t="shared" si="25"/>
        <v>1.8534248080179212</v>
      </c>
      <c r="AG44" s="30">
        <f t="shared" si="25"/>
        <v>1.9008570358134551</v>
      </c>
      <c r="AH44" s="30">
        <f t="shared" si="25"/>
        <v>1.9361833656408698</v>
      </c>
      <c r="AI44" s="30">
        <f t="shared" si="25"/>
        <v>1.8280652238728119</v>
      </c>
      <c r="AJ44" s="30">
        <f t="shared" si="25"/>
        <v>1.8415304061963111</v>
      </c>
      <c r="AK44" s="30">
        <f t="shared" si="25"/>
        <v>1.870936141392451</v>
      </c>
      <c r="AL44" s="74">
        <f t="shared" si="20"/>
        <v>1.6184532866205655E-7</v>
      </c>
      <c r="AM44" s="29">
        <f t="shared" si="7"/>
        <v>-2.7004433341068723E-2</v>
      </c>
    </row>
    <row r="45" spans="1:44" outlineLevel="1">
      <c r="I45" s="31" t="s">
        <v>154</v>
      </c>
      <c r="J45" s="30">
        <f t="shared" ref="J45:S45" si="26">IFERROR((J8+J12-(J15+J18+J24+J26+J29))/J41,0)</f>
        <v>1.7328666874466383</v>
      </c>
      <c r="K45" s="30">
        <f t="shared" ref="K45:U45" si="27">IFERROR((K8+K12-(K15+K18+K24+K26+K29))/K41,0)</f>
        <v>1.6556903076944722</v>
      </c>
      <c r="L45" s="30">
        <f t="shared" si="27"/>
        <v>1.7286343776607975</v>
      </c>
      <c r="M45" s="30">
        <f t="shared" si="27"/>
        <v>1.9511968225482952</v>
      </c>
      <c r="N45" s="30">
        <f t="shared" si="27"/>
        <v>2.1081027748274801</v>
      </c>
      <c r="O45" s="30">
        <f t="shared" si="27"/>
        <v>2.1364320484643917</v>
      </c>
      <c r="P45" s="30">
        <f t="shared" si="27"/>
        <v>1.8143334353491218</v>
      </c>
      <c r="Q45" s="30">
        <f t="shared" si="27"/>
        <v>1.6304157470492275</v>
      </c>
      <c r="R45" s="30">
        <f>+R36/R41</f>
        <v>1.8252996408636579</v>
      </c>
      <c r="S45" s="30">
        <f>+S36/S41</f>
        <v>1.5561223508007731</v>
      </c>
      <c r="T45" s="30">
        <f>+T36/T41</f>
        <v>1.6825939394369636</v>
      </c>
      <c r="U45" s="30">
        <f>+U36/U41</f>
        <v>1.7030678986783339</v>
      </c>
      <c r="V45" s="30">
        <f>+V36/V41</f>
        <v>1.9431737677820531</v>
      </c>
      <c r="W45" s="74">
        <f t="shared" si="19"/>
        <v>1.8153334480376237E-7</v>
      </c>
      <c r="X45" s="90"/>
      <c r="Y45" s="30">
        <f>IFERROR((Y8+Y12-(Y15+Y18+Y24+Y26+Y29))/Y41,0)</f>
        <v>2.3538902285907897</v>
      </c>
      <c r="Z45" s="30">
        <f t="shared" ref="Z45:AJ45" si="28">IFERROR((Z8+Z12-(Z15+Z18+Z24+Z26+Z29))/Z41,0)</f>
        <v>2.2994485047999609</v>
      </c>
      <c r="AA45" s="30">
        <f t="shared" si="28"/>
        <v>2.4220532800532784</v>
      </c>
      <c r="AB45" s="30">
        <f t="shared" si="28"/>
        <v>2.2905268033830359</v>
      </c>
      <c r="AC45" s="30">
        <f t="shared" si="28"/>
        <v>2.4371126435487498</v>
      </c>
      <c r="AD45" s="30">
        <f t="shared" si="28"/>
        <v>2.2542774071126876</v>
      </c>
      <c r="AE45" s="30">
        <f t="shared" si="28"/>
        <v>2.3209164991338853</v>
      </c>
      <c r="AF45" s="30">
        <f t="shared" si="28"/>
        <v>2.4245020889766318</v>
      </c>
      <c r="AG45" s="30">
        <f t="shared" si="28"/>
        <v>2.4135347844106234</v>
      </c>
      <c r="AH45" s="30">
        <f t="shared" si="28"/>
        <v>2.3787237709378966</v>
      </c>
      <c r="AI45" s="30">
        <f t="shared" si="28"/>
        <v>2.3119444070534394</v>
      </c>
      <c r="AJ45" s="30">
        <f t="shared" si="28"/>
        <v>2.3277667405393241</v>
      </c>
      <c r="AK45" s="30">
        <f>IFERROR((AK8+AK12-(AK15+AK18+AK24+AK26+AK29))/AK41,0)</f>
        <v>2.3549178690736259</v>
      </c>
      <c r="AL45" s="74">
        <f t="shared" si="20"/>
        <v>2.0371216743331047E-7</v>
      </c>
      <c r="AM45" s="29">
        <f t="shared" si="7"/>
        <v>0.21189257909833725</v>
      </c>
    </row>
    <row r="46" spans="1:44" outlineLevel="1">
      <c r="I46" s="31" t="s">
        <v>155</v>
      </c>
      <c r="J46" s="30">
        <f t="shared" ref="J46:S46" si="29">IFERROR((J9-(J16+J19+J27))/J42,0)</f>
        <v>1.9638868205510052</v>
      </c>
      <c r="K46" s="30">
        <f t="shared" ref="K46:U46" si="30">IFERROR((K9-(K16+K19+K27))/K42,0)</f>
        <v>1.4542282430213465</v>
      </c>
      <c r="L46" s="30">
        <f t="shared" si="30"/>
        <v>1.3117147707979626</v>
      </c>
      <c r="M46" s="30">
        <f t="shared" si="30"/>
        <v>1.5464736767418761</v>
      </c>
      <c r="N46" s="30">
        <f t="shared" si="30"/>
        <v>2.0471720532319391</v>
      </c>
      <c r="O46" s="30">
        <f t="shared" si="30"/>
        <v>1.7727542247257635</v>
      </c>
      <c r="P46" s="30">
        <f t="shared" si="30"/>
        <v>1.3816559799275161</v>
      </c>
      <c r="Q46" s="30">
        <f t="shared" si="30"/>
        <v>0.50016650016650022</v>
      </c>
      <c r="R46" s="30">
        <f>+R37/R42</f>
        <v>1.9066689584049501</v>
      </c>
      <c r="S46" s="30">
        <f>+S37/S42</f>
        <v>1.4051811374215746</v>
      </c>
      <c r="T46" s="30">
        <f>+T37/T42</f>
        <v>1.5477744310575638</v>
      </c>
      <c r="U46" s="30">
        <f>+U37/U42</f>
        <v>1.8109977252399769</v>
      </c>
      <c r="V46" s="30">
        <f>+V37/V42</f>
        <v>1.9176529952771564</v>
      </c>
      <c r="W46" s="74">
        <f t="shared" si="19"/>
        <v>1.7914916729395694E-7</v>
      </c>
      <c r="X46" s="90"/>
      <c r="Y46" s="30">
        <f>IFERROR((Y9+Y11-(Y16+Y19+Y27))/Y42,0)</f>
        <v>1.8199999999999998</v>
      </c>
      <c r="Z46" s="30">
        <f t="shared" ref="Z46:AJ46" si="31">IFERROR((Z9+Z11-(Z16+Z19+Z27))/Z42,0)</f>
        <v>1.7200000000000009</v>
      </c>
      <c r="AA46" s="30">
        <f t="shared" si="31"/>
        <v>2</v>
      </c>
      <c r="AB46" s="30">
        <f t="shared" si="31"/>
        <v>1.9800000000000015</v>
      </c>
      <c r="AC46" s="30">
        <f t="shared" si="31"/>
        <v>1.9900000000000011</v>
      </c>
      <c r="AD46" s="30">
        <f t="shared" si="31"/>
        <v>1.5699999999999983</v>
      </c>
      <c r="AE46" s="30">
        <f t="shared" si="31"/>
        <v>1.880000000000001</v>
      </c>
      <c r="AF46" s="30">
        <f t="shared" si="31"/>
        <v>1.6199999999999992</v>
      </c>
      <c r="AG46" s="30">
        <f t="shared" si="31"/>
        <v>1.7900000000000007</v>
      </c>
      <c r="AH46" s="30">
        <f t="shared" si="31"/>
        <v>1.75</v>
      </c>
      <c r="AI46" s="30">
        <f t="shared" si="31"/>
        <v>1.7900000000000007</v>
      </c>
      <c r="AJ46" s="30">
        <f t="shared" si="31"/>
        <v>1.8100000000000005</v>
      </c>
      <c r="AK46" s="30">
        <f>IFERROR((AK9+AK11-(AK16+AK19+AK27))/AK42,0)</f>
        <v>1.8187209394904467</v>
      </c>
      <c r="AL46" s="74">
        <f t="shared" si="20"/>
        <v>1.5732845268429281E-7</v>
      </c>
      <c r="AM46" s="29">
        <f t="shared" si="7"/>
        <v>-5.1590176132158438E-2</v>
      </c>
    </row>
    <row r="47" spans="1:44"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</row>
    <row r="48" spans="1:44">
      <c r="A48" s="21"/>
      <c r="B48" s="21"/>
      <c r="C48" s="21"/>
      <c r="D48" s="21"/>
      <c r="E48" s="7" t="s">
        <v>111</v>
      </c>
      <c r="I48" s="141" t="s">
        <v>159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</row>
    <row r="49" spans="1:46">
      <c r="A49" s="21"/>
      <c r="B49" s="21"/>
      <c r="C49" s="21"/>
      <c r="D49" s="21"/>
      <c r="E49" s="22"/>
      <c r="F49" s="21"/>
      <c r="G49" s="21"/>
      <c r="H49" s="21"/>
      <c r="I49" s="141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</row>
    <row r="50" spans="1:46">
      <c r="A50" s="12" t="s">
        <v>157</v>
      </c>
      <c r="B50" s="19" t="s">
        <v>101</v>
      </c>
      <c r="I50" s="169" t="s">
        <v>161</v>
      </c>
      <c r="J50" s="15">
        <f>SUM(J51:J90)</f>
        <v>122446</v>
      </c>
      <c r="K50" s="15">
        <f>SUM(K51:K90)</f>
        <v>106245</v>
      </c>
      <c r="L50" s="15">
        <f>SUM(L51:L90)</f>
        <v>89091</v>
      </c>
      <c r="M50" s="15">
        <f>SUM(M51:M90)</f>
        <v>110272</v>
      </c>
      <c r="N50" s="15">
        <f>SUM(N51:N90)</f>
        <v>232930</v>
      </c>
      <c r="O50" s="15">
        <f>SUM(O51:O90)</f>
        <v>225838</v>
      </c>
      <c r="P50" s="15">
        <f>SUM(P51:P90)</f>
        <v>226077</v>
      </c>
      <c r="Q50" s="15">
        <f>SUM(Q51:Q90)</f>
        <v>160331</v>
      </c>
      <c r="R50" s="15">
        <f>SUM(R51:R90)</f>
        <v>257800</v>
      </c>
      <c r="S50" s="15">
        <f>SUM(S51:S90)</f>
        <v>244953</v>
      </c>
      <c r="T50" s="15">
        <f>SUM(T51:T90)</f>
        <v>301406.42080000002</v>
      </c>
      <c r="U50" s="15">
        <f>SUM(U51:U90)</f>
        <v>364928.61106666666</v>
      </c>
      <c r="V50" s="15">
        <f>SUM(V51:V90)</f>
        <v>2442318.0318666664</v>
      </c>
      <c r="W50" s="72">
        <f t="shared" ref="W50:W161" si="32">V50/V$6</f>
        <v>1.0909393706877036E-2</v>
      </c>
      <c r="X50" s="89"/>
      <c r="Y50" s="15">
        <f>SUM(Y51:Y90)</f>
        <v>356952.30628424126</v>
      </c>
      <c r="Z50" s="15">
        <f>SUM(Z51:Z90)</f>
        <v>395138.34194273659</v>
      </c>
      <c r="AA50" s="15">
        <f>SUM(AA51:AA90)</f>
        <v>207799.37431901053</v>
      </c>
      <c r="AB50" s="15">
        <f>SUM(AB51:AB90)</f>
        <v>208225.41057173972</v>
      </c>
      <c r="AC50" s="15">
        <f>SUM(AC51:AC90)</f>
        <v>214119.97837716434</v>
      </c>
      <c r="AD50" s="15">
        <f>SUM(AD51:AD90)</f>
        <v>167442.55337973972</v>
      </c>
      <c r="AE50" s="15">
        <f>SUM(AE51:AE90)</f>
        <v>175479.4883571644</v>
      </c>
      <c r="AF50" s="15">
        <f>SUM(AF51:AF90)</f>
        <v>171660.09356916437</v>
      </c>
      <c r="AG50" s="15">
        <f>SUM(AG51:AG90)</f>
        <v>257785.99857173971</v>
      </c>
      <c r="AH50" s="15">
        <f>SUM(AH51:AH90)</f>
        <v>139758.55999316438</v>
      </c>
      <c r="AI50" s="15">
        <f>SUM(AI51:AI90)</f>
        <v>144805.08199573972</v>
      </c>
      <c r="AJ50" s="15">
        <f>SUM(AJ51:AJ90)</f>
        <v>228911.4331651644</v>
      </c>
      <c r="AK50" s="278">
        <f>SUM(AK51:AK90)</f>
        <v>2668078.6205267697</v>
      </c>
      <c r="AL50" s="72">
        <f t="shared" ref="AL50:AL160" si="33">AK50/AK$6</f>
        <v>1.0640789940613994E-2</v>
      </c>
      <c r="AM50" s="10">
        <f>IFERROR(AK50/V50-1,0)</f>
        <v>9.2437015046543447E-2</v>
      </c>
      <c r="AN50" s="277">
        <f>+AK50-V50</f>
        <v>225760.58866010327</v>
      </c>
      <c r="AO50" s="131"/>
      <c r="AP50" s="9"/>
      <c r="AR50" s="9"/>
      <c r="AS50" s="269"/>
      <c r="AT50" s="272"/>
    </row>
    <row r="51" spans="1:46" outlineLevel="1">
      <c r="A51" s="12" t="s">
        <v>157</v>
      </c>
      <c r="B51" s="8" t="s">
        <v>101</v>
      </c>
      <c r="C51" s="19" t="s">
        <v>158</v>
      </c>
      <c r="D51" s="12"/>
      <c r="E51" s="20"/>
      <c r="F51" s="12"/>
      <c r="G51" s="12"/>
      <c r="H51" s="12"/>
      <c r="I51" s="228" t="s">
        <v>162</v>
      </c>
      <c r="J51" s="65">
        <f>SUM(A:B!J51)</f>
        <v>53341</v>
      </c>
      <c r="K51" s="65">
        <f>SUM(A:B!K51)</f>
        <v>46688</v>
      </c>
      <c r="L51" s="65">
        <f>SUM(A:B!L51)</f>
        <v>44687</v>
      </c>
      <c r="M51" s="65">
        <f>SUM(A:B!M51)</f>
        <v>44765</v>
      </c>
      <c r="N51" s="65">
        <f>SUM(A:B!N51)</f>
        <v>48640</v>
      </c>
      <c r="O51" s="65">
        <f>SUM(A:B!O51)</f>
        <v>49241</v>
      </c>
      <c r="P51" s="65">
        <f>SUM(A:B!P51)</f>
        <v>49239</v>
      </c>
      <c r="Q51" s="65">
        <f>SUM(A:B!Q51)</f>
        <v>52289</v>
      </c>
      <c r="R51" s="65">
        <f>SUM(A:B!R51)</f>
        <v>46907</v>
      </c>
      <c r="S51" s="65">
        <f>SUM(A:B!S51)</f>
        <v>48948</v>
      </c>
      <c r="T51" s="65">
        <f>SUM(A:B!T51)</f>
        <v>49455.833333333336</v>
      </c>
      <c r="U51" s="65">
        <f>SUM(A:B!U51)</f>
        <v>49215.402777777774</v>
      </c>
      <c r="V51" s="11">
        <f>SUM(J51:U51)</f>
        <v>583416.23611111112</v>
      </c>
      <c r="W51" s="73">
        <f t="shared" si="32"/>
        <v>2.6060149954573613E-3</v>
      </c>
      <c r="X51" s="89"/>
      <c r="Y51" s="65">
        <f>SUM(A:B!Y51)</f>
        <v>50313.67500499999</v>
      </c>
      <c r="Z51" s="65">
        <f>SUM(A:B!Z51)</f>
        <v>50313.67500499999</v>
      </c>
      <c r="AA51" s="65">
        <f>SUM(A:B!AA51)</f>
        <v>50313.67500499999</v>
      </c>
      <c r="AB51" s="65">
        <f>SUM(A:B!AB51)</f>
        <v>50313.67500499999</v>
      </c>
      <c r="AC51" s="65">
        <f>SUM(A:B!AC51)</f>
        <v>50313.67500499999</v>
      </c>
      <c r="AD51" s="65">
        <f>SUM(A:B!AD51)</f>
        <v>50313.67500499999</v>
      </c>
      <c r="AE51" s="65">
        <f>SUM(A:B!AE51)</f>
        <v>50313.67500499999</v>
      </c>
      <c r="AF51" s="65">
        <f>SUM(A:B!AF51)</f>
        <v>50313.67500499999</v>
      </c>
      <c r="AG51" s="65">
        <f>SUM(A:B!AG51)</f>
        <v>50313.67500499999</v>
      </c>
      <c r="AH51" s="65">
        <f>SUM(A:B!AH51)</f>
        <v>50313.67500499999</v>
      </c>
      <c r="AI51" s="65">
        <f>SUM(A:B!AI51)</f>
        <v>50313.67500499999</v>
      </c>
      <c r="AJ51" s="65">
        <f>SUM(A:B!AJ51)</f>
        <v>50313.67500499999</v>
      </c>
      <c r="AK51" s="124">
        <f>SUM(Y51:AJ51)</f>
        <v>603764.10005999974</v>
      </c>
      <c r="AL51" s="73">
        <f t="shared" si="33"/>
        <v>2.4079226575241942E-3</v>
      </c>
      <c r="AM51" s="14">
        <f t="shared" si="7"/>
        <v>3.4877095784172418E-2</v>
      </c>
      <c r="AN51" s="9">
        <f>+AK51-V51</f>
        <v>20347.863948888611</v>
      </c>
      <c r="AR51" s="9"/>
      <c r="AS51" s="269"/>
      <c r="AT51" s="272"/>
    </row>
    <row r="52" spans="1:46" outlineLevel="1">
      <c r="A52" s="12" t="s">
        <v>157</v>
      </c>
      <c r="B52" s="8" t="s">
        <v>101</v>
      </c>
      <c r="I52" s="228" t="s">
        <v>158</v>
      </c>
      <c r="J52" s="65"/>
      <c r="K52" s="65">
        <v>7360</v>
      </c>
      <c r="L52" s="65">
        <f>SUM(A:B!L52)</f>
        <v>7360</v>
      </c>
      <c r="M52" s="65">
        <f>SUM(A:B!M52)</f>
        <v>7360</v>
      </c>
      <c r="N52" s="65">
        <f>SUM(A:B!N52)</f>
        <v>7360</v>
      </c>
      <c r="O52" s="65">
        <f>SUM(A:B!O52)</f>
        <v>7360</v>
      </c>
      <c r="P52" s="65">
        <f>SUM(A:B!P52)</f>
        <v>7360</v>
      </c>
      <c r="Q52" s="65">
        <f>SUM(A:B!Q52)</f>
        <v>7360</v>
      </c>
      <c r="R52" s="65">
        <v>7360</v>
      </c>
      <c r="S52" s="65">
        <f>SUM(A:B!S52)</f>
        <v>7360</v>
      </c>
      <c r="T52" s="65">
        <v>7360</v>
      </c>
      <c r="U52" s="65">
        <v>7360</v>
      </c>
      <c r="V52" s="11">
        <f t="shared" ref="V52:V90" si="34">SUM(J52:U52)</f>
        <v>80960</v>
      </c>
      <c r="W52" s="73">
        <f t="shared" si="32"/>
        <v>3.6163370330346179E-4</v>
      </c>
      <c r="X52" s="89"/>
      <c r="Y52" s="65">
        <f>SUM(A:B!Y52)</f>
        <v>7360</v>
      </c>
      <c r="Z52" s="65">
        <f>SUM(A:B!Z52)</f>
        <v>7360</v>
      </c>
      <c r="AA52" s="65">
        <f>SUM(A:B!AA52)</f>
        <v>7360</v>
      </c>
      <c r="AB52" s="65">
        <f>SUM(A:B!AB52)</f>
        <v>7360</v>
      </c>
      <c r="AC52" s="65">
        <f>SUM(A:B!AC52)</f>
        <v>7360</v>
      </c>
      <c r="AD52" s="65">
        <f>SUM(A:B!AD52)</f>
        <v>7360</v>
      </c>
      <c r="AE52" s="65">
        <f>SUM(A:B!AE52)</f>
        <v>7360</v>
      </c>
      <c r="AF52" s="65">
        <f>SUM(A:B!AF52)</f>
        <v>7360</v>
      </c>
      <c r="AG52" s="65">
        <f>SUM(A:B!AG52)</f>
        <v>7360</v>
      </c>
      <c r="AH52" s="65">
        <f>SUM(A:B!AH52)</f>
        <v>7360</v>
      </c>
      <c r="AI52" s="65">
        <f>SUM(A:B!AI52)</f>
        <v>7360</v>
      </c>
      <c r="AJ52" s="65">
        <f>SUM(A:B!AJ52)</f>
        <v>7360</v>
      </c>
      <c r="AK52" s="124">
        <f t="shared" ref="AK52:AK74" si="35">SUM(Y52:AJ52)</f>
        <v>88320</v>
      </c>
      <c r="AL52" s="73">
        <f t="shared" si="33"/>
        <v>3.5223645972227025E-4</v>
      </c>
      <c r="AM52" s="14">
        <f t="shared" si="7"/>
        <v>9.0909090909090828E-2</v>
      </c>
      <c r="AN52" s="9">
        <f t="shared" ref="AN52:AN90" si="36">+AK52-V52</f>
        <v>7360</v>
      </c>
      <c r="AO52" s="1" t="s">
        <v>438</v>
      </c>
      <c r="AR52" s="9"/>
      <c r="AS52" s="269"/>
      <c r="AT52" s="272"/>
    </row>
    <row r="53" spans="1:46" outlineLevel="1">
      <c r="A53" s="12" t="s">
        <v>157</v>
      </c>
      <c r="B53" s="8" t="s">
        <v>101</v>
      </c>
      <c r="I53" s="228" t="s">
        <v>163</v>
      </c>
      <c r="J53" s="65">
        <f>SUM(A:B!J53)</f>
        <v>0</v>
      </c>
      <c r="K53" s="65">
        <f>SUM(A:B!K53)</f>
        <v>0</v>
      </c>
      <c r="L53" s="65">
        <f>SUM(A:B!L53)</f>
        <v>0</v>
      </c>
      <c r="M53" s="65">
        <f>SUM(A:B!M53)</f>
        <v>0</v>
      </c>
      <c r="N53" s="65">
        <f>SUM(A:B!N53)</f>
        <v>0</v>
      </c>
      <c r="O53" s="65">
        <f>SUM(A:B!O53)</f>
        <v>0</v>
      </c>
      <c r="P53" s="65">
        <f>SUM(A:B!P53)</f>
        <v>0</v>
      </c>
      <c r="Q53" s="65">
        <f>SUM(A:B!Q53)</f>
        <v>0</v>
      </c>
      <c r="R53" s="65">
        <f>SUM(A:B!R53)</f>
        <v>0</v>
      </c>
      <c r="S53" s="65">
        <f>SUM(A:B!S53)</f>
        <v>0</v>
      </c>
      <c r="T53" s="65">
        <f>SUM(A:B!T53)</f>
        <v>0</v>
      </c>
      <c r="U53" s="65">
        <f>SUM(A:B!U53)</f>
        <v>0</v>
      </c>
      <c r="V53" s="11">
        <f t="shared" si="34"/>
        <v>0</v>
      </c>
      <c r="W53" s="73">
        <f t="shared" si="32"/>
        <v>0</v>
      </c>
      <c r="X53" s="89"/>
      <c r="Y53" s="65">
        <f>SUM(A:B!Y53)</f>
        <v>0</v>
      </c>
      <c r="Z53" s="65">
        <f>SUM(A:B!Z53)</f>
        <v>0</v>
      </c>
      <c r="AA53" s="65">
        <f>SUM(A:B!AA53)</f>
        <v>0</v>
      </c>
      <c r="AB53" s="65">
        <f>SUM(A:B!AB53)</f>
        <v>0</v>
      </c>
      <c r="AC53" s="65">
        <f>SUM(A:B!AC53)</f>
        <v>0</v>
      </c>
      <c r="AD53" s="65">
        <f>SUM(A:B!AD53)</f>
        <v>0</v>
      </c>
      <c r="AE53" s="65">
        <f>SUM(A:B!AE53)</f>
        <v>0</v>
      </c>
      <c r="AF53" s="65">
        <f>SUM(A:B!AF53)</f>
        <v>0</v>
      </c>
      <c r="AG53" s="65">
        <f>SUM(A:B!AG53)</f>
        <v>0</v>
      </c>
      <c r="AH53" s="65">
        <f>SUM(A:B!AH53)</f>
        <v>0</v>
      </c>
      <c r="AI53" s="65">
        <f>SUM(A:B!AI53)</f>
        <v>0</v>
      </c>
      <c r="AJ53" s="65">
        <f>SUM(A:B!AJ53)</f>
        <v>0</v>
      </c>
      <c r="AK53" s="124">
        <f t="shared" si="35"/>
        <v>0</v>
      </c>
      <c r="AL53" s="73">
        <f t="shared" si="33"/>
        <v>0</v>
      </c>
      <c r="AM53" s="14">
        <f t="shared" si="7"/>
        <v>0</v>
      </c>
      <c r="AN53" s="9">
        <f t="shared" si="36"/>
        <v>0</v>
      </c>
      <c r="AR53" s="9"/>
      <c r="AS53" s="269"/>
      <c r="AT53" s="272"/>
    </row>
    <row r="54" spans="1:46" outlineLevel="1">
      <c r="A54" s="12" t="s">
        <v>157</v>
      </c>
      <c r="B54" s="8" t="s">
        <v>101</v>
      </c>
      <c r="I54" s="228" t="s">
        <v>164</v>
      </c>
      <c r="J54" s="65">
        <f>SUM(A:B!J54)</f>
        <v>0</v>
      </c>
      <c r="K54" s="65">
        <f>SUM(A:B!K54)</f>
        <v>0</v>
      </c>
      <c r="L54" s="65">
        <f>SUM(A:B!L54)</f>
        <v>0</v>
      </c>
      <c r="M54" s="65">
        <f>SUM(A:B!M54)</f>
        <v>0</v>
      </c>
      <c r="N54" s="65">
        <f>SUM(A:B!N54)</f>
        <v>0</v>
      </c>
      <c r="O54" s="65">
        <f>SUM(A:B!O54)</f>
        <v>0</v>
      </c>
      <c r="P54" s="65">
        <f>SUM(A:B!P54)</f>
        <v>0</v>
      </c>
      <c r="Q54" s="65">
        <f>SUM(A:B!Q54)</f>
        <v>0</v>
      </c>
      <c r="R54" s="65">
        <f>SUM(A:B!R54)</f>
        <v>188</v>
      </c>
      <c r="S54" s="65">
        <f>SUM(A:B!S54)</f>
        <v>7224</v>
      </c>
      <c r="T54" s="65">
        <f>SUM(A:B!T54)</f>
        <v>2161.833333333333</v>
      </c>
      <c r="U54" s="65">
        <f>SUM(A:B!U54)</f>
        <v>2805.2361111111113</v>
      </c>
      <c r="V54" s="11">
        <f t="shared" si="34"/>
        <v>12379.069444444443</v>
      </c>
      <c r="W54" s="73">
        <f t="shared" si="32"/>
        <v>5.5295068263897869E-5</v>
      </c>
      <c r="X54" s="89"/>
      <c r="Y54" s="65">
        <f>SUM(A:B!Y54)</f>
        <v>0</v>
      </c>
      <c r="Z54" s="65">
        <f>SUM(A:B!Z54)</f>
        <v>0</v>
      </c>
      <c r="AA54" s="65">
        <f>SUM(A:B!AA54)</f>
        <v>0</v>
      </c>
      <c r="AB54" s="65">
        <f>SUM(A:B!AB54)</f>
        <v>0</v>
      </c>
      <c r="AC54" s="65">
        <f>SUM(A:B!AC54)</f>
        <v>0</v>
      </c>
      <c r="AD54" s="65">
        <f>SUM(A:B!AD54)</f>
        <v>0</v>
      </c>
      <c r="AE54" s="65">
        <f>SUM(A:B!AE54)</f>
        <v>0</v>
      </c>
      <c r="AF54" s="65">
        <f>SUM(A:B!AF54)</f>
        <v>0</v>
      </c>
      <c r="AG54" s="65">
        <f>SUM(A:B!AG54)</f>
        <v>0</v>
      </c>
      <c r="AH54" s="65">
        <f>SUM(A:B!AH54)</f>
        <v>0</v>
      </c>
      <c r="AI54" s="65">
        <f>SUM(A:B!AI54)</f>
        <v>0</v>
      </c>
      <c r="AJ54" s="65">
        <f>SUM(A:B!AJ54)</f>
        <v>4968.4799999999996</v>
      </c>
      <c r="AK54" s="124">
        <f t="shared" si="35"/>
        <v>4968.4799999999996</v>
      </c>
      <c r="AL54" s="73">
        <f t="shared" si="33"/>
        <v>1.9815215187963147E-5</v>
      </c>
      <c r="AM54" s="14">
        <f t="shared" si="7"/>
        <v>-0.59863865193600763</v>
      </c>
      <c r="AN54" s="9">
        <f t="shared" si="36"/>
        <v>-7410.5894444444439</v>
      </c>
      <c r="AR54" s="9"/>
      <c r="AS54" s="269"/>
      <c r="AT54" s="272"/>
    </row>
    <row r="55" spans="1:46" outlineLevel="1">
      <c r="A55" s="12" t="s">
        <v>157</v>
      </c>
      <c r="B55" s="8" t="s">
        <v>101</v>
      </c>
      <c r="C55" s="8" t="s">
        <v>160</v>
      </c>
      <c r="I55" s="228" t="s">
        <v>165</v>
      </c>
      <c r="J55" s="65">
        <f>SUM(A:B!J55)</f>
        <v>0</v>
      </c>
      <c r="K55" s="65">
        <f>SUM(A:B!K55)</f>
        <v>584</v>
      </c>
      <c r="L55" s="65">
        <f>SUM(A:B!L55)</f>
        <v>649</v>
      </c>
      <c r="M55" s="65">
        <f>SUM(A:B!M55)</f>
        <v>479</v>
      </c>
      <c r="N55" s="65">
        <f>SUM(A:B!N55)</f>
        <v>0</v>
      </c>
      <c r="O55" s="65">
        <f>SUM(A:B!O55)</f>
        <v>0</v>
      </c>
      <c r="P55" s="65">
        <f>SUM(A:B!P55)</f>
        <v>0</v>
      </c>
      <c r="Q55" s="65">
        <f>SUM(A:B!Q55)</f>
        <v>20945</v>
      </c>
      <c r="R55" s="65">
        <f>SUM(A:B!R55)</f>
        <v>0</v>
      </c>
      <c r="S55" s="65">
        <f>SUM(A:B!S55)</f>
        <v>0</v>
      </c>
      <c r="T55" s="65">
        <f>SUM(A:B!T55)</f>
        <v>0</v>
      </c>
      <c r="U55" s="65">
        <f>SUM(A:B!U55)</f>
        <v>0</v>
      </c>
      <c r="V55" s="11">
        <f t="shared" si="34"/>
        <v>22657</v>
      </c>
      <c r="W55" s="73">
        <f t="shared" si="32"/>
        <v>1.0120472845536726E-4</v>
      </c>
      <c r="X55" s="89"/>
      <c r="Y55" s="65">
        <f>SUM(A:B!Y55)</f>
        <v>47569.055599999992</v>
      </c>
      <c r="Z55" s="65">
        <f>SUM(A:B!Z55)</f>
        <v>0</v>
      </c>
      <c r="AA55" s="65">
        <f>SUM(A:B!AA55)</f>
        <v>0</v>
      </c>
      <c r="AB55" s="65">
        <f>SUM(A:B!AB55)</f>
        <v>0</v>
      </c>
      <c r="AC55" s="65">
        <f>SUM(A:B!AC55)</f>
        <v>0</v>
      </c>
      <c r="AD55" s="65">
        <f>SUM(A:B!AD55)</f>
        <v>0</v>
      </c>
      <c r="AE55" s="65">
        <f>SUM(A:B!AE55)</f>
        <v>0</v>
      </c>
      <c r="AF55" s="65">
        <f>SUM(A:B!AF55)</f>
        <v>0</v>
      </c>
      <c r="AG55" s="65">
        <f>SUM(A:B!AG55)</f>
        <v>0</v>
      </c>
      <c r="AH55" s="65">
        <f>SUM(A:B!AH55)</f>
        <v>0</v>
      </c>
      <c r="AI55" s="65">
        <f>SUM(A:B!AI55)</f>
        <v>0</v>
      </c>
      <c r="AJ55" s="65">
        <f>SUM(A:B!AJ55)</f>
        <v>0</v>
      </c>
      <c r="AK55" s="124">
        <f t="shared" si="35"/>
        <v>47569.055599999992</v>
      </c>
      <c r="AL55" s="73">
        <f t="shared" si="33"/>
        <v>1.8971417274542382E-4</v>
      </c>
      <c r="AM55" s="14">
        <f t="shared" si="7"/>
        <v>1.0995301937591027</v>
      </c>
      <c r="AN55" s="9">
        <f t="shared" si="36"/>
        <v>24912.055599999992</v>
      </c>
      <c r="AR55" s="9"/>
      <c r="AS55" s="269"/>
      <c r="AT55" s="272"/>
    </row>
    <row r="56" spans="1:46" ht="13.15" customHeight="1" outlineLevel="1">
      <c r="A56" s="12" t="s">
        <v>157</v>
      </c>
      <c r="B56" s="8" t="s">
        <v>101</v>
      </c>
      <c r="I56" s="228" t="s">
        <v>166</v>
      </c>
      <c r="J56" s="65">
        <f>SUM(A:B!J56)</f>
        <v>10725</v>
      </c>
      <c r="K56" s="65">
        <f>SUM(A:B!K56)</f>
        <v>10467</v>
      </c>
      <c r="L56" s="65">
        <f>SUM(A:B!L56)</f>
        <v>0</v>
      </c>
      <c r="M56" s="65">
        <f>SUM(A:B!M56)</f>
        <v>8802</v>
      </c>
      <c r="N56" s="65">
        <f>SUM(A:B!N56)</f>
        <v>3380</v>
      </c>
      <c r="O56" s="65">
        <f>SUM(A:B!O56)</f>
        <v>5871</v>
      </c>
      <c r="P56" s="65">
        <f>SUM(A:B!P56)</f>
        <v>3690</v>
      </c>
      <c r="Q56" s="65">
        <f>SUM(A:B!Q56)</f>
        <v>6134</v>
      </c>
      <c r="R56" s="65">
        <f>SUM(A:B!R56)</f>
        <v>5870</v>
      </c>
      <c r="S56" s="65">
        <f>SUM(A:B!S56)</f>
        <v>5877</v>
      </c>
      <c r="T56" s="65">
        <f>SUM(A:B!T56)</f>
        <v>5476.583333333333</v>
      </c>
      <c r="U56" s="65">
        <f>SUM(A:B!U56)</f>
        <v>6114.1736111111113</v>
      </c>
      <c r="V56" s="11">
        <f t="shared" si="34"/>
        <v>72406.756944444438</v>
      </c>
      <c r="W56" s="73">
        <f t="shared" si="32"/>
        <v>3.2342791079561627E-4</v>
      </c>
      <c r="X56" s="89"/>
      <c r="Y56" s="65">
        <f>SUM(A:B!Y56)</f>
        <v>6262.3549999999996</v>
      </c>
      <c r="Z56" s="65">
        <f>SUM(A:B!Z56)</f>
        <v>6262.3549999999996</v>
      </c>
      <c r="AA56" s="65">
        <f>SUM(A:B!AA56)</f>
        <v>6262.3549999999996</v>
      </c>
      <c r="AB56" s="65">
        <f>SUM(A:B!AB56)</f>
        <v>6262.3549999999996</v>
      </c>
      <c r="AC56" s="65">
        <f>SUM(A:B!AC56)</f>
        <v>6262.3549999999996</v>
      </c>
      <c r="AD56" s="65">
        <f>SUM(A:B!AD56)</f>
        <v>6262.3549999999996</v>
      </c>
      <c r="AE56" s="65">
        <f>SUM(A:B!AE56)</f>
        <v>6262.3549999999996</v>
      </c>
      <c r="AF56" s="65">
        <f>SUM(A:B!AF56)</f>
        <v>6262.3549999999996</v>
      </c>
      <c r="AG56" s="65">
        <f>SUM(A:B!AG56)</f>
        <v>6262.3549999999996</v>
      </c>
      <c r="AH56" s="65">
        <f>SUM(A:B!AH56)</f>
        <v>6262.3549999999996</v>
      </c>
      <c r="AI56" s="65">
        <f>SUM(A:B!AI56)</f>
        <v>6262.3549999999996</v>
      </c>
      <c r="AJ56" s="65">
        <f>SUM(A:B!AJ56)</f>
        <v>6262.3549999999996</v>
      </c>
      <c r="AK56" s="124">
        <f t="shared" si="35"/>
        <v>75148.25999999998</v>
      </c>
      <c r="AL56" s="73">
        <f t="shared" si="33"/>
        <v>2.9970512971794254E-4</v>
      </c>
      <c r="AM56" s="14">
        <f t="shared" si="7"/>
        <v>3.7862530670432104E-2</v>
      </c>
      <c r="AN56" s="279">
        <f t="shared" si="36"/>
        <v>2741.5030555555422</v>
      </c>
      <c r="AR56" s="9"/>
      <c r="AS56" s="269"/>
      <c r="AT56" s="272"/>
    </row>
    <row r="57" spans="1:46" ht="16.149999999999999" customHeight="1" outlineLevel="1">
      <c r="A57" s="12" t="s">
        <v>157</v>
      </c>
      <c r="B57" s="8" t="s">
        <v>101</v>
      </c>
      <c r="E57" s="7" t="s">
        <v>439</v>
      </c>
      <c r="I57" s="228" t="s">
        <v>167</v>
      </c>
      <c r="J57" s="65">
        <f>SUM(A:B!J57)</f>
        <v>5700</v>
      </c>
      <c r="K57" s="65">
        <f>SUM(A:B!K57)</f>
        <v>9600</v>
      </c>
      <c r="L57" s="65">
        <f>SUM(A:B!L57)</f>
        <v>21424</v>
      </c>
      <c r="M57" s="65">
        <f>SUM(A:B!M57)</f>
        <v>16037</v>
      </c>
      <c r="N57" s="65">
        <f>SUM(A:B!N57)</f>
        <v>55386</v>
      </c>
      <c r="O57" s="65">
        <f>SUM(A:B!O57)</f>
        <v>28776</v>
      </c>
      <c r="P57" s="65">
        <f>SUM(A:B!P57)</f>
        <v>9204</v>
      </c>
      <c r="Q57" s="65">
        <f>SUM(A:B!Q57)</f>
        <v>-114514</v>
      </c>
      <c r="R57" s="65">
        <f>SUM(A:B!R57)</f>
        <v>6713</v>
      </c>
      <c r="S57" s="65">
        <f>SUM(A:B!S57)</f>
        <v>0</v>
      </c>
      <c r="T57" s="65">
        <f>SUM(A:B!T57)</f>
        <v>60000</v>
      </c>
      <c r="U57" s="65">
        <f>SUM(A:B!U57)</f>
        <v>60000</v>
      </c>
      <c r="V57" s="11">
        <f t="shared" si="34"/>
        <v>158326</v>
      </c>
      <c r="W57" s="73">
        <f t="shared" si="32"/>
        <v>7.072136574755916E-4</v>
      </c>
      <c r="X57" s="89"/>
      <c r="Y57" s="65">
        <f>SUM(A:B!Y57)</f>
        <v>0</v>
      </c>
      <c r="Z57" s="65">
        <f>SUM(A:B!Z57)</f>
        <v>931.58999999999992</v>
      </c>
      <c r="AA57" s="65">
        <f>SUM(A:B!AA57)</f>
        <v>48753.209999999992</v>
      </c>
      <c r="AB57" s="65">
        <f>SUM(A:B!AB57)</f>
        <v>49684.799999999996</v>
      </c>
      <c r="AC57" s="65">
        <f>SUM(A:B!AC57)</f>
        <v>51754.999999999993</v>
      </c>
      <c r="AD57" s="65">
        <f>SUM(A:B!AD57)</f>
        <v>0</v>
      </c>
      <c r="AE57" s="65">
        <f>SUM(A:B!AE57)</f>
        <v>1759.6699999999998</v>
      </c>
      <c r="AF57" s="65">
        <f>SUM(A:B!AF57)</f>
        <v>1863.1799999999998</v>
      </c>
      <c r="AG57" s="65">
        <f>SUM(A:B!AG57)</f>
        <v>0</v>
      </c>
      <c r="AH57" s="65">
        <f>SUM(A:B!AH57)</f>
        <v>0</v>
      </c>
      <c r="AI57" s="65">
        <f>SUM(A:B!AI57)</f>
        <v>0</v>
      </c>
      <c r="AJ57" s="65">
        <f>SUM(A:B!AJ57)</f>
        <v>0</v>
      </c>
      <c r="AK57" s="124">
        <f t="shared" si="35"/>
        <v>154747.44999999998</v>
      </c>
      <c r="AL57" s="73">
        <f t="shared" si="33"/>
        <v>6.1716138970843552E-4</v>
      </c>
      <c r="AM57" s="14">
        <f t="shared" si="7"/>
        <v>-2.2602415269759923E-2</v>
      </c>
      <c r="AN57" s="9">
        <f t="shared" si="36"/>
        <v>-3578.5500000000175</v>
      </c>
      <c r="AO57" s="132"/>
      <c r="AP57" s="269"/>
      <c r="AR57" s="9"/>
      <c r="AS57" s="269"/>
      <c r="AT57" s="272"/>
    </row>
    <row r="58" spans="1:46" outlineLevel="1">
      <c r="A58" s="12" t="s">
        <v>157</v>
      </c>
      <c r="B58" s="8" t="s">
        <v>101</v>
      </c>
      <c r="E58" s="7" t="s">
        <v>439</v>
      </c>
      <c r="I58" s="228" t="s">
        <v>168</v>
      </c>
      <c r="J58" s="65">
        <f>SUM(A:B!J58)</f>
        <v>0</v>
      </c>
      <c r="K58" s="65">
        <f>SUM(A:B!K58)</f>
        <v>0</v>
      </c>
      <c r="L58" s="65">
        <f>SUM(A:B!L58)</f>
        <v>0</v>
      </c>
      <c r="M58" s="65">
        <f>SUM(A:B!M58)</f>
        <v>0</v>
      </c>
      <c r="N58" s="65">
        <f>SUM(A:B!N58)</f>
        <v>0</v>
      </c>
      <c r="O58" s="65">
        <f>SUM(A:B!O58)</f>
        <v>0</v>
      </c>
      <c r="P58" s="65">
        <f>SUM(A:B!P58)</f>
        <v>0</v>
      </c>
      <c r="Q58" s="65">
        <f>SUM(A:B!Q58)</f>
        <v>0</v>
      </c>
      <c r="R58" s="65">
        <f>SUM(A:B!R58)</f>
        <v>0</v>
      </c>
      <c r="S58" s="65">
        <f>SUM(A:B!S58)</f>
        <v>0</v>
      </c>
      <c r="T58" s="65">
        <f>SUM(A:B!T58)</f>
        <v>31200.000000000004</v>
      </c>
      <c r="U58" s="65">
        <f>SUM(A:B!U58)</f>
        <v>0</v>
      </c>
      <c r="V58" s="11">
        <f t="shared" si="34"/>
        <v>31200.000000000004</v>
      </c>
      <c r="W58" s="73">
        <f t="shared" si="32"/>
        <v>1.3936476708334991E-4</v>
      </c>
      <c r="X58" s="89"/>
      <c r="Y58" s="65">
        <f>SUM(A:B!Y58)</f>
        <v>1990.5769230769229</v>
      </c>
      <c r="Z58" s="65">
        <f>SUM(A:B!Z58)</f>
        <v>6369.8461538461534</v>
      </c>
      <c r="AA58" s="65">
        <f>SUM(A:B!AA58)</f>
        <v>1194.3461538461536</v>
      </c>
      <c r="AB58" s="65">
        <f>SUM(A:B!AB58)</f>
        <v>0</v>
      </c>
      <c r="AC58" s="65">
        <f>SUM(A:B!AC58)</f>
        <v>0</v>
      </c>
      <c r="AD58" s="65">
        <f>SUM(A:B!AD58)</f>
        <v>0</v>
      </c>
      <c r="AE58" s="65">
        <f>SUM(A:B!AE58)</f>
        <v>0</v>
      </c>
      <c r="AF58" s="65">
        <f>SUM(A:B!AF58)</f>
        <v>0</v>
      </c>
      <c r="AG58" s="65">
        <f>SUM(A:B!AG58)</f>
        <v>0</v>
      </c>
      <c r="AH58" s="65">
        <f>SUM(A:B!AH58)</f>
        <v>0</v>
      </c>
      <c r="AI58" s="65">
        <f>SUM(A:B!AI58)</f>
        <v>0</v>
      </c>
      <c r="AJ58" s="65">
        <f>SUM(A:B!AJ58)</f>
        <v>0</v>
      </c>
      <c r="AK58" s="124">
        <f t="shared" si="35"/>
        <v>9554.7692307692305</v>
      </c>
      <c r="AL58" s="73">
        <f t="shared" si="33"/>
        <v>3.8106183053775287E-5</v>
      </c>
      <c r="AM58" s="14">
        <f t="shared" si="7"/>
        <v>-0.69375739644970413</v>
      </c>
      <c r="AN58" s="9">
        <f t="shared" si="36"/>
        <v>-21645.230769230773</v>
      </c>
      <c r="AR58" s="9"/>
      <c r="AS58" s="269"/>
      <c r="AT58" s="272"/>
    </row>
    <row r="59" spans="1:46" outlineLevel="1">
      <c r="A59" s="12" t="s">
        <v>157</v>
      </c>
      <c r="B59" s="8" t="s">
        <v>101</v>
      </c>
      <c r="I59" s="228" t="s">
        <v>169</v>
      </c>
      <c r="J59" s="65">
        <f>SUM(A:B!J59)</f>
        <v>0</v>
      </c>
      <c r="K59" s="65">
        <f>SUM(A:B!K59)</f>
        <v>0</v>
      </c>
      <c r="L59" s="65">
        <f>SUM(A:B!L59)</f>
        <v>0</v>
      </c>
      <c r="M59" s="65">
        <f>SUM(A:B!M59)</f>
        <v>0</v>
      </c>
      <c r="N59" s="65">
        <f>SUM(A:B!N59)</f>
        <v>0</v>
      </c>
      <c r="O59" s="65">
        <f>SUM(A:B!O59)</f>
        <v>0</v>
      </c>
      <c r="P59" s="65">
        <f>SUM(A:B!P59)</f>
        <v>0</v>
      </c>
      <c r="Q59" s="65">
        <f>SUM(A:B!Q59)</f>
        <v>0</v>
      </c>
      <c r="R59" s="65">
        <f>SUM(A:B!R59)</f>
        <v>0</v>
      </c>
      <c r="S59" s="65">
        <f>SUM(A:B!S59)</f>
        <v>0</v>
      </c>
      <c r="T59" s="65">
        <f>SUM(A:B!T59)</f>
        <v>0</v>
      </c>
      <c r="U59" s="65">
        <f>SUM(A:B!U59)</f>
        <v>0</v>
      </c>
      <c r="V59" s="11">
        <f t="shared" si="34"/>
        <v>0</v>
      </c>
      <c r="W59" s="73">
        <f t="shared" si="32"/>
        <v>0</v>
      </c>
      <c r="X59" s="89"/>
      <c r="Y59" s="65">
        <f>SUM(A:B!Y59)</f>
        <v>0</v>
      </c>
      <c r="Z59" s="65">
        <f>SUM(A:B!Z59)</f>
        <v>0</v>
      </c>
      <c r="AA59" s="65">
        <f>SUM(A:B!AA59)</f>
        <v>0</v>
      </c>
      <c r="AB59" s="65">
        <f>SUM(A:B!AB59)</f>
        <v>0</v>
      </c>
      <c r="AC59" s="65">
        <f>SUM(A:B!AC59)</f>
        <v>0</v>
      </c>
      <c r="AD59" s="65">
        <f>SUM(A:B!AD59)</f>
        <v>0</v>
      </c>
      <c r="AE59" s="65">
        <f>SUM(A:B!AE59)</f>
        <v>0</v>
      </c>
      <c r="AF59" s="65">
        <f>SUM(A:B!AF59)</f>
        <v>0</v>
      </c>
      <c r="AG59" s="65">
        <f>SUM(A:B!AG59)</f>
        <v>0</v>
      </c>
      <c r="AH59" s="65">
        <f>SUM(A:B!AH59)</f>
        <v>0</v>
      </c>
      <c r="AI59" s="65">
        <f>SUM(A:B!AI59)</f>
        <v>0</v>
      </c>
      <c r="AJ59" s="65">
        <f>SUM(A:B!AJ59)</f>
        <v>0</v>
      </c>
      <c r="AK59" s="124">
        <f t="shared" si="35"/>
        <v>0</v>
      </c>
      <c r="AL59" s="73">
        <f t="shared" si="33"/>
        <v>0</v>
      </c>
      <c r="AM59" s="14">
        <f t="shared" si="7"/>
        <v>0</v>
      </c>
      <c r="AN59" s="9">
        <f t="shared" si="36"/>
        <v>0</v>
      </c>
      <c r="AR59" s="9"/>
      <c r="AS59" s="269"/>
      <c r="AT59" s="272"/>
    </row>
    <row r="60" spans="1:46" outlineLevel="1">
      <c r="A60" s="12" t="s">
        <v>157</v>
      </c>
      <c r="B60" s="8" t="s">
        <v>101</v>
      </c>
      <c r="I60" s="228" t="s">
        <v>170</v>
      </c>
      <c r="J60" s="65">
        <f>SUM(A:B!J60)</f>
        <v>0</v>
      </c>
      <c r="K60" s="65">
        <f>SUM(A:B!K60)</f>
        <v>0</v>
      </c>
      <c r="L60" s="65">
        <f>SUM(A:B!L60)</f>
        <v>0</v>
      </c>
      <c r="M60" s="65">
        <f>SUM(A:B!M60)</f>
        <v>0</v>
      </c>
      <c r="N60" s="65">
        <f>SUM(A:B!N60)</f>
        <v>0</v>
      </c>
      <c r="O60" s="65">
        <f>SUM(A:B!O60)</f>
        <v>0</v>
      </c>
      <c r="P60" s="65">
        <f>SUM(A:B!P60)</f>
        <v>0</v>
      </c>
      <c r="Q60" s="65">
        <f>SUM(A:B!Q60)</f>
        <v>0</v>
      </c>
      <c r="R60" s="65">
        <f>SUM(A:B!R60)</f>
        <v>0</v>
      </c>
      <c r="S60" s="65">
        <f>SUM(A:B!S60)</f>
        <v>0</v>
      </c>
      <c r="T60" s="65">
        <f>SUM(A:B!T60)</f>
        <v>0</v>
      </c>
      <c r="U60" s="65">
        <f>SUM(A:B!U60)</f>
        <v>0</v>
      </c>
      <c r="V60" s="11">
        <f t="shared" si="34"/>
        <v>0</v>
      </c>
      <c r="W60" s="73">
        <f t="shared" si="32"/>
        <v>0</v>
      </c>
      <c r="X60" s="89"/>
      <c r="Y60" s="65">
        <f>SUM(A:B!Y60)</f>
        <v>0</v>
      </c>
      <c r="Z60" s="65">
        <f>SUM(A:B!Z60)</f>
        <v>0</v>
      </c>
      <c r="AA60" s="65">
        <f>SUM(A:B!AA60)</f>
        <v>0</v>
      </c>
      <c r="AB60" s="65">
        <f>SUM(A:B!AB60)</f>
        <v>0</v>
      </c>
      <c r="AC60" s="65">
        <f>SUM(A:B!AC60)</f>
        <v>0</v>
      </c>
      <c r="AD60" s="65">
        <f>SUM(A:B!AD60)</f>
        <v>0</v>
      </c>
      <c r="AE60" s="65">
        <f>SUM(A:B!AE60)</f>
        <v>0</v>
      </c>
      <c r="AF60" s="65">
        <f>SUM(A:B!AF60)</f>
        <v>0</v>
      </c>
      <c r="AG60" s="65">
        <f>SUM(A:B!AG60)</f>
        <v>0</v>
      </c>
      <c r="AH60" s="65">
        <f>SUM(A:B!AH60)</f>
        <v>0</v>
      </c>
      <c r="AI60" s="65">
        <f>SUM(A:B!AI60)</f>
        <v>0</v>
      </c>
      <c r="AJ60" s="65">
        <f>SUM(A:B!AJ60)</f>
        <v>0</v>
      </c>
      <c r="AK60" s="124">
        <f t="shared" si="35"/>
        <v>0</v>
      </c>
      <c r="AL60" s="73">
        <f t="shared" si="33"/>
        <v>0</v>
      </c>
      <c r="AM60" s="14">
        <f t="shared" si="7"/>
        <v>0</v>
      </c>
      <c r="AN60" s="9">
        <f t="shared" si="36"/>
        <v>0</v>
      </c>
      <c r="AR60" s="9"/>
      <c r="AS60" s="269"/>
      <c r="AT60" s="272"/>
    </row>
    <row r="61" spans="1:46" outlineLevel="1">
      <c r="A61" s="12" t="s">
        <v>157</v>
      </c>
      <c r="B61" s="8" t="s">
        <v>101</v>
      </c>
      <c r="I61" s="228" t="s">
        <v>171</v>
      </c>
      <c r="J61" s="65">
        <f>SUM(A:B!J61)</f>
        <v>0</v>
      </c>
      <c r="K61" s="65">
        <f>SUM(A:B!K61)</f>
        <v>0</v>
      </c>
      <c r="L61" s="65">
        <f>SUM(A:B!L61)</f>
        <v>0</v>
      </c>
      <c r="M61" s="65">
        <f>SUM(A:B!M61)</f>
        <v>0</v>
      </c>
      <c r="N61" s="65">
        <f>SUM(A:B!N61)</f>
        <v>0</v>
      </c>
      <c r="O61" s="65">
        <f>SUM(A:B!O61)</f>
        <v>0</v>
      </c>
      <c r="P61" s="65">
        <f>SUM(A:B!P61)</f>
        <v>0</v>
      </c>
      <c r="Q61" s="65">
        <f>SUM(A:B!Q61)</f>
        <v>0</v>
      </c>
      <c r="R61" s="65">
        <f>SUM(A:B!R61)</f>
        <v>0</v>
      </c>
      <c r="S61" s="65">
        <f>SUM(A:B!S61)</f>
        <v>0</v>
      </c>
      <c r="T61" s="65">
        <f>SUM(A:B!T61)</f>
        <v>0</v>
      </c>
      <c r="U61" s="65">
        <f>SUM(A:B!U61)</f>
        <v>0</v>
      </c>
      <c r="V61" s="11">
        <f t="shared" si="34"/>
        <v>0</v>
      </c>
      <c r="W61" s="73">
        <f t="shared" si="32"/>
        <v>0</v>
      </c>
      <c r="X61" s="89"/>
      <c r="Y61" s="65">
        <f>SUM(A:B!Y61)</f>
        <v>0</v>
      </c>
      <c r="Z61" s="65">
        <f>SUM(A:B!Z61)</f>
        <v>0</v>
      </c>
      <c r="AA61" s="65">
        <f>SUM(A:B!AA61)</f>
        <v>0</v>
      </c>
      <c r="AB61" s="65">
        <f>SUM(A:B!AB61)</f>
        <v>0</v>
      </c>
      <c r="AC61" s="65">
        <f>SUM(A:B!AC61)</f>
        <v>0</v>
      </c>
      <c r="AD61" s="65">
        <f>SUM(A:B!AD61)</f>
        <v>0</v>
      </c>
      <c r="AE61" s="65">
        <f>SUM(A:B!AE61)</f>
        <v>0</v>
      </c>
      <c r="AF61" s="65">
        <f>SUM(A:B!AF61)</f>
        <v>0</v>
      </c>
      <c r="AG61" s="65">
        <f>SUM(A:B!AG61)</f>
        <v>0</v>
      </c>
      <c r="AH61" s="65">
        <f>SUM(A:B!AH61)</f>
        <v>0</v>
      </c>
      <c r="AI61" s="65">
        <f>SUM(A:B!AI61)</f>
        <v>0</v>
      </c>
      <c r="AJ61" s="65">
        <f>SUM(A:B!AJ61)</f>
        <v>0</v>
      </c>
      <c r="AK61" s="124">
        <f t="shared" si="35"/>
        <v>0</v>
      </c>
      <c r="AL61" s="73">
        <f t="shared" si="33"/>
        <v>0</v>
      </c>
      <c r="AM61" s="14">
        <f t="shared" si="7"/>
        <v>0</v>
      </c>
      <c r="AN61" s="9">
        <f t="shared" si="36"/>
        <v>0</v>
      </c>
      <c r="AR61" s="9"/>
      <c r="AS61" s="269"/>
      <c r="AT61" s="272"/>
    </row>
    <row r="62" spans="1:46" outlineLevel="1">
      <c r="A62" s="12" t="s">
        <v>157</v>
      </c>
      <c r="B62" s="8" t="s">
        <v>101</v>
      </c>
      <c r="I62" s="228" t="s">
        <v>172</v>
      </c>
      <c r="J62" s="65">
        <f>SUM(A:B!J62)</f>
        <v>1011</v>
      </c>
      <c r="K62" s="65">
        <f>SUM(A:B!K62)</f>
        <v>3942</v>
      </c>
      <c r="L62" s="65">
        <f>SUM(A:B!L62)</f>
        <v>2147</v>
      </c>
      <c r="M62" s="65">
        <f>SUM(A:B!M62)</f>
        <v>3660</v>
      </c>
      <c r="N62" s="65">
        <f>SUM(A:B!N62)</f>
        <v>1674</v>
      </c>
      <c r="O62" s="65">
        <f>SUM(A:B!O62)</f>
        <v>3666</v>
      </c>
      <c r="P62" s="65">
        <f>SUM(A:B!P62)</f>
        <v>14747</v>
      </c>
      <c r="Q62" s="65">
        <f>SUM(A:B!Q62)</f>
        <v>16348</v>
      </c>
      <c r="R62" s="65">
        <f>SUM(A:B!R62)</f>
        <v>3671</v>
      </c>
      <c r="S62" s="65">
        <f>SUM(A:B!S62)</f>
        <v>-27797</v>
      </c>
      <c r="T62" s="65">
        <f>SUM(A:B!T62)</f>
        <v>0</v>
      </c>
      <c r="U62" s="65">
        <f>SUM(A:B!U62)</f>
        <v>0</v>
      </c>
      <c r="V62" s="11">
        <f t="shared" si="34"/>
        <v>23069</v>
      </c>
      <c r="W62" s="73">
        <f t="shared" si="32"/>
        <v>1.0304505807198074E-4</v>
      </c>
      <c r="X62" s="89"/>
      <c r="Y62" s="65">
        <f>SUM(A:B!Y62)</f>
        <v>0</v>
      </c>
      <c r="Z62" s="65">
        <f>SUM(A:B!Z62)</f>
        <v>0</v>
      </c>
      <c r="AA62" s="65">
        <f>SUM(A:B!AA62)</f>
        <v>0</v>
      </c>
      <c r="AB62" s="65">
        <f>SUM(A:B!AB62)</f>
        <v>0</v>
      </c>
      <c r="AC62" s="65">
        <f>SUM(A:B!AC62)</f>
        <v>0</v>
      </c>
      <c r="AD62" s="65">
        <f>SUM(A:B!AD62)</f>
        <v>0</v>
      </c>
      <c r="AE62" s="65">
        <f>SUM(A:B!AE62)</f>
        <v>0</v>
      </c>
      <c r="AF62" s="65">
        <f>SUM(A:B!AF62)</f>
        <v>0</v>
      </c>
      <c r="AG62" s="65">
        <f>SUM(A:B!AG62)</f>
        <v>0</v>
      </c>
      <c r="AH62" s="65">
        <f>SUM(A:B!AH62)</f>
        <v>0</v>
      </c>
      <c r="AI62" s="65">
        <f>SUM(A:B!AI62)</f>
        <v>0</v>
      </c>
      <c r="AJ62" s="65">
        <f>SUM(A:B!AJ62)</f>
        <v>0</v>
      </c>
      <c r="AK62" s="124">
        <f t="shared" si="35"/>
        <v>0</v>
      </c>
      <c r="AL62" s="73">
        <f t="shared" si="33"/>
        <v>0</v>
      </c>
      <c r="AM62" s="14">
        <f t="shared" si="7"/>
        <v>-1</v>
      </c>
      <c r="AN62" s="9">
        <f t="shared" si="36"/>
        <v>-23069</v>
      </c>
      <c r="AR62" s="9"/>
      <c r="AS62" s="269"/>
      <c r="AT62" s="272"/>
    </row>
    <row r="63" spans="1:46" outlineLevel="1">
      <c r="A63" s="12" t="s">
        <v>157</v>
      </c>
      <c r="B63" s="8" t="s">
        <v>101</v>
      </c>
      <c r="I63" s="228" t="s">
        <v>173</v>
      </c>
      <c r="J63" s="65">
        <f>SUM(A:B!J63)</f>
        <v>8187</v>
      </c>
      <c r="K63" s="65">
        <f>SUM(A:B!K63)</f>
        <v>4482</v>
      </c>
      <c r="L63" s="65">
        <f>SUM(A:B!L63)</f>
        <v>1704</v>
      </c>
      <c r="M63" s="65">
        <f>SUM(A:B!M63)</f>
        <v>5280</v>
      </c>
      <c r="N63" s="65">
        <f>SUM(A:B!N63)</f>
        <v>5966</v>
      </c>
      <c r="O63" s="65">
        <f>SUM(A:B!O63)</f>
        <v>4080</v>
      </c>
      <c r="P63" s="65">
        <f>SUM(A:B!P63)</f>
        <v>5569</v>
      </c>
      <c r="Q63" s="65">
        <f>SUM(A:B!Q63)</f>
        <v>9096</v>
      </c>
      <c r="R63" s="65">
        <f>SUM(A:B!R63)</f>
        <v>4548</v>
      </c>
      <c r="S63" s="65">
        <f>SUM(A:B!S63)</f>
        <v>4108</v>
      </c>
      <c r="T63" s="65">
        <f>SUM(A:B!T63)</f>
        <v>5973.583333333333</v>
      </c>
      <c r="U63" s="65">
        <f>SUM(A:B!U63)</f>
        <v>5367.8402777777774</v>
      </c>
      <c r="V63" s="11">
        <f t="shared" si="34"/>
        <v>64361.423611111109</v>
      </c>
      <c r="W63" s="73">
        <f t="shared" si="32"/>
        <v>2.8749085931779861E-4</v>
      </c>
      <c r="X63" s="89"/>
      <c r="Y63" s="65">
        <f>SUM(A:B!Y63)</f>
        <v>3670</v>
      </c>
      <c r="Z63" s="65">
        <f>SUM(A:B!Z63)</f>
        <v>3670</v>
      </c>
      <c r="AA63" s="65">
        <f>SUM(A:B!AA63)</f>
        <v>3670</v>
      </c>
      <c r="AB63" s="65">
        <f>SUM(A:B!AB63)</f>
        <v>3670</v>
      </c>
      <c r="AC63" s="65">
        <f>SUM(A:B!AC63)</f>
        <v>3670</v>
      </c>
      <c r="AD63" s="65">
        <f>SUM(A:B!AD63)</f>
        <v>3670</v>
      </c>
      <c r="AE63" s="65">
        <f>SUM(A:B!AE63)</f>
        <v>3670</v>
      </c>
      <c r="AF63" s="65">
        <f>SUM(A:B!AF63)</f>
        <v>3670</v>
      </c>
      <c r="AG63" s="65">
        <f>SUM(A:B!AG63)</f>
        <v>3670</v>
      </c>
      <c r="AH63" s="65">
        <f>SUM(A:B!AH63)</f>
        <v>3670</v>
      </c>
      <c r="AI63" s="65">
        <f>SUM(A:B!AI63)</f>
        <v>3670</v>
      </c>
      <c r="AJ63" s="65">
        <f>SUM(A:B!AJ63)</f>
        <v>3670</v>
      </c>
      <c r="AK63" s="124">
        <f t="shared" si="35"/>
        <v>44040</v>
      </c>
      <c r="AL63" s="73">
        <f t="shared" si="33"/>
        <v>1.7563964771477334E-4</v>
      </c>
      <c r="AM63" s="14">
        <f t="shared" si="7"/>
        <v>-0.31573918771434539</v>
      </c>
      <c r="AN63" s="9">
        <f t="shared" si="36"/>
        <v>-20321.423611111109</v>
      </c>
      <c r="AR63" s="9"/>
      <c r="AS63" s="269"/>
      <c r="AT63" s="272"/>
    </row>
    <row r="64" spans="1:46" outlineLevel="1">
      <c r="A64" s="12" t="s">
        <v>157</v>
      </c>
      <c r="B64" s="8" t="s">
        <v>101</v>
      </c>
      <c r="I64" s="228" t="s">
        <v>174</v>
      </c>
      <c r="J64" s="65">
        <f>SUM(A:B!J64)</f>
        <v>0</v>
      </c>
      <c r="K64" s="65">
        <f>SUM(A:B!K64)</f>
        <v>0</v>
      </c>
      <c r="L64" s="65">
        <f>SUM(A:B!L64)</f>
        <v>0</v>
      </c>
      <c r="M64" s="65">
        <f>SUM(A:B!M64)</f>
        <v>0</v>
      </c>
      <c r="N64" s="65">
        <f>SUM(A:B!N64)</f>
        <v>0</v>
      </c>
      <c r="O64" s="65">
        <f>SUM(A:B!O64)</f>
        <v>0</v>
      </c>
      <c r="P64" s="65">
        <f>SUM(A:B!P64)</f>
        <v>0</v>
      </c>
      <c r="Q64" s="65">
        <f>SUM(A:B!Q64)</f>
        <v>0</v>
      </c>
      <c r="R64" s="65">
        <f>SUM(A:B!R64)</f>
        <v>0</v>
      </c>
      <c r="S64" s="65">
        <f>SUM(A:B!S64)</f>
        <v>0</v>
      </c>
      <c r="T64" s="65">
        <f>SUM(A:B!T64)</f>
        <v>0</v>
      </c>
      <c r="U64" s="65">
        <f>SUM(A:B!U64)</f>
        <v>0</v>
      </c>
      <c r="V64" s="11">
        <f t="shared" si="34"/>
        <v>0</v>
      </c>
      <c r="W64" s="73">
        <f t="shared" si="32"/>
        <v>0</v>
      </c>
      <c r="X64" s="89"/>
      <c r="Y64" s="65">
        <f>SUM(A:B!Y64)</f>
        <v>0</v>
      </c>
      <c r="Z64" s="65">
        <f>SUM(A:B!Z64)</f>
        <v>0</v>
      </c>
      <c r="AA64" s="65">
        <f>SUM(A:B!AA64)</f>
        <v>0</v>
      </c>
      <c r="AB64" s="65">
        <f>SUM(A:B!AB64)</f>
        <v>0</v>
      </c>
      <c r="AC64" s="65">
        <f>SUM(A:B!AC64)</f>
        <v>0</v>
      </c>
      <c r="AD64" s="65">
        <f>SUM(A:B!AD64)</f>
        <v>0</v>
      </c>
      <c r="AE64" s="65">
        <f>SUM(A:B!AE64)</f>
        <v>0</v>
      </c>
      <c r="AF64" s="65">
        <f>SUM(A:B!AF64)</f>
        <v>0</v>
      </c>
      <c r="AG64" s="65">
        <f>SUM(A:B!AG64)</f>
        <v>0</v>
      </c>
      <c r="AH64" s="65">
        <f>SUM(A:B!AH64)</f>
        <v>0</v>
      </c>
      <c r="AI64" s="65">
        <f>SUM(A:B!AI64)</f>
        <v>0</v>
      </c>
      <c r="AJ64" s="65">
        <f>SUM(A:B!AJ64)</f>
        <v>0</v>
      </c>
      <c r="AK64" s="124">
        <f t="shared" si="35"/>
        <v>0</v>
      </c>
      <c r="AL64" s="73">
        <f t="shared" si="33"/>
        <v>0</v>
      </c>
      <c r="AM64" s="14">
        <f t="shared" si="7"/>
        <v>0</v>
      </c>
      <c r="AN64" s="9">
        <f t="shared" si="36"/>
        <v>0</v>
      </c>
      <c r="AR64" s="9"/>
      <c r="AS64" s="269"/>
      <c r="AT64" s="272"/>
    </row>
    <row r="65" spans="1:46" outlineLevel="1">
      <c r="A65" s="12" t="s">
        <v>157</v>
      </c>
      <c r="B65" s="8" t="s">
        <v>101</v>
      </c>
      <c r="I65" s="228" t="s">
        <v>175</v>
      </c>
      <c r="J65" s="65">
        <f>SUM(A:B!J65)</f>
        <v>0</v>
      </c>
      <c r="K65" s="65">
        <f>SUM(A:B!K65)</f>
        <v>0</v>
      </c>
      <c r="L65" s="65">
        <f>SUM(A:B!L65)</f>
        <v>0</v>
      </c>
      <c r="M65" s="65">
        <f>SUM(A:B!M65)</f>
        <v>0</v>
      </c>
      <c r="N65" s="65">
        <f>SUM(A:B!N65)</f>
        <v>0</v>
      </c>
      <c r="O65" s="65">
        <f>SUM(A:B!O65)</f>
        <v>0</v>
      </c>
      <c r="P65" s="65">
        <f>SUM(A:B!P65)</f>
        <v>0</v>
      </c>
      <c r="Q65" s="65">
        <f>SUM(A:B!Q65)</f>
        <v>0</v>
      </c>
      <c r="R65" s="65">
        <f>SUM(A:B!R65)</f>
        <v>0</v>
      </c>
      <c r="S65" s="65">
        <f>SUM(A:B!S65)</f>
        <v>0</v>
      </c>
      <c r="T65" s="65">
        <f>SUM(A:B!T65)</f>
        <v>0</v>
      </c>
      <c r="U65" s="65">
        <f>SUM(A:B!U65)</f>
        <v>0</v>
      </c>
      <c r="V65" s="11">
        <f t="shared" si="34"/>
        <v>0</v>
      </c>
      <c r="W65" s="73">
        <f t="shared" si="32"/>
        <v>0</v>
      </c>
      <c r="X65" s="89"/>
      <c r="Y65" s="65">
        <f>SUM(A:B!Y65)</f>
        <v>141601.68</v>
      </c>
      <c r="Z65" s="65">
        <f>SUM(A:B!Z65)</f>
        <v>233932.59999999998</v>
      </c>
      <c r="AA65" s="65">
        <f>SUM(A:B!AA65)</f>
        <v>0</v>
      </c>
      <c r="AB65" s="65">
        <f>SUM(A:B!AB65)</f>
        <v>0</v>
      </c>
      <c r="AC65" s="65">
        <f>SUM(A:B!AC65)</f>
        <v>0</v>
      </c>
      <c r="AD65" s="65">
        <f>SUM(A:B!AD65)</f>
        <v>0</v>
      </c>
      <c r="AE65" s="65">
        <f>SUM(A:B!AE65)</f>
        <v>0</v>
      </c>
      <c r="AF65" s="65">
        <f>SUM(A:B!AF65)</f>
        <v>0</v>
      </c>
      <c r="AG65" s="65">
        <f>SUM(A:B!AG65)</f>
        <v>0</v>
      </c>
      <c r="AH65" s="65">
        <f>SUM(A:B!AH65)</f>
        <v>0</v>
      </c>
      <c r="AI65" s="65">
        <f>SUM(A:B!AI65)</f>
        <v>0</v>
      </c>
      <c r="AJ65" s="65">
        <f>SUM(A:B!AJ65)</f>
        <v>0</v>
      </c>
      <c r="AK65" s="124">
        <f t="shared" si="35"/>
        <v>375534.27999999997</v>
      </c>
      <c r="AL65" s="73">
        <f t="shared" si="33"/>
        <v>1.4977000146235478E-3</v>
      </c>
      <c r="AM65" s="14">
        <f t="shared" si="7"/>
        <v>0</v>
      </c>
      <c r="AN65" s="9">
        <f t="shared" si="36"/>
        <v>375534.27999999997</v>
      </c>
      <c r="AO65" s="1" t="s">
        <v>440</v>
      </c>
      <c r="AR65" s="9"/>
      <c r="AS65" s="269"/>
      <c r="AT65" s="272"/>
    </row>
    <row r="66" spans="1:46" outlineLevel="1">
      <c r="A66" s="12" t="s">
        <v>157</v>
      </c>
      <c r="B66" s="8" t="s">
        <v>101</v>
      </c>
      <c r="I66" s="228" t="s">
        <v>176</v>
      </c>
      <c r="J66" s="65">
        <f>SUM(A:B!J66)</f>
        <v>0</v>
      </c>
      <c r="K66" s="65">
        <f>SUM(A:B!K66)</f>
        <v>0</v>
      </c>
      <c r="L66" s="65">
        <f>SUM(A:B!L66)</f>
        <v>0</v>
      </c>
      <c r="M66" s="65">
        <f>SUM(A:B!M66)</f>
        <v>5370</v>
      </c>
      <c r="N66" s="65">
        <f>SUM(A:B!N66)</f>
        <v>90550</v>
      </c>
      <c r="O66" s="65">
        <f>SUM(A:B!O66)</f>
        <v>90550</v>
      </c>
      <c r="P66" s="65">
        <f>SUM(A:B!P66)</f>
        <v>90550</v>
      </c>
      <c r="Q66" s="65">
        <f>SUM(A:B!Q66)</f>
        <v>90550</v>
      </c>
      <c r="R66" s="65">
        <f>SUM(A:B!R66)</f>
        <v>90550</v>
      </c>
      <c r="S66" s="65">
        <f>SUM(A:B!S66)</f>
        <v>90550</v>
      </c>
      <c r="T66" s="65">
        <f>SUM(A:B!T66)</f>
        <v>90550</v>
      </c>
      <c r="U66" s="65">
        <f>SUM(A:B!U66)</f>
        <v>90550</v>
      </c>
      <c r="V66" s="11">
        <f t="shared" si="34"/>
        <v>729770</v>
      </c>
      <c r="W66" s="73">
        <f t="shared" si="32"/>
        <v>3.2597508357184697E-3</v>
      </c>
      <c r="X66" s="89"/>
      <c r="Y66" s="65">
        <f>SUM(A:B!Y66)</f>
        <v>23339.434799999999</v>
      </c>
      <c r="Z66" s="65">
        <f>SUM(A:B!Z66)</f>
        <v>23339.434799999999</v>
      </c>
      <c r="AA66" s="65">
        <f>SUM(A:B!AA66)</f>
        <v>23339.434799999999</v>
      </c>
      <c r="AB66" s="65">
        <f>SUM(A:B!AB66)</f>
        <v>23339.434799999999</v>
      </c>
      <c r="AC66" s="65">
        <f>SUM(A:B!AC66)</f>
        <v>28897.921799999996</v>
      </c>
      <c r="AD66" s="65">
        <f>SUM(A:B!AD66)</f>
        <v>28897.921799999996</v>
      </c>
      <c r="AE66" s="65">
        <f>SUM(A:B!AE66)</f>
        <v>28897.921799999996</v>
      </c>
      <c r="AF66" s="65">
        <f>SUM(A:B!AF66)</f>
        <v>28897.921799999996</v>
      </c>
      <c r="AG66" s="65">
        <f>SUM(A:B!AG66)</f>
        <v>28897.921799999996</v>
      </c>
      <c r="AH66" s="65">
        <f>SUM(A:B!AH66)</f>
        <v>28897.921799999996</v>
      </c>
      <c r="AI66" s="65">
        <f>SUM(A:B!AI66)</f>
        <v>28897.921799999996</v>
      </c>
      <c r="AJ66" s="65">
        <f>SUM(A:B!AJ66)</f>
        <v>28897.921799999996</v>
      </c>
      <c r="AK66" s="124">
        <f t="shared" si="35"/>
        <v>324541.11360000004</v>
      </c>
      <c r="AL66" s="73">
        <f t="shared" si="33"/>
        <v>1.2943298560777531E-3</v>
      </c>
      <c r="AM66" s="14">
        <f t="shared" si="7"/>
        <v>-0.55528301574468664</v>
      </c>
      <c r="AN66" s="9">
        <f t="shared" si="36"/>
        <v>-405228.88639999996</v>
      </c>
      <c r="AR66" s="9"/>
      <c r="AS66" s="269"/>
      <c r="AT66" s="272"/>
    </row>
    <row r="67" spans="1:46" outlineLevel="1">
      <c r="A67" s="12" t="s">
        <v>157</v>
      </c>
      <c r="B67" s="8" t="s">
        <v>101</v>
      </c>
      <c r="I67" s="228" t="s">
        <v>177</v>
      </c>
      <c r="J67" s="65">
        <f>SUM(A:B!J67)</f>
        <v>0</v>
      </c>
      <c r="K67" s="65">
        <f>SUM(A:B!K67)</f>
        <v>0</v>
      </c>
      <c r="L67" s="65">
        <f>SUM(A:B!L67)</f>
        <v>0</v>
      </c>
      <c r="M67" s="65">
        <f>SUM(A:B!M67)</f>
        <v>0</v>
      </c>
      <c r="N67" s="65">
        <f>SUM(A:B!N67)</f>
        <v>0</v>
      </c>
      <c r="O67" s="65">
        <f>SUM(A:B!O67)</f>
        <v>0</v>
      </c>
      <c r="P67" s="65">
        <f>SUM(A:B!P67)</f>
        <v>0</v>
      </c>
      <c r="Q67" s="65">
        <f>SUM(A:B!Q67)</f>
        <v>0</v>
      </c>
      <c r="R67" s="65">
        <f>SUM(A:B!R67)</f>
        <v>0</v>
      </c>
      <c r="S67" s="65">
        <f>SUM(A:B!S67)</f>
        <v>0</v>
      </c>
      <c r="T67" s="65">
        <f>SUM(A:B!T67)</f>
        <v>0</v>
      </c>
      <c r="U67" s="65">
        <f>SUM(A:B!U67)</f>
        <v>0</v>
      </c>
      <c r="V67" s="11">
        <f t="shared" si="34"/>
        <v>0</v>
      </c>
      <c r="W67" s="73">
        <f t="shared" si="32"/>
        <v>0</v>
      </c>
      <c r="X67" s="89"/>
      <c r="Y67" s="65">
        <f>SUM(A:B!Y67)</f>
        <v>0</v>
      </c>
      <c r="Z67" s="65">
        <f>SUM(A:B!Z67)</f>
        <v>0</v>
      </c>
      <c r="AA67" s="65">
        <f>SUM(A:B!AA67)</f>
        <v>0</v>
      </c>
      <c r="AB67" s="65">
        <f>SUM(A:B!AB67)</f>
        <v>0</v>
      </c>
      <c r="AC67" s="65">
        <f>SUM(A:B!AC67)</f>
        <v>0</v>
      </c>
      <c r="AD67" s="65">
        <f>SUM(A:B!AD67)</f>
        <v>0</v>
      </c>
      <c r="AE67" s="65">
        <f>SUM(A:B!AE67)</f>
        <v>0</v>
      </c>
      <c r="AF67" s="65">
        <f>SUM(A:B!AF67)</f>
        <v>0</v>
      </c>
      <c r="AG67" s="65">
        <f>SUM(A:B!AG67)</f>
        <v>0</v>
      </c>
      <c r="AH67" s="65">
        <f>SUM(A:B!AH67)</f>
        <v>0</v>
      </c>
      <c r="AI67" s="65">
        <f>SUM(A:B!AI67)</f>
        <v>0</v>
      </c>
      <c r="AJ67" s="65">
        <f>SUM(A:B!AJ67)</f>
        <v>0</v>
      </c>
      <c r="AK67" s="124">
        <f t="shared" si="35"/>
        <v>0</v>
      </c>
      <c r="AL67" s="73">
        <f t="shared" si="33"/>
        <v>0</v>
      </c>
      <c r="AM67" s="14">
        <f t="shared" si="7"/>
        <v>0</v>
      </c>
      <c r="AN67" s="9">
        <f t="shared" si="36"/>
        <v>0</v>
      </c>
      <c r="AO67" s="1" t="s">
        <v>441</v>
      </c>
      <c r="AR67" s="9"/>
      <c r="AS67" s="269"/>
      <c r="AT67" s="272"/>
    </row>
    <row r="68" spans="1:46" outlineLevel="1">
      <c r="A68" s="12" t="s">
        <v>157</v>
      </c>
      <c r="B68" s="8" t="s">
        <v>101</v>
      </c>
      <c r="I68" s="228" t="s">
        <v>178</v>
      </c>
      <c r="J68" s="65">
        <f>SUM(A:B!J68)</f>
        <v>0</v>
      </c>
      <c r="K68" s="65">
        <f>SUM(A:B!K68)</f>
        <v>0</v>
      </c>
      <c r="L68" s="65">
        <f>SUM(A:B!L68)</f>
        <v>0</v>
      </c>
      <c r="M68" s="65">
        <f>SUM(A:B!M68)</f>
        <v>2367</v>
      </c>
      <c r="N68" s="65">
        <f>SUM(A:B!N68)</f>
        <v>5088</v>
      </c>
      <c r="O68" s="65">
        <f>SUM(A:B!O68)</f>
        <v>6068</v>
      </c>
      <c r="P68" s="65">
        <f>SUM(A:B!P68)</f>
        <v>0</v>
      </c>
      <c r="Q68" s="65">
        <f>SUM(A:B!Q68)</f>
        <v>7760</v>
      </c>
      <c r="R68" s="65">
        <f>SUM(A:B!R68)</f>
        <v>0</v>
      </c>
      <c r="S68" s="65">
        <f>SUM(A:B!S68)</f>
        <v>0</v>
      </c>
      <c r="T68" s="65">
        <f>SUM(A:B!T68)</f>
        <v>0</v>
      </c>
      <c r="U68" s="65">
        <f>SUM(A:B!U68)</f>
        <v>0</v>
      </c>
      <c r="V68" s="11">
        <f t="shared" si="34"/>
        <v>21283</v>
      </c>
      <c r="W68" s="73">
        <f t="shared" si="32"/>
        <v>9.5067318520350506E-5</v>
      </c>
      <c r="X68" s="89"/>
      <c r="Y68" s="65">
        <f>SUM(A:B!Y68)</f>
        <v>0</v>
      </c>
      <c r="Z68" s="65">
        <f>SUM(A:B!Z68)</f>
        <v>0</v>
      </c>
      <c r="AA68" s="65">
        <f>SUM(A:B!AA68)</f>
        <v>0</v>
      </c>
      <c r="AB68" s="65">
        <f>SUM(A:B!AB68)</f>
        <v>0</v>
      </c>
      <c r="AC68" s="65">
        <f>SUM(A:B!AC68)</f>
        <v>0</v>
      </c>
      <c r="AD68" s="65">
        <f>SUM(A:B!AD68)</f>
        <v>0</v>
      </c>
      <c r="AE68" s="65">
        <f>SUM(A:B!AE68)</f>
        <v>0</v>
      </c>
      <c r="AF68" s="65">
        <f>SUM(A:B!AF68)</f>
        <v>0</v>
      </c>
      <c r="AG68" s="65">
        <f>SUM(A:B!AG68)</f>
        <v>0</v>
      </c>
      <c r="AH68" s="65">
        <f>SUM(A:B!AH68)</f>
        <v>0</v>
      </c>
      <c r="AI68" s="65">
        <f>SUM(A:B!AI68)</f>
        <v>0</v>
      </c>
      <c r="AJ68" s="65">
        <f>SUM(A:B!AJ68)</f>
        <v>0</v>
      </c>
      <c r="AK68" s="124">
        <f t="shared" si="35"/>
        <v>0</v>
      </c>
      <c r="AL68" s="73">
        <f t="shared" si="33"/>
        <v>0</v>
      </c>
      <c r="AM68" s="14">
        <f t="shared" si="7"/>
        <v>-1</v>
      </c>
      <c r="AN68" s="9">
        <f t="shared" si="36"/>
        <v>-21283</v>
      </c>
      <c r="AR68" s="9"/>
      <c r="AS68" s="269"/>
      <c r="AT68" s="272"/>
    </row>
    <row r="69" spans="1:46" outlineLevel="1">
      <c r="A69" s="12" t="s">
        <v>157</v>
      </c>
      <c r="B69" s="8" t="s">
        <v>101</v>
      </c>
      <c r="I69" s="228" t="s">
        <v>179</v>
      </c>
      <c r="J69" s="65">
        <f>SUM(A:B!J69)</f>
        <v>0</v>
      </c>
      <c r="K69" s="65">
        <f>SUM(A:B!K69)</f>
        <v>0</v>
      </c>
      <c r="L69" s="65">
        <f>SUM(A:B!L69)</f>
        <v>0</v>
      </c>
      <c r="M69" s="65">
        <f>SUM(A:B!M69)</f>
        <v>0</v>
      </c>
      <c r="N69" s="65">
        <f>SUM(A:B!N69)</f>
        <v>1954</v>
      </c>
      <c r="O69" s="65">
        <f>SUM(A:B!O69)</f>
        <v>4395</v>
      </c>
      <c r="P69" s="65">
        <f>SUM(A:B!P69)</f>
        <v>3906</v>
      </c>
      <c r="Q69" s="65">
        <f>SUM(A:B!Q69)</f>
        <v>3906</v>
      </c>
      <c r="R69" s="65">
        <f>SUM(A:B!R69)</f>
        <v>4884</v>
      </c>
      <c r="S69" s="65">
        <f>SUM(A:B!S69)</f>
        <v>3906</v>
      </c>
      <c r="T69" s="65">
        <f>SUM(A:B!T69)</f>
        <v>4232</v>
      </c>
      <c r="U69" s="65">
        <f>SUM(A:B!U69)</f>
        <v>4340.666666666667</v>
      </c>
      <c r="V69" s="11">
        <f t="shared" si="34"/>
        <v>31523.666666666668</v>
      </c>
      <c r="W69" s="73">
        <f t="shared" si="32"/>
        <v>1.4081052764785773E-4</v>
      </c>
      <c r="X69" s="89"/>
      <c r="Y69" s="65">
        <f>SUM(A:B!Y69)</f>
        <v>4043.1005999999998</v>
      </c>
      <c r="Z69" s="65">
        <f>SUM(A:B!Z69)</f>
        <v>4043.1005999999998</v>
      </c>
      <c r="AA69" s="65">
        <f>SUM(A:B!AA69)</f>
        <v>4043.1005999999998</v>
      </c>
      <c r="AB69" s="65">
        <f>SUM(A:B!AB69)</f>
        <v>4043.1005999999998</v>
      </c>
      <c r="AC69" s="65">
        <f>SUM(A:B!AC69)</f>
        <v>4043.1005999999998</v>
      </c>
      <c r="AD69" s="65">
        <f>SUM(A:B!AD69)</f>
        <v>4043.1005999999998</v>
      </c>
      <c r="AE69" s="65">
        <f>SUM(A:B!AE69)</f>
        <v>4043.1005999999998</v>
      </c>
      <c r="AF69" s="65">
        <f>SUM(A:B!AF69)</f>
        <v>4043.1005999999998</v>
      </c>
      <c r="AG69" s="65">
        <f>SUM(A:B!AG69)</f>
        <v>4043.1005999999998</v>
      </c>
      <c r="AH69" s="65">
        <f>SUM(A:B!AH69)</f>
        <v>4043.1005999999998</v>
      </c>
      <c r="AI69" s="65">
        <f>SUM(A:B!AI69)</f>
        <v>4043.1005999999998</v>
      </c>
      <c r="AJ69" s="65">
        <f>SUM(A:B!AJ69)</f>
        <v>4043.1005999999998</v>
      </c>
      <c r="AK69" s="124">
        <f t="shared" si="35"/>
        <v>48517.207199999983</v>
      </c>
      <c r="AL69" s="73">
        <f t="shared" si="33"/>
        <v>1.9349557631046009E-4</v>
      </c>
      <c r="AM69" s="14">
        <f t="shared" si="7"/>
        <v>0.53907245984498364</v>
      </c>
      <c r="AN69" s="9">
        <f t="shared" si="36"/>
        <v>16993.540533333315</v>
      </c>
      <c r="AR69" s="9"/>
      <c r="AS69" s="269"/>
      <c r="AT69" s="272"/>
    </row>
    <row r="70" spans="1:46" outlineLevel="1">
      <c r="A70" s="12" t="s">
        <v>157</v>
      </c>
      <c r="B70" s="8" t="s">
        <v>101</v>
      </c>
      <c r="I70" s="228" t="s">
        <v>180</v>
      </c>
      <c r="J70" s="65">
        <f>SUM(A:B!J70)</f>
        <v>0</v>
      </c>
      <c r="K70" s="65">
        <f>SUM(A:B!K70)</f>
        <v>0</v>
      </c>
      <c r="L70" s="65">
        <f>SUM(A:B!L70)</f>
        <v>0</v>
      </c>
      <c r="M70" s="65">
        <f>SUM(A:B!M70)</f>
        <v>0</v>
      </c>
      <c r="N70" s="65">
        <f>SUM(A:B!N70)</f>
        <v>0</v>
      </c>
      <c r="O70" s="65">
        <f>SUM(A:B!O70)</f>
        <v>0</v>
      </c>
      <c r="P70" s="65">
        <f>SUM(A:B!P70)</f>
        <v>0</v>
      </c>
      <c r="Q70" s="65">
        <f>SUM(A:B!Q70)</f>
        <v>0</v>
      </c>
      <c r="R70" s="65">
        <f>SUM(A:B!R70)</f>
        <v>0</v>
      </c>
      <c r="S70" s="65">
        <f>SUM(A:B!S70)</f>
        <v>0</v>
      </c>
      <c r="T70" s="65">
        <f>SUM(A:B!T70)</f>
        <v>0</v>
      </c>
      <c r="U70" s="65">
        <f>SUM(A:B!U70)</f>
        <v>0</v>
      </c>
      <c r="V70" s="11">
        <f t="shared" si="34"/>
        <v>0</v>
      </c>
      <c r="W70" s="73">
        <f t="shared" si="32"/>
        <v>0</v>
      </c>
      <c r="X70" s="89"/>
      <c r="Y70" s="65">
        <f>SUM(A:B!Y70)</f>
        <v>0</v>
      </c>
      <c r="Z70" s="65">
        <f>SUM(A:B!Z70)</f>
        <v>0</v>
      </c>
      <c r="AA70" s="65">
        <f>SUM(A:B!AA70)</f>
        <v>0</v>
      </c>
      <c r="AB70" s="65">
        <f>SUM(A:B!AB70)</f>
        <v>0</v>
      </c>
      <c r="AC70" s="65">
        <f>SUM(A:B!AC70)</f>
        <v>0</v>
      </c>
      <c r="AD70" s="65">
        <f>SUM(A:B!AD70)</f>
        <v>0</v>
      </c>
      <c r="AE70" s="65">
        <f>SUM(A:B!AE70)</f>
        <v>0</v>
      </c>
      <c r="AF70" s="65">
        <f>SUM(A:B!AF70)</f>
        <v>0</v>
      </c>
      <c r="AG70" s="65">
        <f>SUM(A:B!AG70)</f>
        <v>0</v>
      </c>
      <c r="AH70" s="65">
        <f>SUM(A:B!AH70)</f>
        <v>0</v>
      </c>
      <c r="AI70" s="65">
        <f>SUM(A:B!AI70)</f>
        <v>0</v>
      </c>
      <c r="AJ70" s="65">
        <f>SUM(A:B!AJ70)</f>
        <v>0</v>
      </c>
      <c r="AK70" s="124">
        <f t="shared" si="35"/>
        <v>0</v>
      </c>
      <c r="AL70" s="73">
        <f t="shared" si="33"/>
        <v>0</v>
      </c>
      <c r="AM70" s="14">
        <f t="shared" si="7"/>
        <v>0</v>
      </c>
      <c r="AN70" s="9">
        <f t="shared" si="36"/>
        <v>0</v>
      </c>
      <c r="AR70" s="9"/>
      <c r="AS70" s="269"/>
      <c r="AT70" s="272"/>
    </row>
    <row r="71" spans="1:46" outlineLevel="1">
      <c r="A71" s="12" t="s">
        <v>157</v>
      </c>
      <c r="B71" s="8" t="s">
        <v>101</v>
      </c>
      <c r="I71" s="228" t="s">
        <v>181</v>
      </c>
      <c r="J71" s="65">
        <f>SUM(A:B!J71)</f>
        <v>0</v>
      </c>
      <c r="K71" s="65">
        <f>SUM(A:B!K71)</f>
        <v>0</v>
      </c>
      <c r="L71" s="65">
        <f>SUM(A:B!L71)</f>
        <v>0</v>
      </c>
      <c r="M71" s="65">
        <f>SUM(A:B!M71)</f>
        <v>0</v>
      </c>
      <c r="N71" s="65">
        <f>SUM(A:B!N71)</f>
        <v>0</v>
      </c>
      <c r="O71" s="65">
        <f>SUM(A:B!O71)</f>
        <v>0</v>
      </c>
      <c r="P71" s="65">
        <f>SUM(A:B!P71)</f>
        <v>0</v>
      </c>
      <c r="Q71" s="65">
        <f>SUM(A:B!Q71)</f>
        <v>0</v>
      </c>
      <c r="R71" s="65">
        <f>SUM(A:B!R71)</f>
        <v>0</v>
      </c>
      <c r="S71" s="65">
        <f>SUM(A:B!S71)</f>
        <v>0</v>
      </c>
      <c r="T71" s="65">
        <f>SUM(A:B!T71)</f>
        <v>0</v>
      </c>
      <c r="U71" s="65">
        <f>SUM(A:B!U71)</f>
        <v>0</v>
      </c>
      <c r="V71" s="11">
        <f t="shared" si="34"/>
        <v>0</v>
      </c>
      <c r="W71" s="73">
        <f t="shared" si="32"/>
        <v>0</v>
      </c>
      <c r="X71" s="89"/>
      <c r="Y71" s="65">
        <f>SUM(A:B!Y71)</f>
        <v>2392.6293961643833</v>
      </c>
      <c r="Z71" s="65">
        <f>SUM(A:B!Z71)</f>
        <v>2161.084615890411</v>
      </c>
      <c r="AA71" s="65">
        <f>SUM(A:B!AA71)</f>
        <v>2392.6293961643833</v>
      </c>
      <c r="AB71" s="65">
        <f>SUM(A:B!AB71)</f>
        <v>2315.4478027397258</v>
      </c>
      <c r="AC71" s="65">
        <f>SUM(A:B!AC71)</f>
        <v>2392.6293961643833</v>
      </c>
      <c r="AD71" s="65">
        <f>SUM(A:B!AD71)</f>
        <v>2315.4478027397258</v>
      </c>
      <c r="AE71" s="65">
        <f>SUM(A:B!AE71)</f>
        <v>2392.6293961643833</v>
      </c>
      <c r="AF71" s="65">
        <f>SUM(A:B!AF71)</f>
        <v>2392.6293961643833</v>
      </c>
      <c r="AG71" s="65">
        <f>SUM(A:B!AG71)</f>
        <v>2315.4478027397258</v>
      </c>
      <c r="AH71" s="65">
        <f>SUM(A:B!AH71)</f>
        <v>2392.6293961643833</v>
      </c>
      <c r="AI71" s="65">
        <f>SUM(A:B!AI71)</f>
        <v>2315.4478027397258</v>
      </c>
      <c r="AJ71" s="65">
        <f>SUM(A:B!AJ71)</f>
        <v>2392.6293961643833</v>
      </c>
      <c r="AK71" s="124">
        <f t="shared" si="35"/>
        <v>28171.281599999998</v>
      </c>
      <c r="AL71" s="73">
        <f t="shared" si="33"/>
        <v>1.1235227011575105E-4</v>
      </c>
      <c r="AM71" s="14">
        <f t="shared" si="7"/>
        <v>0</v>
      </c>
      <c r="AN71" s="9">
        <f t="shared" si="36"/>
        <v>28171.281599999998</v>
      </c>
      <c r="AO71" s="1" t="s">
        <v>442</v>
      </c>
      <c r="AR71" s="9"/>
      <c r="AS71" s="269"/>
      <c r="AT71" s="272"/>
    </row>
    <row r="72" spans="1:46" outlineLevel="1">
      <c r="A72" s="12"/>
      <c r="I72" s="228" t="s">
        <v>182</v>
      </c>
      <c r="J72" s="65">
        <f>SUM(A:B!J72)</f>
        <v>0</v>
      </c>
      <c r="K72" s="65">
        <f>SUM(A:B!K72)</f>
        <v>0</v>
      </c>
      <c r="L72" s="65">
        <f>SUM(A:B!L72)</f>
        <v>0</v>
      </c>
      <c r="M72" s="65">
        <f>SUM(A:B!M72)</f>
        <v>0</v>
      </c>
      <c r="N72" s="65">
        <f>SUM(A:B!N72)</f>
        <v>0</v>
      </c>
      <c r="O72" s="65">
        <f>SUM(A:B!O72)</f>
        <v>0</v>
      </c>
      <c r="P72" s="65">
        <f>SUM(A:B!P72)</f>
        <v>0</v>
      </c>
      <c r="Q72" s="65">
        <f>SUM(A:B!Q72)</f>
        <v>0</v>
      </c>
      <c r="R72" s="65">
        <f>SUM(A:B!R72)</f>
        <v>0</v>
      </c>
      <c r="S72" s="65">
        <f>SUM(A:B!S72)</f>
        <v>0</v>
      </c>
      <c r="T72" s="65">
        <f>SUM(A:B!T72)</f>
        <v>0</v>
      </c>
      <c r="U72" s="65">
        <f>SUM(A:B!U72)</f>
        <v>0</v>
      </c>
      <c r="V72" s="11">
        <f t="shared" si="34"/>
        <v>0</v>
      </c>
      <c r="W72" s="73">
        <f t="shared" si="32"/>
        <v>0</v>
      </c>
      <c r="X72" s="89"/>
      <c r="Y72" s="65">
        <f>SUM(A:B!Y72)</f>
        <v>0</v>
      </c>
      <c r="Z72" s="65">
        <f>SUM(A:B!Z72)</f>
        <v>0</v>
      </c>
      <c r="AA72" s="65">
        <f>SUM(A:B!AA72)</f>
        <v>0</v>
      </c>
      <c r="AB72" s="65">
        <f>SUM(A:B!AB72)</f>
        <v>0</v>
      </c>
      <c r="AC72" s="65">
        <f>SUM(A:B!AC72)</f>
        <v>0</v>
      </c>
      <c r="AD72" s="65">
        <f>SUM(A:B!AD72)</f>
        <v>0</v>
      </c>
      <c r="AE72" s="65">
        <f>SUM(A:B!AE72)</f>
        <v>0</v>
      </c>
      <c r="AF72" s="65">
        <f>SUM(A:B!AF72)</f>
        <v>0</v>
      </c>
      <c r="AG72" s="65">
        <f>SUM(A:B!AG72)</f>
        <v>0</v>
      </c>
      <c r="AH72" s="65">
        <f>SUM(A:B!AH72)</f>
        <v>0</v>
      </c>
      <c r="AI72" s="65">
        <f>SUM(A:B!AI72)</f>
        <v>0</v>
      </c>
      <c r="AJ72" s="65">
        <f>SUM(A:B!AJ72)</f>
        <v>0</v>
      </c>
      <c r="AK72" s="124">
        <f t="shared" si="35"/>
        <v>0</v>
      </c>
      <c r="AL72" s="73">
        <f t="shared" si="33"/>
        <v>0</v>
      </c>
      <c r="AM72" s="14">
        <f t="shared" si="7"/>
        <v>0</v>
      </c>
      <c r="AN72" s="9">
        <f t="shared" si="36"/>
        <v>0</v>
      </c>
      <c r="AR72" s="9"/>
      <c r="AS72" s="269"/>
      <c r="AT72" s="272"/>
    </row>
    <row r="73" spans="1:46" outlineLevel="1">
      <c r="A73" s="12"/>
      <c r="I73" s="228" t="s">
        <v>183</v>
      </c>
      <c r="J73" s="65">
        <f>SUM(A:B!J73)</f>
        <v>0</v>
      </c>
      <c r="K73" s="65">
        <f>SUM(A:B!K73)</f>
        <v>0</v>
      </c>
      <c r="L73" s="65">
        <f>SUM(A:B!L73)</f>
        <v>0</v>
      </c>
      <c r="M73" s="65">
        <f>SUM(A:B!M73)</f>
        <v>0</v>
      </c>
      <c r="N73" s="65">
        <f>SUM(A:B!N73)</f>
        <v>0</v>
      </c>
      <c r="O73" s="65">
        <f>SUM(A:B!O73)</f>
        <v>0</v>
      </c>
      <c r="P73" s="65">
        <f>SUM(A:B!P73)</f>
        <v>0</v>
      </c>
      <c r="Q73" s="65">
        <f>SUM(A:B!Q73)</f>
        <v>0</v>
      </c>
      <c r="R73" s="65">
        <f>SUM(A:B!R73)</f>
        <v>0</v>
      </c>
      <c r="S73" s="65">
        <f>SUM(A:B!S73)</f>
        <v>0</v>
      </c>
      <c r="T73" s="65">
        <f>SUM(A:B!T73)</f>
        <v>0</v>
      </c>
      <c r="U73" s="65">
        <f>SUM(A:B!U73)</f>
        <v>0</v>
      </c>
      <c r="V73" s="11">
        <f t="shared" si="34"/>
        <v>0</v>
      </c>
      <c r="W73" s="73">
        <f t="shared" si="32"/>
        <v>0</v>
      </c>
      <c r="X73" s="89"/>
      <c r="Y73" s="65">
        <f>SUM(A:B!Y73)</f>
        <v>0</v>
      </c>
      <c r="Z73" s="65">
        <f>SUM(A:B!Z73)</f>
        <v>0</v>
      </c>
      <c r="AA73" s="65">
        <f>SUM(A:B!AA73)</f>
        <v>0</v>
      </c>
      <c r="AB73" s="65">
        <f>SUM(A:B!AB73)</f>
        <v>0</v>
      </c>
      <c r="AC73" s="65">
        <f>SUM(A:B!AC73)</f>
        <v>0</v>
      </c>
      <c r="AD73" s="65">
        <f>SUM(A:B!AD73)</f>
        <v>0</v>
      </c>
      <c r="AE73" s="65">
        <f>SUM(A:B!AE73)</f>
        <v>0</v>
      </c>
      <c r="AF73" s="65">
        <f>SUM(A:B!AF73)</f>
        <v>0</v>
      </c>
      <c r="AG73" s="65">
        <f>SUM(A:B!AG73)</f>
        <v>0</v>
      </c>
      <c r="AH73" s="65">
        <f>SUM(A:B!AH73)</f>
        <v>0</v>
      </c>
      <c r="AI73" s="65">
        <f>SUM(A:B!AI73)</f>
        <v>0</v>
      </c>
      <c r="AJ73" s="65">
        <f>SUM(A:B!AJ73)</f>
        <v>0</v>
      </c>
      <c r="AK73" s="124">
        <f t="shared" si="35"/>
        <v>0</v>
      </c>
      <c r="AL73" s="73">
        <f t="shared" si="33"/>
        <v>0</v>
      </c>
      <c r="AM73" s="14">
        <f t="shared" si="7"/>
        <v>0</v>
      </c>
      <c r="AN73" s="9">
        <f t="shared" si="36"/>
        <v>0</v>
      </c>
      <c r="AR73" s="9"/>
      <c r="AS73" s="269"/>
      <c r="AT73" s="272"/>
    </row>
    <row r="74" spans="1:46" outlineLevel="1">
      <c r="A74" s="12"/>
      <c r="I74" s="228" t="s">
        <v>184</v>
      </c>
      <c r="J74" s="65">
        <f>SUM(A:B!J74)</f>
        <v>0</v>
      </c>
      <c r="K74" s="65">
        <f>SUM(A:B!K74)</f>
        <v>7779</v>
      </c>
      <c r="L74" s="65">
        <f>SUM(A:B!L74)</f>
        <v>0</v>
      </c>
      <c r="M74" s="65">
        <f>SUM(A:B!M74)</f>
        <v>0</v>
      </c>
      <c r="N74" s="65">
        <f>SUM(A:B!N74)</f>
        <v>0</v>
      </c>
      <c r="O74" s="65">
        <f>SUM(A:B!O74)</f>
        <v>0</v>
      </c>
      <c r="P74" s="65">
        <f>SUM(A:B!P74)</f>
        <v>0</v>
      </c>
      <c r="Q74" s="65">
        <f>SUM(A:B!Q74)</f>
        <v>0</v>
      </c>
      <c r="R74" s="65">
        <f>SUM(A:B!R74)</f>
        <v>0</v>
      </c>
      <c r="S74" s="65">
        <f>SUM(A:B!S74)</f>
        <v>0</v>
      </c>
      <c r="T74" s="65">
        <f>SUM(A:B!T74)</f>
        <v>0</v>
      </c>
      <c r="U74" s="65">
        <f>SUM(A:B!U74)</f>
        <v>0</v>
      </c>
      <c r="V74" s="11">
        <f t="shared" si="34"/>
        <v>7779</v>
      </c>
      <c r="W74" s="73">
        <f t="shared" si="32"/>
        <v>3.4747388562223681E-5</v>
      </c>
      <c r="X74" s="89"/>
      <c r="Y74" s="65">
        <f>SUM(A:B!Y74)</f>
        <v>0</v>
      </c>
      <c r="Z74" s="65">
        <f>SUM(A:B!Z74)</f>
        <v>0</v>
      </c>
      <c r="AA74" s="65">
        <f>SUM(A:B!AA74)</f>
        <v>0</v>
      </c>
      <c r="AB74" s="65">
        <f>SUM(A:B!AB74)</f>
        <v>0</v>
      </c>
      <c r="AC74" s="65">
        <f>SUM(A:B!AC74)</f>
        <v>0</v>
      </c>
      <c r="AD74" s="65">
        <f>SUM(A:B!AD74)</f>
        <v>0</v>
      </c>
      <c r="AE74" s="65">
        <f>SUM(A:B!AE74)</f>
        <v>0</v>
      </c>
      <c r="AF74" s="65">
        <f>SUM(A:B!AF74)</f>
        <v>0</v>
      </c>
      <c r="AG74" s="65">
        <f>SUM(A:B!AG74)</f>
        <v>0</v>
      </c>
      <c r="AH74" s="65">
        <f>SUM(A:B!AH74)</f>
        <v>0</v>
      </c>
      <c r="AI74" s="65">
        <f>SUM(A:B!AI74)</f>
        <v>0</v>
      </c>
      <c r="AJ74" s="65">
        <f>SUM(A:B!AJ74)</f>
        <v>0</v>
      </c>
      <c r="AK74" s="124">
        <f t="shared" si="35"/>
        <v>0</v>
      </c>
      <c r="AL74" s="73">
        <f t="shared" si="33"/>
        <v>0</v>
      </c>
      <c r="AM74" s="14">
        <f t="shared" si="7"/>
        <v>-1</v>
      </c>
      <c r="AN74" s="9">
        <f t="shared" si="36"/>
        <v>-7779</v>
      </c>
      <c r="AR74" s="9"/>
      <c r="AS74" s="269"/>
      <c r="AT74" s="272"/>
    </row>
    <row r="75" spans="1:46" outlineLevel="1">
      <c r="A75" s="12"/>
      <c r="I75" s="228" t="s">
        <v>185</v>
      </c>
      <c r="J75" s="65">
        <f>SUM(A:B!J75)</f>
        <v>0</v>
      </c>
      <c r="K75" s="65">
        <f>SUM(A:B!K75)</f>
        <v>6711</v>
      </c>
      <c r="L75" s="65">
        <f>SUM(A:B!L75)</f>
        <v>2872</v>
      </c>
      <c r="M75" s="65">
        <f>SUM(A:B!M75)</f>
        <v>2892</v>
      </c>
      <c r="N75" s="65">
        <f>SUM(A:B!N75)</f>
        <v>2929</v>
      </c>
      <c r="O75" s="65">
        <f>SUM(A:B!O75)</f>
        <v>2938</v>
      </c>
      <c r="P75" s="65">
        <f>SUM(A:B!P75)</f>
        <v>3087</v>
      </c>
      <c r="Q75" s="65">
        <f>SUM(A:B!Q75)</f>
        <v>3175</v>
      </c>
      <c r="R75" s="65">
        <f>SUM(A:B!R75)</f>
        <v>3414</v>
      </c>
      <c r="S75" s="65">
        <f>SUM(A:B!S75)</f>
        <v>3488</v>
      </c>
      <c r="T75" s="65">
        <f>SUM(A:B!T75)</f>
        <v>3317.8333333333335</v>
      </c>
      <c r="U75" s="65">
        <f>SUM(A:B!U75)</f>
        <v>3371.8194444444443</v>
      </c>
      <c r="V75" s="11">
        <f t="shared" ref="V75:V90" si="37">SUM(J75:U75)</f>
        <v>38195.652777777781</v>
      </c>
      <c r="W75" s="73">
        <f t="shared" ref="W75:W90" si="38">V75/V$6</f>
        <v>1.7061308503113804E-4</v>
      </c>
      <c r="X75" s="89"/>
      <c r="Y75" s="65">
        <f>SUM(A:B!Y75)</f>
        <v>4192.1549999999997</v>
      </c>
      <c r="Z75" s="65">
        <f>SUM(A:B!Z75)</f>
        <v>4192.1549999999997</v>
      </c>
      <c r="AA75" s="65">
        <f>SUM(A:B!AA75)</f>
        <v>4192.1549999999997</v>
      </c>
      <c r="AB75" s="65">
        <f>SUM(A:B!AB75)</f>
        <v>4192.1549999999997</v>
      </c>
      <c r="AC75" s="65">
        <f>SUM(A:B!AC75)</f>
        <v>4192.1549999999997</v>
      </c>
      <c r="AD75" s="65">
        <f>SUM(A:B!AD75)</f>
        <v>4192.1549999999997</v>
      </c>
      <c r="AE75" s="65">
        <f>SUM(A:B!AE75)</f>
        <v>4192.1549999999997</v>
      </c>
      <c r="AF75" s="65">
        <f>SUM(A:B!AF75)</f>
        <v>4192.1549999999997</v>
      </c>
      <c r="AG75" s="65">
        <f>SUM(A:B!AG75)</f>
        <v>4192.1549999999997</v>
      </c>
      <c r="AH75" s="65">
        <f>SUM(A:B!AH75)</f>
        <v>4192.1549999999997</v>
      </c>
      <c r="AI75" s="65">
        <f>SUM(A:B!AI75)</f>
        <v>4192.1549999999997</v>
      </c>
      <c r="AJ75" s="65">
        <f>SUM(A:B!AJ75)</f>
        <v>4192.1549999999997</v>
      </c>
      <c r="AK75" s="124">
        <f t="shared" ref="AK75:AK90" si="39">SUM(Y75:AJ75)</f>
        <v>50305.859999999993</v>
      </c>
      <c r="AL75" s="73">
        <f t="shared" ref="AL75:AL90" si="40">AK75/AK$6</f>
        <v>2.0062905377812686E-4</v>
      </c>
      <c r="AM75" s="14">
        <f t="shared" ref="AM75:AM90" si="41">IFERROR(AK75/V75-1,0)</f>
        <v>0.31705721309907631</v>
      </c>
      <c r="AN75" s="9">
        <f t="shared" si="36"/>
        <v>12110.207222222212</v>
      </c>
      <c r="AR75" s="9"/>
      <c r="AS75" s="269"/>
      <c r="AT75" s="272"/>
    </row>
    <row r="76" spans="1:46" outlineLevel="1">
      <c r="A76" s="12"/>
      <c r="I76" s="228" t="s">
        <v>186</v>
      </c>
      <c r="J76" s="65">
        <f>SUM(A:B!J76)</f>
        <v>736</v>
      </c>
      <c r="K76" s="65">
        <f>SUM(A:B!K76)</f>
        <v>515</v>
      </c>
      <c r="L76" s="65">
        <f>SUM(A:B!L76)</f>
        <v>472</v>
      </c>
      <c r="M76" s="65">
        <f>SUM(A:B!M76)</f>
        <v>5484</v>
      </c>
      <c r="N76" s="65">
        <f>SUM(A:B!N76)</f>
        <v>614</v>
      </c>
      <c r="O76" s="65">
        <f>SUM(A:B!O76)</f>
        <v>13657</v>
      </c>
      <c r="P76" s="65">
        <f>SUM(A:B!P76)</f>
        <v>21316</v>
      </c>
      <c r="Q76" s="65">
        <f>SUM(A:B!Q76)</f>
        <v>24909</v>
      </c>
      <c r="R76" s="65">
        <f>SUM(A:B!R76)</f>
        <v>694</v>
      </c>
      <c r="S76" s="65">
        <f>SUM(A:B!S76)</f>
        <v>800</v>
      </c>
      <c r="T76" s="65">
        <f>SUM(A:B!T76)</f>
        <v>8710.3333333333339</v>
      </c>
      <c r="U76" s="65">
        <f>SUM(A:B!U76)</f>
        <v>7052.7777777777783</v>
      </c>
      <c r="V76" s="11">
        <f t="shared" si="37"/>
        <v>84960.111111111109</v>
      </c>
      <c r="W76" s="73">
        <f t="shared" si="38"/>
        <v>3.7950147744793359E-4</v>
      </c>
      <c r="X76" s="89"/>
      <c r="Y76" s="65">
        <f>SUM(A:B!Y76)</f>
        <v>4729</v>
      </c>
      <c r="Z76" s="65">
        <f>SUM(A:B!Z76)</f>
        <v>4729</v>
      </c>
      <c r="AA76" s="65">
        <f>SUM(A:B!AA76)</f>
        <v>4729</v>
      </c>
      <c r="AB76" s="65">
        <f>SUM(A:B!AB76)</f>
        <v>4729</v>
      </c>
      <c r="AC76" s="65">
        <f>SUM(A:B!AC76)</f>
        <v>4729</v>
      </c>
      <c r="AD76" s="65">
        <f>SUM(A:B!AD76)</f>
        <v>4729</v>
      </c>
      <c r="AE76" s="65">
        <f>SUM(A:B!AE76)</f>
        <v>4729</v>
      </c>
      <c r="AF76" s="65">
        <f>SUM(A:B!AF76)</f>
        <v>4729</v>
      </c>
      <c r="AG76" s="65">
        <f>SUM(A:B!AG76)</f>
        <v>4729</v>
      </c>
      <c r="AH76" s="65">
        <f>SUM(A:B!AH76)</f>
        <v>4729</v>
      </c>
      <c r="AI76" s="65">
        <f>SUM(A:B!AI76)</f>
        <v>4729</v>
      </c>
      <c r="AJ76" s="65">
        <f>SUM(A:B!AJ76)</f>
        <v>4729</v>
      </c>
      <c r="AK76" s="124">
        <f t="shared" si="39"/>
        <v>56748</v>
      </c>
      <c r="AL76" s="73">
        <f t="shared" si="40"/>
        <v>2.2632149701448589E-4</v>
      </c>
      <c r="AM76" s="14">
        <f t="shared" si="41"/>
        <v>-0.33206302042396363</v>
      </c>
      <c r="AN76" s="9">
        <f t="shared" si="36"/>
        <v>-28212.111111111109</v>
      </c>
      <c r="AR76" s="9"/>
      <c r="AS76" s="269"/>
      <c r="AT76" s="272"/>
    </row>
    <row r="77" spans="1:46" outlineLevel="1">
      <c r="A77" s="12"/>
      <c r="I77" s="228" t="s">
        <v>187</v>
      </c>
      <c r="J77" s="65">
        <f>SUM(A:B!J77)</f>
        <v>0</v>
      </c>
      <c r="K77" s="65">
        <f>SUM(A:B!K77)</f>
        <v>0</v>
      </c>
      <c r="L77" s="65">
        <f>SUM(A:B!L77)</f>
        <v>0</v>
      </c>
      <c r="M77" s="65">
        <f>SUM(A:B!M77)</f>
        <v>0</v>
      </c>
      <c r="N77" s="65">
        <f>SUM(A:B!N77)</f>
        <v>0</v>
      </c>
      <c r="O77" s="65">
        <f>SUM(A:B!O77)</f>
        <v>0</v>
      </c>
      <c r="P77" s="65">
        <f>SUM(A:B!P77)</f>
        <v>0</v>
      </c>
      <c r="Q77" s="65">
        <f>SUM(A:B!Q77)</f>
        <v>0</v>
      </c>
      <c r="R77" s="65">
        <f>SUM(A:B!R77)</f>
        <v>0</v>
      </c>
      <c r="S77" s="65">
        <f>SUM(A:B!S77)</f>
        <v>0</v>
      </c>
      <c r="T77" s="65">
        <f>SUM(A:B!T77)</f>
        <v>0</v>
      </c>
      <c r="U77" s="65">
        <f>SUM(A:B!U77)</f>
        <v>0</v>
      </c>
      <c r="V77" s="11">
        <f t="shared" si="37"/>
        <v>0</v>
      </c>
      <c r="W77" s="73">
        <f t="shared" si="38"/>
        <v>0</v>
      </c>
      <c r="X77" s="89"/>
      <c r="Y77" s="65">
        <f>SUM(A:B!Y77)</f>
        <v>0</v>
      </c>
      <c r="Z77" s="65">
        <f>SUM(A:B!Z77)</f>
        <v>0</v>
      </c>
      <c r="AA77" s="65">
        <f>SUM(A:B!AA77)</f>
        <v>0</v>
      </c>
      <c r="AB77" s="65">
        <f>SUM(A:B!AB77)</f>
        <v>0</v>
      </c>
      <c r="AC77" s="65">
        <f>SUM(A:B!AC77)</f>
        <v>0</v>
      </c>
      <c r="AD77" s="65">
        <f>SUM(A:B!AD77)</f>
        <v>0</v>
      </c>
      <c r="AE77" s="65">
        <f>SUM(A:B!AE77)</f>
        <v>0</v>
      </c>
      <c r="AF77" s="65">
        <f>SUM(A:B!AF77)</f>
        <v>0</v>
      </c>
      <c r="AG77" s="65">
        <f>SUM(A:B!AG77)</f>
        <v>0</v>
      </c>
      <c r="AH77" s="65">
        <f>SUM(A:B!AH77)</f>
        <v>0</v>
      </c>
      <c r="AI77" s="65">
        <f>SUM(A:B!AI77)</f>
        <v>0</v>
      </c>
      <c r="AJ77" s="65">
        <f>SUM(A:B!AJ77)</f>
        <v>0</v>
      </c>
      <c r="AK77" s="124">
        <f t="shared" si="39"/>
        <v>0</v>
      </c>
      <c r="AL77" s="73">
        <f t="shared" si="40"/>
        <v>0</v>
      </c>
      <c r="AM77" s="14">
        <f t="shared" si="41"/>
        <v>0</v>
      </c>
      <c r="AN77" s="9">
        <f t="shared" si="36"/>
        <v>0</v>
      </c>
      <c r="AR77" s="9"/>
      <c r="AS77" s="269"/>
      <c r="AT77" s="272"/>
    </row>
    <row r="78" spans="1:46" outlineLevel="1">
      <c r="A78" s="12"/>
      <c r="E78" s="7" t="s">
        <v>439</v>
      </c>
      <c r="I78" s="271" t="s">
        <v>188</v>
      </c>
      <c r="J78" s="65">
        <f>SUM(A:B!J78)</f>
        <v>34970</v>
      </c>
      <c r="K78" s="65">
        <f>SUM(A:B!K78)</f>
        <v>0</v>
      </c>
      <c r="L78" s="65">
        <f>SUM(A:B!L78)</f>
        <v>0</v>
      </c>
      <c r="M78" s="65">
        <f>SUM(A:B!M78)</f>
        <v>0</v>
      </c>
      <c r="N78" s="65">
        <f>SUM(A:B!N78)</f>
        <v>881</v>
      </c>
      <c r="O78" s="65">
        <f>SUM(A:B!O78)</f>
        <v>0</v>
      </c>
      <c r="P78" s="65">
        <f>SUM(A:B!P78)</f>
        <v>8901</v>
      </c>
      <c r="Q78" s="65">
        <f>SUM(A:B!Q78)</f>
        <v>7288</v>
      </c>
      <c r="R78" s="65">
        <f>SUM(A:B!R78)</f>
        <v>64736</v>
      </c>
      <c r="S78" s="65">
        <f>SUM(A:B!S78)</f>
        <v>5264</v>
      </c>
      <c r="T78" s="65">
        <f>SUM(A:B!T78)</f>
        <v>12924.100800000002</v>
      </c>
      <c r="U78" s="65">
        <f>SUM(A:B!U78)</f>
        <v>17232.134400000003</v>
      </c>
      <c r="V78" s="11">
        <f t="shared" si="37"/>
        <v>152196.23520000002</v>
      </c>
      <c r="W78" s="73">
        <f t="shared" si="38"/>
        <v>6.7983310479521615E-4</v>
      </c>
      <c r="X78" s="89"/>
      <c r="Y78" s="65">
        <f>SUM(A:B!Y78)</f>
        <v>37159.675959999993</v>
      </c>
      <c r="Z78" s="65">
        <f>SUM(A:B!Z78)</f>
        <v>29727.740767999996</v>
      </c>
      <c r="AA78" s="65">
        <f>SUM(A:B!AA78)</f>
        <v>33443.708363999998</v>
      </c>
      <c r="AB78" s="65">
        <f>SUM(A:B!AB78)</f>
        <v>32098.078364000001</v>
      </c>
      <c r="AC78" s="65">
        <f>SUM(A:B!AC78)</f>
        <v>20950.175575999998</v>
      </c>
      <c r="AD78" s="65">
        <f>SUM(A:B!AD78)</f>
        <v>23993.328171999998</v>
      </c>
      <c r="AE78" s="65">
        <f>SUM(A:B!AE78)</f>
        <v>39530.013555999998</v>
      </c>
      <c r="AF78" s="65">
        <f>SUM(A:B!AF78)</f>
        <v>28382.110767999999</v>
      </c>
      <c r="AG78" s="65">
        <f>SUM(A:B!AG78)</f>
        <v>31425.263363999999</v>
      </c>
      <c r="AH78" s="65">
        <f>SUM(A:B!AH78)</f>
        <v>6086.3051919999998</v>
      </c>
      <c r="AI78" s="65">
        <f>SUM(A:B!AI78)</f>
        <v>11147.902787999999</v>
      </c>
      <c r="AJ78" s="65">
        <f>SUM(A:B!AJ78)</f>
        <v>33443.708363999998</v>
      </c>
      <c r="AK78" s="124">
        <f t="shared" si="39"/>
        <v>327388.01123599999</v>
      </c>
      <c r="AL78" s="73">
        <f t="shared" si="40"/>
        <v>1.3056838092536625E-3</v>
      </c>
      <c r="AM78" s="14">
        <f t="shared" si="41"/>
        <v>1.1510913907021529</v>
      </c>
      <c r="AN78" s="9">
        <f t="shared" si="36"/>
        <v>175191.77603599997</v>
      </c>
      <c r="AO78" s="1" t="s">
        <v>443</v>
      </c>
      <c r="AR78" s="9"/>
      <c r="AS78" s="269"/>
      <c r="AT78" s="272"/>
    </row>
    <row r="79" spans="1:46" outlineLevel="1">
      <c r="A79" s="12"/>
      <c r="E79" s="7" t="s">
        <v>439</v>
      </c>
      <c r="I79" s="228" t="s">
        <v>189</v>
      </c>
      <c r="J79" s="65">
        <f>SUM(A:B!J79)</f>
        <v>0</v>
      </c>
      <c r="K79" s="65">
        <f>SUM(A:B!K79)</f>
        <v>0</v>
      </c>
      <c r="L79" s="65">
        <f>SUM(A:B!L79)</f>
        <v>0</v>
      </c>
      <c r="M79" s="65">
        <f>SUM(A:B!M79)</f>
        <v>0</v>
      </c>
      <c r="N79" s="65">
        <f>SUM(A:B!N79)</f>
        <v>732</v>
      </c>
      <c r="O79" s="65">
        <f>SUM(A:B!O79)</f>
        <v>1460</v>
      </c>
      <c r="P79" s="65">
        <f>SUM(A:B!P79)</f>
        <v>732</v>
      </c>
      <c r="Q79" s="65">
        <f>SUM(A:B!Q79)</f>
        <v>0</v>
      </c>
      <c r="R79" s="65">
        <f>SUM(A:B!R79)</f>
        <v>0</v>
      </c>
      <c r="S79" s="65">
        <f>SUM(A:B!S79)</f>
        <v>0</v>
      </c>
      <c r="T79" s="65">
        <f>SUM(A:B!T79)</f>
        <v>520</v>
      </c>
      <c r="U79" s="65">
        <f>SUM(A:B!U79)</f>
        <v>520</v>
      </c>
      <c r="V79" s="11">
        <f t="shared" si="37"/>
        <v>3964</v>
      </c>
      <c r="W79" s="73">
        <f t="shared" si="38"/>
        <v>1.7706472330717916E-5</v>
      </c>
      <c r="X79" s="89"/>
      <c r="Y79" s="65">
        <f>SUM(A:B!Y79)</f>
        <v>4223.2079999999996</v>
      </c>
      <c r="Z79" s="65">
        <f>SUM(A:B!Z79)</f>
        <v>0</v>
      </c>
      <c r="AA79" s="65">
        <f>SUM(A:B!AA79)</f>
        <v>0</v>
      </c>
      <c r="AB79" s="65">
        <f>SUM(A:B!AB79)</f>
        <v>2111.6039999999998</v>
      </c>
      <c r="AC79" s="65">
        <f>SUM(A:B!AC79)</f>
        <v>3167.4059999999999</v>
      </c>
      <c r="AD79" s="65">
        <f>SUM(A:B!AD79)</f>
        <v>5279.01</v>
      </c>
      <c r="AE79" s="65">
        <f>SUM(A:B!AE79)</f>
        <v>4223.2079999999996</v>
      </c>
      <c r="AF79" s="65">
        <f>SUM(A:B!AF79)</f>
        <v>3167.4059999999999</v>
      </c>
      <c r="AG79" s="65">
        <f>SUM(A:B!AG79)</f>
        <v>5279.0099999999993</v>
      </c>
      <c r="AH79" s="65">
        <f>SUM(A:B!AH79)</f>
        <v>1055.8019999999999</v>
      </c>
      <c r="AI79" s="65">
        <f>SUM(A:B!AI79)</f>
        <v>2111.6039999999998</v>
      </c>
      <c r="AJ79" s="65">
        <f>SUM(A:B!AJ79)</f>
        <v>4223.2079999999996</v>
      </c>
      <c r="AK79" s="124">
        <f t="shared" si="39"/>
        <v>34841.466</v>
      </c>
      <c r="AL79" s="73">
        <f t="shared" si="40"/>
        <v>1.3895419650559158E-4</v>
      </c>
      <c r="AM79" s="14">
        <f t="shared" si="41"/>
        <v>7.7894717457114027</v>
      </c>
      <c r="AN79" s="9">
        <f t="shared" si="36"/>
        <v>30877.466</v>
      </c>
      <c r="AR79" s="9"/>
      <c r="AS79" s="269"/>
      <c r="AT79" s="272"/>
    </row>
    <row r="80" spans="1:46" outlineLevel="1">
      <c r="A80" s="12"/>
      <c r="I80" s="228" t="s">
        <v>190</v>
      </c>
      <c r="J80" s="65">
        <f>SUM(A:B!J80)</f>
        <v>0</v>
      </c>
      <c r="K80" s="65">
        <f>SUM(A:B!K80)</f>
        <v>341</v>
      </c>
      <c r="L80" s="65">
        <f>SUM(A:B!L80)</f>
        <v>0</v>
      </c>
      <c r="M80" s="65">
        <f>SUM(A:B!M80)</f>
        <v>0</v>
      </c>
      <c r="N80" s="65">
        <f>SUM(A:B!N80)</f>
        <v>0</v>
      </c>
      <c r="O80" s="65">
        <f>SUM(A:B!O80)</f>
        <v>0</v>
      </c>
      <c r="P80" s="65">
        <f>SUM(A:B!P80)</f>
        <v>0</v>
      </c>
      <c r="Q80" s="65">
        <f>SUM(A:B!Q80)</f>
        <v>0</v>
      </c>
      <c r="R80" s="65">
        <f>SUM(A:B!R80)</f>
        <v>0</v>
      </c>
      <c r="S80" s="65">
        <f>SUM(A:B!S80)</f>
        <v>0</v>
      </c>
      <c r="T80" s="65">
        <f>SUM(A:B!T80)</f>
        <v>0</v>
      </c>
      <c r="U80" s="65">
        <f>SUM(A:B!U80)</f>
        <v>0</v>
      </c>
      <c r="V80" s="11">
        <f t="shared" si="37"/>
        <v>341</v>
      </c>
      <c r="W80" s="73">
        <f t="shared" si="38"/>
        <v>1.5231854351096896E-6</v>
      </c>
      <c r="X80" s="89"/>
      <c r="Y80" s="65">
        <f>SUM(A:B!Y80)</f>
        <v>0</v>
      </c>
      <c r="Z80" s="65">
        <f>SUM(A:B!Z80)</f>
        <v>0</v>
      </c>
      <c r="AA80" s="65">
        <f>SUM(A:B!AA80)</f>
        <v>0</v>
      </c>
      <c r="AB80" s="65">
        <f>SUM(A:B!AB80)</f>
        <v>0</v>
      </c>
      <c r="AC80" s="65">
        <f>SUM(A:B!AC80)</f>
        <v>0</v>
      </c>
      <c r="AD80" s="65">
        <f>SUM(A:B!AD80)</f>
        <v>0</v>
      </c>
      <c r="AE80" s="65">
        <f>SUM(A:B!AE80)</f>
        <v>0</v>
      </c>
      <c r="AF80" s="65">
        <f>SUM(A:B!AF80)</f>
        <v>0</v>
      </c>
      <c r="AG80" s="65">
        <f>SUM(A:B!AG80)</f>
        <v>0</v>
      </c>
      <c r="AH80" s="65">
        <f>SUM(A:B!AH80)</f>
        <v>0</v>
      </c>
      <c r="AI80" s="65">
        <f>SUM(A:B!AI80)</f>
        <v>0</v>
      </c>
      <c r="AJ80" s="65">
        <f>SUM(A:B!AJ80)</f>
        <v>0</v>
      </c>
      <c r="AK80" s="124">
        <f t="shared" si="39"/>
        <v>0</v>
      </c>
      <c r="AL80" s="73">
        <f t="shared" si="40"/>
        <v>0</v>
      </c>
      <c r="AM80" s="14">
        <f t="shared" si="41"/>
        <v>-1</v>
      </c>
      <c r="AN80" s="9">
        <f t="shared" si="36"/>
        <v>-341</v>
      </c>
      <c r="AR80" s="9"/>
      <c r="AS80" s="269"/>
      <c r="AT80" s="272"/>
    </row>
    <row r="81" spans="1:46" outlineLevel="1">
      <c r="A81" s="12"/>
      <c r="I81" s="228" t="s">
        <v>192</v>
      </c>
      <c r="J81" s="65">
        <f>SUM(A:B!J81)</f>
        <v>3580</v>
      </c>
      <c r="K81" s="65">
        <f>SUM(A:B!K81)</f>
        <v>3580</v>
      </c>
      <c r="L81" s="65">
        <f>SUM(A:B!L81)</f>
        <v>3580</v>
      </c>
      <c r="M81" s="65">
        <f>SUM(A:B!M81)</f>
        <v>3580</v>
      </c>
      <c r="N81" s="65">
        <f>SUM(A:B!N81)</f>
        <v>3580</v>
      </c>
      <c r="O81" s="65">
        <f>SUM(A:B!O81)</f>
        <v>3580</v>
      </c>
      <c r="P81" s="65">
        <f>SUM(A:B!P81)</f>
        <v>3580</v>
      </c>
      <c r="Q81" s="65">
        <f>SUM(A:B!Q81)</f>
        <v>14069</v>
      </c>
      <c r="R81" s="65">
        <f>SUM(A:B!R81)</f>
        <v>14069</v>
      </c>
      <c r="S81" s="65">
        <f>SUM(A:B!S81)</f>
        <v>14069</v>
      </c>
      <c r="T81" s="65">
        <f>SUM(A:B!T81)</f>
        <v>18105.759999999998</v>
      </c>
      <c r="U81" s="65">
        <f>SUM(A:B!U81)</f>
        <v>18105.759999999998</v>
      </c>
      <c r="V81" s="11">
        <f t="shared" si="37"/>
        <v>103478.51999999999</v>
      </c>
      <c r="W81" s="73">
        <f t="shared" si="38"/>
        <v>4.6221986660031293E-4</v>
      </c>
      <c r="X81" s="89"/>
      <c r="Y81" s="65">
        <f>SUM(A:B!Y81)</f>
        <v>18105.759999999998</v>
      </c>
      <c r="Z81" s="65">
        <f>SUM(A:B!Z81)</f>
        <v>18105.759999999998</v>
      </c>
      <c r="AA81" s="65">
        <f>SUM(A:B!AA81)</f>
        <v>18105.759999999998</v>
      </c>
      <c r="AB81" s="65">
        <f>SUM(A:B!AB81)</f>
        <v>18105.759999999998</v>
      </c>
      <c r="AC81" s="65">
        <f>SUM(A:B!AC81)</f>
        <v>18105.759999999998</v>
      </c>
      <c r="AD81" s="65">
        <f>SUM(A:B!AD81)</f>
        <v>18105.759999999998</v>
      </c>
      <c r="AE81" s="65">
        <f>SUM(A:B!AE81)</f>
        <v>18105.759999999998</v>
      </c>
      <c r="AF81" s="65">
        <f>SUM(A:B!AF81)</f>
        <v>18105.759999999998</v>
      </c>
      <c r="AG81" s="65">
        <f>SUM(A:B!AG81)</f>
        <v>18105.759999999998</v>
      </c>
      <c r="AH81" s="65">
        <f>SUM(A:B!AH81)</f>
        <v>18105.759999999998</v>
      </c>
      <c r="AI81" s="65">
        <f>SUM(A:B!AI81)</f>
        <v>18105.759999999998</v>
      </c>
      <c r="AJ81" s="65">
        <f>SUM(A:B!AJ81)</f>
        <v>18105.759999999998</v>
      </c>
      <c r="AK81" s="124">
        <f t="shared" si="39"/>
        <v>217269.12000000002</v>
      </c>
      <c r="AL81" s="73">
        <f t="shared" si="40"/>
        <v>8.6650934823112678E-4</v>
      </c>
      <c r="AM81" s="14">
        <f t="shared" si="41"/>
        <v>1.0996543050673711</v>
      </c>
      <c r="AN81" s="9">
        <f t="shared" si="36"/>
        <v>113790.60000000003</v>
      </c>
      <c r="AR81" s="9"/>
      <c r="AS81" s="269"/>
      <c r="AT81" s="272"/>
    </row>
    <row r="82" spans="1:46" outlineLevel="1">
      <c r="A82" s="12"/>
      <c r="I82" s="228" t="s">
        <v>193</v>
      </c>
      <c r="J82" s="65">
        <f>SUM(A:B!J82)</f>
        <v>0</v>
      </c>
      <c r="K82" s="65">
        <f>SUM(A:B!K82)</f>
        <v>0</v>
      </c>
      <c r="L82" s="65">
        <f>SUM(A:B!L82)</f>
        <v>0</v>
      </c>
      <c r="M82" s="65">
        <f>SUM(A:B!M82)</f>
        <v>0</v>
      </c>
      <c r="N82" s="65">
        <f>SUM(A:B!N82)</f>
        <v>0</v>
      </c>
      <c r="O82" s="65">
        <f>SUM(A:B!O82)</f>
        <v>0</v>
      </c>
      <c r="P82" s="65">
        <f>SUM(A:B!P82)</f>
        <v>0</v>
      </c>
      <c r="Q82" s="65">
        <f>SUM(A:B!Q82)</f>
        <v>0</v>
      </c>
      <c r="R82" s="65">
        <f>SUM(A:B!R82)</f>
        <v>0</v>
      </c>
      <c r="S82" s="65">
        <f>SUM(A:B!S82)</f>
        <v>0</v>
      </c>
      <c r="T82" s="65">
        <f>SUM(A:B!T82)</f>
        <v>0</v>
      </c>
      <c r="U82" s="65">
        <f>SUM(A:B!U82)</f>
        <v>0</v>
      </c>
      <c r="V82" s="11">
        <f t="shared" si="37"/>
        <v>0</v>
      </c>
      <c r="W82" s="73">
        <f t="shared" si="38"/>
        <v>0</v>
      </c>
      <c r="X82" s="89"/>
      <c r="Y82" s="65">
        <f>SUM(A:B!Y82)</f>
        <v>0</v>
      </c>
      <c r="Z82" s="65">
        <f>SUM(A:B!Z82)</f>
        <v>0</v>
      </c>
      <c r="AA82" s="65">
        <f>SUM(A:B!AA82)</f>
        <v>0</v>
      </c>
      <c r="AB82" s="65">
        <f>SUM(A:B!AB82)</f>
        <v>0</v>
      </c>
      <c r="AC82" s="65">
        <f>SUM(A:B!AC82)</f>
        <v>0</v>
      </c>
      <c r="AD82" s="65">
        <f>SUM(A:B!AD82)</f>
        <v>0</v>
      </c>
      <c r="AE82" s="65">
        <f>SUM(A:B!AE82)</f>
        <v>0</v>
      </c>
      <c r="AF82" s="65">
        <f>SUM(A:B!AF82)</f>
        <v>0</v>
      </c>
      <c r="AG82" s="65">
        <f>SUM(A:B!AG82)</f>
        <v>0</v>
      </c>
      <c r="AH82" s="65">
        <f>SUM(A:B!AH82)</f>
        <v>0</v>
      </c>
      <c r="AI82" s="65">
        <f>SUM(A:B!AI82)</f>
        <v>0</v>
      </c>
      <c r="AJ82" s="65">
        <f>SUM(A:B!AJ82)</f>
        <v>0</v>
      </c>
      <c r="AK82" s="124">
        <f t="shared" si="39"/>
        <v>0</v>
      </c>
      <c r="AL82" s="73">
        <f t="shared" si="40"/>
        <v>0</v>
      </c>
      <c r="AM82" s="14">
        <f t="shared" si="41"/>
        <v>0</v>
      </c>
      <c r="AN82" s="9">
        <f t="shared" si="36"/>
        <v>0</v>
      </c>
      <c r="AR82" s="9"/>
      <c r="AS82" s="269"/>
      <c r="AT82" s="272"/>
    </row>
    <row r="83" spans="1:46" outlineLevel="1">
      <c r="A83" s="12"/>
      <c r="I83" s="228" t="s">
        <v>194</v>
      </c>
      <c r="J83" s="65">
        <f>SUM(A:B!J83)</f>
        <v>4196</v>
      </c>
      <c r="K83" s="65">
        <f>SUM(A:B!K83)</f>
        <v>4196</v>
      </c>
      <c r="L83" s="65">
        <f>SUM(A:B!L83)</f>
        <v>4196</v>
      </c>
      <c r="M83" s="65">
        <f>SUM(A:B!M83)</f>
        <v>4196</v>
      </c>
      <c r="N83" s="65">
        <f>SUM(A:B!N83)</f>
        <v>4196</v>
      </c>
      <c r="O83" s="65">
        <f>SUM(A:B!O83)</f>
        <v>4196</v>
      </c>
      <c r="P83" s="65">
        <f>SUM(A:B!P83)</f>
        <v>4196</v>
      </c>
      <c r="Q83" s="65">
        <f>SUM(A:B!Q83)</f>
        <v>5244</v>
      </c>
      <c r="R83" s="65">
        <f>SUM(A:B!R83)</f>
        <v>4196</v>
      </c>
      <c r="S83" s="65">
        <f>SUM(A:B!S83)</f>
        <v>4196</v>
      </c>
      <c r="T83" s="65">
        <f>SUM(A:B!T83)</f>
        <v>0</v>
      </c>
      <c r="U83" s="65">
        <f>SUM(A:B!U83)</f>
        <v>0</v>
      </c>
      <c r="V83" s="11">
        <f t="shared" si="37"/>
        <v>43008</v>
      </c>
      <c r="W83" s="73">
        <f t="shared" si="38"/>
        <v>1.9210897124104847E-4</v>
      </c>
      <c r="X83" s="89"/>
      <c r="Y83" s="65">
        <f>SUM(A:B!Y83)</f>
        <v>0</v>
      </c>
      <c r="Z83" s="65">
        <f>SUM(A:B!Z83)</f>
        <v>0</v>
      </c>
      <c r="AA83" s="65">
        <f>SUM(A:B!AA83)</f>
        <v>0</v>
      </c>
      <c r="AB83" s="65">
        <f>SUM(A:B!AB83)</f>
        <v>0</v>
      </c>
      <c r="AC83" s="65">
        <f>SUM(A:B!AC83)</f>
        <v>0</v>
      </c>
      <c r="AD83" s="65">
        <f>SUM(A:B!AD83)</f>
        <v>0</v>
      </c>
      <c r="AE83" s="65">
        <f>SUM(A:B!AE83)</f>
        <v>0</v>
      </c>
      <c r="AF83" s="65">
        <f>SUM(A:B!AF83)</f>
        <v>0</v>
      </c>
      <c r="AG83" s="65">
        <f>SUM(A:B!AG83)</f>
        <v>0</v>
      </c>
      <c r="AH83" s="65">
        <f>SUM(A:B!AH83)</f>
        <v>0</v>
      </c>
      <c r="AI83" s="65">
        <f>SUM(A:B!AI83)</f>
        <v>0</v>
      </c>
      <c r="AJ83" s="65">
        <f>SUM(A:B!AJ83)</f>
        <v>0</v>
      </c>
      <c r="AK83" s="124">
        <f t="shared" si="39"/>
        <v>0</v>
      </c>
      <c r="AL83" s="73">
        <f t="shared" si="40"/>
        <v>0</v>
      </c>
      <c r="AM83" s="14">
        <f t="shared" si="41"/>
        <v>-1</v>
      </c>
      <c r="AN83" s="9">
        <f t="shared" si="36"/>
        <v>-43008</v>
      </c>
      <c r="AO83" s="1" t="s">
        <v>444</v>
      </c>
      <c r="AR83" s="9"/>
      <c r="AS83" s="269"/>
      <c r="AT83" s="272"/>
    </row>
    <row r="84" spans="1:46" outlineLevel="1">
      <c r="A84" s="12"/>
      <c r="I84" s="228" t="s">
        <v>195</v>
      </c>
      <c r="J84" s="65">
        <f>SUM(A:B!J84)</f>
        <v>0</v>
      </c>
      <c r="K84" s="65">
        <f>SUM(A:B!K84)</f>
        <v>0</v>
      </c>
      <c r="L84" s="65">
        <f>SUM(A:B!L84)</f>
        <v>0</v>
      </c>
      <c r="M84" s="65">
        <f>SUM(A:B!M84)</f>
        <v>0</v>
      </c>
      <c r="N84" s="65">
        <f>SUM(A:B!N84)</f>
        <v>0</v>
      </c>
      <c r="O84" s="65">
        <f>SUM(A:B!O84)</f>
        <v>0</v>
      </c>
      <c r="P84" s="65">
        <f>SUM(A:B!P84)</f>
        <v>0</v>
      </c>
      <c r="Q84" s="65">
        <f>SUM(A:B!Q84)</f>
        <v>0</v>
      </c>
      <c r="R84" s="65">
        <f>SUM(A:B!R84)</f>
        <v>0</v>
      </c>
      <c r="S84" s="65">
        <f>SUM(A:B!S84)</f>
        <v>0</v>
      </c>
      <c r="T84" s="65">
        <f>SUM(A:B!T84)</f>
        <v>0</v>
      </c>
      <c r="U84" s="65">
        <f>SUM(A:B!U84)</f>
        <v>0</v>
      </c>
      <c r="V84" s="11">
        <f t="shared" si="37"/>
        <v>0</v>
      </c>
      <c r="W84" s="73">
        <f t="shared" si="38"/>
        <v>0</v>
      </c>
      <c r="X84" s="89"/>
      <c r="Y84" s="65">
        <f>SUM(A:B!Y84)</f>
        <v>0</v>
      </c>
      <c r="Z84" s="65">
        <f>SUM(A:B!Z84)</f>
        <v>0</v>
      </c>
      <c r="AA84" s="65">
        <f>SUM(A:B!AA84)</f>
        <v>0</v>
      </c>
      <c r="AB84" s="65">
        <f>SUM(A:B!AB84)</f>
        <v>0</v>
      </c>
      <c r="AC84" s="65">
        <f>SUM(A:B!AC84)</f>
        <v>0</v>
      </c>
      <c r="AD84" s="65">
        <f>SUM(A:B!AD84)</f>
        <v>0</v>
      </c>
      <c r="AE84" s="65">
        <f>SUM(A:B!AE84)</f>
        <v>0</v>
      </c>
      <c r="AF84" s="65">
        <f>SUM(A:B!AF84)</f>
        <v>0</v>
      </c>
      <c r="AG84" s="65">
        <f>SUM(A:B!AG84)</f>
        <v>0</v>
      </c>
      <c r="AH84" s="65">
        <f>SUM(A:B!AH84)</f>
        <v>0</v>
      </c>
      <c r="AI84" s="65">
        <f>SUM(A:B!AI84)</f>
        <v>0</v>
      </c>
      <c r="AJ84" s="65">
        <f>SUM(A:B!AJ84)</f>
        <v>0</v>
      </c>
      <c r="AK84" s="124">
        <f t="shared" si="39"/>
        <v>0</v>
      </c>
      <c r="AL84" s="73">
        <f t="shared" si="40"/>
        <v>0</v>
      </c>
      <c r="AM84" s="14">
        <f t="shared" si="41"/>
        <v>0</v>
      </c>
      <c r="AN84" s="9">
        <f t="shared" si="36"/>
        <v>0</v>
      </c>
      <c r="AR84" s="9"/>
      <c r="AS84" s="269"/>
      <c r="AT84" s="272"/>
    </row>
    <row r="85" spans="1:46" outlineLevel="1">
      <c r="A85" s="12"/>
      <c r="I85" s="228" t="s">
        <v>196</v>
      </c>
      <c r="J85" s="65">
        <f>SUM(A:B!J85)</f>
        <v>0</v>
      </c>
      <c r="K85" s="65">
        <f>SUM(A:B!K85)</f>
        <v>0</v>
      </c>
      <c r="L85" s="65">
        <f>SUM(A:B!L85)</f>
        <v>0</v>
      </c>
      <c r="M85" s="65">
        <f>SUM(A:B!M85)</f>
        <v>0</v>
      </c>
      <c r="N85" s="65">
        <f>SUM(A:B!N85)</f>
        <v>0</v>
      </c>
      <c r="O85" s="65">
        <f>SUM(A:B!O85)</f>
        <v>0</v>
      </c>
      <c r="P85" s="65">
        <f>SUM(A:B!P85)</f>
        <v>0</v>
      </c>
      <c r="Q85" s="65">
        <f>SUM(A:B!Q85)</f>
        <v>0</v>
      </c>
      <c r="R85" s="65">
        <f>SUM(A:B!R85)</f>
        <v>0</v>
      </c>
      <c r="S85" s="65">
        <f>SUM(A:B!S85)</f>
        <v>0</v>
      </c>
      <c r="T85" s="65">
        <f>SUM(A:B!T85)</f>
        <v>0</v>
      </c>
      <c r="U85" s="65">
        <f>SUM(A:B!U85)</f>
        <v>0</v>
      </c>
      <c r="V85" s="11">
        <f t="shared" si="37"/>
        <v>0</v>
      </c>
      <c r="W85" s="73">
        <f t="shared" si="38"/>
        <v>0</v>
      </c>
      <c r="X85" s="89"/>
      <c r="Y85" s="65">
        <f>SUM(A:B!Y85)</f>
        <v>0</v>
      </c>
      <c r="Z85" s="65">
        <f>SUM(A:B!Z85)</f>
        <v>0</v>
      </c>
      <c r="AA85" s="65">
        <f>SUM(A:B!AA85)</f>
        <v>0</v>
      </c>
      <c r="AB85" s="65">
        <f>SUM(A:B!AB85)</f>
        <v>0</v>
      </c>
      <c r="AC85" s="65">
        <f>SUM(A:B!AC85)</f>
        <v>0</v>
      </c>
      <c r="AD85" s="65">
        <f>SUM(A:B!AD85)</f>
        <v>0</v>
      </c>
      <c r="AE85" s="65">
        <f>SUM(A:B!AE85)</f>
        <v>0</v>
      </c>
      <c r="AF85" s="65">
        <f>SUM(A:B!AF85)</f>
        <v>0</v>
      </c>
      <c r="AG85" s="65">
        <f>SUM(A:B!AG85)</f>
        <v>0</v>
      </c>
      <c r="AH85" s="65">
        <f>SUM(A:B!AH85)</f>
        <v>0</v>
      </c>
      <c r="AI85" s="65">
        <f>SUM(A:B!AI85)</f>
        <v>0</v>
      </c>
      <c r="AJ85" s="65">
        <f>SUM(A:B!AJ85)</f>
        <v>0</v>
      </c>
      <c r="AK85" s="124">
        <f t="shared" si="39"/>
        <v>0</v>
      </c>
      <c r="AL85" s="73">
        <f t="shared" si="40"/>
        <v>0</v>
      </c>
      <c r="AM85" s="14">
        <f t="shared" si="41"/>
        <v>0</v>
      </c>
      <c r="AN85" s="9">
        <f t="shared" si="36"/>
        <v>0</v>
      </c>
      <c r="AR85" s="9"/>
      <c r="AS85" s="269"/>
      <c r="AT85" s="272"/>
    </row>
    <row r="86" spans="1:46" outlineLevel="1">
      <c r="A86" s="12"/>
      <c r="I86" s="228" t="s">
        <v>197</v>
      </c>
      <c r="J86" s="65">
        <f>SUM(A:B!J86)</f>
        <v>0</v>
      </c>
      <c r="K86" s="65">
        <f>SUM(A:B!K86)</f>
        <v>0</v>
      </c>
      <c r="L86" s="65">
        <f>SUM(A:B!L86)</f>
        <v>0</v>
      </c>
      <c r="M86" s="65">
        <f>SUM(A:B!M86)</f>
        <v>0</v>
      </c>
      <c r="N86" s="65">
        <f>SUM(A:B!N86)</f>
        <v>0</v>
      </c>
      <c r="O86" s="65">
        <f>SUM(A:B!O86)</f>
        <v>0</v>
      </c>
      <c r="P86" s="65">
        <f>SUM(A:B!P86)</f>
        <v>0</v>
      </c>
      <c r="Q86" s="65">
        <f>SUM(A:B!Q86)</f>
        <v>0</v>
      </c>
      <c r="R86" s="65">
        <f>SUM(A:B!R86)</f>
        <v>0</v>
      </c>
      <c r="S86" s="65">
        <f>SUM(A:B!S86)</f>
        <v>0</v>
      </c>
      <c r="T86" s="65">
        <f>SUM(A:B!T86)</f>
        <v>0</v>
      </c>
      <c r="U86" s="65">
        <f>SUM(A:B!U86)</f>
        <v>0</v>
      </c>
      <c r="V86" s="11">
        <f t="shared" si="37"/>
        <v>0</v>
      </c>
      <c r="W86" s="73">
        <f t="shared" si="38"/>
        <v>0</v>
      </c>
      <c r="X86" s="89"/>
      <c r="Y86" s="65">
        <f>SUM(A:B!Y86)</f>
        <v>0</v>
      </c>
      <c r="Z86" s="65">
        <f>SUM(A:B!Z86)</f>
        <v>0</v>
      </c>
      <c r="AA86" s="65">
        <f>SUM(A:B!AA86)</f>
        <v>0</v>
      </c>
      <c r="AB86" s="65">
        <f>SUM(A:B!AB86)</f>
        <v>0</v>
      </c>
      <c r="AC86" s="65">
        <f>SUM(A:B!AC86)</f>
        <v>0</v>
      </c>
      <c r="AD86" s="65">
        <f>SUM(A:B!AD86)</f>
        <v>0</v>
      </c>
      <c r="AE86" s="65">
        <f>SUM(A:B!AE86)</f>
        <v>0</v>
      </c>
      <c r="AF86" s="65">
        <f>SUM(A:B!AF86)</f>
        <v>0</v>
      </c>
      <c r="AG86" s="65">
        <f>SUM(A:B!AG86)</f>
        <v>0</v>
      </c>
      <c r="AH86" s="65">
        <f>SUM(A:B!AH86)</f>
        <v>0</v>
      </c>
      <c r="AI86" s="65">
        <f>SUM(A:B!AI86)</f>
        <v>0</v>
      </c>
      <c r="AJ86" s="65">
        <f>SUM(A:B!AJ86)</f>
        <v>0</v>
      </c>
      <c r="AK86" s="124">
        <f t="shared" si="39"/>
        <v>0</v>
      </c>
      <c r="AL86" s="73">
        <f t="shared" si="40"/>
        <v>0</v>
      </c>
      <c r="AM86" s="14">
        <f t="shared" si="41"/>
        <v>0</v>
      </c>
      <c r="AN86" s="9">
        <f t="shared" si="36"/>
        <v>0</v>
      </c>
      <c r="AR86" s="9"/>
      <c r="AS86" s="269"/>
      <c r="AT86" s="272"/>
    </row>
    <row r="87" spans="1:46" outlineLevel="1">
      <c r="A87" s="12"/>
      <c r="I87" s="228" t="s">
        <v>198</v>
      </c>
      <c r="J87" s="65">
        <f>SUM(A:B!J87)</f>
        <v>0</v>
      </c>
      <c r="K87" s="65">
        <f>SUM(A:B!K87)</f>
        <v>0</v>
      </c>
      <c r="L87" s="65">
        <f>SUM(A:B!L87)</f>
        <v>0</v>
      </c>
      <c r="M87" s="65">
        <f>SUM(A:B!M87)</f>
        <v>0</v>
      </c>
      <c r="N87" s="65">
        <f>SUM(A:B!N87)</f>
        <v>0</v>
      </c>
      <c r="O87" s="65">
        <f>SUM(A:B!O87)</f>
        <v>0</v>
      </c>
      <c r="P87" s="65">
        <f>SUM(A:B!P87)</f>
        <v>0</v>
      </c>
      <c r="Q87" s="65">
        <f>SUM(A:B!Q87)</f>
        <v>0</v>
      </c>
      <c r="R87" s="65">
        <f>SUM(A:B!R87)</f>
        <v>0</v>
      </c>
      <c r="S87" s="65">
        <f>SUM(A:B!S87)</f>
        <v>76960</v>
      </c>
      <c r="T87" s="65">
        <f>SUM(A:B!T87)</f>
        <v>0</v>
      </c>
      <c r="U87" s="65">
        <f>SUM(A:B!U87)</f>
        <v>0</v>
      </c>
      <c r="V87" s="11">
        <f t="shared" si="37"/>
        <v>76960</v>
      </c>
      <c r="W87" s="73">
        <f t="shared" si="38"/>
        <v>3.4376642547226307E-4</v>
      </c>
      <c r="X87" s="89"/>
      <c r="Y87" s="65">
        <f>SUM(A:B!Y87)</f>
        <v>0</v>
      </c>
      <c r="Z87" s="65">
        <f>SUM(A:B!Z87)</f>
        <v>0</v>
      </c>
      <c r="AA87" s="65">
        <f>SUM(A:B!AA87)</f>
        <v>0</v>
      </c>
      <c r="AB87" s="65">
        <f>SUM(A:B!AB87)</f>
        <v>0</v>
      </c>
      <c r="AC87" s="65">
        <f>SUM(A:B!AC87)</f>
        <v>0</v>
      </c>
      <c r="AD87" s="65">
        <f>SUM(A:B!AD87)</f>
        <v>0</v>
      </c>
      <c r="AE87" s="65">
        <f>SUM(A:B!AE87)</f>
        <v>0</v>
      </c>
      <c r="AF87" s="65">
        <f>SUM(A:B!AF87)</f>
        <v>0</v>
      </c>
      <c r="AG87" s="65">
        <f>SUM(A:B!AG87)</f>
        <v>91192.309999999983</v>
      </c>
      <c r="AH87" s="65">
        <f>SUM(A:B!AH87)</f>
        <v>0</v>
      </c>
      <c r="AI87" s="65">
        <f>SUM(A:B!AI87)</f>
        <v>0</v>
      </c>
      <c r="AJ87" s="65">
        <f>SUM(A:B!AJ87)</f>
        <v>0</v>
      </c>
      <c r="AK87" s="124">
        <f t="shared" si="39"/>
        <v>91192.309999999983</v>
      </c>
      <c r="AL87" s="73">
        <f t="shared" si="40"/>
        <v>3.6369176209574022E-4</v>
      </c>
      <c r="AM87" s="14">
        <f t="shared" si="41"/>
        <v>0.18493126299376272</v>
      </c>
      <c r="AN87" s="9">
        <f t="shared" si="36"/>
        <v>14232.309999999983</v>
      </c>
      <c r="AR87" s="9"/>
      <c r="AS87" s="269"/>
      <c r="AT87" s="272"/>
    </row>
    <row r="88" spans="1:46" outlineLevel="1">
      <c r="A88" s="12"/>
      <c r="E88" s="7" t="s">
        <v>439</v>
      </c>
      <c r="I88" s="228" t="s">
        <v>199</v>
      </c>
      <c r="J88" s="65">
        <f>SUM(A:B!J88)</f>
        <v>0</v>
      </c>
      <c r="K88" s="65">
        <f>SUM(A:B!K88)</f>
        <v>0</v>
      </c>
      <c r="L88" s="65">
        <f>SUM(A:B!L88)</f>
        <v>0</v>
      </c>
      <c r="M88" s="65">
        <f>SUM(A:B!M88)</f>
        <v>0</v>
      </c>
      <c r="N88" s="65">
        <f>SUM(A:B!N88)</f>
        <v>0</v>
      </c>
      <c r="O88" s="65">
        <f>SUM(A:B!O88)</f>
        <v>0</v>
      </c>
      <c r="P88" s="65">
        <f>SUM(A:B!P88)</f>
        <v>0</v>
      </c>
      <c r="Q88" s="65">
        <f>SUM(A:B!Q88)</f>
        <v>5772</v>
      </c>
      <c r="R88" s="65">
        <f>SUM(A:B!R88)</f>
        <v>0</v>
      </c>
      <c r="S88" s="65">
        <f>SUM(A:B!S88)</f>
        <v>0</v>
      </c>
      <c r="T88" s="65">
        <f>SUM(A:B!T88)</f>
        <v>1418.56</v>
      </c>
      <c r="U88" s="65">
        <f>SUM(A:B!U88)</f>
        <v>92892.800000000003</v>
      </c>
      <c r="V88" s="11">
        <f t="shared" si="37"/>
        <v>100083.36</v>
      </c>
      <c r="W88" s="73">
        <f t="shared" si="38"/>
        <v>4.4705429984996978E-4</v>
      </c>
      <c r="X88" s="89"/>
      <c r="Y88" s="65">
        <f>SUM(A:B!Y88)</f>
        <v>0</v>
      </c>
      <c r="Z88" s="65">
        <f>SUM(A:B!Z88)</f>
        <v>0</v>
      </c>
      <c r="AA88" s="65">
        <f>SUM(A:B!AA88)</f>
        <v>0</v>
      </c>
      <c r="AB88" s="65">
        <f>SUM(A:B!AB88)</f>
        <v>0</v>
      </c>
      <c r="AC88" s="65">
        <f>SUM(A:B!AC88)</f>
        <v>8280.7999999999993</v>
      </c>
      <c r="AD88" s="65">
        <f>SUM(A:B!AD88)</f>
        <v>8280.7999999999993</v>
      </c>
      <c r="AE88" s="65">
        <f>SUM(A:B!AE88)</f>
        <v>0</v>
      </c>
      <c r="AF88" s="65">
        <f>SUM(A:B!AF88)</f>
        <v>8280.7999999999993</v>
      </c>
      <c r="AG88" s="65">
        <f>SUM(A:B!AG88)</f>
        <v>0</v>
      </c>
      <c r="AH88" s="65">
        <f>SUM(A:B!AH88)</f>
        <v>2649.8559999999998</v>
      </c>
      <c r="AI88" s="65">
        <f>SUM(A:B!AI88)</f>
        <v>1656.1599999999999</v>
      </c>
      <c r="AJ88" s="65">
        <f>SUM(A:B!AJ88)</f>
        <v>56309.439999999995</v>
      </c>
      <c r="AK88" s="124">
        <f t="shared" si="39"/>
        <v>85457.856</v>
      </c>
      <c r="AL88" s="73">
        <f t="shared" si="40"/>
        <v>3.4082170123296617E-4</v>
      </c>
      <c r="AM88" s="14">
        <f t="shared" si="41"/>
        <v>-0.14613322334501955</v>
      </c>
      <c r="AN88" s="9">
        <f t="shared" si="36"/>
        <v>-14625.504000000001</v>
      </c>
      <c r="AR88" s="9"/>
      <c r="AS88" s="269"/>
      <c r="AT88" s="272"/>
    </row>
    <row r="89" spans="1:46" outlineLevel="1">
      <c r="A89" s="12" t="s">
        <v>157</v>
      </c>
      <c r="B89" s="8" t="s">
        <v>101</v>
      </c>
      <c r="I89" s="228" t="s">
        <v>200</v>
      </c>
      <c r="J89" s="65">
        <f>SUM(A:B!J89)</f>
        <v>0</v>
      </c>
      <c r="K89" s="65">
        <f>SUM(A:B!K89)</f>
        <v>0</v>
      </c>
      <c r="L89" s="65">
        <f>SUM(A:B!L89)</f>
        <v>0</v>
      </c>
      <c r="M89" s="65">
        <f>SUM(A:B!M89)</f>
        <v>0</v>
      </c>
      <c r="N89" s="65">
        <f>SUM(A:B!N89)</f>
        <v>0</v>
      </c>
      <c r="O89" s="65">
        <f>SUM(A:B!O89)</f>
        <v>0</v>
      </c>
      <c r="P89" s="65">
        <f>SUM(A:B!P89)</f>
        <v>0</v>
      </c>
      <c r="Q89" s="65">
        <f>SUM(A:B!Q89)</f>
        <v>0</v>
      </c>
      <c r="R89" s="65">
        <f>SUM(A:B!R89)</f>
        <v>0</v>
      </c>
      <c r="S89" s="65">
        <f>SUM(A:B!S89)</f>
        <v>0</v>
      </c>
      <c r="T89" s="65">
        <f>SUM(A:B!T89)</f>
        <v>0</v>
      </c>
      <c r="U89" s="65">
        <f>SUM(A:B!U89)</f>
        <v>0</v>
      </c>
      <c r="V89" s="11">
        <f t="shared" si="37"/>
        <v>0</v>
      </c>
      <c r="W89" s="73">
        <f t="shared" si="38"/>
        <v>0</v>
      </c>
      <c r="X89" s="89"/>
      <c r="Y89" s="65">
        <f>SUM(A:B!Y89)</f>
        <v>0</v>
      </c>
      <c r="Z89" s="65">
        <f>SUM(A:B!Z89)</f>
        <v>0</v>
      </c>
      <c r="AA89" s="65">
        <f>SUM(A:B!AA89)</f>
        <v>0</v>
      </c>
      <c r="AB89" s="65">
        <f>SUM(A:B!AB89)</f>
        <v>0</v>
      </c>
      <c r="AC89" s="65">
        <f>SUM(A:B!AC89)</f>
        <v>0</v>
      </c>
      <c r="AD89" s="65">
        <f>SUM(A:B!AD89)</f>
        <v>0</v>
      </c>
      <c r="AE89" s="65">
        <f>SUM(A:B!AE89)</f>
        <v>0</v>
      </c>
      <c r="AF89" s="65">
        <f>SUM(A:B!AF89)</f>
        <v>0</v>
      </c>
      <c r="AG89" s="65">
        <f>SUM(A:B!AG89)</f>
        <v>0</v>
      </c>
      <c r="AH89" s="65">
        <f>SUM(A:B!AH89)</f>
        <v>0</v>
      </c>
      <c r="AI89" s="65">
        <f>SUM(A:B!AI89)</f>
        <v>0</v>
      </c>
      <c r="AJ89" s="65">
        <f>SUM(A:B!AJ89)</f>
        <v>0</v>
      </c>
      <c r="AK89" s="124">
        <f t="shared" si="39"/>
        <v>0</v>
      </c>
      <c r="AL89" s="73">
        <f t="shared" si="40"/>
        <v>0</v>
      </c>
      <c r="AM89" s="14">
        <f t="shared" si="41"/>
        <v>0</v>
      </c>
      <c r="AN89" s="9">
        <f t="shared" si="36"/>
        <v>0</v>
      </c>
      <c r="AR89" s="9"/>
      <c r="AS89" s="269"/>
      <c r="AT89" s="272"/>
    </row>
    <row r="90" spans="1:46" outlineLevel="1">
      <c r="A90" s="12" t="s">
        <v>157</v>
      </c>
      <c r="B90" s="8" t="s">
        <v>101</v>
      </c>
      <c r="I90" s="228" t="s">
        <v>201</v>
      </c>
      <c r="J90" s="65">
        <f>SUM(A:B!J90)</f>
        <v>0</v>
      </c>
      <c r="K90" s="65">
        <f>SUM(A:B!K90)</f>
        <v>0</v>
      </c>
      <c r="L90" s="65">
        <f>SUM(A:B!L90)</f>
        <v>0</v>
      </c>
      <c r="M90" s="65">
        <f>SUM(A:B!M90)</f>
        <v>0</v>
      </c>
      <c r="N90" s="65">
        <f>SUM(A:B!N90)</f>
        <v>0</v>
      </c>
      <c r="O90" s="65">
        <f>SUM(A:B!O90)</f>
        <v>0</v>
      </c>
      <c r="P90" s="65">
        <f>SUM(A:B!P90)</f>
        <v>0</v>
      </c>
      <c r="Q90" s="65">
        <f>SUM(A:B!Q90)</f>
        <v>0</v>
      </c>
      <c r="R90" s="65">
        <f>SUM(A:B!R90)</f>
        <v>0</v>
      </c>
      <c r="S90" s="65">
        <f>SUM(A:B!S90)</f>
        <v>0</v>
      </c>
      <c r="T90" s="65">
        <f>SUM(A:B!T90)</f>
        <v>0</v>
      </c>
      <c r="U90" s="65">
        <f>SUM(A:B!U90)</f>
        <v>0</v>
      </c>
      <c r="V90" s="11">
        <f t="shared" si="37"/>
        <v>0</v>
      </c>
      <c r="W90" s="73">
        <f t="shared" si="38"/>
        <v>0</v>
      </c>
      <c r="X90" s="89"/>
      <c r="Y90" s="65">
        <f>SUM(A:B!Y90)</f>
        <v>0</v>
      </c>
      <c r="Z90" s="65">
        <f>SUM(A:B!Z90)</f>
        <v>0</v>
      </c>
      <c r="AA90" s="65">
        <f>SUM(A:B!AA90)</f>
        <v>0</v>
      </c>
      <c r="AB90" s="65">
        <f>SUM(A:B!AB90)</f>
        <v>0</v>
      </c>
      <c r="AC90" s="65">
        <f>SUM(A:B!AC90)</f>
        <v>0</v>
      </c>
      <c r="AD90" s="65">
        <f>SUM(A:B!AD90)</f>
        <v>0</v>
      </c>
      <c r="AE90" s="65">
        <f>SUM(A:B!AE90)</f>
        <v>0</v>
      </c>
      <c r="AF90" s="65">
        <f>SUM(A:B!AF90)</f>
        <v>0</v>
      </c>
      <c r="AG90" s="65">
        <f>SUM(A:B!AG90)</f>
        <v>0</v>
      </c>
      <c r="AH90" s="65">
        <f>SUM(A:B!AH90)</f>
        <v>0</v>
      </c>
      <c r="AI90" s="65">
        <f>SUM(A:B!AI90)</f>
        <v>0</v>
      </c>
      <c r="AJ90" s="65">
        <f>SUM(A:B!AJ90)</f>
        <v>0</v>
      </c>
      <c r="AK90" s="124">
        <f t="shared" si="39"/>
        <v>0</v>
      </c>
      <c r="AL90" s="73">
        <f t="shared" si="40"/>
        <v>0</v>
      </c>
      <c r="AM90" s="14">
        <f t="shared" si="41"/>
        <v>0</v>
      </c>
      <c r="AN90" s="9">
        <f t="shared" si="36"/>
        <v>0</v>
      </c>
      <c r="AR90" s="9"/>
      <c r="AS90" s="269"/>
      <c r="AT90" s="272"/>
    </row>
    <row r="91" spans="1:46" collapsed="1">
      <c r="A91" s="12" t="s">
        <v>191</v>
      </c>
      <c r="B91" s="8" t="s">
        <v>101</v>
      </c>
      <c r="I91" s="170" t="s">
        <v>202</v>
      </c>
      <c r="J91" s="15">
        <f t="shared" ref="J91:V91" si="42">SUM(J92:J106)</f>
        <v>572626</v>
      </c>
      <c r="K91" s="15">
        <f t="shared" si="42"/>
        <v>519514</v>
      </c>
      <c r="L91" s="15">
        <f t="shared" si="42"/>
        <v>569180</v>
      </c>
      <c r="M91" s="15">
        <f t="shared" si="42"/>
        <v>487941</v>
      </c>
      <c r="N91" s="15">
        <f t="shared" si="42"/>
        <v>447886</v>
      </c>
      <c r="O91" s="15">
        <f t="shared" si="42"/>
        <v>469573</v>
      </c>
      <c r="P91" s="15">
        <f t="shared" si="42"/>
        <v>447603</v>
      </c>
      <c r="Q91" s="15">
        <f t="shared" si="42"/>
        <v>432809</v>
      </c>
      <c r="R91" s="15">
        <f t="shared" si="42"/>
        <v>490473</v>
      </c>
      <c r="S91" s="15">
        <f t="shared" si="42"/>
        <v>473908</v>
      </c>
      <c r="T91" s="15">
        <f t="shared" si="42"/>
        <v>464380.58333333331</v>
      </c>
      <c r="U91" s="15">
        <f t="shared" si="42"/>
        <v>473356.42361111107</v>
      </c>
      <c r="V91" s="15">
        <f t="shared" si="42"/>
        <v>5849250.006944444</v>
      </c>
      <c r="W91" s="72">
        <f t="shared" si="32"/>
        <v>2.6127543744554334E-2</v>
      </c>
      <c r="X91" s="89"/>
      <c r="Y91" s="15">
        <f t="shared" ref="Y91:AK91" si="43">SUM(Y92:Y106)</f>
        <v>528532.22999348014</v>
      </c>
      <c r="Z91" s="15">
        <f t="shared" si="43"/>
        <v>466133.45309607714</v>
      </c>
      <c r="AA91" s="15">
        <f t="shared" si="43"/>
        <v>509870.56015889149</v>
      </c>
      <c r="AB91" s="15">
        <f t="shared" si="43"/>
        <v>481779.33348528668</v>
      </c>
      <c r="AC91" s="15">
        <f t="shared" si="43"/>
        <v>509870.56015889149</v>
      </c>
      <c r="AD91" s="15">
        <f t="shared" si="43"/>
        <v>481779.33348528668</v>
      </c>
      <c r="AE91" s="15">
        <f t="shared" si="43"/>
        <v>496358.36917289149</v>
      </c>
      <c r="AF91" s="15">
        <f t="shared" si="43"/>
        <v>496358.36917289149</v>
      </c>
      <c r="AG91" s="15">
        <f t="shared" si="43"/>
        <v>495291.52447128668</v>
      </c>
      <c r="AH91" s="15">
        <f t="shared" si="43"/>
        <v>496358.36917289149</v>
      </c>
      <c r="AI91" s="15">
        <f t="shared" si="43"/>
        <v>495291.52447128668</v>
      </c>
      <c r="AJ91" s="15">
        <f t="shared" si="43"/>
        <v>509870.56015889149</v>
      </c>
      <c r="AK91" s="278">
        <f t="shared" si="43"/>
        <v>5967494.1869980525</v>
      </c>
      <c r="AL91" s="72">
        <f t="shared" si="33"/>
        <v>2.3799468136791457E-2</v>
      </c>
      <c r="AM91" s="10">
        <f t="shared" si="7"/>
        <v>2.0215272028589082E-2</v>
      </c>
      <c r="AN91" s="277">
        <f>+AK91-V91</f>
        <v>118244.18005360849</v>
      </c>
      <c r="AR91" s="9"/>
      <c r="AS91" s="269"/>
      <c r="AT91" s="272"/>
    </row>
    <row r="92" spans="1:46" hidden="1" outlineLevel="1">
      <c r="A92" s="12" t="s">
        <v>191</v>
      </c>
      <c r="B92" s="8" t="s">
        <v>101</v>
      </c>
      <c r="I92" s="228" t="s">
        <v>203</v>
      </c>
      <c r="J92" s="65">
        <f>SUM(A:B!J92)</f>
        <v>16736</v>
      </c>
      <c r="K92" s="65">
        <f>SUM(A:B!K92)</f>
        <v>14901</v>
      </c>
      <c r="L92" s="65">
        <f>SUM(A:B!L92)</f>
        <v>16005</v>
      </c>
      <c r="M92" s="65">
        <f>SUM(A:B!M92)</f>
        <v>13919</v>
      </c>
      <c r="N92" s="65">
        <f>SUM(A:B!N92)</f>
        <v>12304</v>
      </c>
      <c r="O92" s="65">
        <f>SUM(A:B!O92)</f>
        <v>13178</v>
      </c>
      <c r="P92" s="65">
        <f>SUM(A:B!P92)</f>
        <v>12860</v>
      </c>
      <c r="Q92" s="65">
        <f>SUM(A:B!Q92)</f>
        <v>13080</v>
      </c>
      <c r="R92" s="65">
        <f>SUM(A:B!R92)</f>
        <v>13298</v>
      </c>
      <c r="S92" s="65">
        <f>SUM(A:B!S92)</f>
        <v>13610</v>
      </c>
      <c r="T92" s="65">
        <f>SUM(A:B!T92)</f>
        <v>13538.25</v>
      </c>
      <c r="U92" s="65">
        <f>SUM(A:B!U92)</f>
        <v>13333.895833333334</v>
      </c>
      <c r="V92" s="11">
        <f>SUM(J92:U92)</f>
        <v>166763.14583333334</v>
      </c>
      <c r="W92" s="73">
        <f t="shared" si="32"/>
        <v>7.4490086465221837E-4</v>
      </c>
      <c r="X92" s="89"/>
      <c r="Y92" s="65">
        <f>SUM(A:B!Y92)</f>
        <v>15059.300885136985</v>
      </c>
      <c r="Z92" s="65">
        <f>SUM(A:B!Z92)</f>
        <v>12956.895466027399</v>
      </c>
      <c r="AA92" s="65">
        <f>SUM(A:B!AA92)</f>
        <v>14345.134265958903</v>
      </c>
      <c r="AB92" s="65">
        <f>SUM(A:B!AB92)</f>
        <v>13882.387999315069</v>
      </c>
      <c r="AC92" s="65">
        <f>SUM(A:B!AC92)</f>
        <v>14345.134265958903</v>
      </c>
      <c r="AD92" s="65">
        <f>SUM(A:B!AD92)</f>
        <v>13882.387999315069</v>
      </c>
      <c r="AE92" s="65">
        <f>SUM(A:B!AE92)</f>
        <v>14345.134265958903</v>
      </c>
      <c r="AF92" s="65">
        <f>SUM(A:B!AF92)</f>
        <v>14345.134265958903</v>
      </c>
      <c r="AG92" s="65">
        <f>SUM(A:B!AG92)</f>
        <v>13882.387999315069</v>
      </c>
      <c r="AH92" s="65">
        <f>SUM(A:B!AH92)</f>
        <v>14345.134265958903</v>
      </c>
      <c r="AI92" s="65">
        <f>SUM(A:B!AI92)</f>
        <v>13882.387999315069</v>
      </c>
      <c r="AJ92" s="65">
        <f>SUM(A:B!AJ92)</f>
        <v>14345.134265958903</v>
      </c>
      <c r="AK92" s="124">
        <f t="shared" ref="AK92:AK150" si="44">SUM(Y92:AJ92)</f>
        <v>169616.5539441781</v>
      </c>
      <c r="AL92" s="73">
        <f t="shared" si="33"/>
        <v>6.7646212037577864E-4</v>
      </c>
      <c r="AM92" s="14">
        <f t="shared" si="7"/>
        <v>1.7110543799026878E-2</v>
      </c>
      <c r="AR92" s="9"/>
      <c r="AS92" s="269"/>
      <c r="AT92" s="272"/>
    </row>
    <row r="93" spans="1:46" hidden="1" outlineLevel="1">
      <c r="A93" s="12" t="s">
        <v>191</v>
      </c>
      <c r="B93" s="8" t="s">
        <v>101</v>
      </c>
      <c r="I93" s="228" t="s">
        <v>204</v>
      </c>
      <c r="J93" s="65">
        <f>SUM(A:B!J93)</f>
        <v>19800</v>
      </c>
      <c r="K93" s="65">
        <f>SUM(A:B!K93)</f>
        <v>29407</v>
      </c>
      <c r="L93" s="65">
        <f>SUM(A:B!L93)</f>
        <v>37315</v>
      </c>
      <c r="M93" s="65">
        <f>SUM(A:B!M93)</f>
        <v>53806</v>
      </c>
      <c r="N93" s="65">
        <f>SUM(A:B!N93)</f>
        <v>53059</v>
      </c>
      <c r="O93" s="65">
        <f>SUM(A:B!O93)</f>
        <v>41042</v>
      </c>
      <c r="P93" s="65">
        <f>SUM(A:B!P93)</f>
        <v>40487</v>
      </c>
      <c r="Q93" s="65">
        <f>SUM(A:B!Q93)</f>
        <v>29123</v>
      </c>
      <c r="R93" s="65">
        <f>SUM(A:B!R93)</f>
        <v>45725</v>
      </c>
      <c r="S93" s="65">
        <f>SUM(A:B!S93)</f>
        <v>55018</v>
      </c>
      <c r="T93" s="65">
        <f>SUM(A:B!T93)</f>
        <v>41949.583333333328</v>
      </c>
      <c r="U93" s="65">
        <f>SUM(A:B!U93)</f>
        <v>46787.006944444445</v>
      </c>
      <c r="V93" s="11">
        <f t="shared" ref="V93:V106" si="45">SUM(J93:U93)</f>
        <v>493518.59027777775</v>
      </c>
      <c r="W93" s="73">
        <f t="shared" si="32"/>
        <v>2.2044584418386436E-3</v>
      </c>
      <c r="X93" s="89"/>
      <c r="Y93" s="65">
        <f>SUM(A:B!Y93)</f>
        <v>44408.26285714285</v>
      </c>
      <c r="Z93" s="65">
        <f>SUM(A:B!Z93)</f>
        <v>44408.26285714285</v>
      </c>
      <c r="AA93" s="65">
        <f>SUM(A:B!AA93)</f>
        <v>44408.26285714285</v>
      </c>
      <c r="AB93" s="65">
        <f>SUM(A:B!AB93)</f>
        <v>44408.26285714285</v>
      </c>
      <c r="AC93" s="65">
        <f>SUM(A:B!AC93)</f>
        <v>44408.26285714285</v>
      </c>
      <c r="AD93" s="65">
        <f>SUM(A:B!AD93)</f>
        <v>44408.26285714285</v>
      </c>
      <c r="AE93" s="65">
        <f>SUM(A:B!AE93)</f>
        <v>44408.26285714285</v>
      </c>
      <c r="AF93" s="65">
        <f>SUM(A:B!AF93)</f>
        <v>44408.26285714285</v>
      </c>
      <c r="AG93" s="65">
        <f>SUM(A:B!AG93)</f>
        <v>44408.26285714285</v>
      </c>
      <c r="AH93" s="65">
        <f>SUM(A:B!AH93)</f>
        <v>44408.26285714285</v>
      </c>
      <c r="AI93" s="65">
        <f>SUM(A:B!AI93)</f>
        <v>44408.26285714285</v>
      </c>
      <c r="AJ93" s="65">
        <f>SUM(A:B!AJ93)</f>
        <v>44408.26285714285</v>
      </c>
      <c r="AK93" s="124">
        <f t="shared" si="44"/>
        <v>532899.15428571415</v>
      </c>
      <c r="AL93" s="73">
        <f t="shared" si="33"/>
        <v>2.1253001754369546E-3</v>
      </c>
      <c r="AM93" s="14">
        <f t="shared" si="7"/>
        <v>7.9795502709981037E-2</v>
      </c>
      <c r="AR93" s="9"/>
      <c r="AS93" s="269"/>
      <c r="AT93" s="272"/>
    </row>
    <row r="94" spans="1:46" hidden="1" outlineLevel="1">
      <c r="A94" s="12" t="s">
        <v>191</v>
      </c>
      <c r="B94" s="8" t="s">
        <v>101</v>
      </c>
      <c r="I94" s="228" t="s">
        <v>205</v>
      </c>
      <c r="J94" s="65">
        <f>SUM(A:B!J94)</f>
        <v>18040</v>
      </c>
      <c r="K94" s="65">
        <f>SUM(A:B!K94)</f>
        <v>17183</v>
      </c>
      <c r="L94" s="65">
        <f>SUM(A:B!L94)</f>
        <v>18339</v>
      </c>
      <c r="M94" s="65">
        <f>SUM(A:B!M94)</f>
        <v>0</v>
      </c>
      <c r="N94" s="65">
        <f>SUM(A:B!N94)</f>
        <v>12287</v>
      </c>
      <c r="O94" s="65">
        <f>SUM(A:B!O94)</f>
        <v>0</v>
      </c>
      <c r="P94" s="65">
        <f>SUM(A:B!P94)</f>
        <v>1156</v>
      </c>
      <c r="Q94" s="65">
        <f>SUM(A:B!Q94)</f>
        <v>0</v>
      </c>
      <c r="R94" s="65">
        <f>SUM(A:B!R94)</f>
        <v>13685</v>
      </c>
      <c r="S94" s="65">
        <f>SUM(A:B!S94)</f>
        <v>0</v>
      </c>
      <c r="T94" s="65">
        <f>SUM(A:B!T94)</f>
        <v>4087.75</v>
      </c>
      <c r="U94" s="65">
        <f>SUM(A:B!U94)</f>
        <v>5331.8541666666661</v>
      </c>
      <c r="V94" s="11">
        <f t="shared" si="45"/>
        <v>90109.604166666672</v>
      </c>
      <c r="W94" s="73">
        <f t="shared" si="32"/>
        <v>4.0250333322629347E-4</v>
      </c>
      <c r="X94" s="89"/>
      <c r="Y94" s="65">
        <f>SUM(A:B!Y94)</f>
        <v>14184.889866000001</v>
      </c>
      <c r="Z94" s="65">
        <f>SUM(A:B!Z94)</f>
        <v>13512.190986000001</v>
      </c>
      <c r="AA94" s="65">
        <f>SUM(A:B!AA94)</f>
        <v>13512.190986000001</v>
      </c>
      <c r="AB94" s="65">
        <f>SUM(A:B!AB94)</f>
        <v>0</v>
      </c>
      <c r="AC94" s="65">
        <f>SUM(A:B!AC94)</f>
        <v>13512.190986000001</v>
      </c>
      <c r="AD94" s="65">
        <f>SUM(A:B!AD94)</f>
        <v>0</v>
      </c>
      <c r="AE94" s="65">
        <f>SUM(A:B!AE94)</f>
        <v>0</v>
      </c>
      <c r="AF94" s="65">
        <f>SUM(A:B!AF94)</f>
        <v>0</v>
      </c>
      <c r="AG94" s="65">
        <f>SUM(A:B!AG94)</f>
        <v>13512.190986000001</v>
      </c>
      <c r="AH94" s="65">
        <f>SUM(A:B!AH94)</f>
        <v>0</v>
      </c>
      <c r="AI94" s="65">
        <f>SUM(A:B!AI94)</f>
        <v>13512.190986000001</v>
      </c>
      <c r="AJ94" s="65">
        <f>SUM(A:B!AJ94)</f>
        <v>13512.190986000001</v>
      </c>
      <c r="AK94" s="124">
        <f t="shared" si="44"/>
        <v>95258.035782000006</v>
      </c>
      <c r="AL94" s="73">
        <f t="shared" si="33"/>
        <v>3.7990662685630688E-4</v>
      </c>
      <c r="AM94" s="14">
        <f t="shared" si="7"/>
        <v>5.7135215085517332E-2</v>
      </c>
      <c r="AR94" s="9"/>
      <c r="AS94" s="269"/>
      <c r="AT94" s="272"/>
    </row>
    <row r="95" spans="1:46" hidden="1" outlineLevel="1">
      <c r="A95" s="12" t="s">
        <v>191</v>
      </c>
      <c r="B95" s="8" t="s">
        <v>101</v>
      </c>
      <c r="I95" s="228" t="s">
        <v>206</v>
      </c>
      <c r="J95" s="65">
        <f>SUM(A:B!J95)</f>
        <v>23352</v>
      </c>
      <c r="K95" s="65">
        <f>SUM(A:B!K95)</f>
        <v>20698</v>
      </c>
      <c r="L95" s="65">
        <f>SUM(A:B!L95)</f>
        <v>22415</v>
      </c>
      <c r="M95" s="65">
        <f>SUM(A:B!M95)</f>
        <v>18589</v>
      </c>
      <c r="N95" s="65">
        <f>SUM(A:B!N95)</f>
        <v>16779</v>
      </c>
      <c r="O95" s="65">
        <f>SUM(A:B!O95)</f>
        <v>18822</v>
      </c>
      <c r="P95" s="65">
        <f>SUM(A:B!P95)</f>
        <v>17503</v>
      </c>
      <c r="Q95" s="65">
        <f>SUM(A:B!Q95)</f>
        <v>17969</v>
      </c>
      <c r="R95" s="65">
        <f>SUM(A:B!R95)</f>
        <v>18803</v>
      </c>
      <c r="S95" s="65">
        <f>SUM(A:B!S95)</f>
        <v>18417</v>
      </c>
      <c r="T95" s="65">
        <f>SUM(A:B!T95)</f>
        <v>18628.416666666664</v>
      </c>
      <c r="U95" s="65">
        <f>SUM(A:B!U95)</f>
        <v>18420.909722222223</v>
      </c>
      <c r="V95" s="11">
        <f t="shared" si="45"/>
        <v>230396.32638888888</v>
      </c>
      <c r="W95" s="73">
        <f t="shared" si="32"/>
        <v>1.0291387937194538E-3</v>
      </c>
      <c r="X95" s="89"/>
      <c r="Y95" s="65">
        <f>SUM(A:B!Y95)</f>
        <v>20227.652948916002</v>
      </c>
      <c r="Z95" s="65">
        <f>SUM(A:B!Z95)</f>
        <v>18917.0673804</v>
      </c>
      <c r="AA95" s="65">
        <f>SUM(A:B!AA95)</f>
        <v>20943.896028299998</v>
      </c>
      <c r="AB95" s="65">
        <f>SUM(A:B!AB95)</f>
        <v>20268.286478999999</v>
      </c>
      <c r="AC95" s="65">
        <f>SUM(A:B!AC95)</f>
        <v>20943.896028299998</v>
      </c>
      <c r="AD95" s="65">
        <f>SUM(A:B!AD95)</f>
        <v>20268.286478999999</v>
      </c>
      <c r="AE95" s="65">
        <f>SUM(A:B!AE95)</f>
        <v>20943.896028299998</v>
      </c>
      <c r="AF95" s="65">
        <f>SUM(A:B!AF95)</f>
        <v>20943.896028299998</v>
      </c>
      <c r="AG95" s="65">
        <f>SUM(A:B!AG95)</f>
        <v>20268.286478999999</v>
      </c>
      <c r="AH95" s="65">
        <f>SUM(A:B!AH95)</f>
        <v>20943.896028299998</v>
      </c>
      <c r="AI95" s="65">
        <f>SUM(A:B!AI95)</f>
        <v>20268.286478999999</v>
      </c>
      <c r="AJ95" s="65">
        <f>SUM(A:B!AJ95)</f>
        <v>20943.896028299998</v>
      </c>
      <c r="AK95" s="124">
        <f t="shared" si="44"/>
        <v>245881.24241511596</v>
      </c>
      <c r="AL95" s="73">
        <f t="shared" si="33"/>
        <v>9.8061977287606161E-4</v>
      </c>
      <c r="AM95" s="14">
        <f t="shared" ref="AM95:AM161" si="46">IFERROR(AK95/V95-1,0)</f>
        <v>6.7209908547282593E-2</v>
      </c>
      <c r="AR95" s="9"/>
      <c r="AS95" s="269"/>
      <c r="AT95" s="272"/>
    </row>
    <row r="96" spans="1:46" hidden="1" outlineLevel="1">
      <c r="A96" s="12" t="s">
        <v>191</v>
      </c>
      <c r="B96" s="8" t="s">
        <v>101</v>
      </c>
      <c r="I96" s="228" t="s">
        <v>207</v>
      </c>
      <c r="J96" s="65">
        <f>SUM(A:B!J96)</f>
        <v>0</v>
      </c>
      <c r="K96" s="65">
        <f>SUM(A:B!K96)</f>
        <v>0</v>
      </c>
      <c r="L96" s="65">
        <f>SUM(A:B!L96)</f>
        <v>0</v>
      </c>
      <c r="M96" s="65">
        <f>SUM(A:B!M96)</f>
        <v>0</v>
      </c>
      <c r="N96" s="65">
        <f>SUM(A:B!N96)</f>
        <v>0</v>
      </c>
      <c r="O96" s="65">
        <f>SUM(A:B!O96)</f>
        <v>0</v>
      </c>
      <c r="P96" s="65">
        <f>SUM(A:B!P96)</f>
        <v>0</v>
      </c>
      <c r="Q96" s="65">
        <f>SUM(A:B!Q96)</f>
        <v>0</v>
      </c>
      <c r="R96" s="65">
        <f>SUM(A:B!R96)</f>
        <v>0</v>
      </c>
      <c r="S96" s="65">
        <f>SUM(A:B!S96)</f>
        <v>0</v>
      </c>
      <c r="T96" s="65">
        <f>SUM(A:B!T96)</f>
        <v>0</v>
      </c>
      <c r="U96" s="65">
        <f>SUM(A:B!U96)</f>
        <v>0</v>
      </c>
      <c r="V96" s="11">
        <f t="shared" si="45"/>
        <v>0</v>
      </c>
      <c r="W96" s="73">
        <f t="shared" si="32"/>
        <v>0</v>
      </c>
      <c r="X96" s="89"/>
      <c r="Y96" s="65">
        <f>SUM(A:B!Y96)</f>
        <v>0</v>
      </c>
      <c r="Z96" s="65">
        <f>SUM(A:B!Z96)</f>
        <v>0</v>
      </c>
      <c r="AA96" s="65">
        <f>SUM(A:B!AA96)</f>
        <v>0</v>
      </c>
      <c r="AB96" s="65">
        <f>SUM(A:B!AB96)</f>
        <v>0</v>
      </c>
      <c r="AC96" s="65">
        <f>SUM(A:B!AC96)</f>
        <v>0</v>
      </c>
      <c r="AD96" s="65">
        <f>SUM(A:B!AD96)</f>
        <v>0</v>
      </c>
      <c r="AE96" s="65">
        <f>SUM(A:B!AE96)</f>
        <v>0</v>
      </c>
      <c r="AF96" s="65">
        <f>SUM(A:B!AF96)</f>
        <v>0</v>
      </c>
      <c r="AG96" s="65">
        <f>SUM(A:B!AG96)</f>
        <v>0</v>
      </c>
      <c r="AH96" s="65">
        <f>SUM(A:B!AH96)</f>
        <v>0</v>
      </c>
      <c r="AI96" s="65">
        <f>SUM(A:B!AI96)</f>
        <v>0</v>
      </c>
      <c r="AJ96" s="65">
        <f>SUM(A:B!AJ96)</f>
        <v>0</v>
      </c>
      <c r="AK96" s="124">
        <f t="shared" si="44"/>
        <v>0</v>
      </c>
      <c r="AL96" s="73">
        <f t="shared" si="33"/>
        <v>0</v>
      </c>
      <c r="AM96" s="14">
        <f t="shared" si="46"/>
        <v>0</v>
      </c>
      <c r="AR96" s="9"/>
      <c r="AS96" s="269"/>
      <c r="AT96" s="272"/>
    </row>
    <row r="97" spans="1:46" hidden="1" outlineLevel="1">
      <c r="A97" s="12" t="s">
        <v>191</v>
      </c>
      <c r="B97" s="8" t="s">
        <v>101</v>
      </c>
      <c r="I97" s="228" t="s">
        <v>209</v>
      </c>
      <c r="J97" s="65">
        <f>SUM(A:B!J97)</f>
        <v>39542</v>
      </c>
      <c r="K97" s="65">
        <f>SUM(A:B!K97)</f>
        <v>34803</v>
      </c>
      <c r="L97" s="65">
        <f>SUM(A:B!L97)</f>
        <v>37690</v>
      </c>
      <c r="M97" s="65">
        <f>SUM(A:B!M97)</f>
        <v>30883</v>
      </c>
      <c r="N97" s="65">
        <f>SUM(A:B!N97)</f>
        <v>28598</v>
      </c>
      <c r="O97" s="65">
        <f>SUM(A:B!O97)</f>
        <v>32733</v>
      </c>
      <c r="P97" s="65">
        <f>SUM(A:B!P97)</f>
        <v>31311</v>
      </c>
      <c r="Q97" s="65">
        <f>SUM(A:B!Q97)</f>
        <v>27859</v>
      </c>
      <c r="R97" s="65">
        <f>SUM(A:B!R97)</f>
        <v>33988</v>
      </c>
      <c r="S97" s="65">
        <f>SUM(A:B!S97)</f>
        <v>30065</v>
      </c>
      <c r="T97" s="65">
        <f>SUM(A:B!T97)</f>
        <v>30788.416666666668</v>
      </c>
      <c r="U97" s="65">
        <f>SUM(A:B!U97)</f>
        <v>31396.993055555555</v>
      </c>
      <c r="V97" s="11">
        <f t="shared" si="45"/>
        <v>389657.40972222225</v>
      </c>
      <c r="W97" s="73">
        <f t="shared" si="32"/>
        <v>1.7405292996230432E-3</v>
      </c>
      <c r="X97" s="89"/>
      <c r="Y97" s="65">
        <f>SUM(A:B!Y97)</f>
        <v>32069.655000000002</v>
      </c>
      <c r="Z97" s="65">
        <f>SUM(A:B!Z97)</f>
        <v>28966.139999999996</v>
      </c>
      <c r="AA97" s="65">
        <f>SUM(A:B!AA97)</f>
        <v>32069.655000000002</v>
      </c>
      <c r="AB97" s="65">
        <f>SUM(A:B!AB97)</f>
        <v>31035.15</v>
      </c>
      <c r="AC97" s="65">
        <f>SUM(A:B!AC97)</f>
        <v>32069.655000000002</v>
      </c>
      <c r="AD97" s="65">
        <f>SUM(A:B!AD97)</f>
        <v>31035.15</v>
      </c>
      <c r="AE97" s="65">
        <f>SUM(A:B!AE97)</f>
        <v>32069.655000000002</v>
      </c>
      <c r="AF97" s="65">
        <f>SUM(A:B!AF97)</f>
        <v>32069.655000000002</v>
      </c>
      <c r="AG97" s="65">
        <f>SUM(A:B!AG97)</f>
        <v>31035.15</v>
      </c>
      <c r="AH97" s="65">
        <f>SUM(A:B!AH97)</f>
        <v>32069.655000000002</v>
      </c>
      <c r="AI97" s="65">
        <f>SUM(A:B!AI97)</f>
        <v>31035.15</v>
      </c>
      <c r="AJ97" s="65">
        <f>SUM(A:B!AJ97)</f>
        <v>32069.655000000002</v>
      </c>
      <c r="AK97" s="124">
        <f t="shared" si="44"/>
        <v>377594.32500000007</v>
      </c>
      <c r="AL97" s="73">
        <f t="shared" si="33"/>
        <v>1.5059158542710639E-3</v>
      </c>
      <c r="AM97" s="14">
        <f t="shared" si="46"/>
        <v>-3.0958181267030649E-2</v>
      </c>
      <c r="AR97" s="9"/>
      <c r="AS97" s="269"/>
      <c r="AT97" s="272"/>
    </row>
    <row r="98" spans="1:46" hidden="1" outlineLevel="1">
      <c r="A98" s="12" t="s">
        <v>191</v>
      </c>
      <c r="B98" s="8" t="s">
        <v>101</v>
      </c>
      <c r="I98" s="228" t="s">
        <v>210</v>
      </c>
      <c r="J98" s="65">
        <f>SUM(A:B!J98)</f>
        <v>36672</v>
      </c>
      <c r="K98" s="65">
        <f>SUM(A:B!K98)</f>
        <v>33040</v>
      </c>
      <c r="L98" s="65">
        <f>SUM(A:B!L98)</f>
        <v>34986</v>
      </c>
      <c r="M98" s="65">
        <f>SUM(A:B!M98)</f>
        <v>26468</v>
      </c>
      <c r="N98" s="65">
        <f>SUM(A:B!N98)</f>
        <v>23150</v>
      </c>
      <c r="O98" s="65">
        <f>SUM(A:B!O98)</f>
        <v>28704</v>
      </c>
      <c r="P98" s="65">
        <f>SUM(A:B!P98)</f>
        <v>26537</v>
      </c>
      <c r="Q98" s="65">
        <f>SUM(A:B!Q98)</f>
        <v>23715</v>
      </c>
      <c r="R98" s="65">
        <f>SUM(A:B!R98)</f>
        <v>28653</v>
      </c>
      <c r="S98" s="65">
        <f>SUM(A:B!S98)</f>
        <v>26918</v>
      </c>
      <c r="T98" s="65">
        <f>SUM(A:B!T98)</f>
        <v>26594.833333333332</v>
      </c>
      <c r="U98" s="65">
        <f>SUM(A:B!U98)</f>
        <v>27195.319444444445</v>
      </c>
      <c r="V98" s="11">
        <f t="shared" si="45"/>
        <v>342633.15277777775</v>
      </c>
      <c r="W98" s="73">
        <f t="shared" si="32"/>
        <v>1.5304804337150269E-3</v>
      </c>
      <c r="X98" s="89"/>
      <c r="Y98" s="65">
        <f>SUM(A:B!Y98)</f>
        <v>24618.308999999994</v>
      </c>
      <c r="Z98" s="65">
        <f>SUM(A:B!Z98)</f>
        <v>22235.892</v>
      </c>
      <c r="AA98" s="65">
        <f>SUM(A:B!AA98)</f>
        <v>24618.308999999994</v>
      </c>
      <c r="AB98" s="65">
        <f>SUM(A:B!AB98)</f>
        <v>23824.169999999995</v>
      </c>
      <c r="AC98" s="65">
        <f>SUM(A:B!AC98)</f>
        <v>24618.308999999994</v>
      </c>
      <c r="AD98" s="65">
        <f>SUM(A:B!AD98)</f>
        <v>23824.169999999995</v>
      </c>
      <c r="AE98" s="65">
        <f>SUM(A:B!AE98)</f>
        <v>24618.308999999994</v>
      </c>
      <c r="AF98" s="65">
        <f>SUM(A:B!AF98)</f>
        <v>24618.308999999994</v>
      </c>
      <c r="AG98" s="65">
        <f>SUM(A:B!AG98)</f>
        <v>23824.169999999995</v>
      </c>
      <c r="AH98" s="65">
        <f>SUM(A:B!AH98)</f>
        <v>24618.308999999994</v>
      </c>
      <c r="AI98" s="65">
        <f>SUM(A:B!AI98)</f>
        <v>23824.169999999995</v>
      </c>
      <c r="AJ98" s="65">
        <f>SUM(A:B!AJ98)</f>
        <v>24618.308999999994</v>
      </c>
      <c r="AK98" s="124">
        <f t="shared" si="44"/>
        <v>289860.73499999993</v>
      </c>
      <c r="AL98" s="73">
        <f t="shared" si="33"/>
        <v>1.1560181058525264E-3</v>
      </c>
      <c r="AM98" s="14">
        <f t="shared" si="46"/>
        <v>-0.15402017390887024</v>
      </c>
      <c r="AR98" s="9"/>
      <c r="AS98" s="269"/>
      <c r="AT98" s="272"/>
    </row>
    <row r="99" spans="1:46" hidden="1" outlineLevel="1">
      <c r="A99" s="12" t="s">
        <v>191</v>
      </c>
      <c r="B99" s="8" t="s">
        <v>101</v>
      </c>
      <c r="I99" s="228" t="s">
        <v>211</v>
      </c>
      <c r="J99" s="65">
        <f>SUM(A:B!J99)</f>
        <v>0</v>
      </c>
      <c r="K99" s="65">
        <f>SUM(A:B!K99)</f>
        <v>0</v>
      </c>
      <c r="L99" s="65">
        <f>SUM(A:B!L99)</f>
        <v>0</v>
      </c>
      <c r="M99" s="65">
        <f>SUM(A:B!M99)</f>
        <v>0</v>
      </c>
      <c r="N99" s="65">
        <f>SUM(A:B!N99)</f>
        <v>0</v>
      </c>
      <c r="O99" s="65">
        <f>SUM(A:B!O99)</f>
        <v>0</v>
      </c>
      <c r="P99" s="65">
        <f>SUM(A:B!P99)</f>
        <v>0</v>
      </c>
      <c r="Q99" s="65">
        <f>SUM(A:B!Q99)</f>
        <v>0</v>
      </c>
      <c r="R99" s="65">
        <f>SUM(A:B!R99)</f>
        <v>0</v>
      </c>
      <c r="S99" s="65">
        <f>SUM(A:B!S99)</f>
        <v>0</v>
      </c>
      <c r="T99" s="65">
        <f>SUM(A:B!T99)</f>
        <v>0</v>
      </c>
      <c r="U99" s="65">
        <f>SUM(A:B!U99)</f>
        <v>0</v>
      </c>
      <c r="V99" s="11">
        <f t="shared" si="45"/>
        <v>0</v>
      </c>
      <c r="W99" s="73">
        <f t="shared" si="32"/>
        <v>0</v>
      </c>
      <c r="X99" s="89"/>
      <c r="Y99" s="65">
        <f>SUM(A:B!Y99)</f>
        <v>0</v>
      </c>
      <c r="Z99" s="65">
        <f>SUM(A:B!Z99)</f>
        <v>0</v>
      </c>
      <c r="AA99" s="65">
        <f>SUM(A:B!AA99)</f>
        <v>0</v>
      </c>
      <c r="AB99" s="65">
        <f>SUM(A:B!AB99)</f>
        <v>0</v>
      </c>
      <c r="AC99" s="65">
        <f>SUM(A:B!AC99)</f>
        <v>0</v>
      </c>
      <c r="AD99" s="65">
        <f>SUM(A:B!AD99)</f>
        <v>0</v>
      </c>
      <c r="AE99" s="65">
        <f>SUM(A:B!AE99)</f>
        <v>0</v>
      </c>
      <c r="AF99" s="65">
        <f>SUM(A:B!AF99)</f>
        <v>0</v>
      </c>
      <c r="AG99" s="65">
        <f>SUM(A:B!AG99)</f>
        <v>0</v>
      </c>
      <c r="AH99" s="65">
        <f>SUM(A:B!AH99)</f>
        <v>0</v>
      </c>
      <c r="AI99" s="65">
        <f>SUM(A:B!AI99)</f>
        <v>0</v>
      </c>
      <c r="AJ99" s="65">
        <f>SUM(A:B!AJ99)</f>
        <v>0</v>
      </c>
      <c r="AK99" s="124">
        <f t="shared" si="44"/>
        <v>0</v>
      </c>
      <c r="AL99" s="73">
        <f t="shared" si="33"/>
        <v>0</v>
      </c>
      <c r="AM99" s="14">
        <f t="shared" si="46"/>
        <v>0</v>
      </c>
      <c r="AR99" s="9"/>
      <c r="AS99" s="269"/>
      <c r="AT99" s="272"/>
    </row>
    <row r="100" spans="1:46" hidden="1" outlineLevel="1">
      <c r="A100" s="12" t="s">
        <v>191</v>
      </c>
      <c r="B100" s="8" t="s">
        <v>101</v>
      </c>
      <c r="I100" s="228" t="s">
        <v>212</v>
      </c>
      <c r="J100" s="65">
        <f>SUM(A:B!J100)</f>
        <v>11011</v>
      </c>
      <c r="K100" s="65">
        <f>SUM(A:B!K100)</f>
        <v>8661</v>
      </c>
      <c r="L100" s="65">
        <f>SUM(A:B!L100)</f>
        <v>8845</v>
      </c>
      <c r="M100" s="65">
        <f>SUM(A:B!M100)</f>
        <v>7195</v>
      </c>
      <c r="N100" s="65">
        <f>SUM(A:B!N100)</f>
        <v>6909</v>
      </c>
      <c r="O100" s="65">
        <f>SUM(A:B!O100)</f>
        <v>7713</v>
      </c>
      <c r="P100" s="65">
        <f>SUM(A:B!P100)</f>
        <v>8121</v>
      </c>
      <c r="Q100" s="65">
        <f>SUM(A:B!Q100)</f>
        <v>7589</v>
      </c>
      <c r="R100" s="65">
        <f>SUM(A:B!R100)</f>
        <v>7811</v>
      </c>
      <c r="S100" s="65">
        <f>SUM(A:B!S100)</f>
        <v>8323</v>
      </c>
      <c r="T100" s="65">
        <f>SUM(A:B!T100)</f>
        <v>7969.1666666666661</v>
      </c>
      <c r="U100" s="65">
        <f>SUM(A:B!U100)</f>
        <v>8005.2638888888887</v>
      </c>
      <c r="V100" s="11">
        <f t="shared" si="45"/>
        <v>98152.430555555562</v>
      </c>
      <c r="W100" s="73">
        <f t="shared" si="32"/>
        <v>4.3842918663588708E-4</v>
      </c>
      <c r="X100" s="89"/>
      <c r="Y100" s="65">
        <f>SUM(A:B!Y100)</f>
        <v>7756.3460099999993</v>
      </c>
      <c r="Z100" s="65">
        <f>SUM(A:B!Z100)</f>
        <v>6613.3241999999991</v>
      </c>
      <c r="AA100" s="65">
        <f>SUM(A:B!AA100)</f>
        <v>7321.8946500000002</v>
      </c>
      <c r="AB100" s="65">
        <f>SUM(A:B!AB100)</f>
        <v>7085.7045000000007</v>
      </c>
      <c r="AC100" s="65">
        <f>SUM(A:B!AC100)</f>
        <v>7321.8946500000002</v>
      </c>
      <c r="AD100" s="65">
        <f>SUM(A:B!AD100)</f>
        <v>7085.7045000000007</v>
      </c>
      <c r="AE100" s="65">
        <f>SUM(A:B!AE100)</f>
        <v>7321.8946500000002</v>
      </c>
      <c r="AF100" s="65">
        <f>SUM(A:B!AF100)</f>
        <v>7321.8946500000002</v>
      </c>
      <c r="AG100" s="65">
        <f>SUM(A:B!AG100)</f>
        <v>7085.7045000000007</v>
      </c>
      <c r="AH100" s="65">
        <f>SUM(A:B!AH100)</f>
        <v>7321.8946500000002</v>
      </c>
      <c r="AI100" s="65">
        <f>SUM(A:B!AI100)</f>
        <v>7085.7045000000007</v>
      </c>
      <c r="AJ100" s="65">
        <f>SUM(A:B!AJ100)</f>
        <v>7321.8946500000002</v>
      </c>
      <c r="AK100" s="124">
        <f t="shared" si="44"/>
        <v>86643.856110000008</v>
      </c>
      <c r="AL100" s="73">
        <f t="shared" si="33"/>
        <v>3.455516885515421E-4</v>
      </c>
      <c r="AM100" s="14">
        <f t="shared" si="46"/>
        <v>-0.11725205764559798</v>
      </c>
      <c r="AR100" s="9"/>
      <c r="AS100" s="269"/>
      <c r="AT100" s="272"/>
    </row>
    <row r="101" spans="1:46" hidden="1" outlineLevel="1">
      <c r="A101" s="12" t="s">
        <v>191</v>
      </c>
      <c r="B101" s="8" t="s">
        <v>101</v>
      </c>
      <c r="I101" s="228" t="s">
        <v>213</v>
      </c>
      <c r="J101" s="65">
        <f>SUM(A:B!J101)</f>
        <v>3422</v>
      </c>
      <c r="K101" s="65">
        <f>SUM(A:B!K101)</f>
        <v>3054</v>
      </c>
      <c r="L101" s="65">
        <f>SUM(A:B!L101)</f>
        <v>3333</v>
      </c>
      <c r="M101" s="65">
        <f>SUM(A:B!M101)</f>
        <v>2908</v>
      </c>
      <c r="N101" s="65">
        <f>SUM(A:B!N101)</f>
        <v>2560</v>
      </c>
      <c r="O101" s="65">
        <f>SUM(A:B!O101)</f>
        <v>2702</v>
      </c>
      <c r="P101" s="65">
        <f>SUM(A:B!P101)</f>
        <v>2656</v>
      </c>
      <c r="Q101" s="65">
        <f>SUM(A:B!Q101)</f>
        <v>2684</v>
      </c>
      <c r="R101" s="65">
        <f>SUM(A:B!R101)</f>
        <v>2746</v>
      </c>
      <c r="S101" s="65">
        <f>SUM(A:B!S101)</f>
        <v>2924</v>
      </c>
      <c r="T101" s="65">
        <f>SUM(A:B!T101)</f>
        <v>2820.6666666666665</v>
      </c>
      <c r="U101" s="65">
        <f>SUM(A:B!U101)</f>
        <v>2794.8888888888887</v>
      </c>
      <c r="V101" s="11">
        <f t="shared" si="45"/>
        <v>34604.555555555555</v>
      </c>
      <c r="W101" s="73">
        <f t="shared" si="32"/>
        <v>1.5457230208406543E-4</v>
      </c>
      <c r="X101" s="89"/>
      <c r="Y101" s="65">
        <f>SUM(A:B!Y101)</f>
        <v>3764.8252212842463</v>
      </c>
      <c r="Z101" s="65">
        <f>SUM(A:B!Z101)</f>
        <v>3239.2238665068498</v>
      </c>
      <c r="AA101" s="65">
        <f>SUM(A:B!AA101)</f>
        <v>3586.2835664897257</v>
      </c>
      <c r="AB101" s="65">
        <f>SUM(A:B!AB101)</f>
        <v>3470.5969998287674</v>
      </c>
      <c r="AC101" s="65">
        <f>SUM(A:B!AC101)</f>
        <v>3586.2835664897257</v>
      </c>
      <c r="AD101" s="65">
        <f>SUM(A:B!AD101)</f>
        <v>3470.5969998287674</v>
      </c>
      <c r="AE101" s="65">
        <f>SUM(A:B!AE101)</f>
        <v>3586.2835664897257</v>
      </c>
      <c r="AF101" s="65">
        <f>SUM(A:B!AF101)</f>
        <v>3586.2835664897257</v>
      </c>
      <c r="AG101" s="65">
        <f>SUM(A:B!AG101)</f>
        <v>3470.5969998287674</v>
      </c>
      <c r="AH101" s="65">
        <f>SUM(A:B!AH101)</f>
        <v>3586.2835664897257</v>
      </c>
      <c r="AI101" s="65">
        <f>SUM(A:B!AI101)</f>
        <v>3470.5969998287674</v>
      </c>
      <c r="AJ101" s="65">
        <f>SUM(A:B!AJ101)</f>
        <v>3586.2835664897257</v>
      </c>
      <c r="AK101" s="124">
        <f t="shared" si="44"/>
        <v>42404.138486044525</v>
      </c>
      <c r="AL101" s="73">
        <f t="shared" si="33"/>
        <v>1.6911553009394466E-4</v>
      </c>
      <c r="AM101" s="14">
        <f t="shared" si="46"/>
        <v>0.22539179611676285</v>
      </c>
      <c r="AR101" s="9"/>
      <c r="AS101" s="269"/>
      <c r="AT101" s="272"/>
    </row>
    <row r="102" spans="1:46" hidden="1" outlineLevel="1">
      <c r="A102" s="12" t="s">
        <v>191</v>
      </c>
      <c r="B102" s="8" t="s">
        <v>101</v>
      </c>
      <c r="I102" s="228" t="s">
        <v>215</v>
      </c>
      <c r="J102" s="65">
        <f>SUM(A:B!J102)</f>
        <v>0</v>
      </c>
      <c r="K102" s="65">
        <f>SUM(A:B!K102)</f>
        <v>0</v>
      </c>
      <c r="L102" s="65">
        <f>SUM(A:B!L102)</f>
        <v>0</v>
      </c>
      <c r="M102" s="65">
        <f>SUM(A:B!M102)</f>
        <v>9394</v>
      </c>
      <c r="N102" s="65">
        <f>SUM(A:B!N102)</f>
        <v>0</v>
      </c>
      <c r="O102" s="65">
        <f>SUM(A:B!O102)</f>
        <v>181</v>
      </c>
      <c r="P102" s="65">
        <f>SUM(A:B!P102)</f>
        <v>0</v>
      </c>
      <c r="Q102" s="65">
        <f>SUM(A:B!Q102)</f>
        <v>0</v>
      </c>
      <c r="R102" s="65">
        <f>SUM(A:B!R102)</f>
        <v>0</v>
      </c>
      <c r="S102" s="65">
        <f>SUM(A:B!S102)</f>
        <v>0</v>
      </c>
      <c r="T102" s="65">
        <f>SUM(A:B!T102)</f>
        <v>0</v>
      </c>
      <c r="U102" s="65">
        <f>SUM(A:B!U102)</f>
        <v>0</v>
      </c>
      <c r="V102" s="11">
        <f t="shared" si="45"/>
        <v>9575</v>
      </c>
      <c r="W102" s="73">
        <f t="shared" si="32"/>
        <v>4.2769796308431904E-5</v>
      </c>
      <c r="X102" s="89"/>
      <c r="Y102" s="65">
        <f>SUM(A:B!Y102)</f>
        <v>0</v>
      </c>
      <c r="Z102" s="65">
        <f>SUM(A:B!Z102)</f>
        <v>0</v>
      </c>
      <c r="AA102" s="65">
        <f>SUM(A:B!AA102)</f>
        <v>0</v>
      </c>
      <c r="AB102" s="65">
        <f>SUM(A:B!AB102)</f>
        <v>0</v>
      </c>
      <c r="AC102" s="65">
        <f>SUM(A:B!AC102)</f>
        <v>0</v>
      </c>
      <c r="AD102" s="65">
        <f>SUM(A:B!AD102)</f>
        <v>0</v>
      </c>
      <c r="AE102" s="65">
        <f>SUM(A:B!AE102)</f>
        <v>0</v>
      </c>
      <c r="AF102" s="65">
        <f>SUM(A:B!AF102)</f>
        <v>0</v>
      </c>
      <c r="AG102" s="65">
        <f>SUM(A:B!AG102)</f>
        <v>0</v>
      </c>
      <c r="AH102" s="65">
        <f>SUM(A:B!AH102)</f>
        <v>0</v>
      </c>
      <c r="AI102" s="65">
        <f>SUM(A:B!AI102)</f>
        <v>0</v>
      </c>
      <c r="AJ102" s="65">
        <f>SUM(A:B!AJ102)</f>
        <v>0</v>
      </c>
      <c r="AK102" s="124">
        <f t="shared" si="44"/>
        <v>0</v>
      </c>
      <c r="AL102" s="73">
        <f t="shared" si="33"/>
        <v>0</v>
      </c>
      <c r="AM102" s="14">
        <f t="shared" si="46"/>
        <v>-1</v>
      </c>
      <c r="AR102" s="9"/>
      <c r="AS102" s="269"/>
      <c r="AT102" s="272"/>
    </row>
    <row r="103" spans="1:46" hidden="1" outlineLevel="1">
      <c r="A103" s="12" t="s">
        <v>191</v>
      </c>
      <c r="B103" s="8" t="s">
        <v>101</v>
      </c>
      <c r="I103" s="228" t="s">
        <v>216</v>
      </c>
      <c r="J103" s="65">
        <f>SUM(A:B!J103)</f>
        <v>0</v>
      </c>
      <c r="K103" s="65">
        <f>SUM(A:B!K103)</f>
        <v>0</v>
      </c>
      <c r="L103" s="65">
        <f>SUM(A:B!L103)</f>
        <v>0</v>
      </c>
      <c r="M103" s="65">
        <f>SUM(A:B!M103)</f>
        <v>0</v>
      </c>
      <c r="N103" s="65">
        <f>SUM(A:B!N103)</f>
        <v>0</v>
      </c>
      <c r="O103" s="65">
        <f>SUM(A:B!O103)</f>
        <v>0</v>
      </c>
      <c r="P103" s="65">
        <f>SUM(A:B!P103)</f>
        <v>0</v>
      </c>
      <c r="Q103" s="65">
        <f>SUM(A:B!Q103)</f>
        <v>0</v>
      </c>
      <c r="R103" s="65">
        <f>SUM(A:B!R103)</f>
        <v>0</v>
      </c>
      <c r="S103" s="65">
        <f>SUM(A:B!S103)</f>
        <v>0</v>
      </c>
      <c r="T103" s="65">
        <f>SUM(A:B!T103)</f>
        <v>0</v>
      </c>
      <c r="U103" s="65">
        <f>SUM(A:B!U103)</f>
        <v>0</v>
      </c>
      <c r="V103" s="11">
        <f t="shared" si="45"/>
        <v>0</v>
      </c>
      <c r="W103" s="73">
        <f t="shared" si="32"/>
        <v>0</v>
      </c>
      <c r="X103" s="89"/>
      <c r="Y103" s="65">
        <f>SUM(A:B!Y103)</f>
        <v>0</v>
      </c>
      <c r="Z103" s="65">
        <f>SUM(A:B!Z103)</f>
        <v>0</v>
      </c>
      <c r="AA103" s="65">
        <f>SUM(A:B!AA103)</f>
        <v>0</v>
      </c>
      <c r="AB103" s="65">
        <f>SUM(A:B!AB103)</f>
        <v>0</v>
      </c>
      <c r="AC103" s="65">
        <f>SUM(A:B!AC103)</f>
        <v>0</v>
      </c>
      <c r="AD103" s="65">
        <f>SUM(A:B!AD103)</f>
        <v>0</v>
      </c>
      <c r="AE103" s="65">
        <f>SUM(A:B!AE103)</f>
        <v>0</v>
      </c>
      <c r="AF103" s="65">
        <f>SUM(A:B!AF103)</f>
        <v>0</v>
      </c>
      <c r="AG103" s="65">
        <f>SUM(A:B!AG103)</f>
        <v>0</v>
      </c>
      <c r="AH103" s="65">
        <f>SUM(A:B!AH103)</f>
        <v>0</v>
      </c>
      <c r="AI103" s="65">
        <f>SUM(A:B!AI103)</f>
        <v>0</v>
      </c>
      <c r="AJ103" s="65">
        <f>SUM(A:B!AJ103)</f>
        <v>0</v>
      </c>
      <c r="AK103" s="124">
        <f t="shared" si="44"/>
        <v>0</v>
      </c>
      <c r="AL103" s="73">
        <f t="shared" si="33"/>
        <v>0</v>
      </c>
      <c r="AM103" s="14">
        <f t="shared" si="46"/>
        <v>0</v>
      </c>
      <c r="AR103" s="9"/>
      <c r="AS103" s="269"/>
      <c r="AT103" s="272"/>
    </row>
    <row r="104" spans="1:46" hidden="1" outlineLevel="1">
      <c r="A104" s="12" t="s">
        <v>191</v>
      </c>
      <c r="B104" s="8" t="s">
        <v>101</v>
      </c>
      <c r="I104" s="228" t="s">
        <v>217</v>
      </c>
      <c r="J104" s="65">
        <f>SUM(A:B!J104)</f>
        <v>389212</v>
      </c>
      <c r="K104" s="65">
        <f>SUM(A:B!K104)</f>
        <v>344977</v>
      </c>
      <c r="L104" s="65">
        <f>SUM(A:B!L104)</f>
        <v>373887</v>
      </c>
      <c r="M104" s="65">
        <f>SUM(A:B!M104)</f>
        <v>310979</v>
      </c>
      <c r="N104" s="65">
        <f>SUM(A:B!N104)</f>
        <v>280846</v>
      </c>
      <c r="O104" s="65">
        <f>SUM(A:B!O104)</f>
        <v>313695</v>
      </c>
      <c r="P104" s="65">
        <f>SUM(A:B!P104)</f>
        <v>295485</v>
      </c>
      <c r="Q104" s="65">
        <f>SUM(A:B!Q104)</f>
        <v>299477</v>
      </c>
      <c r="R104" s="65">
        <f>SUM(A:B!R104)</f>
        <v>314203</v>
      </c>
      <c r="S104" s="65">
        <f>SUM(A:B!S104)</f>
        <v>306941</v>
      </c>
      <c r="T104" s="65">
        <f>SUM(A:B!T104)</f>
        <v>306385.91666666663</v>
      </c>
      <c r="U104" s="65">
        <f>SUM(A:B!U104)</f>
        <v>308667.95138888888</v>
      </c>
      <c r="V104" s="11">
        <f t="shared" si="45"/>
        <v>3844755.8680555555</v>
      </c>
      <c r="W104" s="73">
        <f t="shared" si="32"/>
        <v>1.717383032192004E-2</v>
      </c>
      <c r="X104" s="89"/>
      <c r="Y104" s="65">
        <f>SUM(A:B!Y104)</f>
        <v>366442.98820500006</v>
      </c>
      <c r="Z104" s="65">
        <f>SUM(A:B!Z104)</f>
        <v>315284.45634000003</v>
      </c>
      <c r="AA104" s="65">
        <f>SUM(A:B!AA104)</f>
        <v>349064.93380500004</v>
      </c>
      <c r="AB104" s="65">
        <f>SUM(A:B!AB104)</f>
        <v>337804.77465000004</v>
      </c>
      <c r="AC104" s="65">
        <f>SUM(A:B!AC104)</f>
        <v>349064.93380500004</v>
      </c>
      <c r="AD104" s="65">
        <f>SUM(A:B!AD104)</f>
        <v>337804.77465000004</v>
      </c>
      <c r="AE104" s="65">
        <f>SUM(A:B!AE104)</f>
        <v>349064.93380500004</v>
      </c>
      <c r="AF104" s="65">
        <f>SUM(A:B!AF104)</f>
        <v>349064.93380500004</v>
      </c>
      <c r="AG104" s="65">
        <f>SUM(A:B!AG104)</f>
        <v>337804.77465000004</v>
      </c>
      <c r="AH104" s="65">
        <f>SUM(A:B!AH104)</f>
        <v>349064.93380500004</v>
      </c>
      <c r="AI104" s="65">
        <f>SUM(A:B!AI104)</f>
        <v>337804.77465000004</v>
      </c>
      <c r="AJ104" s="65">
        <f>SUM(A:B!AJ104)</f>
        <v>349064.93380500004</v>
      </c>
      <c r="AK104" s="124">
        <f t="shared" si="44"/>
        <v>4127336.1459750002</v>
      </c>
      <c r="AL104" s="73">
        <f t="shared" si="33"/>
        <v>1.646057826247728E-2</v>
      </c>
      <c r="AM104" s="14">
        <f t="shared" si="46"/>
        <v>7.3497586743357157E-2</v>
      </c>
      <c r="AR104" s="9"/>
      <c r="AS104" s="269"/>
      <c r="AT104" s="272"/>
    </row>
    <row r="105" spans="1:46" hidden="1" outlineLevel="1">
      <c r="A105" s="12" t="s">
        <v>191</v>
      </c>
      <c r="B105" s="8" t="s">
        <v>101</v>
      </c>
      <c r="I105" s="228" t="s">
        <v>218</v>
      </c>
      <c r="J105" s="65">
        <f>SUM(A:B!J105)</f>
        <v>1154</v>
      </c>
      <c r="K105" s="65">
        <f>SUM(A:B!K105)</f>
        <v>578</v>
      </c>
      <c r="L105" s="65">
        <f>SUM(A:B!L105)</f>
        <v>3034</v>
      </c>
      <c r="M105" s="65">
        <f>SUM(A:B!M105)</f>
        <v>2167</v>
      </c>
      <c r="N105" s="65">
        <f>SUM(A:B!N105)</f>
        <v>1156</v>
      </c>
      <c r="O105" s="65">
        <f>SUM(A:B!O105)</f>
        <v>0</v>
      </c>
      <c r="P105" s="65">
        <f>SUM(A:B!P105)</f>
        <v>867</v>
      </c>
      <c r="Q105" s="65">
        <f>SUM(A:B!Q105)</f>
        <v>578</v>
      </c>
      <c r="R105" s="65">
        <f>SUM(A:B!R105)</f>
        <v>578</v>
      </c>
      <c r="S105" s="65">
        <f>SUM(A:B!S105)</f>
        <v>0</v>
      </c>
      <c r="T105" s="65">
        <f>SUM(A:B!T105)</f>
        <v>337.16666666666663</v>
      </c>
      <c r="U105" s="65">
        <f>SUM(A:B!U105)</f>
        <v>244.84722222222223</v>
      </c>
      <c r="V105" s="11">
        <f t="shared" si="45"/>
        <v>10694.013888888889</v>
      </c>
      <c r="W105" s="73">
        <f t="shared" si="32"/>
        <v>4.7768229320868874E-5</v>
      </c>
      <c r="X105" s="89"/>
      <c r="Y105" s="65">
        <f>SUM(A:B!Y105)</f>
        <v>0</v>
      </c>
      <c r="Z105" s="65">
        <f>SUM(A:B!Z105)</f>
        <v>0</v>
      </c>
      <c r="AA105" s="65">
        <f>SUM(A:B!AA105)</f>
        <v>0</v>
      </c>
      <c r="AB105" s="65">
        <f>SUM(A:B!AB105)</f>
        <v>0</v>
      </c>
      <c r="AC105" s="65">
        <f>SUM(A:B!AC105)</f>
        <v>0</v>
      </c>
      <c r="AD105" s="65">
        <f>SUM(A:B!AD105)</f>
        <v>0</v>
      </c>
      <c r="AE105" s="65">
        <f>SUM(A:B!AE105)</f>
        <v>0</v>
      </c>
      <c r="AF105" s="65">
        <f>SUM(A:B!AF105)</f>
        <v>0</v>
      </c>
      <c r="AG105" s="65">
        <f>SUM(A:B!AG105)</f>
        <v>0</v>
      </c>
      <c r="AH105" s="65">
        <f>SUM(A:B!AH105)</f>
        <v>0</v>
      </c>
      <c r="AI105" s="65">
        <f>SUM(A:B!AI105)</f>
        <v>0</v>
      </c>
      <c r="AJ105" s="65">
        <f>SUM(A:B!AJ105)</f>
        <v>0</v>
      </c>
      <c r="AK105" s="124">
        <f t="shared" si="44"/>
        <v>0</v>
      </c>
      <c r="AL105" s="73">
        <f t="shared" si="33"/>
        <v>0</v>
      </c>
      <c r="AM105" s="14">
        <f t="shared" si="46"/>
        <v>-1</v>
      </c>
      <c r="AR105" s="9"/>
      <c r="AS105" s="269"/>
      <c r="AT105" s="272"/>
    </row>
    <row r="106" spans="1:46" hidden="1" outlineLevel="1">
      <c r="A106" s="12" t="s">
        <v>191</v>
      </c>
      <c r="B106" s="8" t="s">
        <v>101</v>
      </c>
      <c r="I106" s="228" t="s">
        <v>219</v>
      </c>
      <c r="J106" s="65">
        <f>SUM(A:B!J106)</f>
        <v>13685</v>
      </c>
      <c r="K106" s="65">
        <f>SUM(A:B!K106)</f>
        <v>12212</v>
      </c>
      <c r="L106" s="65">
        <f>SUM(A:B!L106)</f>
        <v>13331</v>
      </c>
      <c r="M106" s="65">
        <f>SUM(A:B!M106)</f>
        <v>11633</v>
      </c>
      <c r="N106" s="65">
        <f>SUM(A:B!N106)</f>
        <v>10238</v>
      </c>
      <c r="O106" s="65">
        <f>SUM(A:B!O106)</f>
        <v>10803</v>
      </c>
      <c r="P106" s="65">
        <f>SUM(A:B!P106)</f>
        <v>10620</v>
      </c>
      <c r="Q106" s="65">
        <f>SUM(A:B!Q106)</f>
        <v>10735</v>
      </c>
      <c r="R106" s="65">
        <f>SUM(A:B!R106)</f>
        <v>10983</v>
      </c>
      <c r="S106" s="65">
        <f>SUM(A:B!S106)</f>
        <v>11692</v>
      </c>
      <c r="T106" s="65">
        <f>SUM(A:B!T106)</f>
        <v>11280.416666666666</v>
      </c>
      <c r="U106" s="65">
        <f>SUM(A:B!U106)</f>
        <v>11177.493055555557</v>
      </c>
      <c r="V106" s="11">
        <f t="shared" si="45"/>
        <v>138389.90972222222</v>
      </c>
      <c r="W106" s="73">
        <f t="shared" si="32"/>
        <v>6.1816274151036278E-4</v>
      </c>
      <c r="X106" s="89"/>
      <c r="Y106" s="65">
        <f>SUM(A:B!Y106)</f>
        <v>0</v>
      </c>
      <c r="Z106" s="65">
        <f>SUM(A:B!Z106)</f>
        <v>0</v>
      </c>
      <c r="AA106" s="65">
        <f>SUM(A:B!AA106)</f>
        <v>0</v>
      </c>
      <c r="AB106" s="65">
        <f>SUM(A:B!AB106)</f>
        <v>0</v>
      </c>
      <c r="AC106" s="65">
        <f>SUM(A:B!AC106)</f>
        <v>0</v>
      </c>
      <c r="AD106" s="65">
        <f>SUM(A:B!AD106)</f>
        <v>0</v>
      </c>
      <c r="AE106" s="65">
        <f>SUM(A:B!AE106)</f>
        <v>0</v>
      </c>
      <c r="AF106" s="65">
        <f>SUM(A:B!AF106)</f>
        <v>0</v>
      </c>
      <c r="AG106" s="65">
        <f>SUM(A:B!AG106)</f>
        <v>0</v>
      </c>
      <c r="AH106" s="65">
        <f>SUM(A:B!AH106)</f>
        <v>0</v>
      </c>
      <c r="AI106" s="65">
        <f>SUM(A:B!AI106)</f>
        <v>0</v>
      </c>
      <c r="AJ106" s="65">
        <f>SUM(A:B!AJ106)</f>
        <v>0</v>
      </c>
      <c r="AK106" s="124">
        <f t="shared" si="44"/>
        <v>0</v>
      </c>
      <c r="AL106" s="73">
        <f t="shared" si="33"/>
        <v>0</v>
      </c>
      <c r="AM106" s="14">
        <f t="shared" si="46"/>
        <v>-1</v>
      </c>
      <c r="AR106" s="9"/>
      <c r="AS106" s="269"/>
      <c r="AT106" s="272"/>
    </row>
    <row r="107" spans="1:46" collapsed="1">
      <c r="A107" s="12" t="s">
        <v>208</v>
      </c>
      <c r="B107" s="8" t="s">
        <v>101</v>
      </c>
      <c r="I107" s="170" t="s">
        <v>220</v>
      </c>
      <c r="J107" s="15">
        <f>SUM(J108:J111)</f>
        <v>125618</v>
      </c>
      <c r="K107" s="15">
        <f t="shared" ref="K107:U107" si="47">SUM(K108:K111)</f>
        <v>111906</v>
      </c>
      <c r="L107" s="15">
        <f t="shared" si="47"/>
        <v>125379</v>
      </c>
      <c r="M107" s="15">
        <f t="shared" si="47"/>
        <v>105514</v>
      </c>
      <c r="N107" s="15">
        <f t="shared" si="47"/>
        <v>95153</v>
      </c>
      <c r="O107" s="15">
        <f t="shared" si="47"/>
        <v>101185</v>
      </c>
      <c r="P107" s="15">
        <f t="shared" si="47"/>
        <v>100687</v>
      </c>
      <c r="Q107" s="15">
        <f t="shared" si="47"/>
        <v>100816</v>
      </c>
      <c r="R107" s="15">
        <f t="shared" si="47"/>
        <v>104151</v>
      </c>
      <c r="S107" s="15">
        <f t="shared" si="47"/>
        <v>102273</v>
      </c>
      <c r="T107" s="15">
        <f t="shared" si="47"/>
        <v>104210.58333333333</v>
      </c>
      <c r="U107" s="15">
        <f t="shared" si="47"/>
        <v>102806.42361111109</v>
      </c>
      <c r="V107" s="15">
        <f>SUM(V108:V111)</f>
        <v>1279699.0069444445</v>
      </c>
      <c r="W107" s="72">
        <f t="shared" si="32"/>
        <v>5.716184424346368E-3</v>
      </c>
      <c r="X107" s="89"/>
      <c r="Y107" s="15">
        <f t="shared" ref="Y107:AJ107" si="48">SUM(Y108:Y111)</f>
        <v>128424.09544881567</v>
      </c>
      <c r="Z107" s="15">
        <f t="shared" si="48"/>
        <v>113148.40171508558</v>
      </c>
      <c r="AA107" s="15">
        <f t="shared" si="48"/>
        <v>123796.12923539948</v>
      </c>
      <c r="AB107" s="15">
        <f t="shared" si="48"/>
        <v>117053.47807130346</v>
      </c>
      <c r="AC107" s="15">
        <f t="shared" si="48"/>
        <v>123796.12923539948</v>
      </c>
      <c r="AD107" s="15">
        <f t="shared" si="48"/>
        <v>117053.47807130346</v>
      </c>
      <c r="AE107" s="15">
        <f t="shared" si="48"/>
        <v>119858.52308724751</v>
      </c>
      <c r="AF107" s="15">
        <f t="shared" si="48"/>
        <v>119858.52308724751</v>
      </c>
      <c r="AG107" s="15">
        <f t="shared" si="48"/>
        <v>120246.88672862817</v>
      </c>
      <c r="AH107" s="15">
        <f t="shared" si="48"/>
        <v>119858.52308724751</v>
      </c>
      <c r="AI107" s="15">
        <f t="shared" si="48"/>
        <v>120246.88672862817</v>
      </c>
      <c r="AJ107" s="15">
        <f t="shared" si="48"/>
        <v>123796.12923539948</v>
      </c>
      <c r="AK107" s="278">
        <f>SUM(AK108:AK111)</f>
        <v>1447137.1837317054</v>
      </c>
      <c r="AL107" s="72">
        <f t="shared" si="33"/>
        <v>5.7714501622521796E-3</v>
      </c>
      <c r="AM107" s="10">
        <f t="shared" si="46"/>
        <v>0.13084184318237102</v>
      </c>
      <c r="AN107" s="277">
        <f t="shared" ref="AN107:AN157" si="49">+AK107-V107</f>
        <v>167438.17678726092</v>
      </c>
      <c r="AR107" s="9"/>
      <c r="AS107" s="269"/>
      <c r="AT107" s="272"/>
    </row>
    <row r="108" spans="1:46" ht="15" hidden="1" customHeight="1" outlineLevel="1">
      <c r="A108" s="12" t="s">
        <v>208</v>
      </c>
      <c r="B108" s="8" t="s">
        <v>101</v>
      </c>
      <c r="I108" s="139" t="s">
        <v>221</v>
      </c>
      <c r="J108" s="65">
        <f>SUM(A:B!J108)</f>
        <v>22756</v>
      </c>
      <c r="K108" s="65">
        <f>SUM(A:B!K108)</f>
        <v>20542</v>
      </c>
      <c r="L108" s="65">
        <f>SUM(A:B!L108)</f>
        <v>22521</v>
      </c>
      <c r="M108" s="65">
        <f>SUM(A:B!M108)</f>
        <v>19001</v>
      </c>
      <c r="N108" s="65">
        <f>SUM(A:B!N108)</f>
        <v>17498</v>
      </c>
      <c r="O108" s="65">
        <f>SUM(A:B!O108)</f>
        <v>18314</v>
      </c>
      <c r="P108" s="65">
        <f>SUM(A:B!P108)</f>
        <v>18424</v>
      </c>
      <c r="Q108" s="65">
        <f>SUM(A:B!Q108)</f>
        <v>19010</v>
      </c>
      <c r="R108" s="65">
        <f>SUM(A:B!R108)</f>
        <v>18905</v>
      </c>
      <c r="S108" s="65">
        <f>SUM(A:B!S108)</f>
        <v>19243</v>
      </c>
      <c r="T108" s="65">
        <f>SUM(A:B!T108)</f>
        <v>19371.166666666668</v>
      </c>
      <c r="U108" s="65">
        <f>SUM(A:B!U108)</f>
        <v>19033.847222222223</v>
      </c>
      <c r="V108" s="11">
        <f>SUM(J108:U108)</f>
        <v>234619.01388888888</v>
      </c>
      <c r="W108" s="73">
        <f t="shared" si="32"/>
        <v>1.0480007764086614E-3</v>
      </c>
      <c r="X108" s="89"/>
      <c r="Y108" s="65">
        <f>SUM(A:B!Y108)</f>
        <v>22580.830652228207</v>
      </c>
      <c r="Z108" s="65">
        <f>SUM(A:B!Z108)</f>
        <v>19800.717685783857</v>
      </c>
      <c r="AA108" s="65">
        <f>SUM(A:B!AA108)</f>
        <v>21611.93500652958</v>
      </c>
      <c r="AB108" s="65">
        <f>SUM(A:B!AB108)</f>
        <v>20332.586350314341</v>
      </c>
      <c r="AC108" s="65">
        <f>SUM(A:B!AC108)</f>
        <v>21611.93500652958</v>
      </c>
      <c r="AD108" s="65">
        <f>SUM(A:B!AD108)</f>
        <v>20332.586350314341</v>
      </c>
      <c r="AE108" s="65">
        <f>SUM(A:B!AE108)</f>
        <v>20936.325457229574</v>
      </c>
      <c r="AF108" s="65">
        <f>SUM(A:B!AF108)</f>
        <v>20936.325457229574</v>
      </c>
      <c r="AG108" s="65">
        <f>SUM(A:B!AG108)</f>
        <v>21008.195899614337</v>
      </c>
      <c r="AH108" s="65">
        <f>SUM(A:B!AH108)</f>
        <v>20936.325457229574</v>
      </c>
      <c r="AI108" s="65">
        <f>SUM(A:B!AI108)</f>
        <v>21008.195899614337</v>
      </c>
      <c r="AJ108" s="65">
        <f>SUM(A:B!AJ108)</f>
        <v>21611.93500652958</v>
      </c>
      <c r="AK108" s="124">
        <f t="shared" si="44"/>
        <v>252707.89422914688</v>
      </c>
      <c r="AL108" s="73">
        <f t="shared" si="33"/>
        <v>1.0078457201895905E-3</v>
      </c>
      <c r="AM108" s="14">
        <f t="shared" si="46"/>
        <v>7.7098953066201847E-2</v>
      </c>
      <c r="AN108" s="277">
        <f t="shared" si="49"/>
        <v>18088.880340258009</v>
      </c>
      <c r="AR108" s="9"/>
      <c r="AS108" s="269"/>
      <c r="AT108" s="272"/>
    </row>
    <row r="109" spans="1:46" ht="15" hidden="1" customHeight="1" outlineLevel="1">
      <c r="A109" s="12" t="s">
        <v>208</v>
      </c>
      <c r="B109" s="8" t="s">
        <v>101</v>
      </c>
      <c r="I109" s="139" t="s">
        <v>222</v>
      </c>
      <c r="J109" s="65">
        <f>SUM(A:B!J109)</f>
        <v>34890</v>
      </c>
      <c r="K109" s="65">
        <f>SUM(A:B!K109)</f>
        <v>30748</v>
      </c>
      <c r="L109" s="65">
        <f>SUM(A:B!L109)</f>
        <v>34671</v>
      </c>
      <c r="M109" s="65">
        <f>SUM(A:B!M109)</f>
        <v>29248</v>
      </c>
      <c r="N109" s="65">
        <f>SUM(A:B!N109)</f>
        <v>26686</v>
      </c>
      <c r="O109" s="65">
        <f>SUM(A:B!O109)</f>
        <v>28295</v>
      </c>
      <c r="P109" s="65">
        <f>SUM(A:B!P109)</f>
        <v>28526</v>
      </c>
      <c r="Q109" s="65">
        <f>SUM(A:B!Q109)</f>
        <v>28857</v>
      </c>
      <c r="R109" s="65">
        <f>SUM(A:B!R109)</f>
        <v>29197</v>
      </c>
      <c r="S109" s="65">
        <f>SUM(A:B!S109)</f>
        <v>29170</v>
      </c>
      <c r="T109" s="65">
        <f>SUM(A:B!T109)</f>
        <v>29580.583333333332</v>
      </c>
      <c r="U109" s="65">
        <f>SUM(A:B!U109)</f>
        <v>29126.923611111109</v>
      </c>
      <c r="V109" s="11">
        <f>SUM(J109:U109)</f>
        <v>358995.50694444444</v>
      </c>
      <c r="W109" s="73">
        <f t="shared" si="32"/>
        <v>1.6035681156821033E-3</v>
      </c>
      <c r="X109" s="89"/>
      <c r="Y109" s="65">
        <f>SUM(A:B!Y109)</f>
        <v>39681.441623081118</v>
      </c>
      <c r="Z109" s="65">
        <f>SUM(A:B!Z109)</f>
        <v>34763.284099962519</v>
      </c>
      <c r="AA109" s="65">
        <f>SUM(A:B!AA109)</f>
        <v>37935.606655516225</v>
      </c>
      <c r="AB109" s="65">
        <f>SUM(A:B!AB109)</f>
        <v>35694.46314582281</v>
      </c>
      <c r="AC109" s="65">
        <f>SUM(A:B!AC109)</f>
        <v>37935.606655516225</v>
      </c>
      <c r="AD109" s="65">
        <f>SUM(A:B!AD109)</f>
        <v>35694.46314582281</v>
      </c>
      <c r="AE109" s="65">
        <f>SUM(A:B!AE109)</f>
        <v>36007.706506846815</v>
      </c>
      <c r="AF109" s="65">
        <f>SUM(A:B!AF109)</f>
        <v>36007.706506846815</v>
      </c>
      <c r="AG109" s="65">
        <f>SUM(A:B!AG109)</f>
        <v>36878.16580366499</v>
      </c>
      <c r="AH109" s="65">
        <f>SUM(A:B!AH109)</f>
        <v>36007.706506846815</v>
      </c>
      <c r="AI109" s="65">
        <f>SUM(A:B!AI109)</f>
        <v>36878.16580366499</v>
      </c>
      <c r="AJ109" s="65">
        <f>SUM(A:B!AJ109)</f>
        <v>37935.606655516225</v>
      </c>
      <c r="AK109" s="124">
        <f t="shared" si="44"/>
        <v>441419.92310910835</v>
      </c>
      <c r="AL109" s="73">
        <f t="shared" si="33"/>
        <v>1.7604641187367422E-3</v>
      </c>
      <c r="AM109" s="14">
        <f t="shared" si="46"/>
        <v>0.22959734751616079</v>
      </c>
      <c r="AN109" s="277">
        <f t="shared" si="49"/>
        <v>82424.416164663911</v>
      </c>
      <c r="AR109" s="9"/>
      <c r="AS109" s="269"/>
      <c r="AT109" s="272"/>
    </row>
    <row r="110" spans="1:46" ht="15" hidden="1" customHeight="1" outlineLevel="1">
      <c r="A110" s="12" t="s">
        <v>208</v>
      </c>
      <c r="B110" s="8" t="s">
        <v>101</v>
      </c>
      <c r="I110" s="139" t="s">
        <v>223</v>
      </c>
      <c r="J110" s="65">
        <f>SUM(A:B!J110)</f>
        <v>52370</v>
      </c>
      <c r="K110" s="65">
        <f>SUM(A:B!K110)</f>
        <v>46458</v>
      </c>
      <c r="L110" s="65">
        <f>SUM(A:B!L110)</f>
        <v>51907</v>
      </c>
      <c r="M110" s="65">
        <f>SUM(A:B!M110)</f>
        <v>42863</v>
      </c>
      <c r="N110" s="65">
        <f>SUM(A:B!N110)</f>
        <v>38248</v>
      </c>
      <c r="O110" s="65">
        <f>SUM(A:B!O110)</f>
        <v>41319</v>
      </c>
      <c r="P110" s="65">
        <f>SUM(A:B!P110)</f>
        <v>41306</v>
      </c>
      <c r="Q110" s="65">
        <f>SUM(A:B!Q110)</f>
        <v>41069</v>
      </c>
      <c r="R110" s="65">
        <f>SUM(A:B!R110)</f>
        <v>41502</v>
      </c>
      <c r="S110" s="65">
        <f>SUM(A:B!S110)</f>
        <v>41205</v>
      </c>
      <c r="T110" s="65">
        <f>SUM(A:B!T110)</f>
        <v>42100.666666666664</v>
      </c>
      <c r="U110" s="65">
        <f>SUM(A:B!U110)</f>
        <v>41398.055555555555</v>
      </c>
      <c r="V110" s="11">
        <f>SUM(J110:U110)</f>
        <v>521745.72222222225</v>
      </c>
      <c r="W110" s="73">
        <f t="shared" si="32"/>
        <v>2.3305439440459673E-3</v>
      </c>
      <c r="X110" s="89"/>
      <c r="Y110" s="65">
        <f>SUM(A:B!Y110)</f>
        <v>50912.685862169405</v>
      </c>
      <c r="Z110" s="65">
        <f>SUM(A:B!Z110)</f>
        <v>45167.908357868888</v>
      </c>
      <c r="AA110" s="65">
        <f>SUM(A:B!AA110)</f>
        <v>49580.787649435923</v>
      </c>
      <c r="AB110" s="65">
        <f>SUM(A:B!AB110)</f>
        <v>47181.097164977713</v>
      </c>
      <c r="AC110" s="65">
        <f>SUM(A:B!AC110)</f>
        <v>49580.787649435923</v>
      </c>
      <c r="AD110" s="65">
        <f>SUM(A:B!AD110)</f>
        <v>47181.097164977713</v>
      </c>
      <c r="AE110" s="65">
        <f>SUM(A:B!AE110)</f>
        <v>48652.056928833372</v>
      </c>
      <c r="AF110" s="65">
        <f>SUM(A:B!AF110)</f>
        <v>48652.056928833372</v>
      </c>
      <c r="AG110" s="65">
        <f>SUM(A:B!AG110)</f>
        <v>48109.827885580249</v>
      </c>
      <c r="AH110" s="65">
        <f>SUM(A:B!AH110)</f>
        <v>48652.056928833372</v>
      </c>
      <c r="AI110" s="65">
        <f>SUM(A:B!AI110)</f>
        <v>48109.827885580249</v>
      </c>
      <c r="AJ110" s="65">
        <f>SUM(A:B!AJ110)</f>
        <v>49580.787649435923</v>
      </c>
      <c r="AK110" s="124">
        <f t="shared" si="44"/>
        <v>581360.97805596213</v>
      </c>
      <c r="AL110" s="73">
        <f t="shared" si="33"/>
        <v>2.318574872408385E-3</v>
      </c>
      <c r="AM110" s="14">
        <f t="shared" si="46"/>
        <v>0.11426113007659411</v>
      </c>
      <c r="AN110" s="277">
        <f t="shared" si="49"/>
        <v>59615.25583373988</v>
      </c>
      <c r="AR110" s="9"/>
      <c r="AS110" s="269"/>
      <c r="AT110" s="272"/>
    </row>
    <row r="111" spans="1:46" ht="15" hidden="1" customHeight="1" outlineLevel="1">
      <c r="A111" s="12" t="s">
        <v>208</v>
      </c>
      <c r="B111" s="8" t="s">
        <v>101</v>
      </c>
      <c r="I111" s="139" t="s">
        <v>224</v>
      </c>
      <c r="J111" s="65">
        <f>SUM(A:B!J111)</f>
        <v>15602</v>
      </c>
      <c r="K111" s="65">
        <f>SUM(A:B!K111)</f>
        <v>14158</v>
      </c>
      <c r="L111" s="65">
        <f>SUM(A:B!L111)</f>
        <v>16280</v>
      </c>
      <c r="M111" s="65">
        <f>SUM(A:B!M111)</f>
        <v>14402</v>
      </c>
      <c r="N111" s="65">
        <f>SUM(A:B!N111)</f>
        <v>12721</v>
      </c>
      <c r="O111" s="65">
        <f>SUM(A:B!O111)</f>
        <v>13257</v>
      </c>
      <c r="P111" s="65">
        <f>SUM(A:B!P111)</f>
        <v>12431</v>
      </c>
      <c r="Q111" s="65">
        <f>SUM(A:B!Q111)</f>
        <v>11880</v>
      </c>
      <c r="R111" s="65">
        <f>SUM(A:B!R111)</f>
        <v>14547</v>
      </c>
      <c r="S111" s="65">
        <f>SUM(A:B!S111)</f>
        <v>12655</v>
      </c>
      <c r="T111" s="65">
        <f>SUM(A:B!T111)</f>
        <v>13158.166666666666</v>
      </c>
      <c r="U111" s="65">
        <f>SUM(A:B!U111)</f>
        <v>13247.597222222223</v>
      </c>
      <c r="V111" s="11">
        <f>SUM(J111:U111)</f>
        <v>164338.76388888888</v>
      </c>
      <c r="W111" s="73">
        <f t="shared" si="32"/>
        <v>7.3407158820963561E-4</v>
      </c>
      <c r="X111" s="89"/>
      <c r="Y111" s="65">
        <f>SUM(A:B!Y111)</f>
        <v>15249.137311336926</v>
      </c>
      <c r="Z111" s="65">
        <f>SUM(A:B!Z111)</f>
        <v>13416.491571470313</v>
      </c>
      <c r="AA111" s="65">
        <f>SUM(A:B!AA111)</f>
        <v>14667.799923917748</v>
      </c>
      <c r="AB111" s="65">
        <f>SUM(A:B!AB111)</f>
        <v>13845.331410188599</v>
      </c>
      <c r="AC111" s="65">
        <f>SUM(A:B!AC111)</f>
        <v>14667.799923917748</v>
      </c>
      <c r="AD111" s="65">
        <f>SUM(A:B!AD111)</f>
        <v>13845.331410188599</v>
      </c>
      <c r="AE111" s="65">
        <f>SUM(A:B!AE111)</f>
        <v>14262.434194337744</v>
      </c>
      <c r="AF111" s="65">
        <f>SUM(A:B!AF111)</f>
        <v>14262.434194337744</v>
      </c>
      <c r="AG111" s="65">
        <f>SUM(A:B!AG111)</f>
        <v>14250.697139768599</v>
      </c>
      <c r="AH111" s="65">
        <f>SUM(A:B!AH111)</f>
        <v>14262.434194337744</v>
      </c>
      <c r="AI111" s="65">
        <f>SUM(A:B!AI111)</f>
        <v>14250.697139768599</v>
      </c>
      <c r="AJ111" s="65">
        <f>SUM(A:B!AJ111)</f>
        <v>14667.799923917748</v>
      </c>
      <c r="AK111" s="124">
        <f t="shared" si="44"/>
        <v>171648.38833748814</v>
      </c>
      <c r="AL111" s="73">
        <f t="shared" si="33"/>
        <v>6.8456545091746205E-4</v>
      </c>
      <c r="AM111" s="14">
        <f t="shared" si="46"/>
        <v>4.4479003465922151E-2</v>
      </c>
      <c r="AN111" s="277">
        <f t="shared" si="49"/>
        <v>7309.6244485992647</v>
      </c>
      <c r="AR111" s="9"/>
      <c r="AS111" s="269"/>
      <c r="AT111" s="272"/>
    </row>
    <row r="112" spans="1:46">
      <c r="A112" s="12" t="s">
        <v>214</v>
      </c>
      <c r="B112" s="8" t="s">
        <v>101</v>
      </c>
      <c r="C112" s="8" t="s">
        <v>91</v>
      </c>
      <c r="I112" s="170" t="s">
        <v>225</v>
      </c>
      <c r="J112" s="15">
        <f>SUM(J113:J147)</f>
        <v>219879</v>
      </c>
      <c r="K112" s="15">
        <f>SUM(K113:K147)</f>
        <v>217122</v>
      </c>
      <c r="L112" s="15">
        <f>SUM(L113:L147)</f>
        <v>134955</v>
      </c>
      <c r="M112" s="15">
        <f>SUM(M113:M147)</f>
        <v>214746</v>
      </c>
      <c r="N112" s="15">
        <f>SUM(N113:N147)</f>
        <v>82379</v>
      </c>
      <c r="O112" s="15">
        <f>SUM(O113:O147)</f>
        <v>21000</v>
      </c>
      <c r="P112" s="15">
        <f>SUM(P113:P147)</f>
        <v>192597</v>
      </c>
      <c r="Q112" s="15">
        <f>SUM(Q113:Q147)</f>
        <v>26743</v>
      </c>
      <c r="R112" s="15">
        <f>SUM(R113:R147)</f>
        <v>206614</v>
      </c>
      <c r="S112" s="15">
        <f>SUM(S113:S147)</f>
        <v>191732</v>
      </c>
      <c r="T112" s="15">
        <f>SUM(T113:T147)</f>
        <v>110111.84</v>
      </c>
      <c r="U112" s="15">
        <f>SUM(U113:U147)</f>
        <v>125361.84</v>
      </c>
      <c r="V112" s="15">
        <f>SUM(V113:V147)</f>
        <v>1743240.68</v>
      </c>
      <c r="W112" s="72">
        <f t="shared" si="32"/>
        <v>7.7867413890519389E-3</v>
      </c>
      <c r="X112" s="89"/>
      <c r="Y112" s="15">
        <f>SUM(Y113:Y147)</f>
        <v>250533.08919999999</v>
      </c>
      <c r="Z112" s="15">
        <f>SUM(Z113:Z147)</f>
        <v>132759.66019999998</v>
      </c>
      <c r="AA112" s="15">
        <f>SUM(AA113:AA147)</f>
        <v>131149.04460000002</v>
      </c>
      <c r="AB112" s="15">
        <f>SUM(AB113:AB147)</f>
        <v>530391.25499999989</v>
      </c>
      <c r="AC112" s="15">
        <f>SUM(AC113:AC147)</f>
        <v>140522.91019999998</v>
      </c>
      <c r="AD112" s="15">
        <f>SUM(AD113:AD147)</f>
        <v>90680.774999999994</v>
      </c>
      <c r="AE112" s="15">
        <f>SUM(AE113:AE147)</f>
        <v>164847.34</v>
      </c>
      <c r="AF112" s="15">
        <f>SUM(AF113:AF147)</f>
        <v>132397.37520000001</v>
      </c>
      <c r="AG112" s="15">
        <f>SUM(AG113:AG147)</f>
        <v>200556.63999999996</v>
      </c>
      <c r="AH112" s="15">
        <f>SUM(AH113:AH147)</f>
        <v>93941.34</v>
      </c>
      <c r="AI112" s="15">
        <f>SUM(AI113:AI147)</f>
        <v>109107.62519999999</v>
      </c>
      <c r="AJ112" s="15">
        <f>SUM(AJ113:AJ147)</f>
        <v>103153.73</v>
      </c>
      <c r="AK112" s="278">
        <f>SUM(AK113:AK147)</f>
        <v>2080040.7846000001</v>
      </c>
      <c r="AL112" s="72">
        <f t="shared" si="33"/>
        <v>8.29558652678258E-3</v>
      </c>
      <c r="AM112" s="10">
        <f t="shared" si="46"/>
        <v>0.19320344486224372</v>
      </c>
      <c r="AN112" s="277">
        <f t="shared" si="49"/>
        <v>336800.1046000002</v>
      </c>
      <c r="AO112" s="1" t="s">
        <v>445</v>
      </c>
      <c r="AR112" s="9"/>
      <c r="AS112" s="269"/>
      <c r="AT112" s="272"/>
    </row>
    <row r="113" spans="1:46" outlineLevel="1">
      <c r="A113" s="12" t="s">
        <v>214</v>
      </c>
      <c r="B113" s="8" t="s">
        <v>101</v>
      </c>
      <c r="E113" s="7" t="s">
        <v>446</v>
      </c>
      <c r="I113" s="229" t="s">
        <v>226</v>
      </c>
      <c r="J113" s="65">
        <f>SUM(A:B!J113)</f>
        <v>0</v>
      </c>
      <c r="K113" s="65">
        <f>SUM(A:B!K113)</f>
        <v>29144</v>
      </c>
      <c r="L113" s="65">
        <f>SUM(A:B!L113)</f>
        <v>35382</v>
      </c>
      <c r="M113" s="65">
        <f>SUM(A:B!M113)</f>
        <v>56496</v>
      </c>
      <c r="N113" s="65">
        <f>SUM(A:B!N113)</f>
        <v>8000</v>
      </c>
      <c r="O113" s="65">
        <f>SUM(A:B!O113)</f>
        <v>9000</v>
      </c>
      <c r="P113" s="65">
        <f>SUM(A:B!P113)</f>
        <v>7400</v>
      </c>
      <c r="Q113" s="65">
        <f>SUM(A:B!Q113)</f>
        <v>500</v>
      </c>
      <c r="R113" s="65">
        <f>SUM(A:B!R113)</f>
        <v>96630</v>
      </c>
      <c r="S113" s="65">
        <f>SUM(A:B!S113)</f>
        <v>0</v>
      </c>
      <c r="T113" s="65">
        <v>0</v>
      </c>
      <c r="U113" s="65">
        <v>0</v>
      </c>
      <c r="V113" s="11">
        <f>SUM(J113:U113)</f>
        <v>242552</v>
      </c>
      <c r="W113" s="73">
        <f t="shared" si="32"/>
        <v>1.083435993128227E-3</v>
      </c>
      <c r="X113" s="89"/>
      <c r="Y113" s="65">
        <f>SUM(A:B!Y113)</f>
        <v>11534.04</v>
      </c>
      <c r="Z113" s="65">
        <f>SUM(A:B!Z113)</f>
        <v>14134.04</v>
      </c>
      <c r="AA113" s="65">
        <f>SUM(A:B!AA113)</f>
        <v>14134.04</v>
      </c>
      <c r="AB113" s="65">
        <f>SUM(A:B!AB113)</f>
        <v>14134.04</v>
      </c>
      <c r="AC113" s="65">
        <f>SUM(A:B!AC113)</f>
        <v>14134.04</v>
      </c>
      <c r="AD113" s="65">
        <f>SUM(A:B!AD113)</f>
        <v>14134.04</v>
      </c>
      <c r="AE113" s="65">
        <f>SUM(A:B!AE113)</f>
        <v>14134.04</v>
      </c>
      <c r="AF113" s="65">
        <f>SUM(A:B!AF113)</f>
        <v>14134.04</v>
      </c>
      <c r="AG113" s="65">
        <f>SUM(A:B!AG113)</f>
        <v>14134.04</v>
      </c>
      <c r="AH113" s="65">
        <f>SUM(A:B!AH113)</f>
        <v>14134.04</v>
      </c>
      <c r="AI113" s="65">
        <f>SUM(A:B!AI113)</f>
        <v>14134.04</v>
      </c>
      <c r="AJ113" s="65">
        <f>SUM(A:B!AJ113)</f>
        <v>14134.04</v>
      </c>
      <c r="AK113" s="124">
        <f t="shared" si="44"/>
        <v>167008.48000000007</v>
      </c>
      <c r="AL113" s="73">
        <f t="shared" si="33"/>
        <v>6.6606064015848731E-4</v>
      </c>
      <c r="AM113" s="14">
        <f t="shared" si="46"/>
        <v>-0.31145288432995788</v>
      </c>
      <c r="AN113" s="277">
        <f t="shared" si="49"/>
        <v>-75543.519999999931</v>
      </c>
      <c r="AO113" s="1" t="s">
        <v>447</v>
      </c>
      <c r="AR113" s="9"/>
      <c r="AS113" s="269"/>
      <c r="AT113" s="272"/>
    </row>
    <row r="114" spans="1:46" outlineLevel="1">
      <c r="A114" s="12"/>
      <c r="I114" s="228" t="s">
        <v>227</v>
      </c>
      <c r="J114" s="65">
        <f>SUM(A:B!J114)</f>
        <v>0</v>
      </c>
      <c r="K114" s="65">
        <f>SUM(A:B!K114)</f>
        <v>0</v>
      </c>
      <c r="L114" s="65">
        <f>SUM(A:B!L114)</f>
        <v>0</v>
      </c>
      <c r="M114" s="65">
        <f>SUM(A:B!M114)</f>
        <v>0</v>
      </c>
      <c r="N114" s="65">
        <f>SUM(A:B!N114)</f>
        <v>0</v>
      </c>
      <c r="O114" s="65">
        <f>SUM(A:B!O114)</f>
        <v>0</v>
      </c>
      <c r="P114" s="65">
        <f>SUM(A:B!P114)</f>
        <v>0</v>
      </c>
      <c r="Q114" s="65">
        <f>SUM(A:B!Q114)</f>
        <v>0</v>
      </c>
      <c r="R114" s="65">
        <f>SUM(A:B!R114)</f>
        <v>0</v>
      </c>
      <c r="S114" s="65">
        <f>SUM(A:B!S114)</f>
        <v>0</v>
      </c>
      <c r="T114" s="65">
        <f>SUM(A:B!T114)</f>
        <v>0</v>
      </c>
      <c r="U114" s="65">
        <f>SUM(A:B!U114)</f>
        <v>0</v>
      </c>
      <c r="V114" s="11">
        <f t="shared" ref="V114:V147" si="50">SUM(J114:U114)</f>
        <v>0</v>
      </c>
      <c r="W114" s="73">
        <f t="shared" si="32"/>
        <v>0</v>
      </c>
      <c r="X114" s="89"/>
      <c r="Y114" s="65">
        <f>SUM(A:B!Y114)</f>
        <v>0</v>
      </c>
      <c r="Z114" s="65">
        <f>SUM(A:B!Z114)</f>
        <v>0</v>
      </c>
      <c r="AA114" s="65">
        <f>SUM(A:B!AA114)</f>
        <v>0</v>
      </c>
      <c r="AB114" s="65">
        <f>SUM(A:B!AB114)</f>
        <v>0</v>
      </c>
      <c r="AC114" s="65">
        <f>SUM(A:B!AC114)</f>
        <v>0</v>
      </c>
      <c r="AD114" s="65">
        <f>SUM(A:B!AD114)</f>
        <v>0</v>
      </c>
      <c r="AE114" s="65">
        <f>SUM(A:B!AE114)</f>
        <v>0</v>
      </c>
      <c r="AF114" s="65">
        <f>SUM(A:B!AF114)</f>
        <v>0</v>
      </c>
      <c r="AG114" s="65">
        <f>SUM(A:B!AG114)</f>
        <v>0</v>
      </c>
      <c r="AH114" s="65">
        <f>SUM(A:B!AH114)</f>
        <v>0</v>
      </c>
      <c r="AI114" s="65">
        <f>SUM(A:B!AI114)</f>
        <v>0</v>
      </c>
      <c r="AJ114" s="65">
        <f>SUM(A:B!AJ114)</f>
        <v>0</v>
      </c>
      <c r="AK114" s="124">
        <f t="shared" si="44"/>
        <v>0</v>
      </c>
      <c r="AL114" s="73">
        <f t="shared" si="33"/>
        <v>0</v>
      </c>
      <c r="AM114" s="14">
        <f t="shared" si="46"/>
        <v>0</v>
      </c>
      <c r="AN114" s="277">
        <f t="shared" si="49"/>
        <v>0</v>
      </c>
      <c r="AR114" s="9"/>
      <c r="AS114" s="269"/>
      <c r="AT114" s="272"/>
    </row>
    <row r="115" spans="1:46" outlineLevel="1">
      <c r="A115" s="12"/>
      <c r="I115" s="228" t="s">
        <v>228</v>
      </c>
      <c r="J115" s="65">
        <f>SUM(A:B!J115)</f>
        <v>0</v>
      </c>
      <c r="K115" s="65">
        <f>SUM(A:B!K115)</f>
        <v>0</v>
      </c>
      <c r="L115" s="65">
        <f>SUM(A:B!L115)</f>
        <v>0</v>
      </c>
      <c r="M115" s="65">
        <f>SUM(A:B!M115)</f>
        <v>0</v>
      </c>
      <c r="N115" s="65">
        <f>SUM(A:B!N115)</f>
        <v>0</v>
      </c>
      <c r="O115" s="65">
        <f>SUM(A:B!O115)</f>
        <v>0</v>
      </c>
      <c r="P115" s="65">
        <f>SUM(A:B!P115)</f>
        <v>0</v>
      </c>
      <c r="Q115" s="65">
        <f>SUM(A:B!Q115)</f>
        <v>0</v>
      </c>
      <c r="R115" s="65">
        <f>SUM(A:B!R115)</f>
        <v>0</v>
      </c>
      <c r="S115" s="65">
        <f>SUM(A:B!S115)</f>
        <v>0</v>
      </c>
      <c r="T115" s="65">
        <f>SUM(A:B!T115)</f>
        <v>0</v>
      </c>
      <c r="U115" s="65">
        <f>SUM(A:B!U115)</f>
        <v>0</v>
      </c>
      <c r="V115" s="11">
        <f t="shared" si="50"/>
        <v>0</v>
      </c>
      <c r="W115" s="73">
        <f t="shared" si="32"/>
        <v>0</v>
      </c>
      <c r="X115" s="89"/>
      <c r="Y115" s="65">
        <f>SUM(A:B!Y115)</f>
        <v>0</v>
      </c>
      <c r="Z115" s="65">
        <f>SUM(A:B!Z115)</f>
        <v>0</v>
      </c>
      <c r="AA115" s="65">
        <f>SUM(A:B!AA115)</f>
        <v>0</v>
      </c>
      <c r="AB115" s="65">
        <f>SUM(A:B!AB115)</f>
        <v>0</v>
      </c>
      <c r="AC115" s="65">
        <f>SUM(A:B!AC115)</f>
        <v>0</v>
      </c>
      <c r="AD115" s="65">
        <f>SUM(A:B!AD115)</f>
        <v>0</v>
      </c>
      <c r="AE115" s="65">
        <f>SUM(A:B!AE115)</f>
        <v>0</v>
      </c>
      <c r="AF115" s="65">
        <f>SUM(A:B!AF115)</f>
        <v>0</v>
      </c>
      <c r="AG115" s="65">
        <f>SUM(A:B!AG115)</f>
        <v>0</v>
      </c>
      <c r="AH115" s="65">
        <f>SUM(A:B!AH115)</f>
        <v>0</v>
      </c>
      <c r="AI115" s="65">
        <f>SUM(A:B!AI115)</f>
        <v>0</v>
      </c>
      <c r="AJ115" s="65">
        <f>SUM(A:B!AJ115)</f>
        <v>0</v>
      </c>
      <c r="AK115" s="124">
        <f t="shared" si="44"/>
        <v>0</v>
      </c>
      <c r="AL115" s="73">
        <f t="shared" ref="AL115:AL147" si="51">AK115/AK$6</f>
        <v>0</v>
      </c>
      <c r="AM115" s="14">
        <f t="shared" ref="AM115:AM147" si="52">IFERROR(AK115/V115-1,0)</f>
        <v>0</v>
      </c>
      <c r="AN115" s="277">
        <f t="shared" si="49"/>
        <v>0</v>
      </c>
      <c r="AR115" s="9"/>
      <c r="AS115" s="269"/>
      <c r="AT115" s="272"/>
    </row>
    <row r="116" spans="1:46" outlineLevel="1">
      <c r="A116" s="12"/>
      <c r="I116" s="228" t="s">
        <v>229</v>
      </c>
      <c r="J116" s="65">
        <f>SUM(A:B!J116)</f>
        <v>0</v>
      </c>
      <c r="K116" s="65">
        <f>SUM(A:B!K116)</f>
        <v>0</v>
      </c>
      <c r="L116" s="65">
        <f>SUM(A:B!L116)</f>
        <v>0</v>
      </c>
      <c r="M116" s="65">
        <f>SUM(A:B!M116)</f>
        <v>0</v>
      </c>
      <c r="N116" s="65">
        <f>SUM(A:B!N116)</f>
        <v>0</v>
      </c>
      <c r="O116" s="65">
        <f>SUM(A:B!O116)</f>
        <v>0</v>
      </c>
      <c r="P116" s="65">
        <f>SUM(A:B!P116)</f>
        <v>0</v>
      </c>
      <c r="Q116" s="65">
        <f>SUM(A:B!Q116)</f>
        <v>0</v>
      </c>
      <c r="R116" s="65">
        <f>SUM(A:B!R116)</f>
        <v>0</v>
      </c>
      <c r="S116" s="65">
        <f>SUM(A:B!S116)</f>
        <v>0</v>
      </c>
      <c r="T116" s="65">
        <f>SUM(A:B!T116)</f>
        <v>0</v>
      </c>
      <c r="U116" s="65">
        <f>SUM(A:B!U116)</f>
        <v>0</v>
      </c>
      <c r="V116" s="11">
        <f t="shared" si="50"/>
        <v>0</v>
      </c>
      <c r="W116" s="73">
        <f t="shared" ref="W116:W147" si="53">V116/V$6</f>
        <v>0</v>
      </c>
      <c r="X116" s="89"/>
      <c r="Y116" s="65">
        <f>SUM(A:B!Y116)</f>
        <v>4657.95</v>
      </c>
      <c r="Z116" s="65">
        <f>SUM(A:B!Z116)</f>
        <v>0</v>
      </c>
      <c r="AA116" s="65">
        <f>SUM(A:B!AA116)</f>
        <v>0</v>
      </c>
      <c r="AB116" s="65">
        <f>SUM(A:B!AB116)</f>
        <v>439710.48</v>
      </c>
      <c r="AC116" s="65">
        <f>SUM(A:B!AC116)</f>
        <v>0</v>
      </c>
      <c r="AD116" s="65">
        <f>SUM(A:B!AD116)</f>
        <v>0</v>
      </c>
      <c r="AE116" s="65">
        <f>SUM(A:B!AE116)</f>
        <v>0</v>
      </c>
      <c r="AF116" s="65">
        <f>SUM(A:B!AF116)</f>
        <v>0</v>
      </c>
      <c r="AG116" s="65">
        <f>SUM(A:B!AG116)</f>
        <v>0</v>
      </c>
      <c r="AH116" s="65">
        <f>SUM(A:B!AH116)</f>
        <v>0</v>
      </c>
      <c r="AI116" s="65">
        <f>SUM(A:B!AI116)</f>
        <v>0</v>
      </c>
      <c r="AJ116" s="65">
        <f>SUM(A:B!AJ116)</f>
        <v>0</v>
      </c>
      <c r="AK116" s="124">
        <f t="shared" si="44"/>
        <v>444368.43</v>
      </c>
      <c r="AL116" s="73">
        <f t="shared" si="51"/>
        <v>1.7722233083734542E-3</v>
      </c>
      <c r="AM116" s="14">
        <f t="shared" si="52"/>
        <v>0</v>
      </c>
      <c r="AN116" s="277">
        <f t="shared" si="49"/>
        <v>444368.43</v>
      </c>
      <c r="AO116" s="1" t="s">
        <v>448</v>
      </c>
      <c r="AR116" s="9"/>
      <c r="AS116" s="269"/>
      <c r="AT116" s="272"/>
    </row>
    <row r="117" spans="1:46" outlineLevel="1">
      <c r="A117" s="12"/>
      <c r="I117" s="228" t="s">
        <v>230</v>
      </c>
      <c r="J117" s="65">
        <f>SUM(A:B!J117)</f>
        <v>0</v>
      </c>
      <c r="K117" s="65">
        <f>SUM(A:B!K117)</f>
        <v>9000</v>
      </c>
      <c r="L117" s="65">
        <f>SUM(A:B!L117)</f>
        <v>0</v>
      </c>
      <c r="M117" s="65">
        <f>SUM(A:B!M117)</f>
        <v>60000</v>
      </c>
      <c r="N117" s="65">
        <f>SUM(A:B!N117)</f>
        <v>0</v>
      </c>
      <c r="O117" s="65">
        <f>SUM(A:B!O117)</f>
        <v>0</v>
      </c>
      <c r="P117" s="65">
        <f>SUM(A:B!P117)</f>
        <v>0</v>
      </c>
      <c r="Q117" s="65">
        <f>SUM(A:B!Q117)</f>
        <v>0</v>
      </c>
      <c r="R117" s="65">
        <f>SUM(A:B!R117)</f>
        <v>0</v>
      </c>
      <c r="S117" s="65">
        <f>SUM(A:B!S117)</f>
        <v>37600</v>
      </c>
      <c r="T117" s="65">
        <f>SUM(A:B!T117)</f>
        <v>0</v>
      </c>
      <c r="U117" s="65">
        <f>SUM(A:B!U117)</f>
        <v>0</v>
      </c>
      <c r="V117" s="11">
        <f t="shared" si="50"/>
        <v>106600</v>
      </c>
      <c r="W117" s="73">
        <f t="shared" si="53"/>
        <v>4.7616295420144548E-4</v>
      </c>
      <c r="X117" s="89"/>
      <c r="Y117" s="65">
        <f>SUM(A:B!Y117)</f>
        <v>0</v>
      </c>
      <c r="Z117" s="65">
        <f>SUM(A:B!Z117)</f>
        <v>0</v>
      </c>
      <c r="AA117" s="65">
        <f>SUM(A:B!AA117)</f>
        <v>0</v>
      </c>
      <c r="AB117" s="65">
        <f>SUM(A:B!AB117)</f>
        <v>0</v>
      </c>
      <c r="AC117" s="65">
        <f>SUM(A:B!AC117)</f>
        <v>0</v>
      </c>
      <c r="AD117" s="65">
        <f>SUM(A:B!AD117)</f>
        <v>0</v>
      </c>
      <c r="AE117" s="65">
        <f>SUM(A:B!AE117)</f>
        <v>0</v>
      </c>
      <c r="AF117" s="65">
        <f>SUM(A:B!AF117)</f>
        <v>0</v>
      </c>
      <c r="AG117" s="65">
        <f>SUM(A:B!AG117)</f>
        <v>99369.599999999991</v>
      </c>
      <c r="AH117" s="65">
        <f>SUM(A:B!AH117)</f>
        <v>0</v>
      </c>
      <c r="AI117" s="65">
        <f>SUM(A:B!AI117)</f>
        <v>0</v>
      </c>
      <c r="AJ117" s="65">
        <f>SUM(A:B!AJ117)</f>
        <v>0</v>
      </c>
      <c r="AK117" s="124">
        <f t="shared" si="44"/>
        <v>99369.599999999991</v>
      </c>
      <c r="AL117" s="73">
        <f t="shared" si="51"/>
        <v>3.9630430375926296E-4</v>
      </c>
      <c r="AM117" s="14">
        <f t="shared" si="52"/>
        <v>-6.7827392120075158E-2</v>
      </c>
      <c r="AN117" s="277">
        <f t="shared" si="49"/>
        <v>-7230.4000000000087</v>
      </c>
      <c r="AO117" s="1" t="s">
        <v>449</v>
      </c>
      <c r="AR117" s="9"/>
      <c r="AS117" s="269"/>
      <c r="AT117" s="272"/>
    </row>
    <row r="118" spans="1:46" outlineLevel="1">
      <c r="A118" s="12"/>
      <c r="I118" s="228" t="s">
        <v>231</v>
      </c>
      <c r="J118" s="65">
        <f>SUM(A:B!J118)</f>
        <v>0</v>
      </c>
      <c r="K118" s="65">
        <f>SUM(A:B!K118)</f>
        <v>0</v>
      </c>
      <c r="L118" s="65">
        <f>SUM(A:B!L118)</f>
        <v>0</v>
      </c>
      <c r="M118" s="65">
        <f>SUM(A:B!M118)</f>
        <v>0</v>
      </c>
      <c r="N118" s="65">
        <f>SUM(A:B!N118)</f>
        <v>0</v>
      </c>
      <c r="O118" s="65">
        <f>SUM(A:B!O118)</f>
        <v>0</v>
      </c>
      <c r="P118" s="65">
        <f>SUM(A:B!P118)</f>
        <v>0</v>
      </c>
      <c r="Q118" s="65">
        <f>SUM(A:B!Q118)</f>
        <v>0</v>
      </c>
      <c r="R118" s="65">
        <f>SUM(A:B!R118)</f>
        <v>0</v>
      </c>
      <c r="S118" s="65">
        <f>SUM(A:B!S118)</f>
        <v>0</v>
      </c>
      <c r="T118" s="65">
        <f>SUM(A:B!T118)</f>
        <v>0</v>
      </c>
      <c r="U118" s="65">
        <f>SUM(A:B!U118)</f>
        <v>0</v>
      </c>
      <c r="V118" s="11">
        <f t="shared" si="50"/>
        <v>0</v>
      </c>
      <c r="W118" s="73">
        <f t="shared" si="53"/>
        <v>0</v>
      </c>
      <c r="X118" s="89"/>
      <c r="Y118" s="65">
        <f>SUM(A:B!Y118)</f>
        <v>0</v>
      </c>
      <c r="Z118" s="65">
        <f>SUM(A:B!Z118)</f>
        <v>0</v>
      </c>
      <c r="AA118" s="65">
        <f>SUM(A:B!AA118)</f>
        <v>0</v>
      </c>
      <c r="AB118" s="65">
        <f>SUM(A:B!AB118)</f>
        <v>0</v>
      </c>
      <c r="AC118" s="65">
        <f>SUM(A:B!AC118)</f>
        <v>0</v>
      </c>
      <c r="AD118" s="65">
        <f>SUM(A:B!AD118)</f>
        <v>0</v>
      </c>
      <c r="AE118" s="65">
        <f>SUM(A:B!AE118)</f>
        <v>0</v>
      </c>
      <c r="AF118" s="65">
        <f>SUM(A:B!AF118)</f>
        <v>0</v>
      </c>
      <c r="AG118" s="65">
        <f>SUM(A:B!AG118)</f>
        <v>0</v>
      </c>
      <c r="AH118" s="65">
        <f>SUM(A:B!AH118)</f>
        <v>0</v>
      </c>
      <c r="AI118" s="65">
        <f>SUM(A:B!AI118)</f>
        <v>0</v>
      </c>
      <c r="AJ118" s="65">
        <f>SUM(A:B!AJ118)</f>
        <v>0</v>
      </c>
      <c r="AK118" s="124">
        <f t="shared" si="44"/>
        <v>0</v>
      </c>
      <c r="AL118" s="73">
        <f t="shared" si="51"/>
        <v>0</v>
      </c>
      <c r="AM118" s="14">
        <f t="shared" si="52"/>
        <v>0</v>
      </c>
      <c r="AN118" s="277">
        <f t="shared" si="49"/>
        <v>0</v>
      </c>
      <c r="AR118" s="9"/>
      <c r="AS118" s="269"/>
      <c r="AT118" s="272"/>
    </row>
    <row r="119" spans="1:46" outlineLevel="1">
      <c r="A119" s="12"/>
      <c r="I119" s="228" t="s">
        <v>232</v>
      </c>
      <c r="J119" s="65">
        <f>SUM(A:B!J119)</f>
        <v>150752</v>
      </c>
      <c r="K119" s="65">
        <f>SUM(A:B!K119)</f>
        <v>0</v>
      </c>
      <c r="L119" s="65">
        <f>SUM(A:B!L119)</f>
        <v>0</v>
      </c>
      <c r="M119" s="65">
        <f>SUM(A:B!M119)</f>
        <v>0</v>
      </c>
      <c r="N119" s="65">
        <f>SUM(A:B!N119)</f>
        <v>0</v>
      </c>
      <c r="O119" s="65">
        <f>SUM(A:B!O119)</f>
        <v>0</v>
      </c>
      <c r="P119" s="65">
        <f>SUM(A:B!P119)</f>
        <v>0</v>
      </c>
      <c r="Q119" s="65">
        <f>SUM(A:B!Q119)</f>
        <v>0</v>
      </c>
      <c r="R119" s="65">
        <f>SUM(A:B!R119)</f>
        <v>0</v>
      </c>
      <c r="S119" s="65">
        <f>SUM(A:B!S119)</f>
        <v>0</v>
      </c>
      <c r="T119" s="65">
        <f>SUM(A:B!T119)</f>
        <v>0</v>
      </c>
      <c r="U119" s="65">
        <f>SUM(A:B!U119)</f>
        <v>0</v>
      </c>
      <c r="V119" s="11">
        <f t="shared" si="50"/>
        <v>150752</v>
      </c>
      <c r="W119" s="73">
        <f>V119/V$6</f>
        <v>6.7338196690221684E-4</v>
      </c>
      <c r="X119" s="89"/>
      <c r="Y119" s="65">
        <f>SUM(A:B!Y119)</f>
        <v>149356.64919999999</v>
      </c>
      <c r="Z119" s="65">
        <f>SUM(A:B!Z119)</f>
        <v>0</v>
      </c>
      <c r="AA119" s="65">
        <f>SUM(A:B!AA119)</f>
        <v>0</v>
      </c>
      <c r="AB119" s="65">
        <f>SUM(A:B!AB119)</f>
        <v>0</v>
      </c>
      <c r="AC119" s="65">
        <f>SUM(A:B!AC119)</f>
        <v>0</v>
      </c>
      <c r="AD119" s="65">
        <f>SUM(A:B!AD119)</f>
        <v>0</v>
      </c>
      <c r="AE119" s="65">
        <f>SUM(A:B!AE119)</f>
        <v>0</v>
      </c>
      <c r="AF119" s="65">
        <f>SUM(A:B!AF119)</f>
        <v>0</v>
      </c>
      <c r="AG119" s="65">
        <f>SUM(A:B!AG119)</f>
        <v>0</v>
      </c>
      <c r="AH119" s="65">
        <f>SUM(A:B!AH119)</f>
        <v>0</v>
      </c>
      <c r="AI119" s="65">
        <f>SUM(A:B!AI119)</f>
        <v>0</v>
      </c>
      <c r="AJ119" s="65">
        <f>SUM(A:B!AJ119)</f>
        <v>0</v>
      </c>
      <c r="AK119" s="124">
        <f t="shared" si="44"/>
        <v>149356.64919999999</v>
      </c>
      <c r="AL119" s="73">
        <f>AK119/AK$6</f>
        <v>5.9566188122949556E-4</v>
      </c>
      <c r="AM119" s="14">
        <f>IFERROR(AK119/V119-1,0)</f>
        <v>-9.2559355763108808E-3</v>
      </c>
      <c r="AN119" s="277">
        <f t="shared" si="49"/>
        <v>-1395.3508000000147</v>
      </c>
      <c r="AO119" s="1" t="s">
        <v>450</v>
      </c>
      <c r="AR119" s="9"/>
      <c r="AS119" s="269"/>
      <c r="AT119" s="272"/>
    </row>
    <row r="120" spans="1:46" outlineLevel="1">
      <c r="A120" s="12"/>
      <c r="I120" s="228" t="s">
        <v>233</v>
      </c>
      <c r="J120" s="65">
        <f>SUM(A:B!J120)</f>
        <v>0</v>
      </c>
      <c r="K120" s="65">
        <f>SUM(A:B!K120)</f>
        <v>0</v>
      </c>
      <c r="L120" s="65">
        <f>SUM(A:B!L120)</f>
        <v>0</v>
      </c>
      <c r="M120" s="65">
        <f>SUM(A:B!M120)</f>
        <v>0</v>
      </c>
      <c r="N120" s="65">
        <f>SUM(A:B!N120)</f>
        <v>0</v>
      </c>
      <c r="O120" s="65">
        <f>SUM(A:B!O120)</f>
        <v>0</v>
      </c>
      <c r="P120" s="65">
        <f>SUM(A:B!P120)</f>
        <v>0</v>
      </c>
      <c r="Q120" s="65">
        <f>SUM(A:B!Q120)</f>
        <v>0</v>
      </c>
      <c r="R120" s="65">
        <f>SUM(A:B!R120)</f>
        <v>0</v>
      </c>
      <c r="S120" s="65">
        <f>SUM(A:B!S120)</f>
        <v>0</v>
      </c>
      <c r="T120" s="65">
        <f>SUM(A:B!T120)</f>
        <v>0</v>
      </c>
      <c r="U120" s="65">
        <f>SUM(A:B!U120)</f>
        <v>0</v>
      </c>
      <c r="V120" s="11">
        <f t="shared" si="50"/>
        <v>0</v>
      </c>
      <c r="W120" s="73">
        <f t="shared" ref="W120:W136" si="54">V120/V$6</f>
        <v>0</v>
      </c>
      <c r="X120" s="89"/>
      <c r="Y120" s="65">
        <f>SUM(A:B!Y120)</f>
        <v>0</v>
      </c>
      <c r="Z120" s="65">
        <f>SUM(A:B!Z120)</f>
        <v>0</v>
      </c>
      <c r="AA120" s="65">
        <f>SUM(A:B!AA120)</f>
        <v>0</v>
      </c>
      <c r="AB120" s="65">
        <f>SUM(A:B!AB120)</f>
        <v>0</v>
      </c>
      <c r="AC120" s="65">
        <f>SUM(A:B!AC120)</f>
        <v>0</v>
      </c>
      <c r="AD120" s="65">
        <f>SUM(A:B!AD120)</f>
        <v>0</v>
      </c>
      <c r="AE120" s="65">
        <f>SUM(A:B!AE120)</f>
        <v>0</v>
      </c>
      <c r="AF120" s="65">
        <f>SUM(A:B!AF120)</f>
        <v>0</v>
      </c>
      <c r="AG120" s="65">
        <f>SUM(A:B!AG120)</f>
        <v>0</v>
      </c>
      <c r="AH120" s="65">
        <f>SUM(A:B!AH120)</f>
        <v>0</v>
      </c>
      <c r="AI120" s="65">
        <f>SUM(A:B!AI120)</f>
        <v>0</v>
      </c>
      <c r="AJ120" s="65">
        <f>SUM(A:B!AJ120)</f>
        <v>0</v>
      </c>
      <c r="AK120" s="124">
        <f t="shared" ref="AK120:AK138" si="55">SUM(Y120:AJ120)</f>
        <v>0</v>
      </c>
      <c r="AL120" s="73">
        <f t="shared" ref="AL120:AL138" si="56">AK120/AK$6</f>
        <v>0</v>
      </c>
      <c r="AM120" s="14">
        <f t="shared" ref="AM120:AM138" si="57">IFERROR(AK120/V120-1,0)</f>
        <v>0</v>
      </c>
      <c r="AN120" s="277">
        <f t="shared" si="49"/>
        <v>0</v>
      </c>
      <c r="AR120" s="9"/>
      <c r="AS120" s="269"/>
      <c r="AT120" s="272"/>
    </row>
    <row r="121" spans="1:46" outlineLevel="1">
      <c r="A121" s="12"/>
      <c r="I121" s="228" t="s">
        <v>234</v>
      </c>
      <c r="J121" s="65">
        <f>SUM(A:B!J121)</f>
        <v>33200</v>
      </c>
      <c r="K121" s="65">
        <f>SUM(A:B!K121)</f>
        <v>0</v>
      </c>
      <c r="L121" s="65">
        <f>SUM(A:B!L121)</f>
        <v>0</v>
      </c>
      <c r="M121" s="65">
        <f>SUM(A:B!M121)</f>
        <v>0</v>
      </c>
      <c r="N121" s="65">
        <f>SUM(A:B!N121)</f>
        <v>0</v>
      </c>
      <c r="O121" s="65">
        <f>SUM(A:B!O121)</f>
        <v>0</v>
      </c>
      <c r="P121" s="65">
        <f>SUM(A:B!P121)</f>
        <v>0</v>
      </c>
      <c r="Q121" s="65">
        <f>SUM(A:B!Q121)</f>
        <v>0</v>
      </c>
      <c r="R121" s="65">
        <f>SUM(A:B!R121)</f>
        <v>0</v>
      </c>
      <c r="S121" s="65">
        <f>SUM(A:B!S121)</f>
        <v>0</v>
      </c>
      <c r="T121" s="65">
        <f>SUM(A:B!T121)</f>
        <v>0</v>
      </c>
      <c r="U121" s="65">
        <f>SUM(A:B!U121)</f>
        <v>0</v>
      </c>
      <c r="V121" s="11">
        <f t="shared" si="50"/>
        <v>33200</v>
      </c>
      <c r="W121" s="73">
        <f t="shared" si="54"/>
        <v>1.4829840599894924E-4</v>
      </c>
      <c r="X121" s="89"/>
      <c r="Y121" s="65">
        <f>SUM(A:B!Y121)</f>
        <v>0</v>
      </c>
      <c r="Z121" s="65">
        <f>SUM(A:B!Z121)</f>
        <v>0</v>
      </c>
      <c r="AA121" s="65">
        <f>SUM(A:B!AA121)</f>
        <v>0</v>
      </c>
      <c r="AB121" s="65">
        <f>SUM(A:B!AB121)</f>
        <v>0</v>
      </c>
      <c r="AC121" s="65">
        <f>SUM(A:B!AC121)</f>
        <v>31052.999999999996</v>
      </c>
      <c r="AD121" s="65">
        <f>SUM(A:B!AD121)</f>
        <v>0</v>
      </c>
      <c r="AE121" s="65">
        <f>SUM(A:B!AE121)</f>
        <v>0</v>
      </c>
      <c r="AF121" s="65">
        <f>SUM(A:B!AF121)</f>
        <v>0</v>
      </c>
      <c r="AG121" s="65">
        <f>SUM(A:B!AG121)</f>
        <v>0</v>
      </c>
      <c r="AH121" s="65">
        <f>SUM(A:B!AH121)</f>
        <v>0</v>
      </c>
      <c r="AI121" s="65">
        <f>SUM(A:B!AI121)</f>
        <v>0</v>
      </c>
      <c r="AJ121" s="65">
        <f>SUM(A:B!AJ121)</f>
        <v>0</v>
      </c>
      <c r="AK121" s="124">
        <f t="shared" si="55"/>
        <v>31052.999999999996</v>
      </c>
      <c r="AL121" s="73">
        <f t="shared" si="56"/>
        <v>1.2384509492476968E-4</v>
      </c>
      <c r="AM121" s="14">
        <f t="shared" si="57"/>
        <v>-6.4668674698795336E-2</v>
      </c>
      <c r="AN121" s="277">
        <f t="shared" si="49"/>
        <v>-2147.0000000000036</v>
      </c>
      <c r="AO121" s="1" t="s">
        <v>451</v>
      </c>
      <c r="AR121" s="9"/>
      <c r="AS121" s="269"/>
      <c r="AT121" s="272"/>
    </row>
    <row r="122" spans="1:46" outlineLevel="1">
      <c r="A122" s="12"/>
      <c r="I122" s="228" t="s">
        <v>235</v>
      </c>
      <c r="J122" s="65">
        <f>SUM(A:B!J122)</f>
        <v>0</v>
      </c>
      <c r="K122" s="65">
        <f>SUM(A:B!K122)</f>
        <v>0</v>
      </c>
      <c r="L122" s="65">
        <f>SUM(A:B!L122)</f>
        <v>0</v>
      </c>
      <c r="M122" s="65">
        <f>SUM(A:B!M122)</f>
        <v>0</v>
      </c>
      <c r="N122" s="65">
        <f>SUM(A:B!N122)</f>
        <v>34638</v>
      </c>
      <c r="O122" s="65">
        <f>SUM(A:B!O122)</f>
        <v>0</v>
      </c>
      <c r="P122" s="65">
        <f>SUM(A:B!P122)</f>
        <v>0</v>
      </c>
      <c r="Q122" s="65">
        <f>SUM(A:B!Q122)</f>
        <v>0</v>
      </c>
      <c r="R122" s="65">
        <f>SUM(A:B!R122)</f>
        <v>0</v>
      </c>
      <c r="S122" s="65">
        <f>SUM(A:B!S122)</f>
        <v>28400</v>
      </c>
      <c r="T122" s="65">
        <f>SUM(A:B!T122)</f>
        <v>0</v>
      </c>
      <c r="U122" s="65">
        <f>SUM(A:B!U122)</f>
        <v>0</v>
      </c>
      <c r="V122" s="11">
        <f t="shared" si="50"/>
        <v>63038</v>
      </c>
      <c r="W122" s="73">
        <f t="shared" si="54"/>
        <v>2.8157936498077597E-4</v>
      </c>
      <c r="X122" s="89"/>
      <c r="Y122" s="65">
        <f>SUM(A:B!Y122)</f>
        <v>0</v>
      </c>
      <c r="Z122" s="65">
        <f>SUM(A:B!Z122)</f>
        <v>0</v>
      </c>
      <c r="AA122" s="65">
        <f>SUM(A:B!AA122)</f>
        <v>0</v>
      </c>
      <c r="AB122" s="65">
        <f>SUM(A:B!AB122)</f>
        <v>0</v>
      </c>
      <c r="AC122" s="65">
        <f>SUM(A:B!AC122)</f>
        <v>0</v>
      </c>
      <c r="AD122" s="65">
        <f>SUM(A:B!AD122)</f>
        <v>0</v>
      </c>
      <c r="AE122" s="65">
        <f>SUM(A:B!AE122)</f>
        <v>0</v>
      </c>
      <c r="AF122" s="65">
        <f>SUM(A:B!AF122)</f>
        <v>0</v>
      </c>
      <c r="AG122" s="65">
        <f>SUM(A:B!AG122)</f>
        <v>0</v>
      </c>
      <c r="AH122" s="65">
        <f>SUM(A:B!AH122)</f>
        <v>0</v>
      </c>
      <c r="AI122" s="65">
        <f>SUM(A:B!AI122)</f>
        <v>0</v>
      </c>
      <c r="AJ122" s="65">
        <f>SUM(A:B!AJ122)</f>
        <v>0</v>
      </c>
      <c r="AK122" s="124">
        <f t="shared" si="55"/>
        <v>0</v>
      </c>
      <c r="AL122" s="73">
        <f t="shared" si="56"/>
        <v>0</v>
      </c>
      <c r="AM122" s="14">
        <f t="shared" si="57"/>
        <v>-1</v>
      </c>
      <c r="AN122" s="277">
        <f t="shared" si="49"/>
        <v>-63038</v>
      </c>
      <c r="AO122" s="1" t="s">
        <v>452</v>
      </c>
      <c r="AR122" s="9"/>
      <c r="AS122" s="269"/>
      <c r="AT122" s="272"/>
    </row>
    <row r="123" spans="1:46" outlineLevel="1">
      <c r="A123" s="12"/>
      <c r="I123" s="228" t="s">
        <v>236</v>
      </c>
      <c r="J123" s="65">
        <f>SUM(A:B!J123)</f>
        <v>31927</v>
      </c>
      <c r="K123" s="65">
        <f>SUM(A:B!K123)</f>
        <v>58728</v>
      </c>
      <c r="L123" s="65">
        <f>SUM(A:B!L123)</f>
        <v>20310</v>
      </c>
      <c r="M123" s="65">
        <f>SUM(A:B!M123)</f>
        <v>9600</v>
      </c>
      <c r="N123" s="65">
        <f>SUM(A:B!N123)</f>
        <v>39041</v>
      </c>
      <c r="O123" s="65">
        <f>SUM(A:B!O123)</f>
        <v>0</v>
      </c>
      <c r="P123" s="65">
        <f>SUM(A:B!P123)</f>
        <v>5934</v>
      </c>
      <c r="Q123" s="65">
        <f>SUM(A:B!Q123)</f>
        <v>-67284</v>
      </c>
      <c r="R123" s="65">
        <f>SUM(A:B!R123)</f>
        <v>51379</v>
      </c>
      <c r="S123" s="65">
        <f>SUM(A:B!S123)</f>
        <v>32168</v>
      </c>
      <c r="T123" s="65">
        <f>SUM(A:B!T123)</f>
        <v>22121.839999999997</v>
      </c>
      <c r="U123" s="65">
        <f>SUM(A:B!U123)</f>
        <v>22121.839999999997</v>
      </c>
      <c r="V123" s="11">
        <f t="shared" si="50"/>
        <v>226046.68</v>
      </c>
      <c r="W123" s="73">
        <f t="shared" si="54"/>
        <v>1.009709708595017E-3</v>
      </c>
      <c r="X123" s="89"/>
      <c r="Y123" s="65">
        <f>SUM(A:B!Y123)</f>
        <v>20184.449999999997</v>
      </c>
      <c r="Z123" s="65">
        <f>SUM(A:B!Z123)</f>
        <v>20184.449999999997</v>
      </c>
      <c r="AA123" s="65">
        <f>SUM(A:B!AA123)</f>
        <v>20184.449999999997</v>
      </c>
      <c r="AB123" s="65">
        <f>SUM(A:B!AB123)</f>
        <v>20184.449999999997</v>
      </c>
      <c r="AC123" s="65">
        <f>SUM(A:B!AC123)</f>
        <v>20184.449999999997</v>
      </c>
      <c r="AD123" s="65">
        <f>SUM(A:B!AD123)</f>
        <v>20184.449999999997</v>
      </c>
      <c r="AE123" s="65">
        <f>SUM(A:B!AE123)</f>
        <v>20184.449999999997</v>
      </c>
      <c r="AF123" s="65">
        <f>SUM(A:B!AF123)</f>
        <v>20184.449999999997</v>
      </c>
      <c r="AG123" s="65">
        <f>SUM(A:B!AG123)</f>
        <v>20184.449999999997</v>
      </c>
      <c r="AH123" s="65">
        <f>SUM(A:B!AH123)</f>
        <v>20184.449999999997</v>
      </c>
      <c r="AI123" s="65">
        <f>SUM(A:B!AI123)</f>
        <v>20184.449999999997</v>
      </c>
      <c r="AJ123" s="65">
        <f>SUM(A:B!AJ123)</f>
        <v>20184.449999999997</v>
      </c>
      <c r="AK123" s="124">
        <f t="shared" si="55"/>
        <v>242213.40000000002</v>
      </c>
      <c r="AL123" s="73">
        <f t="shared" si="56"/>
        <v>9.6599174041320365E-4</v>
      </c>
      <c r="AM123" s="14">
        <f t="shared" si="57"/>
        <v>7.15193870575761E-2</v>
      </c>
      <c r="AN123" s="277">
        <f t="shared" si="49"/>
        <v>16166.72000000003</v>
      </c>
      <c r="AO123" s="1" t="s">
        <v>451</v>
      </c>
      <c r="AR123" s="9"/>
      <c r="AS123" s="269"/>
      <c r="AT123" s="272"/>
    </row>
    <row r="124" spans="1:46" outlineLevel="1">
      <c r="A124" s="12"/>
      <c r="I124" s="228" t="s">
        <v>237</v>
      </c>
      <c r="J124" s="65">
        <f>SUM(A:B!J124)</f>
        <v>0</v>
      </c>
      <c r="K124" s="65">
        <f>SUM(A:B!K124)</f>
        <v>4250</v>
      </c>
      <c r="L124" s="65">
        <f>SUM(A:B!L124)</f>
        <v>0</v>
      </c>
      <c r="M124" s="65">
        <f>SUM(A:B!M124)</f>
        <v>1050</v>
      </c>
      <c r="N124" s="65">
        <f>SUM(A:B!N124)</f>
        <v>700</v>
      </c>
      <c r="O124" s="65">
        <f>SUM(A:B!O124)</f>
        <v>0</v>
      </c>
      <c r="P124" s="65">
        <f>SUM(A:B!P124)</f>
        <v>0</v>
      </c>
      <c r="Q124" s="65">
        <f>SUM(A:B!Q124)</f>
        <v>2450</v>
      </c>
      <c r="R124" s="65">
        <f>SUM(A:B!R124)</f>
        <v>2450</v>
      </c>
      <c r="S124" s="65">
        <f>SUM(A:B!S124)</f>
        <v>13200</v>
      </c>
      <c r="T124" s="65">
        <f>SUM(A:B!T124)</f>
        <v>0</v>
      </c>
      <c r="U124" s="65">
        <f>SUM(A:B!U124)</f>
        <v>0</v>
      </c>
      <c r="V124" s="11">
        <f t="shared" si="50"/>
        <v>24100</v>
      </c>
      <c r="W124" s="73">
        <f t="shared" si="54"/>
        <v>1.076503489329722E-4</v>
      </c>
      <c r="X124" s="89"/>
      <c r="Y124" s="65">
        <f>SUM(A:B!Y124)</f>
        <v>0</v>
      </c>
      <c r="Z124" s="65">
        <f>SUM(A:B!Z124)</f>
        <v>362.28499999999997</v>
      </c>
      <c r="AA124" s="65">
        <f>SUM(A:B!AA124)</f>
        <v>362.28499999999997</v>
      </c>
      <c r="AB124" s="65">
        <f>SUM(A:B!AB124)</f>
        <v>362.28499999999997</v>
      </c>
      <c r="AC124" s="65">
        <f>SUM(A:B!AC124)</f>
        <v>362.28499999999997</v>
      </c>
      <c r="AD124" s="65">
        <f>SUM(A:B!AD124)</f>
        <v>362.28499999999997</v>
      </c>
      <c r="AE124" s="65">
        <f>SUM(A:B!AE124)</f>
        <v>0</v>
      </c>
      <c r="AF124" s="65">
        <f>SUM(A:B!AF124)</f>
        <v>0</v>
      </c>
      <c r="AG124" s="65">
        <f>SUM(A:B!AG124)</f>
        <v>10868.55</v>
      </c>
      <c r="AH124" s="65">
        <f>SUM(A:B!AH124)</f>
        <v>0</v>
      </c>
      <c r="AI124" s="65">
        <f>SUM(A:B!AI124)</f>
        <v>0</v>
      </c>
      <c r="AJ124" s="65">
        <f>SUM(A:B!AJ124)</f>
        <v>0</v>
      </c>
      <c r="AK124" s="124">
        <f t="shared" si="55"/>
        <v>12679.974999999999</v>
      </c>
      <c r="AL124" s="73">
        <f t="shared" si="56"/>
        <v>5.0570080427614281E-5</v>
      </c>
      <c r="AM124" s="14">
        <f t="shared" si="57"/>
        <v>-0.47385995850622409</v>
      </c>
      <c r="AN124" s="277">
        <f t="shared" si="49"/>
        <v>-11420.025000000001</v>
      </c>
      <c r="AO124" s="1" t="s">
        <v>453</v>
      </c>
      <c r="AR124" s="9"/>
      <c r="AS124" s="269"/>
      <c r="AT124" s="272"/>
    </row>
    <row r="125" spans="1:46" outlineLevel="1">
      <c r="A125" s="12"/>
      <c r="I125" s="228" t="s">
        <v>238</v>
      </c>
      <c r="J125" s="65">
        <f>SUM(A:B!J125)</f>
        <v>0</v>
      </c>
      <c r="K125" s="65">
        <f>SUM(A:B!K125)</f>
        <v>0</v>
      </c>
      <c r="L125" s="65">
        <f>SUM(A:B!L125)</f>
        <v>0</v>
      </c>
      <c r="M125" s="65">
        <f>SUM(A:B!M125)</f>
        <v>0</v>
      </c>
      <c r="N125" s="65">
        <f>SUM(A:B!N125)</f>
        <v>0</v>
      </c>
      <c r="O125" s="65">
        <f>SUM(A:B!O125)</f>
        <v>0</v>
      </c>
      <c r="P125" s="65">
        <f>SUM(A:B!P125)</f>
        <v>0</v>
      </c>
      <c r="Q125" s="65">
        <f>SUM(A:B!Q125)</f>
        <v>0</v>
      </c>
      <c r="R125" s="65">
        <f>SUM(A:B!R125)</f>
        <v>0</v>
      </c>
      <c r="S125" s="65">
        <f>SUM(A:B!S125)</f>
        <v>0</v>
      </c>
      <c r="T125" s="65">
        <f>SUM(A:B!T125)</f>
        <v>0</v>
      </c>
      <c r="U125" s="65">
        <f>SUM(A:B!U125)</f>
        <v>0</v>
      </c>
      <c r="V125" s="11">
        <f t="shared" si="50"/>
        <v>0</v>
      </c>
      <c r="W125" s="73">
        <f t="shared" si="54"/>
        <v>0</v>
      </c>
      <c r="X125" s="89"/>
      <c r="Y125" s="65">
        <f>SUM(A:B!Y125)</f>
        <v>0</v>
      </c>
      <c r="Z125" s="65">
        <f>SUM(A:B!Z125)</f>
        <v>0</v>
      </c>
      <c r="AA125" s="65">
        <f>SUM(A:B!AA125)</f>
        <v>14487.259599999999</v>
      </c>
      <c r="AB125" s="65">
        <f>SUM(A:B!AB125)</f>
        <v>0</v>
      </c>
      <c r="AC125" s="65">
        <f>SUM(A:B!AC125)</f>
        <v>0</v>
      </c>
      <c r="AD125" s="65">
        <f>SUM(A:B!AD125)</f>
        <v>0</v>
      </c>
      <c r="AE125" s="65">
        <f>SUM(A:B!AE125)</f>
        <v>0</v>
      </c>
      <c r="AF125" s="65">
        <f>SUM(A:B!AF125)</f>
        <v>0</v>
      </c>
      <c r="AG125" s="65">
        <f>SUM(A:B!AG125)</f>
        <v>0</v>
      </c>
      <c r="AH125" s="65">
        <f>SUM(A:B!AH125)</f>
        <v>0</v>
      </c>
      <c r="AI125" s="65">
        <f>SUM(A:B!AI125)</f>
        <v>0</v>
      </c>
      <c r="AJ125" s="65">
        <f>SUM(A:B!AJ125)</f>
        <v>0</v>
      </c>
      <c r="AK125" s="124">
        <f t="shared" si="55"/>
        <v>14487.259599999999</v>
      </c>
      <c r="AL125" s="73">
        <f t="shared" si="56"/>
        <v>5.7777864952235879E-5</v>
      </c>
      <c r="AM125" s="14">
        <f t="shared" si="57"/>
        <v>0</v>
      </c>
      <c r="AN125" s="277">
        <f t="shared" si="49"/>
        <v>14487.259599999999</v>
      </c>
      <c r="AR125" s="9"/>
      <c r="AS125" s="269"/>
      <c r="AT125" s="272"/>
    </row>
    <row r="126" spans="1:46" outlineLevel="1">
      <c r="A126" s="12"/>
      <c r="I126" s="228" t="s">
        <v>239</v>
      </c>
      <c r="J126" s="65">
        <f>SUM(A:B!J126)</f>
        <v>0</v>
      </c>
      <c r="K126" s="65">
        <f>SUM(A:B!K126)</f>
        <v>0</v>
      </c>
      <c r="L126" s="65">
        <f>SUM(A:B!L126)</f>
        <v>0</v>
      </c>
      <c r="M126" s="65">
        <f>SUM(A:B!M126)</f>
        <v>21600</v>
      </c>
      <c r="N126" s="65">
        <f>SUM(A:B!N126)</f>
        <v>0</v>
      </c>
      <c r="O126" s="65">
        <f>SUM(A:B!O126)</f>
        <v>0</v>
      </c>
      <c r="P126" s="65">
        <f>SUM(A:B!P126)</f>
        <v>0</v>
      </c>
      <c r="Q126" s="65">
        <f>SUM(A:B!Q126)</f>
        <v>0</v>
      </c>
      <c r="R126" s="65">
        <f>SUM(A:B!R126)</f>
        <v>0</v>
      </c>
      <c r="S126" s="65">
        <v>0</v>
      </c>
      <c r="T126" s="65">
        <v>21600</v>
      </c>
      <c r="U126" s="65">
        <v>0</v>
      </c>
      <c r="V126" s="11">
        <f t="shared" si="50"/>
        <v>43200</v>
      </c>
      <c r="W126" s="73">
        <f t="shared" si="54"/>
        <v>1.9296660057694601E-4</v>
      </c>
      <c r="X126" s="89"/>
      <c r="Y126" s="65">
        <f>SUM(A:B!Y126)</f>
        <v>0</v>
      </c>
      <c r="Z126" s="65">
        <f>SUM(A:B!Z126)</f>
        <v>23289.75</v>
      </c>
      <c r="AA126" s="65">
        <f>SUM(A:B!AA126)</f>
        <v>0</v>
      </c>
      <c r="AB126" s="65">
        <f>SUM(A:B!AB126)</f>
        <v>0</v>
      </c>
      <c r="AC126" s="65">
        <f>SUM(A:B!AC126)</f>
        <v>0</v>
      </c>
      <c r="AD126" s="65">
        <f>SUM(A:B!AD126)</f>
        <v>0</v>
      </c>
      <c r="AE126" s="65">
        <f>SUM(A:B!AE126)</f>
        <v>0</v>
      </c>
      <c r="AF126" s="65">
        <f>SUM(A:B!AF126)</f>
        <v>23289.75</v>
      </c>
      <c r="AG126" s="65">
        <f>SUM(A:B!AG126)</f>
        <v>0</v>
      </c>
      <c r="AH126" s="65">
        <f>SUM(A:B!AH126)</f>
        <v>0</v>
      </c>
      <c r="AI126" s="65">
        <f>SUM(A:B!AI126)</f>
        <v>0</v>
      </c>
      <c r="AJ126" s="65">
        <f>SUM(A:B!AJ126)</f>
        <v>0</v>
      </c>
      <c r="AK126" s="124">
        <f t="shared" si="55"/>
        <v>46579.5</v>
      </c>
      <c r="AL126" s="73">
        <f t="shared" si="56"/>
        <v>1.8576764238715452E-4</v>
      </c>
      <c r="AM126" s="14">
        <f t="shared" si="57"/>
        <v>7.8229166666666572E-2</v>
      </c>
      <c r="AN126" s="277">
        <f t="shared" si="49"/>
        <v>3379.5</v>
      </c>
      <c r="AO126" s="1" t="s">
        <v>454</v>
      </c>
      <c r="AR126" s="9"/>
      <c r="AS126" s="269"/>
      <c r="AT126" s="272"/>
    </row>
    <row r="127" spans="1:46" outlineLevel="1">
      <c r="A127" s="12"/>
      <c r="I127" s="228" t="s">
        <v>241</v>
      </c>
      <c r="J127" s="65">
        <f>SUM(A:B!J127)</f>
        <v>0</v>
      </c>
      <c r="K127" s="65">
        <f>SUM(A:B!K127)</f>
        <v>0</v>
      </c>
      <c r="L127" s="65">
        <f>SUM(A:B!L127)</f>
        <v>0</v>
      </c>
      <c r="M127" s="65">
        <f>SUM(A:B!M127)</f>
        <v>0</v>
      </c>
      <c r="N127" s="65">
        <f>SUM(A:B!N127)</f>
        <v>0</v>
      </c>
      <c r="O127" s="65">
        <f>SUM(A:B!O127)</f>
        <v>0</v>
      </c>
      <c r="P127" s="65">
        <f>SUM(A:B!P127)</f>
        <v>0</v>
      </c>
      <c r="Q127" s="65">
        <f>SUM(A:B!Q127)</f>
        <v>0</v>
      </c>
      <c r="R127" s="65">
        <f>SUM(A:B!R127)</f>
        <v>0</v>
      </c>
      <c r="S127" s="65">
        <f>SUM(A:B!S127)</f>
        <v>0</v>
      </c>
      <c r="T127" s="65">
        <f>SUM(A:B!T127)</f>
        <v>0</v>
      </c>
      <c r="U127" s="65">
        <f>SUM(A:B!U127)</f>
        <v>8320</v>
      </c>
      <c r="V127" s="11">
        <f t="shared" si="50"/>
        <v>8320</v>
      </c>
      <c r="W127" s="73">
        <f t="shared" si="54"/>
        <v>3.7163937888893308E-5</v>
      </c>
      <c r="X127" s="89"/>
      <c r="Y127" s="65">
        <f>SUM(A:B!Y127)</f>
        <v>0</v>
      </c>
      <c r="Z127" s="65">
        <f>SUM(A:B!Z127)</f>
        <v>0</v>
      </c>
      <c r="AA127" s="65">
        <f>SUM(A:B!AA127)</f>
        <v>0</v>
      </c>
      <c r="AB127" s="65">
        <f>SUM(A:B!AB127)</f>
        <v>0</v>
      </c>
      <c r="AC127" s="65">
        <f>SUM(A:B!AC127)</f>
        <v>0</v>
      </c>
      <c r="AD127" s="65">
        <f>SUM(A:B!AD127)</f>
        <v>0</v>
      </c>
      <c r="AE127" s="65">
        <f>SUM(A:B!AE127)</f>
        <v>0</v>
      </c>
      <c r="AF127" s="65">
        <f>SUM(A:B!AF127)</f>
        <v>0</v>
      </c>
      <c r="AG127" s="65">
        <f>SUM(A:B!AG127)</f>
        <v>0</v>
      </c>
      <c r="AH127" s="65">
        <f>SUM(A:B!AH127)</f>
        <v>0</v>
      </c>
      <c r="AI127" s="65">
        <f>SUM(A:B!AI127)</f>
        <v>0</v>
      </c>
      <c r="AJ127" s="65">
        <f>SUM(A:B!AJ127)</f>
        <v>0</v>
      </c>
      <c r="AK127" s="124">
        <f t="shared" si="55"/>
        <v>0</v>
      </c>
      <c r="AL127" s="73">
        <f t="shared" si="56"/>
        <v>0</v>
      </c>
      <c r="AM127" s="14">
        <f t="shared" si="57"/>
        <v>-1</v>
      </c>
      <c r="AN127" s="277">
        <f t="shared" si="49"/>
        <v>-8320</v>
      </c>
      <c r="AO127" s="1" t="s">
        <v>455</v>
      </c>
      <c r="AR127" s="9"/>
      <c r="AS127" s="269"/>
      <c r="AT127" s="272"/>
    </row>
    <row r="128" spans="1:46" outlineLevel="1">
      <c r="A128" s="12"/>
      <c r="I128" s="228" t="s">
        <v>242</v>
      </c>
      <c r="J128" s="65">
        <f>SUM(A:B!J128)</f>
        <v>0</v>
      </c>
      <c r="K128" s="65">
        <f>SUM(A:B!K128)</f>
        <v>0</v>
      </c>
      <c r="L128" s="65">
        <f>SUM(A:B!L128)</f>
        <v>0</v>
      </c>
      <c r="M128" s="65">
        <f>SUM(A:B!M128)</f>
        <v>0</v>
      </c>
      <c r="N128" s="65">
        <f>SUM(A:B!N128)</f>
        <v>0</v>
      </c>
      <c r="O128" s="65">
        <f>SUM(A:B!O128)</f>
        <v>0</v>
      </c>
      <c r="P128" s="65">
        <f>SUM(A:B!P128)</f>
        <v>0</v>
      </c>
      <c r="Q128" s="65">
        <f>SUM(A:B!Q128)</f>
        <v>0</v>
      </c>
      <c r="R128" s="65">
        <f>SUM(A:B!R128)</f>
        <v>0</v>
      </c>
      <c r="S128" s="65">
        <f>SUM(A:B!S128)</f>
        <v>0</v>
      </c>
      <c r="T128" s="65">
        <f>SUM(A:B!T128)</f>
        <v>0</v>
      </c>
      <c r="U128" s="65">
        <f>SUM(A:B!U128)</f>
        <v>0</v>
      </c>
      <c r="V128" s="11">
        <f t="shared" si="50"/>
        <v>0</v>
      </c>
      <c r="W128" s="73">
        <f t="shared" si="54"/>
        <v>0</v>
      </c>
      <c r="X128" s="89"/>
      <c r="Y128" s="65">
        <f>SUM(A:B!Y128)</f>
        <v>0</v>
      </c>
      <c r="Z128" s="65">
        <f>SUM(A:B!Z128)</f>
        <v>0</v>
      </c>
      <c r="AA128" s="65">
        <f>SUM(A:B!AA128)</f>
        <v>0</v>
      </c>
      <c r="AB128" s="65">
        <f>SUM(A:B!AB128)</f>
        <v>0</v>
      </c>
      <c r="AC128" s="65">
        <f>SUM(A:B!AC128)</f>
        <v>0</v>
      </c>
      <c r="AD128" s="65">
        <f>SUM(A:B!AD128)</f>
        <v>0</v>
      </c>
      <c r="AE128" s="65">
        <f>SUM(A:B!AE128)</f>
        <v>0</v>
      </c>
      <c r="AF128" s="65">
        <f>SUM(A:B!AF128)</f>
        <v>0</v>
      </c>
      <c r="AG128" s="65">
        <f>SUM(A:B!AG128)</f>
        <v>0</v>
      </c>
      <c r="AH128" s="65">
        <f>SUM(A:B!AH128)</f>
        <v>0</v>
      </c>
      <c r="AI128" s="65">
        <f>SUM(A:B!AI128)</f>
        <v>0</v>
      </c>
      <c r="AJ128" s="65">
        <f>SUM(A:B!AJ128)</f>
        <v>0</v>
      </c>
      <c r="AK128" s="124">
        <f t="shared" si="55"/>
        <v>0</v>
      </c>
      <c r="AL128" s="73">
        <f t="shared" si="56"/>
        <v>0</v>
      </c>
      <c r="AM128" s="14">
        <f t="shared" si="57"/>
        <v>0</v>
      </c>
      <c r="AN128" s="277">
        <f t="shared" si="49"/>
        <v>0</v>
      </c>
      <c r="AR128" s="9"/>
      <c r="AS128" s="269"/>
      <c r="AT128" s="272"/>
    </row>
    <row r="129" spans="1:46" outlineLevel="1">
      <c r="A129" s="12"/>
      <c r="I129" s="228" t="s">
        <v>243</v>
      </c>
      <c r="J129" s="65">
        <f>SUM(A:B!J129)</f>
        <v>0</v>
      </c>
      <c r="K129" s="65">
        <f>SUM(A:B!K129)</f>
        <v>0</v>
      </c>
      <c r="L129" s="65">
        <f>SUM(A:B!L129)</f>
        <v>0</v>
      </c>
      <c r="M129" s="65">
        <f>SUM(A:B!M129)</f>
        <v>0</v>
      </c>
      <c r="N129" s="65">
        <f>SUM(A:B!N129)</f>
        <v>0</v>
      </c>
      <c r="O129" s="65">
        <f>SUM(A:B!O129)</f>
        <v>0</v>
      </c>
      <c r="P129" s="65">
        <f>SUM(A:B!P129)</f>
        <v>0</v>
      </c>
      <c r="Q129" s="65">
        <f>SUM(A:B!Q129)</f>
        <v>0</v>
      </c>
      <c r="R129" s="65">
        <f>SUM(A:B!R129)</f>
        <v>0</v>
      </c>
      <c r="S129" s="65">
        <f>SUM(A:B!S129)</f>
        <v>0</v>
      </c>
      <c r="T129" s="65">
        <f>SUM(A:B!T129)</f>
        <v>0</v>
      </c>
      <c r="U129" s="65">
        <f>SUM(A:B!U129)</f>
        <v>0</v>
      </c>
      <c r="V129" s="11">
        <f t="shared" si="50"/>
        <v>0</v>
      </c>
      <c r="W129" s="73">
        <f t="shared" si="54"/>
        <v>0</v>
      </c>
      <c r="X129" s="89"/>
      <c r="Y129" s="65">
        <f>SUM(A:B!Y129)</f>
        <v>0</v>
      </c>
      <c r="Z129" s="65">
        <f>SUM(A:B!Z129)</f>
        <v>0</v>
      </c>
      <c r="AA129" s="65">
        <f>SUM(A:B!AA129)</f>
        <v>0</v>
      </c>
      <c r="AB129" s="65">
        <f>SUM(A:B!AB129)</f>
        <v>0</v>
      </c>
      <c r="AC129" s="65">
        <f>SUM(A:B!AC129)</f>
        <v>0</v>
      </c>
      <c r="AD129" s="65">
        <f>SUM(A:B!AD129)</f>
        <v>0</v>
      </c>
      <c r="AE129" s="65">
        <f>SUM(A:B!AE129)</f>
        <v>0</v>
      </c>
      <c r="AF129" s="65">
        <f>SUM(A:B!AF129)</f>
        <v>0</v>
      </c>
      <c r="AG129" s="65">
        <f>SUM(A:B!AG129)</f>
        <v>0</v>
      </c>
      <c r="AH129" s="65">
        <f>SUM(A:B!AH129)</f>
        <v>0</v>
      </c>
      <c r="AI129" s="65">
        <f>SUM(A:B!AI129)</f>
        <v>0</v>
      </c>
      <c r="AJ129" s="65">
        <f>SUM(A:B!AJ129)</f>
        <v>0</v>
      </c>
      <c r="AK129" s="124">
        <f t="shared" si="55"/>
        <v>0</v>
      </c>
      <c r="AL129" s="73">
        <f t="shared" si="56"/>
        <v>0</v>
      </c>
      <c r="AM129" s="14">
        <f t="shared" si="57"/>
        <v>0</v>
      </c>
      <c r="AN129" s="277">
        <f t="shared" si="49"/>
        <v>0</v>
      </c>
      <c r="AR129" s="9"/>
      <c r="AS129" s="269"/>
      <c r="AT129" s="272"/>
    </row>
    <row r="130" spans="1:46" outlineLevel="1">
      <c r="A130" s="12"/>
      <c r="I130" s="228" t="s">
        <v>244</v>
      </c>
      <c r="J130" s="65">
        <f>SUM(A:B!J130)</f>
        <v>0</v>
      </c>
      <c r="K130" s="65">
        <f>SUM(A:B!K130)</f>
        <v>0</v>
      </c>
      <c r="L130" s="65">
        <f>SUM(A:B!L130)</f>
        <v>0</v>
      </c>
      <c r="M130" s="65">
        <f>SUM(A:B!M130)</f>
        <v>0</v>
      </c>
      <c r="N130" s="65">
        <f>SUM(A:B!N130)</f>
        <v>0</v>
      </c>
      <c r="O130" s="65">
        <f>SUM(A:B!O130)</f>
        <v>0</v>
      </c>
      <c r="P130" s="65">
        <f>SUM(A:B!P130)</f>
        <v>0</v>
      </c>
      <c r="Q130" s="65">
        <f>SUM(A:B!Q130)</f>
        <v>0</v>
      </c>
      <c r="R130" s="65">
        <f>SUM(A:B!R130)</f>
        <v>0</v>
      </c>
      <c r="S130" s="65">
        <f>SUM(A:B!S130)</f>
        <v>0</v>
      </c>
      <c r="T130" s="65">
        <f>SUM(A:B!T130)</f>
        <v>0</v>
      </c>
      <c r="U130" s="65">
        <f>SUM(A:B!U130)</f>
        <v>0</v>
      </c>
      <c r="V130" s="11">
        <f t="shared" si="50"/>
        <v>0</v>
      </c>
      <c r="W130" s="73">
        <f t="shared" si="54"/>
        <v>0</v>
      </c>
      <c r="X130" s="89"/>
      <c r="Y130" s="65">
        <f>SUM(A:B!Y130)</f>
        <v>0</v>
      </c>
      <c r="Z130" s="65">
        <f>SUM(A:B!Z130)</f>
        <v>0</v>
      </c>
      <c r="AA130" s="65">
        <f>SUM(A:B!AA130)</f>
        <v>0</v>
      </c>
      <c r="AB130" s="65">
        <f>SUM(A:B!AB130)</f>
        <v>0</v>
      </c>
      <c r="AC130" s="65">
        <f>SUM(A:B!AC130)</f>
        <v>0</v>
      </c>
      <c r="AD130" s="65">
        <f>SUM(A:B!AD130)</f>
        <v>0</v>
      </c>
      <c r="AE130" s="65">
        <f>SUM(A:B!AE130)</f>
        <v>0</v>
      </c>
      <c r="AF130" s="65">
        <f>SUM(A:B!AF130)</f>
        <v>0</v>
      </c>
      <c r="AG130" s="65">
        <f>SUM(A:B!AG130)</f>
        <v>0</v>
      </c>
      <c r="AH130" s="65">
        <f>SUM(A:B!AH130)</f>
        <v>0</v>
      </c>
      <c r="AI130" s="65">
        <f>SUM(A:B!AI130)</f>
        <v>0</v>
      </c>
      <c r="AJ130" s="65">
        <f>SUM(A:B!AJ130)</f>
        <v>0</v>
      </c>
      <c r="AK130" s="124">
        <f t="shared" si="55"/>
        <v>0</v>
      </c>
      <c r="AL130" s="73">
        <f t="shared" si="56"/>
        <v>0</v>
      </c>
      <c r="AM130" s="14">
        <f t="shared" si="57"/>
        <v>0</v>
      </c>
      <c r="AN130" s="277">
        <f t="shared" si="49"/>
        <v>0</v>
      </c>
      <c r="AR130" s="9"/>
      <c r="AS130" s="269"/>
      <c r="AT130" s="272"/>
    </row>
    <row r="131" spans="1:46" outlineLevel="1">
      <c r="A131" s="12"/>
      <c r="I131" s="228" t="s">
        <v>245</v>
      </c>
      <c r="J131" s="65">
        <f>SUM(A:B!J131)</f>
        <v>0</v>
      </c>
      <c r="K131" s="65">
        <f>SUM(A:B!K131)</f>
        <v>0</v>
      </c>
      <c r="L131" s="65">
        <f>SUM(A:B!L131)</f>
        <v>0</v>
      </c>
      <c r="M131" s="65">
        <f>SUM(A:B!M131)</f>
        <v>0</v>
      </c>
      <c r="N131" s="65">
        <f>SUM(A:B!N131)</f>
        <v>0</v>
      </c>
      <c r="O131" s="65">
        <f>SUM(A:B!O131)</f>
        <v>0</v>
      </c>
      <c r="P131" s="65">
        <f>SUM(A:B!P131)</f>
        <v>0</v>
      </c>
      <c r="Q131" s="65">
        <f>SUM(A:B!Q131)</f>
        <v>0</v>
      </c>
      <c r="R131" s="65">
        <f>SUM(A:B!R131)</f>
        <v>0</v>
      </c>
      <c r="S131" s="65">
        <f>SUM(A:B!S131)</f>
        <v>0</v>
      </c>
      <c r="T131" s="65">
        <f>SUM(A:B!T131)</f>
        <v>0</v>
      </c>
      <c r="U131" s="65">
        <f>SUM(A:B!U131)</f>
        <v>0</v>
      </c>
      <c r="V131" s="11">
        <f t="shared" si="50"/>
        <v>0</v>
      </c>
      <c r="W131" s="73">
        <f t="shared" si="54"/>
        <v>0</v>
      </c>
      <c r="X131" s="89"/>
      <c r="Y131" s="65">
        <f>SUM(A:B!Y131)</f>
        <v>0</v>
      </c>
      <c r="Z131" s="65">
        <f>SUM(A:B!Z131)</f>
        <v>0</v>
      </c>
      <c r="AA131" s="65">
        <f>SUM(A:B!AA131)</f>
        <v>0</v>
      </c>
      <c r="AB131" s="65">
        <f>SUM(A:B!AB131)</f>
        <v>0</v>
      </c>
      <c r="AC131" s="65">
        <f>SUM(A:B!AC131)</f>
        <v>0</v>
      </c>
      <c r="AD131" s="65">
        <f>SUM(A:B!AD131)</f>
        <v>0</v>
      </c>
      <c r="AE131" s="65">
        <f>SUM(A:B!AE131)</f>
        <v>0</v>
      </c>
      <c r="AF131" s="65">
        <f>SUM(A:B!AF131)</f>
        <v>0</v>
      </c>
      <c r="AG131" s="65">
        <f>SUM(A:B!AG131)</f>
        <v>0</v>
      </c>
      <c r="AH131" s="65">
        <f>SUM(A:B!AH131)</f>
        <v>0</v>
      </c>
      <c r="AI131" s="65">
        <f>SUM(A:B!AI131)</f>
        <v>0</v>
      </c>
      <c r="AJ131" s="65">
        <f>SUM(A:B!AJ131)</f>
        <v>0</v>
      </c>
      <c r="AK131" s="124">
        <f t="shared" si="55"/>
        <v>0</v>
      </c>
      <c r="AL131" s="73">
        <f t="shared" si="56"/>
        <v>0</v>
      </c>
      <c r="AM131" s="14">
        <f t="shared" si="57"/>
        <v>0</v>
      </c>
      <c r="AN131" s="277">
        <f t="shared" si="49"/>
        <v>0</v>
      </c>
      <c r="AR131" s="9"/>
      <c r="AS131" s="269"/>
      <c r="AT131" s="272"/>
    </row>
    <row r="132" spans="1:46" outlineLevel="1">
      <c r="A132" s="12"/>
      <c r="I132" s="228" t="s">
        <v>247</v>
      </c>
      <c r="J132" s="65">
        <f>SUM(A:B!J132)</f>
        <v>0</v>
      </c>
      <c r="K132" s="65">
        <f>SUM(A:B!K132)</f>
        <v>0</v>
      </c>
      <c r="L132" s="65">
        <f>SUM(A:B!L132)</f>
        <v>0</v>
      </c>
      <c r="M132" s="65">
        <f>SUM(A:B!M132)</f>
        <v>0</v>
      </c>
      <c r="N132" s="65">
        <f>SUM(A:B!N132)</f>
        <v>0</v>
      </c>
      <c r="O132" s="65">
        <f>SUM(A:B!O132)</f>
        <v>0</v>
      </c>
      <c r="P132" s="65">
        <f>SUM(A:B!P132)</f>
        <v>0</v>
      </c>
      <c r="Q132" s="65">
        <f>SUM(A:B!Q132)</f>
        <v>0</v>
      </c>
      <c r="R132" s="65">
        <f>SUM(A:B!R132)</f>
        <v>0</v>
      </c>
      <c r="S132" s="65">
        <f>SUM(A:B!S132)</f>
        <v>0</v>
      </c>
      <c r="T132" s="65">
        <f>SUM(A:B!T132)</f>
        <v>0</v>
      </c>
      <c r="U132" s="65">
        <f>SUM(A:B!U132)</f>
        <v>0</v>
      </c>
      <c r="V132" s="11">
        <f t="shared" si="50"/>
        <v>0</v>
      </c>
      <c r="W132" s="73">
        <f t="shared" si="54"/>
        <v>0</v>
      </c>
      <c r="X132" s="89"/>
      <c r="Y132" s="65">
        <f>SUM(A:B!Y132)</f>
        <v>0</v>
      </c>
      <c r="Z132" s="65">
        <f>SUM(A:B!Z132)</f>
        <v>0</v>
      </c>
      <c r="AA132" s="65">
        <f>SUM(A:B!AA132)</f>
        <v>0</v>
      </c>
      <c r="AB132" s="65">
        <f>SUM(A:B!AB132)</f>
        <v>0</v>
      </c>
      <c r="AC132" s="65">
        <f>SUM(A:B!AC132)</f>
        <v>0</v>
      </c>
      <c r="AD132" s="65">
        <f>SUM(A:B!AD132)</f>
        <v>0</v>
      </c>
      <c r="AE132" s="65">
        <f>SUM(A:B!AE132)</f>
        <v>0</v>
      </c>
      <c r="AF132" s="65">
        <f>SUM(A:B!AF132)</f>
        <v>0</v>
      </c>
      <c r="AG132" s="65">
        <f>SUM(A:B!AG132)</f>
        <v>0</v>
      </c>
      <c r="AH132" s="65">
        <f>SUM(A:B!AH132)</f>
        <v>0</v>
      </c>
      <c r="AI132" s="65">
        <f>SUM(A:B!AI132)</f>
        <v>0</v>
      </c>
      <c r="AJ132" s="65">
        <f>SUM(A:B!AJ132)</f>
        <v>0</v>
      </c>
      <c r="AK132" s="124">
        <f t="shared" si="55"/>
        <v>0</v>
      </c>
      <c r="AL132" s="73">
        <f t="shared" si="56"/>
        <v>0</v>
      </c>
      <c r="AM132" s="14">
        <f t="shared" si="57"/>
        <v>0</v>
      </c>
      <c r="AN132" s="277">
        <f t="shared" si="49"/>
        <v>0</v>
      </c>
      <c r="AR132" s="9"/>
      <c r="AS132" s="269"/>
      <c r="AT132" s="272"/>
    </row>
    <row r="133" spans="1:46" outlineLevel="1">
      <c r="A133" s="12"/>
      <c r="I133" s="228" t="s">
        <v>248</v>
      </c>
      <c r="J133" s="65">
        <f>SUM(A:B!J133)</f>
        <v>0</v>
      </c>
      <c r="K133" s="65">
        <f>SUM(A:B!K133)</f>
        <v>0</v>
      </c>
      <c r="L133" s="65">
        <f>SUM(A:B!L133)</f>
        <v>11263</v>
      </c>
      <c r="M133" s="65">
        <f>SUM(A:B!M133)</f>
        <v>0</v>
      </c>
      <c r="N133" s="65">
        <f>SUM(A:B!N133)</f>
        <v>0</v>
      </c>
      <c r="O133" s="65">
        <f>SUM(A:B!O133)</f>
        <v>0</v>
      </c>
      <c r="P133" s="65">
        <f>SUM(A:B!P133)</f>
        <v>0</v>
      </c>
      <c r="Q133" s="65">
        <f>SUM(A:B!Q133)</f>
        <v>0</v>
      </c>
      <c r="R133" s="65">
        <f>SUM(A:B!R133)</f>
        <v>0</v>
      </c>
      <c r="S133" s="65">
        <f>SUM(A:B!S133)</f>
        <v>0</v>
      </c>
      <c r="T133" s="65">
        <f>SUM(A:B!T133)</f>
        <v>2590</v>
      </c>
      <c r="U133" s="65">
        <f>SUM(A:B!U133)</f>
        <v>1480</v>
      </c>
      <c r="V133" s="11">
        <f t="shared" si="50"/>
        <v>15333</v>
      </c>
      <c r="W133" s="73">
        <f t="shared" si="54"/>
        <v>6.8489742746442436E-5</v>
      </c>
      <c r="X133" s="89"/>
      <c r="Y133" s="65">
        <f>SUM(A:B!Y133)</f>
        <v>8800</v>
      </c>
      <c r="Z133" s="65">
        <f>SUM(A:B!Z133)</f>
        <v>0</v>
      </c>
      <c r="AA133" s="65">
        <f>SUM(A:B!AA133)</f>
        <v>0</v>
      </c>
      <c r="AB133" s="65">
        <f>SUM(A:B!AB133)</f>
        <v>0</v>
      </c>
      <c r="AC133" s="65">
        <f>SUM(A:B!AC133)</f>
        <v>0</v>
      </c>
      <c r="AD133" s="65">
        <f>SUM(A:B!AD133)</f>
        <v>0</v>
      </c>
      <c r="AE133" s="65">
        <f>SUM(A:B!AE133)</f>
        <v>8800</v>
      </c>
      <c r="AF133" s="65">
        <f>SUM(A:B!AF133)</f>
        <v>0</v>
      </c>
      <c r="AG133" s="65">
        <f>SUM(A:B!AG133)</f>
        <v>0</v>
      </c>
      <c r="AH133" s="65">
        <f>SUM(A:B!AH133)</f>
        <v>0</v>
      </c>
      <c r="AI133" s="65">
        <f>SUM(A:B!AI133)</f>
        <v>0</v>
      </c>
      <c r="AJ133" s="65">
        <f>SUM(A:B!AJ133)</f>
        <v>0</v>
      </c>
      <c r="AK133" s="124">
        <f t="shared" si="55"/>
        <v>17600</v>
      </c>
      <c r="AL133" s="73">
        <f t="shared" si="56"/>
        <v>7.0192048133061103E-5</v>
      </c>
      <c r="AM133" s="14">
        <f t="shared" si="57"/>
        <v>0.14785104024000528</v>
      </c>
      <c r="AN133" s="277">
        <f t="shared" si="49"/>
        <v>2267</v>
      </c>
      <c r="AO133" s="1" t="s">
        <v>456</v>
      </c>
      <c r="AR133" s="9"/>
      <c r="AS133" s="269"/>
      <c r="AT133" s="272"/>
    </row>
    <row r="134" spans="1:46" outlineLevel="1">
      <c r="A134" s="12"/>
      <c r="I134" s="228" t="s">
        <v>249</v>
      </c>
      <c r="J134" s="65">
        <f>SUM(A:B!J134)</f>
        <v>0</v>
      </c>
      <c r="K134" s="65">
        <f>SUM(A:B!K134)</f>
        <v>0</v>
      </c>
      <c r="L134" s="65">
        <f>SUM(A:B!L134)</f>
        <v>0</v>
      </c>
      <c r="M134" s="65">
        <f>SUM(A:B!M134)</f>
        <v>0</v>
      </c>
      <c r="N134" s="65">
        <f>SUM(A:B!N134)</f>
        <v>0</v>
      </c>
      <c r="O134" s="65">
        <f>SUM(A:B!O134)</f>
        <v>0</v>
      </c>
      <c r="P134" s="65">
        <f>SUM(A:B!P134)</f>
        <v>0</v>
      </c>
      <c r="Q134" s="65">
        <f>SUM(A:B!Q134)</f>
        <v>0</v>
      </c>
      <c r="R134" s="65">
        <f>SUM(A:B!R134)</f>
        <v>0</v>
      </c>
      <c r="S134" s="65">
        <f>SUM(A:B!S134)</f>
        <v>0</v>
      </c>
      <c r="T134" s="65">
        <f>SUM(A:B!T134)</f>
        <v>0</v>
      </c>
      <c r="U134" s="65">
        <f>SUM(A:B!U134)</f>
        <v>0</v>
      </c>
      <c r="V134" s="11">
        <f t="shared" si="50"/>
        <v>0</v>
      </c>
      <c r="W134" s="73">
        <f t="shared" si="54"/>
        <v>0</v>
      </c>
      <c r="X134" s="89"/>
      <c r="Y134" s="65">
        <f>SUM(A:B!Y134)</f>
        <v>0</v>
      </c>
      <c r="Z134" s="65">
        <f>SUM(A:B!Z134)</f>
        <v>0</v>
      </c>
      <c r="AA134" s="65">
        <f>SUM(A:B!AA134)</f>
        <v>0</v>
      </c>
      <c r="AB134" s="65">
        <f>SUM(A:B!AB134)</f>
        <v>0</v>
      </c>
      <c r="AC134" s="65">
        <f>SUM(A:B!AC134)</f>
        <v>0</v>
      </c>
      <c r="AD134" s="65">
        <f>SUM(A:B!AD134)</f>
        <v>0</v>
      </c>
      <c r="AE134" s="65">
        <f>SUM(A:B!AE134)</f>
        <v>0</v>
      </c>
      <c r="AF134" s="65">
        <f>SUM(A:B!AF134)</f>
        <v>0</v>
      </c>
      <c r="AG134" s="65">
        <f>SUM(A:B!AG134)</f>
        <v>0</v>
      </c>
      <c r="AH134" s="65">
        <f>SUM(A:B!AH134)</f>
        <v>0</v>
      </c>
      <c r="AI134" s="65">
        <f>SUM(A:B!AI134)</f>
        <v>0</v>
      </c>
      <c r="AJ134" s="65">
        <f>SUM(A:B!AJ134)</f>
        <v>0</v>
      </c>
      <c r="AK134" s="124">
        <f t="shared" si="55"/>
        <v>0</v>
      </c>
      <c r="AL134" s="73">
        <f t="shared" si="56"/>
        <v>0</v>
      </c>
      <c r="AM134" s="14">
        <f t="shared" si="57"/>
        <v>0</v>
      </c>
      <c r="AN134" s="277">
        <f t="shared" si="49"/>
        <v>0</v>
      </c>
      <c r="AR134" s="9"/>
      <c r="AS134" s="269"/>
      <c r="AT134" s="272"/>
    </row>
    <row r="135" spans="1:46" outlineLevel="1">
      <c r="A135" s="12"/>
      <c r="I135" s="228" t="s">
        <v>250</v>
      </c>
      <c r="J135" s="65">
        <f>SUM(A:B!J135)</f>
        <v>0</v>
      </c>
      <c r="K135" s="65">
        <f>SUM(A:B!K135)</f>
        <v>0</v>
      </c>
      <c r="L135" s="65">
        <f>SUM(A:B!L135)</f>
        <v>0</v>
      </c>
      <c r="M135" s="65">
        <f>SUM(A:B!M135)</f>
        <v>0</v>
      </c>
      <c r="N135" s="65">
        <f>SUM(A:B!N135)</f>
        <v>0</v>
      </c>
      <c r="O135" s="65">
        <f>SUM(A:B!O135)</f>
        <v>0</v>
      </c>
      <c r="P135" s="65">
        <f>SUM(A:B!P135)</f>
        <v>0</v>
      </c>
      <c r="Q135" s="65">
        <f>SUM(A:B!Q135)</f>
        <v>23077</v>
      </c>
      <c r="R135" s="65">
        <f>SUM(A:B!R135)</f>
        <v>155</v>
      </c>
      <c r="S135" s="65">
        <f>SUM(A:B!S135)</f>
        <v>24364</v>
      </c>
      <c r="T135" s="65">
        <f>SUM(A:B!T135)</f>
        <v>0</v>
      </c>
      <c r="U135" s="65">
        <f>SUM(A:B!U135)</f>
        <v>0</v>
      </c>
      <c r="V135" s="11">
        <f t="shared" si="50"/>
        <v>47596</v>
      </c>
      <c r="W135" s="73">
        <f t="shared" si="54"/>
        <v>2.1260273891343339E-4</v>
      </c>
      <c r="X135" s="89"/>
      <c r="Y135" s="65">
        <f>SUM(A:B!Y135)</f>
        <v>0</v>
      </c>
      <c r="Z135" s="65">
        <f>SUM(A:B!Z135)</f>
        <v>0</v>
      </c>
      <c r="AA135" s="65">
        <f>SUM(A:B!AA135)</f>
        <v>0</v>
      </c>
      <c r="AB135" s="65">
        <f>SUM(A:B!AB135)</f>
        <v>0</v>
      </c>
      <c r="AC135" s="65">
        <f>SUM(A:B!AC135)</f>
        <v>0</v>
      </c>
      <c r="AD135" s="65">
        <f>SUM(A:B!AD135)</f>
        <v>0</v>
      </c>
      <c r="AE135" s="65">
        <f>SUM(A:B!AE135)</f>
        <v>62105.999999999993</v>
      </c>
      <c r="AF135" s="65">
        <f>SUM(A:B!AF135)</f>
        <v>0</v>
      </c>
      <c r="AG135" s="65">
        <f>SUM(A:B!AG135)</f>
        <v>0</v>
      </c>
      <c r="AH135" s="65">
        <f>SUM(A:B!AH135)</f>
        <v>0</v>
      </c>
      <c r="AI135" s="65">
        <f>SUM(A:B!AI135)</f>
        <v>0</v>
      </c>
      <c r="AJ135" s="65">
        <f>SUM(A:B!AJ135)</f>
        <v>0</v>
      </c>
      <c r="AK135" s="124">
        <f>SUM(Y135:AJ135)</f>
        <v>62105.999999999993</v>
      </c>
      <c r="AL135" s="73">
        <f t="shared" si="56"/>
        <v>2.4769018984953936E-4</v>
      </c>
      <c r="AM135" s="14">
        <f t="shared" si="57"/>
        <v>0.30485755105471024</v>
      </c>
      <c r="AN135" s="277">
        <f t="shared" si="49"/>
        <v>14509.999999999993</v>
      </c>
      <c r="AO135" s="1" t="s">
        <v>457</v>
      </c>
      <c r="AR135" s="9"/>
      <c r="AS135" s="269"/>
      <c r="AT135" s="272"/>
    </row>
    <row r="136" spans="1:46" outlineLevel="1">
      <c r="A136" s="12"/>
      <c r="I136" s="228" t="s">
        <v>251</v>
      </c>
      <c r="J136" s="65">
        <f>SUM(A:B!J136)</f>
        <v>0</v>
      </c>
      <c r="K136" s="65">
        <f>SUM(A:B!K136)</f>
        <v>0</v>
      </c>
      <c r="L136" s="65">
        <f>SUM(A:B!L136)</f>
        <v>0</v>
      </c>
      <c r="M136" s="65">
        <f>SUM(A:B!M136)</f>
        <v>0</v>
      </c>
      <c r="N136" s="65">
        <f>SUM(A:B!N136)</f>
        <v>0</v>
      </c>
      <c r="O136" s="65">
        <f>SUM(A:B!O136)</f>
        <v>0</v>
      </c>
      <c r="P136" s="65">
        <f>SUM(A:B!P136)</f>
        <v>0</v>
      </c>
      <c r="Q136" s="65">
        <f>SUM(A:B!Q136)</f>
        <v>0</v>
      </c>
      <c r="R136" s="65">
        <f>SUM(A:B!R136)</f>
        <v>0</v>
      </c>
      <c r="S136" s="65">
        <f>SUM(A:B!S136)</f>
        <v>0</v>
      </c>
      <c r="T136" s="65">
        <f>SUM(A:B!T136)</f>
        <v>0</v>
      </c>
      <c r="U136" s="65">
        <f>SUM(A:B!U136)</f>
        <v>0</v>
      </c>
      <c r="V136" s="11">
        <f t="shared" si="50"/>
        <v>0</v>
      </c>
      <c r="W136" s="73">
        <f t="shared" si="54"/>
        <v>0</v>
      </c>
      <c r="X136" s="89"/>
      <c r="Y136" s="65">
        <f>SUM(A:B!Y136)</f>
        <v>0</v>
      </c>
      <c r="Z136" s="65">
        <f>SUM(A:B!Z136)</f>
        <v>0</v>
      </c>
      <c r="AA136" s="65">
        <f>SUM(A:B!AA136)</f>
        <v>0</v>
      </c>
      <c r="AB136" s="65">
        <f>SUM(A:B!AB136)</f>
        <v>0</v>
      </c>
      <c r="AC136" s="65">
        <f>SUM(A:B!AC136)</f>
        <v>0</v>
      </c>
      <c r="AD136" s="65">
        <f>SUM(A:B!AD136)</f>
        <v>0</v>
      </c>
      <c r="AE136" s="65">
        <f>SUM(A:B!AE136)</f>
        <v>0</v>
      </c>
      <c r="AF136" s="65">
        <f>SUM(A:B!AF136)</f>
        <v>0</v>
      </c>
      <c r="AG136" s="65">
        <f>SUM(A:B!AG136)</f>
        <v>0</v>
      </c>
      <c r="AH136" s="65">
        <f>SUM(A:B!AH136)</f>
        <v>0</v>
      </c>
      <c r="AI136" s="65">
        <f>SUM(A:B!AI136)</f>
        <v>0</v>
      </c>
      <c r="AJ136" s="65">
        <f>SUM(A:B!AJ136)</f>
        <v>0</v>
      </c>
      <c r="AK136" s="124">
        <f>SUM(Y136:AJ136)</f>
        <v>0</v>
      </c>
      <c r="AL136" s="73">
        <f t="shared" si="56"/>
        <v>0</v>
      </c>
      <c r="AM136" s="14">
        <f t="shared" si="57"/>
        <v>0</v>
      </c>
      <c r="AN136" s="277">
        <f t="shared" si="49"/>
        <v>0</v>
      </c>
      <c r="AR136" s="9"/>
      <c r="AS136" s="269"/>
      <c r="AT136" s="272"/>
    </row>
    <row r="137" spans="1:46" outlineLevel="1">
      <c r="A137" s="12"/>
      <c r="I137" s="228" t="s">
        <v>252</v>
      </c>
      <c r="J137" s="65">
        <f>SUM(A:B!J137)</f>
        <v>0</v>
      </c>
      <c r="K137" s="65">
        <f>SUM(A:B!K137)</f>
        <v>0</v>
      </c>
      <c r="L137" s="65">
        <f>SUM(A:B!L137)</f>
        <v>0</v>
      </c>
      <c r="M137" s="65">
        <f>SUM(A:B!M137)</f>
        <v>0</v>
      </c>
      <c r="N137" s="65">
        <f>SUM(A:B!N137)</f>
        <v>0</v>
      </c>
      <c r="O137" s="65">
        <f>SUM(A:B!O137)</f>
        <v>0</v>
      </c>
      <c r="P137" s="65">
        <f>SUM(A:B!P137)</f>
        <v>0</v>
      </c>
      <c r="Q137" s="65">
        <f>SUM(A:B!Q137)</f>
        <v>0</v>
      </c>
      <c r="R137" s="65">
        <f>SUM(A:B!R137)</f>
        <v>0</v>
      </c>
      <c r="S137" s="65">
        <f>SUM(A:B!S137)</f>
        <v>0</v>
      </c>
      <c r="T137" s="65">
        <f>SUM(A:B!T137)</f>
        <v>0</v>
      </c>
      <c r="U137" s="65">
        <f>SUM(A:B!U137)</f>
        <v>0</v>
      </c>
      <c r="V137" s="11">
        <f t="shared" si="50"/>
        <v>0</v>
      </c>
      <c r="W137" s="73">
        <f>V137/V$6</f>
        <v>0</v>
      </c>
      <c r="X137" s="89"/>
      <c r="Y137" s="65">
        <f>SUM(A:B!Y137)</f>
        <v>0</v>
      </c>
      <c r="Z137" s="65">
        <f>SUM(A:B!Z137)</f>
        <v>0</v>
      </c>
      <c r="AA137" s="65">
        <f>SUM(A:B!AA137)</f>
        <v>0</v>
      </c>
      <c r="AB137" s="65">
        <f>SUM(A:B!AB137)</f>
        <v>0</v>
      </c>
      <c r="AC137" s="65">
        <f>SUM(A:B!AC137)</f>
        <v>0</v>
      </c>
      <c r="AD137" s="65">
        <f>SUM(A:B!AD137)</f>
        <v>0</v>
      </c>
      <c r="AE137" s="65">
        <f>SUM(A:B!AE137)</f>
        <v>0</v>
      </c>
      <c r="AF137" s="65">
        <f>SUM(A:B!AF137)</f>
        <v>0</v>
      </c>
      <c r="AG137" s="65">
        <f>SUM(A:B!AG137)</f>
        <v>0</v>
      </c>
      <c r="AH137" s="65">
        <f>SUM(A:B!AH137)</f>
        <v>0</v>
      </c>
      <c r="AI137" s="65">
        <f>SUM(A:B!AI137)</f>
        <v>0</v>
      </c>
      <c r="AJ137" s="65">
        <f>SUM(A:B!AJ137)</f>
        <v>0</v>
      </c>
      <c r="AK137" s="124">
        <f>SUM(Y137:AJ137)</f>
        <v>0</v>
      </c>
      <c r="AL137" s="73">
        <f t="shared" si="56"/>
        <v>0</v>
      </c>
      <c r="AM137" s="14">
        <f t="shared" si="57"/>
        <v>0</v>
      </c>
      <c r="AN137" s="277">
        <f t="shared" si="49"/>
        <v>0</v>
      </c>
      <c r="AR137" s="9"/>
      <c r="AS137" s="269"/>
      <c r="AT137" s="272"/>
    </row>
    <row r="138" spans="1:46" ht="13.15" customHeight="1" outlineLevel="1">
      <c r="A138" s="12"/>
      <c r="I138" s="228" t="s">
        <v>253</v>
      </c>
      <c r="J138" s="65">
        <f>SUM(A:B!J138)</f>
        <v>4000</v>
      </c>
      <c r="K138" s="65">
        <f>SUM(A:B!K138)</f>
        <v>4000</v>
      </c>
      <c r="L138" s="65">
        <f>SUM(A:B!L138)</f>
        <v>0</v>
      </c>
      <c r="M138" s="65">
        <f>SUM(A:B!M138)</f>
        <v>10000</v>
      </c>
      <c r="N138" s="65">
        <f>SUM(A:B!N138)</f>
        <v>0</v>
      </c>
      <c r="O138" s="65">
        <f>SUM(A:B!O138)</f>
        <v>0</v>
      </c>
      <c r="P138" s="65">
        <f>SUM(A:B!P138)</f>
        <v>0</v>
      </c>
      <c r="Q138" s="65">
        <f>SUM(A:B!Q138)</f>
        <v>0</v>
      </c>
      <c r="R138" s="65">
        <f>SUM(A:B!R138)</f>
        <v>0</v>
      </c>
      <c r="S138" s="65">
        <f>SUM(A:B!S138)</f>
        <v>0</v>
      </c>
      <c r="T138" s="65">
        <f>SUM(A:B!T138)</f>
        <v>0</v>
      </c>
      <c r="U138" s="65">
        <f>SUM(A:B!U138)</f>
        <v>0</v>
      </c>
      <c r="V138" s="11">
        <f t="shared" si="50"/>
        <v>18000</v>
      </c>
      <c r="W138" s="73">
        <f>V138/V$6</f>
        <v>8.0402750240394176E-5</v>
      </c>
      <c r="X138" s="89"/>
      <c r="Y138" s="65">
        <f>SUM(A:B!Y138)</f>
        <v>0</v>
      </c>
      <c r="Z138" s="65">
        <f>SUM(A:B!Z138)</f>
        <v>0</v>
      </c>
      <c r="AA138" s="65">
        <f>SUM(A:B!AA138)</f>
        <v>22358.16</v>
      </c>
      <c r="AB138" s="65">
        <f>SUM(A:B!AB138)</f>
        <v>0</v>
      </c>
      <c r="AC138" s="65">
        <f>SUM(A:B!AC138)</f>
        <v>0</v>
      </c>
      <c r="AD138" s="65">
        <f>SUM(A:B!AD138)</f>
        <v>0</v>
      </c>
      <c r="AE138" s="65">
        <f>SUM(A:B!AE138)</f>
        <v>0</v>
      </c>
      <c r="AF138" s="65">
        <f>SUM(A:B!AF138)</f>
        <v>0</v>
      </c>
      <c r="AG138" s="65">
        <f>SUM(A:B!AG138)</f>
        <v>0</v>
      </c>
      <c r="AH138" s="65">
        <f>SUM(A:B!AH138)</f>
        <v>0</v>
      </c>
      <c r="AI138" s="65">
        <f>SUM(A:B!AI138)</f>
        <v>0</v>
      </c>
      <c r="AJ138" s="65">
        <f>SUM(A:B!AJ138)</f>
        <v>0</v>
      </c>
      <c r="AK138" s="124">
        <f>SUM(Y138:AJ138)</f>
        <v>22358.16</v>
      </c>
      <c r="AL138" s="73">
        <f t="shared" si="56"/>
        <v>8.9168468345834172E-5</v>
      </c>
      <c r="AM138" s="14">
        <f t="shared" si="57"/>
        <v>0.24211999999999989</v>
      </c>
      <c r="AN138" s="277">
        <f t="shared" si="49"/>
        <v>4358.16</v>
      </c>
      <c r="AO138" s="1" t="s">
        <v>454</v>
      </c>
      <c r="AR138" s="9"/>
      <c r="AS138" s="269"/>
      <c r="AT138" s="272"/>
    </row>
    <row r="139" spans="1:46" outlineLevel="1">
      <c r="A139" s="12"/>
      <c r="I139" s="228" t="s">
        <v>254</v>
      </c>
      <c r="J139" s="65">
        <f>SUM(A:B!J139)</f>
        <v>0</v>
      </c>
      <c r="K139" s="65">
        <f>SUM(A:B!K139)</f>
        <v>0</v>
      </c>
      <c r="L139" s="65">
        <f>SUM(A:B!L139)</f>
        <v>0</v>
      </c>
      <c r="M139" s="65">
        <f>SUM(A:B!M139)</f>
        <v>0</v>
      </c>
      <c r="N139" s="65">
        <f>SUM(A:B!N139)</f>
        <v>0</v>
      </c>
      <c r="O139" s="65">
        <f>SUM(A:B!O139)</f>
        <v>0</v>
      </c>
      <c r="P139" s="65">
        <f>SUM(A:B!P139)</f>
        <v>0</v>
      </c>
      <c r="Q139" s="65">
        <f>SUM(A:B!Q139)</f>
        <v>0</v>
      </c>
      <c r="R139" s="65">
        <f>SUM(A:B!R139)</f>
        <v>0</v>
      </c>
      <c r="S139" s="65">
        <f>SUM(A:B!S139)</f>
        <v>0</v>
      </c>
      <c r="T139" s="65">
        <f>SUM(A:B!T139)</f>
        <v>0</v>
      </c>
      <c r="U139" s="65">
        <f>SUM(A:B!U139)</f>
        <v>0</v>
      </c>
      <c r="V139" s="11">
        <f t="shared" si="50"/>
        <v>0</v>
      </c>
      <c r="W139" s="73">
        <f>V139/V$6</f>
        <v>0</v>
      </c>
      <c r="X139" s="89"/>
      <c r="Y139" s="65">
        <f>SUM(A:B!Y139)</f>
        <v>0</v>
      </c>
      <c r="Z139" s="65">
        <f>SUM(A:B!Z139)</f>
        <v>0</v>
      </c>
      <c r="AA139" s="65">
        <f>SUM(A:B!AA139)</f>
        <v>0</v>
      </c>
      <c r="AB139" s="65">
        <f>SUM(A:B!AB139)</f>
        <v>0</v>
      </c>
      <c r="AC139" s="65">
        <f>SUM(A:B!AC139)</f>
        <v>0</v>
      </c>
      <c r="AD139" s="65">
        <f>SUM(A:B!AD139)</f>
        <v>0</v>
      </c>
      <c r="AE139" s="65">
        <f>SUM(A:B!AE139)</f>
        <v>0</v>
      </c>
      <c r="AF139" s="65">
        <f>SUM(A:B!AF139)</f>
        <v>0</v>
      </c>
      <c r="AG139" s="65">
        <f>SUM(A:B!AG139)</f>
        <v>0</v>
      </c>
      <c r="AH139" s="65">
        <f>SUM(A:B!AH139)</f>
        <v>0</v>
      </c>
      <c r="AI139" s="65">
        <f>SUM(A:B!AI139)</f>
        <v>0</v>
      </c>
      <c r="AJ139" s="65">
        <f>SUM(A:B!AJ139)</f>
        <v>0</v>
      </c>
      <c r="AK139" s="124">
        <f>SUM(Y139:AJ139)</f>
        <v>0</v>
      </c>
      <c r="AL139" s="73">
        <f>AK139/AK$6</f>
        <v>0</v>
      </c>
      <c r="AM139" s="14">
        <f>IFERROR(AK139/V139-1,0)</f>
        <v>0</v>
      </c>
      <c r="AN139" s="277">
        <f t="shared" si="49"/>
        <v>0</v>
      </c>
      <c r="AR139" s="9"/>
      <c r="AS139" s="269"/>
      <c r="AT139" s="272"/>
    </row>
    <row r="140" spans="1:46" outlineLevel="1">
      <c r="A140" s="12"/>
      <c r="I140" s="228" t="s">
        <v>255</v>
      </c>
      <c r="J140" s="65">
        <f>SUM(A:B!J140)</f>
        <v>0</v>
      </c>
      <c r="K140" s="65">
        <f>SUM(A:B!K140)</f>
        <v>0</v>
      </c>
      <c r="L140" s="65">
        <f>SUM(A:B!L140)</f>
        <v>0</v>
      </c>
      <c r="M140" s="65">
        <f>SUM(A:B!M140)</f>
        <v>0</v>
      </c>
      <c r="N140" s="65">
        <f>SUM(A:B!N140)</f>
        <v>0</v>
      </c>
      <c r="O140" s="65">
        <f>SUM(A:B!O140)</f>
        <v>0</v>
      </c>
      <c r="P140" s="65">
        <f>SUM(A:B!P140)</f>
        <v>0</v>
      </c>
      <c r="Q140" s="65">
        <f>SUM(A:B!Q140)</f>
        <v>0</v>
      </c>
      <c r="R140" s="65">
        <f>SUM(A:B!R140)</f>
        <v>0</v>
      </c>
      <c r="S140" s="65">
        <f>SUM(A:B!S140)</f>
        <v>0</v>
      </c>
      <c r="T140" s="65">
        <f>SUM(A:B!T140)</f>
        <v>0</v>
      </c>
      <c r="U140" s="65">
        <f>SUM(A:B!U140)</f>
        <v>0</v>
      </c>
      <c r="V140" s="11">
        <f t="shared" si="50"/>
        <v>0</v>
      </c>
      <c r="W140" s="73">
        <f t="shared" si="53"/>
        <v>0</v>
      </c>
      <c r="X140" s="89"/>
      <c r="Y140" s="65">
        <f>SUM(A:B!Y140)</f>
        <v>0</v>
      </c>
      <c r="Z140" s="65">
        <f>SUM(A:B!Z140)</f>
        <v>0</v>
      </c>
      <c r="AA140" s="65">
        <f>SUM(A:B!AA140)</f>
        <v>3622.8499999999995</v>
      </c>
      <c r="AB140" s="65">
        <f>SUM(A:B!AB140)</f>
        <v>0</v>
      </c>
      <c r="AC140" s="65">
        <f>SUM(A:B!AC140)</f>
        <v>0</v>
      </c>
      <c r="AD140" s="65">
        <f>SUM(A:B!AD140)</f>
        <v>0</v>
      </c>
      <c r="AE140" s="65">
        <f>SUM(A:B!AE140)</f>
        <v>3622.8499999999995</v>
      </c>
      <c r="AF140" s="65">
        <f>SUM(A:B!AF140)</f>
        <v>0</v>
      </c>
      <c r="AG140" s="65">
        <f>SUM(A:B!AG140)</f>
        <v>0</v>
      </c>
      <c r="AH140" s="65">
        <f>SUM(A:B!AH140)</f>
        <v>3622.8499999999995</v>
      </c>
      <c r="AI140" s="65">
        <f>SUM(A:B!AI140)</f>
        <v>0</v>
      </c>
      <c r="AJ140" s="65">
        <f>SUM(A:B!AJ140)</f>
        <v>0</v>
      </c>
      <c r="AK140" s="124">
        <f>SUM(Y140:AJ140)</f>
        <v>10868.55</v>
      </c>
      <c r="AL140" s="73">
        <f t="shared" si="51"/>
        <v>4.3345783223669385E-5</v>
      </c>
      <c r="AM140" s="14">
        <f t="shared" si="52"/>
        <v>0</v>
      </c>
      <c r="AN140" s="277">
        <f t="shared" si="49"/>
        <v>10868.55</v>
      </c>
      <c r="AO140" s="1" t="s">
        <v>453</v>
      </c>
      <c r="AR140" s="9"/>
      <c r="AS140" s="269"/>
      <c r="AT140" s="272"/>
    </row>
    <row r="141" spans="1:46" outlineLevel="1">
      <c r="A141" s="12"/>
      <c r="I141" s="228" t="s">
        <v>256</v>
      </c>
      <c r="J141" s="65">
        <f>SUM(A:B!J141)</f>
        <v>0</v>
      </c>
      <c r="K141" s="65">
        <f>SUM(A:B!K141)</f>
        <v>0</v>
      </c>
      <c r="L141" s="65">
        <f>SUM(A:B!L141)</f>
        <v>0</v>
      </c>
      <c r="M141" s="65">
        <f>SUM(A:B!M141)</f>
        <v>0</v>
      </c>
      <c r="N141" s="65">
        <f>SUM(A:B!N141)</f>
        <v>0</v>
      </c>
      <c r="O141" s="65">
        <f>SUM(A:B!O141)</f>
        <v>0</v>
      </c>
      <c r="P141" s="65">
        <f>SUM(A:B!P141)</f>
        <v>0</v>
      </c>
      <c r="Q141" s="65">
        <f>SUM(A:B!Q141)</f>
        <v>0</v>
      </c>
      <c r="R141" s="65">
        <f>SUM(A:B!R141)</f>
        <v>0</v>
      </c>
      <c r="S141" s="65">
        <f>SUM(A:B!S141)</f>
        <v>0</v>
      </c>
      <c r="T141" s="65">
        <f>SUM(A:B!T141)</f>
        <v>0</v>
      </c>
      <c r="U141" s="65">
        <f>SUM(A:B!U141)</f>
        <v>0</v>
      </c>
      <c r="V141" s="11">
        <f t="shared" si="50"/>
        <v>0</v>
      </c>
      <c r="W141" s="73">
        <f t="shared" si="53"/>
        <v>0</v>
      </c>
      <c r="X141" s="89"/>
      <c r="Y141" s="65">
        <f>SUM(A:B!Y141)</f>
        <v>0</v>
      </c>
      <c r="Z141" s="65">
        <f>SUM(A:B!Z141)</f>
        <v>0</v>
      </c>
      <c r="AA141" s="65">
        <f>SUM(A:B!AA141)</f>
        <v>0</v>
      </c>
      <c r="AB141" s="65">
        <f>SUM(A:B!AB141)</f>
        <v>0</v>
      </c>
      <c r="AC141" s="65">
        <f>SUM(A:B!AC141)</f>
        <v>0</v>
      </c>
      <c r="AD141" s="65">
        <f>SUM(A:B!AD141)</f>
        <v>0</v>
      </c>
      <c r="AE141" s="65">
        <f>SUM(A:B!AE141)</f>
        <v>0</v>
      </c>
      <c r="AF141" s="65">
        <f>SUM(A:B!AF141)</f>
        <v>0</v>
      </c>
      <c r="AG141" s="65">
        <f>SUM(A:B!AG141)</f>
        <v>0</v>
      </c>
      <c r="AH141" s="65">
        <f>SUM(A:B!AH141)</f>
        <v>0</v>
      </c>
      <c r="AI141" s="65">
        <f>SUM(A:B!AI141)</f>
        <v>0</v>
      </c>
      <c r="AJ141" s="65">
        <f>SUM(A:B!AJ141)</f>
        <v>0</v>
      </c>
      <c r="AK141" s="124">
        <f>SUM(Y141:AJ141)</f>
        <v>0</v>
      </c>
      <c r="AL141" s="73">
        <f t="shared" si="51"/>
        <v>0</v>
      </c>
      <c r="AM141" s="14">
        <f t="shared" si="52"/>
        <v>0</v>
      </c>
      <c r="AN141" s="277">
        <f t="shared" si="49"/>
        <v>0</v>
      </c>
      <c r="AR141" s="9"/>
      <c r="AS141" s="269"/>
      <c r="AT141" s="272"/>
    </row>
    <row r="142" spans="1:46" outlineLevel="1">
      <c r="A142" s="12"/>
      <c r="I142" s="228" t="s">
        <v>257</v>
      </c>
      <c r="J142" s="65">
        <f>SUM(A:B!J142)</f>
        <v>0</v>
      </c>
      <c r="K142" s="65">
        <f>SUM(A:B!K142)</f>
        <v>0</v>
      </c>
      <c r="L142" s="65">
        <f>SUM(A:B!L142)</f>
        <v>12000</v>
      </c>
      <c r="M142" s="65">
        <f>SUM(A:B!M142)</f>
        <v>0</v>
      </c>
      <c r="N142" s="65">
        <f>SUM(A:B!N142)</f>
        <v>0</v>
      </c>
      <c r="O142" s="65">
        <f>SUM(A:B!O142)</f>
        <v>12000</v>
      </c>
      <c r="P142" s="65">
        <f>SUM(A:B!P142)</f>
        <v>0</v>
      </c>
      <c r="Q142" s="65">
        <f>SUM(A:B!Q142)</f>
        <v>12000</v>
      </c>
      <c r="R142" s="65">
        <f>SUM(A:B!R142)</f>
        <v>0</v>
      </c>
      <c r="S142" s="65">
        <f>SUM(A:B!S142)</f>
        <v>0</v>
      </c>
      <c r="T142" s="65">
        <f>SUM(A:B!T142)</f>
        <v>7800</v>
      </c>
      <c r="U142" s="65">
        <f>SUM(A:B!U142)</f>
        <v>7800</v>
      </c>
      <c r="V142" s="11">
        <f t="shared" si="50"/>
        <v>51600</v>
      </c>
      <c r="W142" s="73">
        <f t="shared" si="53"/>
        <v>2.3048788402246328E-4</v>
      </c>
      <c r="X142" s="89"/>
      <c r="Y142" s="65">
        <f>SUM(A:B!Y142)</f>
        <v>0</v>
      </c>
      <c r="Z142" s="65">
        <f>SUM(A:B!Z142)</f>
        <v>14905.439999999999</v>
      </c>
      <c r="AA142" s="65">
        <f>SUM(A:B!AA142)</f>
        <v>0</v>
      </c>
      <c r="AB142" s="65">
        <f>SUM(A:B!AB142)</f>
        <v>0</v>
      </c>
      <c r="AC142" s="65">
        <f>SUM(A:B!AC142)</f>
        <v>14905.439999999999</v>
      </c>
      <c r="AD142" s="65">
        <f>SUM(A:B!AD142)</f>
        <v>0</v>
      </c>
      <c r="AE142" s="65">
        <f>SUM(A:B!AE142)</f>
        <v>0</v>
      </c>
      <c r="AF142" s="65">
        <f>SUM(A:B!AF142)</f>
        <v>14905.439999999999</v>
      </c>
      <c r="AG142" s="65">
        <f>SUM(A:B!AG142)</f>
        <v>0</v>
      </c>
      <c r="AH142" s="65">
        <f>SUM(A:B!AH142)</f>
        <v>0</v>
      </c>
      <c r="AI142" s="65">
        <f>SUM(A:B!AI142)</f>
        <v>14905.439999999999</v>
      </c>
      <c r="AJ142" s="65">
        <f>SUM(A:B!AJ142)</f>
        <v>0</v>
      </c>
      <c r="AK142" s="124">
        <f>SUM(Y142:AJ142)</f>
        <v>59621.759999999995</v>
      </c>
      <c r="AL142" s="73">
        <f t="shared" si="51"/>
        <v>2.3778258225555778E-4</v>
      </c>
      <c r="AM142" s="14">
        <f t="shared" si="52"/>
        <v>0.15546046511627898</v>
      </c>
      <c r="AN142" s="277">
        <f t="shared" si="49"/>
        <v>8021.7599999999948</v>
      </c>
      <c r="AO142" s="1" t="s">
        <v>458</v>
      </c>
      <c r="AR142" s="9"/>
      <c r="AS142" s="269"/>
      <c r="AT142" s="272"/>
    </row>
    <row r="143" spans="1:46" outlineLevel="1">
      <c r="A143" s="12"/>
      <c r="I143" s="228" t="s">
        <v>258</v>
      </c>
      <c r="J143" s="65">
        <f>SUM(A:B!J143)</f>
        <v>0</v>
      </c>
      <c r="K143" s="65">
        <f>SUM(A:B!K143)</f>
        <v>0</v>
      </c>
      <c r="L143" s="65">
        <f>SUM(A:B!L143)</f>
        <v>0</v>
      </c>
      <c r="M143" s="65">
        <f>SUM(A:B!M143)</f>
        <v>0</v>
      </c>
      <c r="N143" s="65">
        <f>SUM(A:B!N143)</f>
        <v>0</v>
      </c>
      <c r="O143" s="65">
        <f>SUM(A:B!O143)</f>
        <v>0</v>
      </c>
      <c r="P143" s="65">
        <f>SUM(A:B!P143)</f>
        <v>0</v>
      </c>
      <c r="Q143" s="65">
        <f>SUM(A:B!Q143)</f>
        <v>0</v>
      </c>
      <c r="R143" s="65">
        <f>SUM(A:B!R143)</f>
        <v>0</v>
      </c>
      <c r="S143" s="65">
        <f>SUM(A:B!S143)</f>
        <v>0</v>
      </c>
      <c r="T143" s="65">
        <f>SUM(A:B!T143)</f>
        <v>0</v>
      </c>
      <c r="U143" s="65">
        <f>SUM(A:B!U143)</f>
        <v>15080</v>
      </c>
      <c r="V143" s="11">
        <f t="shared" si="50"/>
        <v>15080</v>
      </c>
      <c r="W143" s="73">
        <f t="shared" si="53"/>
        <v>6.7359637423619113E-5</v>
      </c>
      <c r="X143" s="89"/>
      <c r="Y143" s="65">
        <f>SUM(A:B!Y143)</f>
        <v>0</v>
      </c>
      <c r="Z143" s="65">
        <f>SUM(A:B!Z143)</f>
        <v>3883.6951999999997</v>
      </c>
      <c r="AA143" s="65">
        <f>SUM(A:B!AA143)</f>
        <v>0</v>
      </c>
      <c r="AB143" s="65">
        <f>SUM(A:B!AB143)</f>
        <v>0</v>
      </c>
      <c r="AC143" s="65">
        <f>SUM(A:B!AC143)</f>
        <v>3883.6951999999997</v>
      </c>
      <c r="AD143" s="65">
        <f>SUM(A:B!AD143)</f>
        <v>0</v>
      </c>
      <c r="AE143" s="65">
        <f>SUM(A:B!AE143)</f>
        <v>0</v>
      </c>
      <c r="AF143" s="65">
        <f>SUM(A:B!AF143)</f>
        <v>3883.6951999999997</v>
      </c>
      <c r="AG143" s="65">
        <f>SUM(A:B!AG143)</f>
        <v>0</v>
      </c>
      <c r="AH143" s="65">
        <f>SUM(A:B!AH143)</f>
        <v>0</v>
      </c>
      <c r="AI143" s="65">
        <f>SUM(A:B!AI143)</f>
        <v>3883.6951999999997</v>
      </c>
      <c r="AJ143" s="65">
        <f>SUM(A:B!AJ143)</f>
        <v>0</v>
      </c>
      <c r="AK143" s="124">
        <f>SUM(Y143:AJ143)</f>
        <v>15534.780799999999</v>
      </c>
      <c r="AL143" s="73">
        <f t="shared" si="51"/>
        <v>6.1955572821031438E-5</v>
      </c>
      <c r="AM143" s="14">
        <f t="shared" si="52"/>
        <v>3.0157877984084758E-2</v>
      </c>
      <c r="AN143" s="277">
        <f t="shared" si="49"/>
        <v>454.78079999999864</v>
      </c>
      <c r="AO143" s="1" t="s">
        <v>459</v>
      </c>
      <c r="AR143" s="9"/>
      <c r="AS143" s="269"/>
      <c r="AT143" s="272"/>
    </row>
    <row r="144" spans="1:46" outlineLevel="1">
      <c r="A144" s="12"/>
      <c r="I144" s="228" t="s">
        <v>259</v>
      </c>
      <c r="J144" s="65">
        <f>SUM(A:B!J144)</f>
        <v>0</v>
      </c>
      <c r="K144" s="65">
        <f>SUM(A:B!K144)</f>
        <v>0</v>
      </c>
      <c r="L144" s="65">
        <f>SUM(A:B!L144)</f>
        <v>0</v>
      </c>
      <c r="M144" s="65">
        <f>SUM(A:B!M144)</f>
        <v>0</v>
      </c>
      <c r="N144" s="65">
        <f>SUM(A:B!N144)</f>
        <v>0</v>
      </c>
      <c r="O144" s="65">
        <f>SUM(A:B!O144)</f>
        <v>0</v>
      </c>
      <c r="P144" s="65">
        <f>SUM(A:B!P144)</f>
        <v>0</v>
      </c>
      <c r="Q144" s="65">
        <f>SUM(A:B!Q144)</f>
        <v>0</v>
      </c>
      <c r="R144" s="65">
        <f>SUM(A:B!R144)</f>
        <v>0</v>
      </c>
      <c r="S144" s="65">
        <f>SUM(A:B!S144)</f>
        <v>0</v>
      </c>
      <c r="T144" s="65">
        <f>SUM(A:B!T144)</f>
        <v>0</v>
      </c>
      <c r="U144" s="65">
        <f>SUM(A:B!U144)</f>
        <v>0</v>
      </c>
      <c r="V144" s="11">
        <f t="shared" si="50"/>
        <v>0</v>
      </c>
      <c r="W144" s="73">
        <f t="shared" si="53"/>
        <v>0</v>
      </c>
      <c r="X144" s="89"/>
      <c r="Y144" s="65">
        <f>SUM(A:B!Y144)</f>
        <v>0</v>
      </c>
      <c r="Z144" s="65">
        <f>SUM(A:B!Z144)</f>
        <v>0</v>
      </c>
      <c r="AA144" s="65">
        <f>SUM(A:B!AA144)</f>
        <v>0</v>
      </c>
      <c r="AB144" s="65">
        <f>SUM(A:B!AB144)</f>
        <v>0</v>
      </c>
      <c r="AC144" s="65">
        <f>SUM(A:B!AC144)</f>
        <v>0</v>
      </c>
      <c r="AD144" s="65">
        <f>SUM(A:B!AD144)</f>
        <v>0</v>
      </c>
      <c r="AE144" s="65">
        <f>SUM(A:B!AE144)</f>
        <v>0</v>
      </c>
      <c r="AF144" s="65">
        <f>SUM(A:B!AF144)</f>
        <v>0</v>
      </c>
      <c r="AG144" s="65">
        <f>SUM(A:B!AG144)</f>
        <v>0</v>
      </c>
      <c r="AH144" s="65">
        <f>SUM(A:B!AH144)</f>
        <v>0</v>
      </c>
      <c r="AI144" s="65">
        <f>SUM(A:B!AI144)</f>
        <v>0</v>
      </c>
      <c r="AJ144" s="65">
        <f>SUM(A:B!AJ144)</f>
        <v>0</v>
      </c>
      <c r="AK144" s="124">
        <f>SUM(Y144:AJ144)</f>
        <v>0</v>
      </c>
      <c r="AL144" s="73">
        <f t="shared" si="51"/>
        <v>0</v>
      </c>
      <c r="AM144" s="14">
        <f t="shared" si="52"/>
        <v>0</v>
      </c>
      <c r="AN144" s="277">
        <f t="shared" si="49"/>
        <v>0</v>
      </c>
      <c r="AR144" s="9"/>
      <c r="AS144" s="269"/>
      <c r="AT144" s="272"/>
    </row>
    <row r="145" spans="1:46" outlineLevel="1">
      <c r="A145" s="12"/>
      <c r="I145" s="228" t="s">
        <v>260</v>
      </c>
      <c r="J145" s="65">
        <f>SUM(A:B!J145)</f>
        <v>0</v>
      </c>
      <c r="K145" s="65">
        <f>SUM(A:B!K145)</f>
        <v>0</v>
      </c>
      <c r="L145" s="65">
        <f>SUM(A:B!L145)</f>
        <v>0</v>
      </c>
      <c r="M145" s="65">
        <f>SUM(A:B!M145)</f>
        <v>0</v>
      </c>
      <c r="N145" s="65">
        <f>SUM(A:B!N145)</f>
        <v>0</v>
      </c>
      <c r="O145" s="65">
        <f>SUM(A:B!O145)</f>
        <v>0</v>
      </c>
      <c r="P145" s="65">
        <f>SUM(A:B!P145)</f>
        <v>0</v>
      </c>
      <c r="Q145" s="65">
        <f>SUM(A:B!Q145)</f>
        <v>0</v>
      </c>
      <c r="R145" s="65">
        <f>SUM(A:B!R145)</f>
        <v>0</v>
      </c>
      <c r="S145" s="65">
        <f>SUM(A:B!S145)</f>
        <v>0</v>
      </c>
      <c r="T145" s="65">
        <f>SUM(A:B!T145)</f>
        <v>0</v>
      </c>
      <c r="U145" s="65">
        <f>SUM(A:B!U145)</f>
        <v>0</v>
      </c>
      <c r="V145" s="11">
        <f t="shared" si="50"/>
        <v>0</v>
      </c>
      <c r="W145" s="73">
        <f t="shared" si="53"/>
        <v>0</v>
      </c>
      <c r="X145" s="89"/>
      <c r="Y145" s="65">
        <f>SUM(A:B!Y145)</f>
        <v>0</v>
      </c>
      <c r="Z145" s="65">
        <f>SUM(A:B!Z145)</f>
        <v>0</v>
      </c>
      <c r="AA145" s="65">
        <f>SUM(A:B!AA145)</f>
        <v>0</v>
      </c>
      <c r="AB145" s="65">
        <f>SUM(A:B!AB145)</f>
        <v>0</v>
      </c>
      <c r="AC145" s="65">
        <f>SUM(A:B!AC145)</f>
        <v>0</v>
      </c>
      <c r="AD145" s="65">
        <f>SUM(A:B!AD145)</f>
        <v>0</v>
      </c>
      <c r="AE145" s="65">
        <f>SUM(A:B!AE145)</f>
        <v>0</v>
      </c>
      <c r="AF145" s="65">
        <f>SUM(A:B!AF145)</f>
        <v>0</v>
      </c>
      <c r="AG145" s="65">
        <f>SUM(A:B!AG145)</f>
        <v>0</v>
      </c>
      <c r="AH145" s="65">
        <f>SUM(A:B!AH145)</f>
        <v>0</v>
      </c>
      <c r="AI145" s="65">
        <f>SUM(A:B!AI145)</f>
        <v>0</v>
      </c>
      <c r="AJ145" s="65">
        <f>SUM(A:B!AJ145)</f>
        <v>0</v>
      </c>
      <c r="AK145" s="124">
        <f>SUM(Y145:AJ145)</f>
        <v>0</v>
      </c>
      <c r="AL145" s="73">
        <f t="shared" si="51"/>
        <v>0</v>
      </c>
      <c r="AM145" s="14">
        <f t="shared" si="52"/>
        <v>0</v>
      </c>
      <c r="AN145" s="277">
        <f t="shared" si="49"/>
        <v>0</v>
      </c>
      <c r="AR145" s="9"/>
      <c r="AS145" s="269"/>
      <c r="AT145" s="272"/>
    </row>
    <row r="146" spans="1:46" outlineLevel="1">
      <c r="A146" s="12"/>
      <c r="I146" s="228" t="s">
        <v>261</v>
      </c>
      <c r="J146" s="65">
        <f>SUM(A:B!J146)</f>
        <v>0</v>
      </c>
      <c r="K146" s="65">
        <f>SUM(A:B!K146)</f>
        <v>0</v>
      </c>
      <c r="L146" s="65">
        <f>SUM(A:B!L146)</f>
        <v>0</v>
      </c>
      <c r="M146" s="65">
        <f>SUM(A:B!M146)</f>
        <v>0</v>
      </c>
      <c r="N146" s="65">
        <f>SUM(A:B!N146)</f>
        <v>0</v>
      </c>
      <c r="O146" s="65">
        <f>SUM(A:B!O146)</f>
        <v>0</v>
      </c>
      <c r="P146" s="65">
        <f>SUM(A:B!P146)</f>
        <v>11263</v>
      </c>
      <c r="Q146" s="65">
        <f>SUM(A:B!Q146)</f>
        <v>0</v>
      </c>
      <c r="R146" s="65">
        <f>SUM(A:B!R146)</f>
        <v>0</v>
      </c>
      <c r="S146" s="65">
        <f>SUM(A:B!S146)</f>
        <v>0</v>
      </c>
      <c r="T146" s="65">
        <f>SUM(A:B!T146)</f>
        <v>0</v>
      </c>
      <c r="U146" s="65">
        <f>SUM(A:B!U146)</f>
        <v>14560</v>
      </c>
      <c r="V146" s="11">
        <f t="shared" si="50"/>
        <v>25823</v>
      </c>
      <c r="W146" s="73">
        <f t="shared" si="53"/>
        <v>1.1534667885876104E-4</v>
      </c>
      <c r="X146" s="89"/>
      <c r="Y146" s="65">
        <f>SUM(A:B!Y146)</f>
        <v>0</v>
      </c>
      <c r="Z146" s="65">
        <f>SUM(A:B!Z146)</f>
        <v>0</v>
      </c>
      <c r="AA146" s="65">
        <f>SUM(A:B!AA146)</f>
        <v>0</v>
      </c>
      <c r="AB146" s="65">
        <f>SUM(A:B!AB146)</f>
        <v>0</v>
      </c>
      <c r="AC146" s="65">
        <f>SUM(A:B!AC146)</f>
        <v>0</v>
      </c>
      <c r="AD146" s="65">
        <f>SUM(A:B!AD146)</f>
        <v>0</v>
      </c>
      <c r="AE146" s="65">
        <f>SUM(A:B!AE146)</f>
        <v>0</v>
      </c>
      <c r="AF146" s="65">
        <f>SUM(A:B!AF146)</f>
        <v>0</v>
      </c>
      <c r="AG146" s="65">
        <f>SUM(A:B!AG146)</f>
        <v>0</v>
      </c>
      <c r="AH146" s="65">
        <f>SUM(A:B!AH146)</f>
        <v>0</v>
      </c>
      <c r="AI146" s="65">
        <f>SUM(A:B!AI146)</f>
        <v>0</v>
      </c>
      <c r="AJ146" s="65">
        <f>SUM(A:B!AJ146)</f>
        <v>12835.239999999998</v>
      </c>
      <c r="AK146" s="124">
        <f>SUM(Y146:AJ146)</f>
        <v>12835.239999999998</v>
      </c>
      <c r="AL146" s="73">
        <f t="shared" si="51"/>
        <v>5.1189305902238132E-5</v>
      </c>
      <c r="AM146" s="14">
        <f t="shared" si="52"/>
        <v>-0.5029531812725091</v>
      </c>
      <c r="AN146" s="277">
        <f t="shared" si="49"/>
        <v>-12987.760000000002</v>
      </c>
      <c r="AO146" s="1" t="s">
        <v>460</v>
      </c>
      <c r="AR146" s="9"/>
      <c r="AS146" s="269"/>
      <c r="AT146" s="272"/>
    </row>
    <row r="147" spans="1:46" outlineLevel="1">
      <c r="A147" s="12"/>
      <c r="I147" s="228" t="s">
        <v>262</v>
      </c>
      <c r="J147" s="65">
        <f>SUM(A:B!J147)</f>
        <v>0</v>
      </c>
      <c r="K147" s="65">
        <f>SUM(A:B!K147)</f>
        <v>112000</v>
      </c>
      <c r="L147" s="65">
        <f>SUM(A:B!L147)</f>
        <v>56000</v>
      </c>
      <c r="M147" s="65">
        <f>SUM(A:B!M147)</f>
        <v>56000</v>
      </c>
      <c r="N147" s="65">
        <f>SUM(A:B!N147)</f>
        <v>0</v>
      </c>
      <c r="O147" s="65">
        <f>SUM(A:B!O147)</f>
        <v>0</v>
      </c>
      <c r="P147" s="65">
        <f>SUM(A:B!P147)</f>
        <v>168000</v>
      </c>
      <c r="Q147" s="65">
        <f>SUM(A:B!Q147)</f>
        <v>56000</v>
      </c>
      <c r="R147" s="65">
        <f>SUM(A:B!R147)</f>
        <v>56000</v>
      </c>
      <c r="S147" s="65">
        <f>SUM(A:B!S147)</f>
        <v>56000</v>
      </c>
      <c r="T147" s="65">
        <f>SUM(A:B!T147)</f>
        <v>56000</v>
      </c>
      <c r="U147" s="65">
        <f>SUM(A:B!U147)</f>
        <v>56000</v>
      </c>
      <c r="V147" s="11">
        <f t="shared" si="50"/>
        <v>672000</v>
      </c>
      <c r="W147" s="73">
        <f t="shared" si="53"/>
        <v>3.0017026756413824E-3</v>
      </c>
      <c r="X147" s="89"/>
      <c r="Y147" s="65">
        <f>SUM(A:B!Y147)</f>
        <v>56000</v>
      </c>
      <c r="Z147" s="65">
        <f>SUM(A:B!Z147)</f>
        <v>56000</v>
      </c>
      <c r="AA147" s="65">
        <f>SUM(A:B!AA147)</f>
        <v>56000</v>
      </c>
      <c r="AB147" s="65">
        <f>SUM(A:B!AB147)</f>
        <v>56000</v>
      </c>
      <c r="AC147" s="65">
        <f>SUM(A:B!AC147)</f>
        <v>56000</v>
      </c>
      <c r="AD147" s="65">
        <f>SUM(A:B!AD147)</f>
        <v>56000</v>
      </c>
      <c r="AE147" s="65">
        <f>SUM(A:B!AE147)</f>
        <v>56000</v>
      </c>
      <c r="AF147" s="65">
        <f>SUM(A:B!AF147)</f>
        <v>56000</v>
      </c>
      <c r="AG147" s="65">
        <f>SUM(A:B!AG147)</f>
        <v>56000</v>
      </c>
      <c r="AH147" s="65">
        <f>SUM(A:B!AH147)</f>
        <v>56000</v>
      </c>
      <c r="AI147" s="65">
        <f>SUM(A:B!AI147)</f>
        <v>56000</v>
      </c>
      <c r="AJ147" s="65">
        <f>SUM(A:B!AJ147)</f>
        <v>56000</v>
      </c>
      <c r="AK147" s="124">
        <f>SUM(Y147:AJ147)</f>
        <v>672000</v>
      </c>
      <c r="AL147" s="73">
        <f t="shared" si="51"/>
        <v>2.6800600196259694E-3</v>
      </c>
      <c r="AM147" s="14">
        <f t="shared" si="52"/>
        <v>0</v>
      </c>
      <c r="AN147" s="277">
        <f t="shared" si="49"/>
        <v>0</v>
      </c>
      <c r="AO147" s="1" t="s">
        <v>452</v>
      </c>
      <c r="AR147" s="9"/>
      <c r="AS147" s="269"/>
      <c r="AT147" s="272"/>
    </row>
    <row r="148" spans="1:46">
      <c r="A148" s="12" t="s">
        <v>240</v>
      </c>
      <c r="B148" s="8" t="s">
        <v>101</v>
      </c>
      <c r="I148" s="120" t="s">
        <v>263</v>
      </c>
      <c r="J148" s="15">
        <f>SUM(J149:J155)</f>
        <v>744310</v>
      </c>
      <c r="K148" s="15">
        <f t="shared" ref="K148:V148" si="58">SUM(K149:K155)</f>
        <v>728809</v>
      </c>
      <c r="L148" s="15">
        <f t="shared" si="58"/>
        <v>734177</v>
      </c>
      <c r="M148" s="15">
        <f t="shared" si="58"/>
        <v>718120</v>
      </c>
      <c r="N148" s="15">
        <f t="shared" si="58"/>
        <v>740732</v>
      </c>
      <c r="O148" s="15">
        <f t="shared" si="58"/>
        <v>726327</v>
      </c>
      <c r="P148" s="15">
        <f t="shared" si="58"/>
        <v>744851</v>
      </c>
      <c r="Q148" s="15">
        <f t="shared" si="58"/>
        <v>719433</v>
      </c>
      <c r="R148" s="15">
        <f t="shared" si="58"/>
        <v>731218</v>
      </c>
      <c r="S148" s="15">
        <f t="shared" si="58"/>
        <v>733475</v>
      </c>
      <c r="T148" s="15">
        <f t="shared" si="58"/>
        <v>741771.26</v>
      </c>
      <c r="U148" s="15">
        <f t="shared" si="58"/>
        <v>743365.05166666664</v>
      </c>
      <c r="V148" s="15">
        <f t="shared" si="58"/>
        <v>8806588.3116666656</v>
      </c>
      <c r="W148" s="72">
        <f t="shared" si="32"/>
        <v>3.933744002738386E-2</v>
      </c>
      <c r="X148" s="89"/>
      <c r="Y148" s="15">
        <f>SUM(Y149:Y155)</f>
        <v>741703.76322333328</v>
      </c>
      <c r="Z148" s="15">
        <f t="shared" ref="Z148:AJ148" si="59">SUM(Z149:Z155)</f>
        <v>741732.02145333332</v>
      </c>
      <c r="AA148" s="15">
        <f t="shared" si="59"/>
        <v>743434.45042333333</v>
      </c>
      <c r="AB148" s="15">
        <f t="shared" si="59"/>
        <v>742927.00989999995</v>
      </c>
      <c r="AC148" s="15">
        <f t="shared" si="59"/>
        <v>745883.49702333333</v>
      </c>
      <c r="AD148" s="15">
        <f t="shared" si="59"/>
        <v>747959.66610000003</v>
      </c>
      <c r="AE148" s="15">
        <f t="shared" si="59"/>
        <v>746432.12302555551</v>
      </c>
      <c r="AF148" s="15">
        <f t="shared" si="59"/>
        <v>746917.91462407401</v>
      </c>
      <c r="AG148" s="15">
        <f t="shared" si="59"/>
        <v>746234.37576547195</v>
      </c>
      <c r="AH148" s="15">
        <f t="shared" si="59"/>
        <v>775697.1807891276</v>
      </c>
      <c r="AI148" s="15">
        <f t="shared" si="59"/>
        <v>774397.87230387318</v>
      </c>
      <c r="AJ148" s="15">
        <f t="shared" si="59"/>
        <v>775801.35882654798</v>
      </c>
      <c r="AK148" s="278">
        <f>SUM(AK149:AK155)</f>
        <v>9029121.2334579844</v>
      </c>
      <c r="AL148" s="72">
        <f t="shared" si="33"/>
        <v>3.6009801830575394E-2</v>
      </c>
      <c r="AM148" s="10">
        <f t="shared" si="46"/>
        <v>2.5268913898985668E-2</v>
      </c>
      <c r="AN148" s="277">
        <f t="shared" si="49"/>
        <v>222532.9217913188</v>
      </c>
      <c r="AR148" s="9"/>
      <c r="AS148" s="269"/>
      <c r="AT148" s="272"/>
    </row>
    <row r="149" spans="1:46" outlineLevel="1">
      <c r="A149" s="12" t="s">
        <v>240</v>
      </c>
      <c r="B149" s="8" t="s">
        <v>101</v>
      </c>
      <c r="I149" t="s">
        <v>264</v>
      </c>
      <c r="J149" s="65">
        <f>SUM(A:B!J149)</f>
        <v>0</v>
      </c>
      <c r="K149" s="65">
        <f>SUM(A:B!K149)</f>
        <v>0</v>
      </c>
      <c r="L149" s="65">
        <f>SUM(A:B!L149)</f>
        <v>0</v>
      </c>
      <c r="M149" s="65">
        <f>SUM(A:B!M149)</f>
        <v>0</v>
      </c>
      <c r="N149" s="65">
        <f>SUM(A:B!N149)</f>
        <v>0</v>
      </c>
      <c r="O149" s="65">
        <f>SUM(A:B!O149)</f>
        <v>0</v>
      </c>
      <c r="P149" s="65">
        <f>SUM(A:B!P149)</f>
        <v>0</v>
      </c>
      <c r="Q149" s="65">
        <f>SUM(A:B!Q149)</f>
        <v>0</v>
      </c>
      <c r="R149" s="65">
        <f>SUM(A:B!R149)</f>
        <v>0</v>
      </c>
      <c r="S149" s="65">
        <f>SUM(A:B!S149)</f>
        <v>0</v>
      </c>
      <c r="T149" s="65">
        <f>SUM(A:B!T149)</f>
        <v>0</v>
      </c>
      <c r="U149" s="65">
        <f>SUM(A:B!U149)</f>
        <v>0</v>
      </c>
      <c r="V149" s="11">
        <f t="shared" ref="V149:V154" si="60">SUM(J149:U149)</f>
        <v>0</v>
      </c>
      <c r="W149" s="73">
        <f t="shared" si="32"/>
        <v>0</v>
      </c>
      <c r="X149" s="89"/>
      <c r="Y149" s="65">
        <f>SUM(A:B!Y149)</f>
        <v>0</v>
      </c>
      <c r="Z149" s="65">
        <f>SUM(A:B!Z149)</f>
        <v>0</v>
      </c>
      <c r="AA149" s="65">
        <f>SUM(A:B!AA149)</f>
        <v>0</v>
      </c>
      <c r="AB149" s="65">
        <f>SUM(A:B!AB149)</f>
        <v>0</v>
      </c>
      <c r="AC149" s="65">
        <f>SUM(A:B!AC149)</f>
        <v>0</v>
      </c>
      <c r="AD149" s="65">
        <f>SUM(A:B!AD149)</f>
        <v>0</v>
      </c>
      <c r="AE149" s="65">
        <f>SUM(A:B!AE149)</f>
        <v>0</v>
      </c>
      <c r="AF149" s="65">
        <f>SUM(A:B!AF149)</f>
        <v>0</v>
      </c>
      <c r="AG149" s="65">
        <f>SUM(A:B!AG149)</f>
        <v>0</v>
      </c>
      <c r="AH149" s="65">
        <f>SUM(A:B!AH149)</f>
        <v>0</v>
      </c>
      <c r="AI149" s="65">
        <f>SUM(A:B!AI149)</f>
        <v>0</v>
      </c>
      <c r="AJ149" s="65">
        <f>SUM(A:B!AJ149)</f>
        <v>0</v>
      </c>
      <c r="AK149" s="124">
        <f>SUM(A:B!AK149)</f>
        <v>0</v>
      </c>
      <c r="AL149" s="73">
        <f t="shared" si="33"/>
        <v>0</v>
      </c>
      <c r="AM149" s="14">
        <f t="shared" si="46"/>
        <v>0</v>
      </c>
      <c r="AN149" s="277">
        <f t="shared" si="49"/>
        <v>0</v>
      </c>
      <c r="AR149" s="9"/>
      <c r="AS149" s="269"/>
      <c r="AT149" s="272"/>
    </row>
    <row r="150" spans="1:46" outlineLevel="1">
      <c r="A150" s="12" t="s">
        <v>240</v>
      </c>
      <c r="B150" s="8" t="s">
        <v>101</v>
      </c>
      <c r="I150" s="139" t="s">
        <v>265</v>
      </c>
      <c r="J150" s="65">
        <f>SUM(A:B!J150)</f>
        <v>698438</v>
      </c>
      <c r="K150" s="65">
        <f>SUM(A:B!K150)</f>
        <v>698438</v>
      </c>
      <c r="L150" s="65">
        <f>SUM(A:B!L150)</f>
        <v>698438</v>
      </c>
      <c r="M150" s="65">
        <f>SUM(A:B!M150)</f>
        <v>698438</v>
      </c>
      <c r="N150" s="65">
        <f>SUM(A:B!N150)</f>
        <v>698438</v>
      </c>
      <c r="O150" s="65">
        <f>SUM(A:B!O150)</f>
        <v>698438</v>
      </c>
      <c r="P150" s="65">
        <f>SUM(A:B!P150)</f>
        <v>698438</v>
      </c>
      <c r="Q150" s="65">
        <f>SUM(A:B!Q150)</f>
        <v>698438</v>
      </c>
      <c r="R150" s="65">
        <f>SUM(A:B!R150)</f>
        <v>698438</v>
      </c>
      <c r="S150" s="65">
        <f>SUM(A:B!S150)</f>
        <v>698438</v>
      </c>
      <c r="T150" s="65">
        <f>SUM(A:B!T150)</f>
        <v>711512.76</v>
      </c>
      <c r="U150" s="65">
        <f>SUM(A:B!U150)</f>
        <v>711512.76</v>
      </c>
      <c r="V150" s="11">
        <f t="shared" si="60"/>
        <v>8407405.5199999996</v>
      </c>
      <c r="W150" s="73">
        <f t="shared" si="32"/>
        <v>3.7554362566348407E-2</v>
      </c>
      <c r="X150" s="89"/>
      <c r="Y150" s="65">
        <f>SUM(A:B!Y150)</f>
        <v>711512.76</v>
      </c>
      <c r="Z150" s="65">
        <f>SUM(A:B!Z150)</f>
        <v>711512.76</v>
      </c>
      <c r="AA150" s="65">
        <f>SUM(A:B!AA150)</f>
        <v>711512.76</v>
      </c>
      <c r="AB150" s="65">
        <f>SUM(A:B!AB150)</f>
        <v>711512.76</v>
      </c>
      <c r="AC150" s="65">
        <f>SUM(A:B!AC150)</f>
        <v>711512.76</v>
      </c>
      <c r="AD150" s="65">
        <f>SUM(A:B!AD150)</f>
        <v>711512.76</v>
      </c>
      <c r="AE150" s="65">
        <f>SUM(A:B!AE150)</f>
        <v>711512.76</v>
      </c>
      <c r="AF150" s="65">
        <f>SUM(A:B!AF150)</f>
        <v>711512.76</v>
      </c>
      <c r="AG150" s="65">
        <f>SUM(A:B!AG150)</f>
        <v>711512.76</v>
      </c>
      <c r="AH150" s="65">
        <f>SUM(A:B!AH150)</f>
        <v>739973.27040000004</v>
      </c>
      <c r="AI150" s="65">
        <f>SUM(A:B!AI150)</f>
        <v>739973.27040000004</v>
      </c>
      <c r="AJ150" s="65">
        <f>SUM(A:B!AJ150)</f>
        <v>739973.27040000004</v>
      </c>
      <c r="AK150" s="124">
        <f>SUM(A:B!AK150)</f>
        <v>8623534.6512000002</v>
      </c>
      <c r="AL150" s="73">
        <f t="shared" si="33"/>
        <v>3.4392247688304019E-2</v>
      </c>
      <c r="AM150" s="14">
        <f t="shared" si="46"/>
        <v>2.5706994944618922E-2</v>
      </c>
      <c r="AN150" s="277">
        <f t="shared" si="49"/>
        <v>216129.13120000064</v>
      </c>
      <c r="AO150" s="1" t="s">
        <v>461</v>
      </c>
      <c r="AR150" s="9"/>
      <c r="AS150" s="269"/>
      <c r="AT150" s="272"/>
    </row>
    <row r="151" spans="1:46" outlineLevel="1">
      <c r="A151" s="12" t="s">
        <v>240</v>
      </c>
      <c r="B151" s="8" t="s">
        <v>101</v>
      </c>
      <c r="I151" s="139" t="s">
        <v>266</v>
      </c>
      <c r="J151" s="65">
        <f>SUM(A:B!J151)</f>
        <v>0</v>
      </c>
      <c r="K151" s="65">
        <f>SUM(A:B!K151)</f>
        <v>0</v>
      </c>
      <c r="L151" s="65">
        <f>SUM(A:B!L151)</f>
        <v>0</v>
      </c>
      <c r="M151" s="65">
        <f>SUM(A:B!M151)</f>
        <v>0</v>
      </c>
      <c r="N151" s="65">
        <f>SUM(A:B!N151)</f>
        <v>0</v>
      </c>
      <c r="O151" s="65">
        <f>SUM(A:B!O151)</f>
        <v>0</v>
      </c>
      <c r="P151" s="65">
        <f>SUM(A:B!P151)</f>
        <v>0</v>
      </c>
      <c r="Q151" s="65">
        <f>SUM(A:B!Q151)</f>
        <v>0</v>
      </c>
      <c r="R151" s="65">
        <f>SUM(A:B!R151)</f>
        <v>0</v>
      </c>
      <c r="S151" s="65">
        <f>SUM(A:B!S151)</f>
        <v>0</v>
      </c>
      <c r="T151" s="65">
        <f>SUM(A:B!T151)</f>
        <v>0</v>
      </c>
      <c r="U151" s="65">
        <f>SUM(A:B!U151)</f>
        <v>0</v>
      </c>
      <c r="V151" s="11">
        <f t="shared" si="60"/>
        <v>0</v>
      </c>
      <c r="W151" s="73">
        <f t="shared" si="32"/>
        <v>0</v>
      </c>
      <c r="X151" s="89"/>
      <c r="Y151" s="65">
        <f>SUM(A:B!Y151)</f>
        <v>0</v>
      </c>
      <c r="Z151" s="65">
        <f>SUM(A:B!Z151)</f>
        <v>0</v>
      </c>
      <c r="AA151" s="65">
        <f>SUM(A:B!AA151)</f>
        <v>0</v>
      </c>
      <c r="AB151" s="65">
        <f>SUM(A:B!AB151)</f>
        <v>0</v>
      </c>
      <c r="AC151" s="65">
        <f>SUM(A:B!AC151)</f>
        <v>0</v>
      </c>
      <c r="AD151" s="65">
        <f>SUM(A:B!AD151)</f>
        <v>0</v>
      </c>
      <c r="AE151" s="65">
        <f>SUM(A:B!AE151)</f>
        <v>0</v>
      </c>
      <c r="AF151" s="65">
        <f>SUM(A:B!AF151)</f>
        <v>0</v>
      </c>
      <c r="AG151" s="65">
        <f>SUM(A:B!AG151)</f>
        <v>0</v>
      </c>
      <c r="AH151" s="65">
        <f>SUM(A:B!AH151)</f>
        <v>0</v>
      </c>
      <c r="AI151" s="65">
        <f>SUM(A:B!AI151)</f>
        <v>0</v>
      </c>
      <c r="AJ151" s="65">
        <f>SUM(A:B!AJ151)</f>
        <v>0</v>
      </c>
      <c r="AK151" s="124">
        <f>SUM(A:B!AK151)</f>
        <v>0</v>
      </c>
      <c r="AL151" s="73">
        <f t="shared" si="33"/>
        <v>0</v>
      </c>
      <c r="AM151" s="14">
        <f t="shared" si="46"/>
        <v>0</v>
      </c>
      <c r="AN151" s="277">
        <f t="shared" si="49"/>
        <v>0</v>
      </c>
      <c r="AR151" s="9"/>
      <c r="AS151" s="269"/>
      <c r="AT151" s="272"/>
    </row>
    <row r="152" spans="1:46" outlineLevel="1">
      <c r="A152" s="12" t="s">
        <v>240</v>
      </c>
      <c r="B152" s="8" t="s">
        <v>101</v>
      </c>
      <c r="I152" s="139" t="s">
        <v>267</v>
      </c>
      <c r="J152" s="65">
        <f>SUM(A:B!J152)</f>
        <v>41311</v>
      </c>
      <c r="K152" s="65">
        <f>SUM(A:B!K152)</f>
        <v>22569</v>
      </c>
      <c r="L152" s="65">
        <f>SUM(A:B!L152)</f>
        <v>31708</v>
      </c>
      <c r="M152" s="65">
        <f>SUM(A:B!M152)</f>
        <v>13347</v>
      </c>
      <c r="N152" s="65">
        <f>SUM(A:B!N152)</f>
        <v>32476</v>
      </c>
      <c r="O152" s="65">
        <f>SUM(A:B!O152)</f>
        <v>26040</v>
      </c>
      <c r="P152" s="65">
        <f>SUM(A:B!P152)</f>
        <v>39446</v>
      </c>
      <c r="Q152" s="65">
        <f>SUM(A:B!Q152)</f>
        <v>19685</v>
      </c>
      <c r="R152" s="65">
        <f>SUM(A:B!R152)</f>
        <v>30868</v>
      </c>
      <c r="S152" s="65">
        <f>SUM(A:B!S152)</f>
        <v>31297</v>
      </c>
      <c r="T152" s="65">
        <f>SUM(A:B!T152)</f>
        <v>27892.25</v>
      </c>
      <c r="U152" s="65">
        <f>SUM(A:B!U152)</f>
        <v>29186.5625</v>
      </c>
      <c r="V152" s="11">
        <f>SUM(J152:U152)</f>
        <v>345825.8125</v>
      </c>
      <c r="W152" s="73">
        <f t="shared" si="32"/>
        <v>1.5447414682843825E-3</v>
      </c>
      <c r="X152" s="89"/>
      <c r="Y152" s="65">
        <f>SUM(A:B!Y152)</f>
        <v>26319.729223333328</v>
      </c>
      <c r="Z152" s="65">
        <f>SUM(A:B!Z152)</f>
        <v>26347.987453333331</v>
      </c>
      <c r="AA152" s="65">
        <f>SUM(A:B!AA152)</f>
        <v>28050.416423333329</v>
      </c>
      <c r="AB152" s="65">
        <f>SUM(A:B!AB152)</f>
        <v>27542.975899999998</v>
      </c>
      <c r="AC152" s="65">
        <f>SUM(A:B!AC152)</f>
        <v>30499.46302333333</v>
      </c>
      <c r="AD152" s="65">
        <f>SUM(A:B!AD152)</f>
        <v>32575.632099999999</v>
      </c>
      <c r="AE152" s="65">
        <f>SUM(A:B!AE152)</f>
        <v>31048.089025555553</v>
      </c>
      <c r="AF152" s="65">
        <f>SUM(A:B!AF152)</f>
        <v>31533.880624074067</v>
      </c>
      <c r="AG152" s="65">
        <f>SUM(A:B!AG152)</f>
        <v>30850.341765471923</v>
      </c>
      <c r="AH152" s="65">
        <f>SUM(A:B!AH152)</f>
        <v>31852.636389127569</v>
      </c>
      <c r="AI152" s="65">
        <f>SUM(A:B!AI152)</f>
        <v>30553.327903873189</v>
      </c>
      <c r="AJ152" s="65">
        <f>SUM(A:B!AJ152)</f>
        <v>31956.814426547993</v>
      </c>
      <c r="AK152" s="124">
        <f>SUM(A:B!AK152)</f>
        <v>359131.29425798362</v>
      </c>
      <c r="AL152" s="73">
        <f t="shared" si="33"/>
        <v>1.4322818802639157E-3</v>
      </c>
      <c r="AM152" s="14">
        <f t="shared" si="46"/>
        <v>3.8474518896658871E-2</v>
      </c>
      <c r="AN152" s="277">
        <f t="shared" si="49"/>
        <v>13305.481757983624</v>
      </c>
      <c r="AR152" s="9"/>
      <c r="AS152" s="269"/>
      <c r="AT152" s="272"/>
    </row>
    <row r="153" spans="1:46" outlineLevel="1">
      <c r="A153" s="12" t="s">
        <v>240</v>
      </c>
      <c r="B153" s="8" t="s">
        <v>101</v>
      </c>
      <c r="C153" s="19" t="s">
        <v>246</v>
      </c>
      <c r="D153" s="12"/>
      <c r="E153" s="20"/>
      <c r="F153" s="12"/>
      <c r="G153" s="12"/>
      <c r="H153" s="12"/>
      <c r="I153" s="139" t="s">
        <v>268</v>
      </c>
      <c r="J153" s="65">
        <f>SUM(A:B!J153)</f>
        <v>0</v>
      </c>
      <c r="K153" s="65">
        <f>SUM(A:B!K153)</f>
        <v>0</v>
      </c>
      <c r="L153" s="65">
        <f>SUM(A:B!L153)</f>
        <v>0</v>
      </c>
      <c r="M153" s="65">
        <f>SUM(A:B!M153)</f>
        <v>0</v>
      </c>
      <c r="N153" s="65">
        <f>SUM(A:B!N153)</f>
        <v>0</v>
      </c>
      <c r="O153" s="65">
        <f>SUM(A:B!O153)</f>
        <v>0</v>
      </c>
      <c r="P153" s="65">
        <f>SUM(A:B!P153)</f>
        <v>0</v>
      </c>
      <c r="Q153" s="65">
        <f>SUM(A:B!Q153)</f>
        <v>0</v>
      </c>
      <c r="R153" s="65">
        <f>SUM(A:B!R153)</f>
        <v>0</v>
      </c>
      <c r="S153" s="65">
        <f>SUM(A:B!S153)</f>
        <v>0</v>
      </c>
      <c r="T153" s="65">
        <f>SUM(A:B!T153)</f>
        <v>0</v>
      </c>
      <c r="U153" s="65">
        <f>SUM(A:B!U153)</f>
        <v>0</v>
      </c>
      <c r="V153" s="11">
        <f t="shared" si="60"/>
        <v>0</v>
      </c>
      <c r="W153" s="73">
        <f t="shared" si="32"/>
        <v>0</v>
      </c>
      <c r="X153" s="89"/>
      <c r="Y153" s="65">
        <f>SUM(A:B!Y153)</f>
        <v>0</v>
      </c>
      <c r="Z153" s="65">
        <f>SUM(A:B!Z153)</f>
        <v>0</v>
      </c>
      <c r="AA153" s="65">
        <f>SUM(A:B!AA153)</f>
        <v>0</v>
      </c>
      <c r="AB153" s="65">
        <f>SUM(A:B!AB153)</f>
        <v>0</v>
      </c>
      <c r="AC153" s="65">
        <f>SUM(A:B!AC153)</f>
        <v>0</v>
      </c>
      <c r="AD153" s="65">
        <f>SUM(A:B!AD153)</f>
        <v>0</v>
      </c>
      <c r="AE153" s="65">
        <f>SUM(A:B!AE153)</f>
        <v>0</v>
      </c>
      <c r="AF153" s="65">
        <f>SUM(A:B!AF153)</f>
        <v>0</v>
      </c>
      <c r="AG153" s="65">
        <f>SUM(A:B!AG153)</f>
        <v>0</v>
      </c>
      <c r="AH153" s="65">
        <f>SUM(A:B!AH153)</f>
        <v>0</v>
      </c>
      <c r="AI153" s="65">
        <f>SUM(A:B!AI153)</f>
        <v>0</v>
      </c>
      <c r="AJ153" s="65">
        <f>SUM(A:B!AJ153)</f>
        <v>0</v>
      </c>
      <c r="AK153" s="124">
        <f>SUM(A:B!AK153)</f>
        <v>0</v>
      </c>
      <c r="AL153" s="73">
        <f t="shared" si="33"/>
        <v>0</v>
      </c>
      <c r="AM153" s="14">
        <f t="shared" si="46"/>
        <v>0</v>
      </c>
      <c r="AN153" s="277">
        <f t="shared" si="49"/>
        <v>0</v>
      </c>
      <c r="AR153" s="9"/>
      <c r="AS153" s="269"/>
      <c r="AT153" s="272"/>
    </row>
    <row r="154" spans="1:46" outlineLevel="1">
      <c r="A154" s="12" t="s">
        <v>240</v>
      </c>
      <c r="B154" s="8" t="s">
        <v>101</v>
      </c>
      <c r="I154" t="s">
        <v>269</v>
      </c>
      <c r="J154" s="65">
        <f>SUM(A:B!J154)</f>
        <v>597</v>
      </c>
      <c r="K154" s="65">
        <f>SUM(A:B!K154)</f>
        <v>7063</v>
      </c>
      <c r="L154" s="65">
        <f>SUM(A:B!L154)</f>
        <v>4031</v>
      </c>
      <c r="M154" s="65">
        <f>SUM(A:B!M154)</f>
        <v>6335</v>
      </c>
      <c r="N154" s="65">
        <f>SUM(A:B!N154)</f>
        <v>7994</v>
      </c>
      <c r="O154" s="65">
        <f>SUM(A:B!O154)</f>
        <v>0</v>
      </c>
      <c r="P154" s="65">
        <f>SUM(A:B!P154)</f>
        <v>6967</v>
      </c>
      <c r="Q154" s="65">
        <f>SUM(A:B!Q154)</f>
        <v>1310</v>
      </c>
      <c r="R154" s="65">
        <f>SUM(A:B!R154)</f>
        <v>1912</v>
      </c>
      <c r="S154" s="65">
        <f>SUM(A:B!S154)</f>
        <v>3740</v>
      </c>
      <c r="T154" s="65">
        <f>SUM(A:B!T154)</f>
        <v>2366.25</v>
      </c>
      <c r="U154" s="65">
        <f>SUM(A:B!U154)</f>
        <v>2665.729166666667</v>
      </c>
      <c r="V154" s="11">
        <f t="shared" si="60"/>
        <v>44980.979166666664</v>
      </c>
      <c r="W154" s="73">
        <f t="shared" si="32"/>
        <v>2.0092191297254854E-4</v>
      </c>
      <c r="X154" s="89"/>
      <c r="Y154" s="65">
        <f>SUM(A:B!Y154)</f>
        <v>3871.2739999999994</v>
      </c>
      <c r="Z154" s="65">
        <f>SUM(A:B!Z154)</f>
        <v>3871.2739999999994</v>
      </c>
      <c r="AA154" s="65">
        <f>SUM(A:B!AA154)</f>
        <v>3871.2739999999994</v>
      </c>
      <c r="AB154" s="65">
        <f>SUM(A:B!AB154)</f>
        <v>3871.2739999999994</v>
      </c>
      <c r="AC154" s="65">
        <f>SUM(A:B!AC154)</f>
        <v>3871.2739999999994</v>
      </c>
      <c r="AD154" s="65">
        <f>SUM(A:B!AD154)</f>
        <v>3871.2739999999994</v>
      </c>
      <c r="AE154" s="65">
        <f>SUM(A:B!AE154)</f>
        <v>3871.2739999999994</v>
      </c>
      <c r="AF154" s="65">
        <f>SUM(A:B!AF154)</f>
        <v>3871.2739999999994</v>
      </c>
      <c r="AG154" s="65">
        <f>SUM(A:B!AG154)</f>
        <v>3871.2739999999994</v>
      </c>
      <c r="AH154" s="65">
        <f>SUM(A:B!AH154)</f>
        <v>3871.2739999999994</v>
      </c>
      <c r="AI154" s="65">
        <f>SUM(A:B!AI154)</f>
        <v>3871.2739999999994</v>
      </c>
      <c r="AJ154" s="65">
        <f>SUM(A:B!AJ154)</f>
        <v>3871.2739999999994</v>
      </c>
      <c r="AK154" s="124">
        <f>SUM(A:B!AK154)</f>
        <v>46455.287999999993</v>
      </c>
      <c r="AL154" s="73">
        <f t="shared" si="33"/>
        <v>1.8527226200745542E-4</v>
      </c>
      <c r="AM154" s="14">
        <f t="shared" si="46"/>
        <v>3.2776272563356468E-2</v>
      </c>
      <c r="AN154" s="277">
        <f t="shared" si="49"/>
        <v>1474.3088333333289</v>
      </c>
      <c r="AR154" s="9"/>
      <c r="AS154" s="269"/>
      <c r="AT154" s="272"/>
    </row>
    <row r="155" spans="1:46" outlineLevel="1">
      <c r="A155" s="12"/>
      <c r="I155" t="s">
        <v>270</v>
      </c>
      <c r="J155" s="65">
        <f>SUM(A:B!J155)</f>
        <v>3964</v>
      </c>
      <c r="K155" s="65">
        <f>SUM(A:B!K155)</f>
        <v>739</v>
      </c>
      <c r="L155" s="65">
        <f>SUM(A:B!L155)</f>
        <v>0</v>
      </c>
      <c r="M155" s="65">
        <f>SUM(A:B!M155)</f>
        <v>0</v>
      </c>
      <c r="N155" s="65">
        <f>SUM(A:B!N155)</f>
        <v>1824</v>
      </c>
      <c r="O155" s="65">
        <f>SUM(A:B!O155)</f>
        <v>1849</v>
      </c>
      <c r="P155" s="65">
        <f>SUM(A:B!P155)</f>
        <v>0</v>
      </c>
      <c r="Q155" s="65">
        <f>SUM(A:B!Q155)</f>
        <v>0</v>
      </c>
      <c r="R155" s="65">
        <f>SUM(A:B!R155)</f>
        <v>0</v>
      </c>
      <c r="S155" s="65">
        <f>SUM(A:B!S155)</f>
        <v>0</v>
      </c>
      <c r="T155" s="65">
        <f>SUM(A:B!T155)</f>
        <v>0</v>
      </c>
      <c r="U155" s="65">
        <f>SUM(A:B!U155)</f>
        <v>0</v>
      </c>
      <c r="V155" s="11">
        <f>SUM(J155:U155)</f>
        <v>8376</v>
      </c>
      <c r="W155" s="73">
        <f>V155/V$6</f>
        <v>3.7414079778530087E-5</v>
      </c>
      <c r="X155" s="89"/>
      <c r="Y155" s="65">
        <f>SUM(A:B!Y155)</f>
        <v>0</v>
      </c>
      <c r="Z155" s="65">
        <f>SUM(A:B!Z155)</f>
        <v>0</v>
      </c>
      <c r="AA155" s="65">
        <f>SUM(A:B!AA155)</f>
        <v>0</v>
      </c>
      <c r="AB155" s="65">
        <f>SUM(A:B!AB155)</f>
        <v>0</v>
      </c>
      <c r="AC155" s="65">
        <f>SUM(A:B!AC155)</f>
        <v>0</v>
      </c>
      <c r="AD155" s="65">
        <f>SUM(A:B!AD155)</f>
        <v>0</v>
      </c>
      <c r="AE155" s="65">
        <f>SUM(A:B!AE155)</f>
        <v>0</v>
      </c>
      <c r="AF155" s="65">
        <f>SUM(A:B!AF155)</f>
        <v>0</v>
      </c>
      <c r="AG155" s="65">
        <f>SUM(A:B!AG155)</f>
        <v>0</v>
      </c>
      <c r="AH155" s="65">
        <f>SUM(A:B!AH155)</f>
        <v>0</v>
      </c>
      <c r="AI155" s="65">
        <f>SUM(A:B!AI155)</f>
        <v>0</v>
      </c>
      <c r="AJ155" s="65">
        <f>SUM(A:B!AJ155)</f>
        <v>0</v>
      </c>
      <c r="AK155" s="124">
        <f>SUM(A:B!AK155)</f>
        <v>0</v>
      </c>
      <c r="AL155" s="73">
        <f>AK155/AK$6</f>
        <v>0</v>
      </c>
      <c r="AM155" s="14">
        <f>IFERROR(AK155/V155-1,0)</f>
        <v>-1</v>
      </c>
      <c r="AN155" s="277">
        <f t="shared" si="49"/>
        <v>-8376</v>
      </c>
      <c r="AR155" s="9"/>
      <c r="AS155" s="269"/>
      <c r="AT155" s="272"/>
    </row>
    <row r="156" spans="1:46">
      <c r="A156" s="12"/>
      <c r="I156" s="120" t="s">
        <v>462</v>
      </c>
      <c r="J156" s="15">
        <v>64203</v>
      </c>
      <c r="K156" s="15">
        <v>53647</v>
      </c>
      <c r="L156" s="15">
        <v>79744</v>
      </c>
      <c r="M156" s="15">
        <v>77123</v>
      </c>
      <c r="N156" s="15">
        <v>89427</v>
      </c>
      <c r="O156" s="15">
        <v>71804</v>
      </c>
      <c r="P156" s="15">
        <v>64302</v>
      </c>
      <c r="Q156" s="15">
        <v>71421</v>
      </c>
      <c r="R156" s="15">
        <v>88319</v>
      </c>
      <c r="S156" s="15">
        <v>118110</v>
      </c>
      <c r="T156" s="15">
        <f>+AVERAGE(Q156:S156)</f>
        <v>92616.666666666672</v>
      </c>
      <c r="U156" s="15">
        <f>+AVERAGE(R156:T156)</f>
        <v>99681.888888888891</v>
      </c>
      <c r="V156" s="15">
        <f>SUM(J156:U156)</f>
        <v>970398.5555555555</v>
      </c>
      <c r="W156" s="72">
        <f>V156/V$6</f>
        <v>4.3345951497762557E-3</v>
      </c>
      <c r="X156" s="280"/>
      <c r="Y156" s="15">
        <f>+J156*1.0375</f>
        <v>66610.612500000003</v>
      </c>
      <c r="Z156" s="15">
        <f>+K156*1.0375</f>
        <v>55658.762500000004</v>
      </c>
      <c r="AA156" s="15">
        <f>+L156*1.0375</f>
        <v>82734.400000000009</v>
      </c>
      <c r="AB156" s="15">
        <f>+M156*1.0375</f>
        <v>80015.112500000003</v>
      </c>
      <c r="AC156" s="15">
        <f>+N156*1.0375</f>
        <v>92780.512500000012</v>
      </c>
      <c r="AD156" s="15">
        <f>+O156*1.0375</f>
        <v>74496.650000000009</v>
      </c>
      <c r="AE156" s="15">
        <f>+P156*1.0375</f>
        <v>66713.325000000012</v>
      </c>
      <c r="AF156" s="15">
        <f>+Q156*1.0375</f>
        <v>74099.287500000006</v>
      </c>
      <c r="AG156" s="15">
        <f>+R156*1.0375</f>
        <v>91630.962500000009</v>
      </c>
      <c r="AH156" s="15">
        <f>+S156*1.0375</f>
        <v>122539.12500000001</v>
      </c>
      <c r="AI156" s="15">
        <f>+T156*1.0375</f>
        <v>96089.791666666686</v>
      </c>
      <c r="AJ156" s="15">
        <f>+U156*1.0375</f>
        <v>103419.95972222224</v>
      </c>
      <c r="AK156" s="278">
        <f>+V156*1.0375</f>
        <v>1006788.5013888889</v>
      </c>
      <c r="AL156" s="72">
        <f>AK156/AK$6</f>
        <v>4.0152583493921219E-3</v>
      </c>
      <c r="AM156" s="281">
        <f>IFERROR(AK156/V156-1,0)</f>
        <v>3.7500000000000089E-2</v>
      </c>
      <c r="AN156" s="277"/>
      <c r="AR156" s="9"/>
      <c r="AS156" s="269"/>
      <c r="AT156" s="272"/>
    </row>
    <row r="157" spans="1:46">
      <c r="I157" s="190" t="s">
        <v>271</v>
      </c>
      <c r="J157" s="27">
        <f>J50+J91+J107+J112+J148+J156</f>
        <v>1849082</v>
      </c>
      <c r="K157" s="27">
        <f t="shared" ref="K157:U157" si="61">K50+K91+K107+K112+K148+K156</f>
        <v>1737243</v>
      </c>
      <c r="L157" s="27">
        <f t="shared" si="61"/>
        <v>1732526</v>
      </c>
      <c r="M157" s="27">
        <f t="shared" si="61"/>
        <v>1713716</v>
      </c>
      <c r="N157" s="27">
        <f t="shared" si="61"/>
        <v>1688507</v>
      </c>
      <c r="O157" s="27">
        <f t="shared" si="61"/>
        <v>1615727</v>
      </c>
      <c r="P157" s="27">
        <f t="shared" si="61"/>
        <v>1776117</v>
      </c>
      <c r="Q157" s="27">
        <f t="shared" si="61"/>
        <v>1511553</v>
      </c>
      <c r="R157" s="27">
        <f t="shared" si="61"/>
        <v>1878575</v>
      </c>
      <c r="S157" s="27">
        <f t="shared" si="61"/>
        <v>1864451</v>
      </c>
      <c r="T157" s="27">
        <f t="shared" si="61"/>
        <v>1814497.3541333333</v>
      </c>
      <c r="U157" s="27">
        <f t="shared" si="61"/>
        <v>1909500.2388444445</v>
      </c>
      <c r="V157" s="27">
        <f>V50+V91+V107+V112+V148+V156</f>
        <v>21091494.592977773</v>
      </c>
      <c r="W157" s="76">
        <f t="shared" si="32"/>
        <v>9.421189844198978E-2</v>
      </c>
      <c r="X157" s="89"/>
      <c r="Y157" s="27">
        <f>Y50+Y91+Y107+Y112+Y148+Y156</f>
        <v>2072756.0966498705</v>
      </c>
      <c r="Z157" s="27">
        <f t="shared" ref="Z157:AJ157" si="62">Z50+Z91+Z107+Z112+Z148+Z156</f>
        <v>1904570.6409072326</v>
      </c>
      <c r="AA157" s="27">
        <f t="shared" si="62"/>
        <v>1798783.9587366348</v>
      </c>
      <c r="AB157" s="27">
        <f t="shared" si="62"/>
        <v>2160391.5995283294</v>
      </c>
      <c r="AC157" s="27">
        <f t="shared" si="62"/>
        <v>1826973.5874947887</v>
      </c>
      <c r="AD157" s="27">
        <f t="shared" si="62"/>
        <v>1679412.4560363297</v>
      </c>
      <c r="AE157" s="27">
        <f t="shared" si="62"/>
        <v>1769689.1686428587</v>
      </c>
      <c r="AF157" s="27">
        <f t="shared" si="62"/>
        <v>1741291.5631533775</v>
      </c>
      <c r="AG157" s="27">
        <f t="shared" si="62"/>
        <v>1911746.3880371265</v>
      </c>
      <c r="AH157" s="27">
        <f t="shared" si="62"/>
        <v>1748153.0980424308</v>
      </c>
      <c r="AI157" s="27">
        <f t="shared" si="62"/>
        <v>1739938.7823661945</v>
      </c>
      <c r="AJ157" s="27">
        <f t="shared" si="62"/>
        <v>1844953.1711082258</v>
      </c>
      <c r="AK157" s="27">
        <f>AK50+AK91+AK107+AK112+AK148+AK156</f>
        <v>22198660.510703404</v>
      </c>
      <c r="AL157" s="76">
        <f t="shared" si="33"/>
        <v>8.8532354946407738E-2</v>
      </c>
      <c r="AM157" s="10">
        <f t="shared" si="46"/>
        <v>5.2493478489393119E-2</v>
      </c>
      <c r="AN157" s="277"/>
      <c r="AR157" s="9"/>
      <c r="AS157" s="269"/>
      <c r="AT157" s="272"/>
    </row>
    <row r="158" spans="1:46">
      <c r="I158" s="26" t="s">
        <v>272</v>
      </c>
      <c r="J158" s="17">
        <f>+J157/J39</f>
        <v>2.2957044048504383</v>
      </c>
      <c r="K158" s="17">
        <f>+K157/K39</f>
        <v>2.391318950719842</v>
      </c>
      <c r="L158" s="17">
        <f>+L157/L39</f>
        <v>1.9849683154545652</v>
      </c>
      <c r="M158" s="17">
        <f>+M157/M39</f>
        <v>2.1094277752065467</v>
      </c>
      <c r="N158" s="17">
        <f>+N157/N39</f>
        <v>1.8077633397606718</v>
      </c>
      <c r="O158" s="17">
        <f>+O157/O39</f>
        <v>1.7813458489613307</v>
      </c>
      <c r="P158" s="17">
        <f>+P157/P39</f>
        <v>2.0446536290211177</v>
      </c>
      <c r="Q158" s="17">
        <f>+Q157/Q39</f>
        <v>1.7017662171564445</v>
      </c>
      <c r="R158" s="17">
        <f>+R157/R39</f>
        <v>2.0038005090100754</v>
      </c>
      <c r="S158" s="17">
        <f>+S157/S39</f>
        <v>1.8746057392897324</v>
      </c>
      <c r="T158" s="17">
        <f>+T157/T39</f>
        <v>1.8450701667971623</v>
      </c>
      <c r="U158" s="17">
        <f>+U157/U39</f>
        <v>1.9612860353210617</v>
      </c>
      <c r="V158" s="17">
        <f>+V157/V39</f>
        <v>1.9703896912646897</v>
      </c>
      <c r="W158" s="73">
        <f t="shared" si="32"/>
        <v>8.8013750123890125E-9</v>
      </c>
      <c r="X158" s="89"/>
      <c r="Y158" s="235">
        <f>+Y157/Y39</f>
        <v>2.3922996260683314</v>
      </c>
      <c r="Z158" s="235">
        <f>+Z157/Z39</f>
        <v>2.4250884814190954</v>
      </c>
      <c r="AA158" s="235">
        <f>+AA157/AA39</f>
        <v>1.9245343837131452</v>
      </c>
      <c r="AB158" s="235">
        <f>+AB157/AB39</f>
        <v>2.4048003592644589</v>
      </c>
      <c r="AC158" s="235">
        <f>+AC157/AC39</f>
        <v>1.8127448107543618</v>
      </c>
      <c r="AD158" s="235">
        <f>+AD157/AD39</f>
        <v>1.7171690551139509</v>
      </c>
      <c r="AE158" s="235">
        <f>+AE157/AE39</f>
        <v>1.8834669603565974</v>
      </c>
      <c r="AF158" s="235">
        <f>+AF157/AF39</f>
        <v>1.8254057118437526</v>
      </c>
      <c r="AG158" s="235">
        <f>+AG157/AG39</f>
        <v>1.8901471111041148</v>
      </c>
      <c r="AH158" s="235">
        <f>+AH157/AH39</f>
        <v>1.6127999889138374</v>
      </c>
      <c r="AI158" s="235">
        <f>+AI157/AI39</f>
        <v>1.6473194030550136</v>
      </c>
      <c r="AJ158" s="235">
        <f>+AJ157/AJ39</f>
        <v>1.7667543288091581</v>
      </c>
      <c r="AK158" s="235">
        <f>+AK157/AK39</f>
        <v>1.920295100792853</v>
      </c>
      <c r="AL158" s="73">
        <f t="shared" si="33"/>
        <v>7.6584912582121235E-9</v>
      </c>
      <c r="AM158" s="16">
        <f t="shared" si="46"/>
        <v>-2.542369699451863E-2</v>
      </c>
      <c r="AR158" s="270"/>
    </row>
    <row r="159" spans="1:46">
      <c r="I159" s="26" t="s">
        <v>463</v>
      </c>
      <c r="J159" s="17">
        <f>+(J157-J149)/J39</f>
        <v>2.2957044048504383</v>
      </c>
      <c r="K159" s="17">
        <f>+(K157-K149)/K39</f>
        <v>2.391318950719842</v>
      </c>
      <c r="L159" s="17">
        <f>+(L157-L149)/L39</f>
        <v>1.9849683154545652</v>
      </c>
      <c r="M159" s="17">
        <f>+(M157-M149)/M39</f>
        <v>2.1094277752065467</v>
      </c>
      <c r="N159" s="17">
        <f>+(N157-N149)/N39</f>
        <v>1.8077633397606718</v>
      </c>
      <c r="O159" s="17">
        <f>+(O157-O149)/O39</f>
        <v>1.7813458489613307</v>
      </c>
      <c r="P159" s="17">
        <f>+(P157-P149)/P39</f>
        <v>2.0446536290211177</v>
      </c>
      <c r="Q159" s="17">
        <f>+(Q157-Q149)/Q39</f>
        <v>1.7017662171564445</v>
      </c>
      <c r="R159" s="17">
        <f>+(R157-R149)/R39</f>
        <v>2.0038005090100754</v>
      </c>
      <c r="S159" s="17">
        <f>+(S157-S149)/S39</f>
        <v>1.8746057392897324</v>
      </c>
      <c r="T159" s="17">
        <f>+(T157-T149)/T39</f>
        <v>1.8450701667971623</v>
      </c>
      <c r="U159" s="17">
        <f>+(U157-U149)/U39</f>
        <v>1.9612860353210617</v>
      </c>
      <c r="V159" s="17">
        <f>+(V157-V149)/V39</f>
        <v>1.9703896912646897</v>
      </c>
      <c r="W159" s="73">
        <f>V159/V$6</f>
        <v>8.8013750123890125E-9</v>
      </c>
      <c r="X159" s="89"/>
      <c r="Y159" s="235">
        <f>(Y157-Y150)/Y39</f>
        <v>1.5710975017846398</v>
      </c>
      <c r="Z159" s="235">
        <f>(Z157-Z150)/Z39</f>
        <v>1.5191197756131585</v>
      </c>
      <c r="AA159" s="235">
        <f>(AA157-AA150)/AA39</f>
        <v>1.1632807798993885</v>
      </c>
      <c r="AB159" s="235">
        <f>(AB157-AB150)/AB39</f>
        <v>1.6127929559572005</v>
      </c>
      <c r="AC159" s="235">
        <f>(AC157-AC150)/AC39</f>
        <v>1.1067734314723432</v>
      </c>
      <c r="AD159" s="235">
        <f>(AD157-AD150)/AD39</f>
        <v>0.98966004480547354</v>
      </c>
      <c r="AE159" s="235">
        <f>(AE157-AE150)/AE39</f>
        <v>1.1262092457943056</v>
      </c>
      <c r="AF159" s="235">
        <f>(AF157-AF150)/AF39</f>
        <v>1.0795228949525577</v>
      </c>
      <c r="AG159" s="235">
        <f>(AG157-AG150)/AG39</f>
        <v>1.1866731585739647</v>
      </c>
      <c r="AH159" s="235">
        <f>(AH157-AH150)/AH39</f>
        <v>0.93012014603620319</v>
      </c>
      <c r="AI159" s="235">
        <f>(AI157-AI150)/AI39</f>
        <v>0.94673594665646288</v>
      </c>
      <c r="AJ159" s="235">
        <f>(AJ157-AJ150)/AJ39</f>
        <v>1.0581450268738841</v>
      </c>
      <c r="AK159" s="235">
        <f>(AK157-AK150)/AK39</f>
        <v>1.1743162461573557</v>
      </c>
      <c r="AL159" s="73">
        <f>AK159/AK$6</f>
        <v>4.6833899132791331E-9</v>
      </c>
      <c r="AM159" s="16">
        <f>IFERROR(AK159/V159-1,0)</f>
        <v>-0.40401827548964497</v>
      </c>
    </row>
    <row r="160" spans="1:46" ht="15.75">
      <c r="I160" s="25" t="s">
        <v>274</v>
      </c>
      <c r="J160" s="24">
        <f>J34-J157</f>
        <v>-559013</v>
      </c>
      <c r="K160" s="24">
        <f>K34-K157</f>
        <v>-365589</v>
      </c>
      <c r="L160" s="24">
        <f>L34-L157</f>
        <v>6754</v>
      </c>
      <c r="M160" s="24">
        <f>M34-M157</f>
        <v>117070</v>
      </c>
      <c r="N160" s="24">
        <f>N34-N157</f>
        <v>321208</v>
      </c>
      <c r="O160" s="24">
        <f>O34-O157</f>
        <v>382855</v>
      </c>
      <c r="P160" s="24">
        <f>P34-P157</f>
        <v>-120505</v>
      </c>
      <c r="Q160" s="24">
        <f>Q34-Q157</f>
        <v>212692</v>
      </c>
      <c r="R160" s="24">
        <f>R34-R157</f>
        <v>-77967.666666666744</v>
      </c>
      <c r="S160" s="24">
        <f>S34-S157</f>
        <v>-127141.88888888899</v>
      </c>
      <c r="T160" s="24">
        <f>T34-T157</f>
        <v>-52681.539318518713</v>
      </c>
      <c r="U160" s="24">
        <f>U34-U157</f>
        <v>-142922.81909135822</v>
      </c>
      <c r="V160" s="24">
        <f>V34-V157</f>
        <v>-405250.91396542639</v>
      </c>
      <c r="W160" s="77">
        <f t="shared" si="32"/>
        <v>-1.8101826677918691E-3</v>
      </c>
      <c r="X160" s="89"/>
      <c r="Y160" s="24">
        <f>Y34-Y157</f>
        <v>-387096.56857533776</v>
      </c>
      <c r="Z160" s="24">
        <f>Z34-Z157</f>
        <v>-462144.62921846192</v>
      </c>
      <c r="AA160" s="24">
        <f>AA34-AA157</f>
        <v>167126.9006128395</v>
      </c>
      <c r="AB160" s="24">
        <f>AB34-AB157</f>
        <v>-452270.52180521376</v>
      </c>
      <c r="AC160" s="24">
        <f>AC34-AC157</f>
        <v>247172.21944962628</v>
      </c>
      <c r="AD160" s="24">
        <f>AD34-AD157</f>
        <v>189044.86579334317</v>
      </c>
      <c r="AE160" s="24">
        <f>AE34-AE157</f>
        <v>17437.209101219894</v>
      </c>
      <c r="AF160" s="24">
        <f>AF34-AF157</f>
        <v>128191.42704932508</v>
      </c>
      <c r="AG160" s="24">
        <f>AG34-AG157</f>
        <v>110784.59498602897</v>
      </c>
      <c r="AH160" s="24">
        <f>AH34-AH157</f>
        <v>441161.54101120448</v>
      </c>
      <c r="AI160" s="24">
        <f>AI34-AI157</f>
        <v>288219.37739132275</v>
      </c>
      <c r="AJ160" s="24">
        <f>AJ34-AJ157</f>
        <v>176218.97397239273</v>
      </c>
      <c r="AK160" s="24">
        <f>AK34-AK157</f>
        <v>463845.38976828381</v>
      </c>
      <c r="AL160" s="77">
        <f t="shared" si="33"/>
        <v>1.8499010184610152E-3</v>
      </c>
      <c r="AM160" s="23">
        <f>IFERROR(AK160/V160-1,0)*-1</f>
        <v>2.1445881398008551</v>
      </c>
      <c r="AN160" s="9">
        <f>+AK160-V160</f>
        <v>869096.3037337102</v>
      </c>
      <c r="AO160" s="1" t="s">
        <v>464</v>
      </c>
      <c r="AR160" s="126"/>
    </row>
    <row r="161" spans="9:44" ht="15.75">
      <c r="I161" s="25" t="s">
        <v>465</v>
      </c>
      <c r="J161" s="24">
        <f>J34-J157</f>
        <v>-559013</v>
      </c>
      <c r="K161" s="24">
        <f t="shared" ref="K161:V161" si="63">K34-K157</f>
        <v>-365589</v>
      </c>
      <c r="L161" s="24">
        <f t="shared" si="63"/>
        <v>6754</v>
      </c>
      <c r="M161" s="24">
        <f t="shared" si="63"/>
        <v>117070</v>
      </c>
      <c r="N161" s="24">
        <f t="shared" si="63"/>
        <v>321208</v>
      </c>
      <c r="O161" s="24">
        <f t="shared" si="63"/>
        <v>382855</v>
      </c>
      <c r="P161" s="24">
        <f t="shared" si="63"/>
        <v>-120505</v>
      </c>
      <c r="Q161" s="24">
        <f t="shared" si="63"/>
        <v>212692</v>
      </c>
      <c r="R161" s="24">
        <f t="shared" si="63"/>
        <v>-77967.666666666744</v>
      </c>
      <c r="S161" s="24">
        <f t="shared" si="63"/>
        <v>-127141.88888888899</v>
      </c>
      <c r="T161" s="24">
        <f t="shared" si="63"/>
        <v>-52681.539318518713</v>
      </c>
      <c r="U161" s="24">
        <f t="shared" si="63"/>
        <v>-142922.81909135822</v>
      </c>
      <c r="V161" s="24">
        <f t="shared" si="63"/>
        <v>-405250.91396542639</v>
      </c>
      <c r="W161" s="77">
        <f t="shared" ref="W161" si="64">V161/V$6</f>
        <v>-1.8101826677918691E-3</v>
      </c>
      <c r="X161" s="89"/>
      <c r="Y161" s="24">
        <f t="shared" ref="Y161:AJ161" si="65">+Y160+Y150</f>
        <v>324416.19142466225</v>
      </c>
      <c r="Z161" s="24">
        <f t="shared" si="65"/>
        <v>249368.13078153809</v>
      </c>
      <c r="AA161" s="24">
        <f t="shared" si="65"/>
        <v>878639.66061283951</v>
      </c>
      <c r="AB161" s="24">
        <f t="shared" si="65"/>
        <v>259242.23819478625</v>
      </c>
      <c r="AC161" s="24">
        <f t="shared" si="65"/>
        <v>958684.97944962629</v>
      </c>
      <c r="AD161" s="24">
        <f t="shared" si="65"/>
        <v>900557.62579334318</v>
      </c>
      <c r="AE161" s="24">
        <f t="shared" si="65"/>
        <v>728949.9691012199</v>
      </c>
      <c r="AF161" s="24">
        <f t="shared" si="65"/>
        <v>839704.18704932509</v>
      </c>
      <c r="AG161" s="24">
        <f t="shared" si="65"/>
        <v>822297.35498602898</v>
      </c>
      <c r="AH161" s="24">
        <f t="shared" si="65"/>
        <v>1181134.8114112045</v>
      </c>
      <c r="AI161" s="24">
        <f t="shared" si="65"/>
        <v>1028192.6477913228</v>
      </c>
      <c r="AJ161" s="24">
        <f t="shared" si="65"/>
        <v>916192.24437239277</v>
      </c>
      <c r="AK161" s="24">
        <f>+AK160+AK150</f>
        <v>9087380.040968284</v>
      </c>
      <c r="AL161" s="77">
        <f t="shared" ref="AL161" si="66">AK161/AK$6</f>
        <v>3.624214870676503E-2</v>
      </c>
      <c r="AM161" s="23">
        <f t="shared" ref="AM161" si="67">IFERROR(AK161/V161-1,0)</f>
        <v>-23.424082778857262</v>
      </c>
      <c r="AN161" s="9">
        <f>+AK161-V161</f>
        <v>9492630.9549337104</v>
      </c>
      <c r="AR161" s="126"/>
    </row>
    <row r="162" spans="9:44">
      <c r="V162" s="282">
        <f>+V160/V39</f>
        <v>-3.7858968207920368E-2</v>
      </c>
      <c r="AK162" s="282">
        <f>+AK160/AK39</f>
        <v>4.0124944884305666E-2</v>
      </c>
      <c r="AR162" s="126"/>
    </row>
    <row r="163" spans="9:44">
      <c r="AK163" s="274"/>
      <c r="AR163" s="126"/>
    </row>
    <row r="164" spans="9:44">
      <c r="AK164" s="283">
        <f>+'Colosio '!AK160+'San Rafael '!AK160+'Puertecito '!AK160+'Jesus Maria'!AK160</f>
        <v>463845.38976828242</v>
      </c>
    </row>
    <row r="165" spans="9:44">
      <c r="V165" s="274"/>
      <c r="W165" s="275"/>
    </row>
    <row r="166" spans="9:44">
      <c r="V166" s="274"/>
      <c r="W166" s="275"/>
      <c r="AK166" s="283">
        <f>+'Colosio '!AK156+'San Rafael '!AK156+'Puertecito '!AK156+'Jesus Maria'!AK156</f>
        <v>1006788.501388889</v>
      </c>
    </row>
    <row r="167" spans="9:44">
      <c r="V167" s="274"/>
      <c r="W167" s="275"/>
    </row>
    <row r="168" spans="9:44">
      <c r="V168" s="274"/>
      <c r="W168" s="82"/>
    </row>
    <row r="169" spans="9:44">
      <c r="V169" s="274"/>
      <c r="W169" s="82"/>
    </row>
    <row r="170" spans="9:44"/>
    <row r="171" spans="9:44"/>
    <row r="172" spans="9:44"/>
    <row r="173" spans="9:44"/>
    <row r="174" spans="9:44">
      <c r="V174" s="274"/>
      <c r="W174" s="138"/>
    </row>
    <row r="175" spans="9:44"/>
    <row r="176" spans="9:44"/>
  </sheetData>
  <mergeCells count="4">
    <mergeCell ref="J2:U2"/>
    <mergeCell ref="V2:W2"/>
    <mergeCell ref="Y2:AJ2"/>
    <mergeCell ref="AK2:AL2"/>
  </mergeCells>
  <conditionalFormatting sqref="AM47:AM55 AM39:AM42 AM57:AM69 AM91:AM107 AM112:AM118 AM1:AM37 AM160:AM1048576 AM139:AM157">
    <cfRule type="cellIs" dxfId="87" priority="24" operator="lessThan">
      <formula>0</formula>
    </cfRule>
  </conditionalFormatting>
  <conditionalFormatting sqref="AM108">
    <cfRule type="cellIs" dxfId="86" priority="22" operator="lessThan">
      <formula>0</formula>
    </cfRule>
  </conditionalFormatting>
  <conditionalFormatting sqref="AM109">
    <cfRule type="cellIs" dxfId="85" priority="21" operator="lessThan">
      <formula>0</formula>
    </cfRule>
  </conditionalFormatting>
  <conditionalFormatting sqref="AM110">
    <cfRule type="cellIs" dxfId="84" priority="20" operator="lessThan">
      <formula>0</formula>
    </cfRule>
  </conditionalFormatting>
  <conditionalFormatting sqref="AM111">
    <cfRule type="cellIs" dxfId="83" priority="19" operator="lessThan">
      <formula>0</formula>
    </cfRule>
  </conditionalFormatting>
  <conditionalFormatting sqref="AM56">
    <cfRule type="cellIs" dxfId="82" priority="16" operator="lessThan">
      <formula>0</formula>
    </cfRule>
  </conditionalFormatting>
  <conditionalFormatting sqref="AM70">
    <cfRule type="cellIs" dxfId="81" priority="15" operator="lessThan">
      <formula>0</formula>
    </cfRule>
  </conditionalFormatting>
  <conditionalFormatting sqref="AM71:AM90">
    <cfRule type="cellIs" dxfId="80" priority="13" operator="lessThan">
      <formula>0</formula>
    </cfRule>
  </conditionalFormatting>
  <conditionalFormatting sqref="AM43:AM46">
    <cfRule type="cellIs" dxfId="79" priority="12" operator="lessThan">
      <formula>0</formula>
    </cfRule>
  </conditionalFormatting>
  <conditionalFormatting sqref="AM38">
    <cfRule type="cellIs" dxfId="78" priority="8" operator="lessThan">
      <formula>0</formula>
    </cfRule>
  </conditionalFormatting>
  <conditionalFormatting sqref="AM158">
    <cfRule type="cellIs" dxfId="77" priority="7" operator="lessThan">
      <formula>0</formula>
    </cfRule>
  </conditionalFormatting>
  <conditionalFormatting sqref="AM119:AM138">
    <cfRule type="cellIs" dxfId="76" priority="5" operator="lessThan">
      <formula>0</formula>
    </cfRule>
  </conditionalFormatting>
  <conditionalFormatting sqref="AM119:AM138">
    <cfRule type="cellIs" dxfId="75" priority="4" operator="lessThan">
      <formula>0</formula>
    </cfRule>
  </conditionalFormatting>
  <conditionalFormatting sqref="AM159">
    <cfRule type="cellIs" dxfId="74" priority="3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40">
    <tabColor rgb="FF002060"/>
  </sheetPr>
  <dimension ref="A1"/>
  <sheetViews>
    <sheetView workbookViewId="0">
      <selection activeCell="Y142" sqref="Y142"/>
    </sheetView>
  </sheetViews>
  <sheetFormatPr defaultColWidth="11.5703125" defaultRowHeight="14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43">
    <outlinePr summaryBelow="0" summaryRight="0"/>
  </sheetPr>
  <dimension ref="A1:AO163"/>
  <sheetViews>
    <sheetView showGridLines="0" tabSelected="1" zoomScale="70" zoomScaleNormal="70" workbookViewId="0">
      <pane xSplit="9" ySplit="3" topLeftCell="W5" activePane="bottomRight" state="frozen"/>
      <selection pane="bottomRight" activeCell="Y65" sqref="Y65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47.7109375" style="5" customWidth="1" collapsed="1"/>
    <col min="10" max="10" width="16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6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8" width="16" style="3" hidden="1" customWidth="1" outlineLevel="1"/>
    <col min="19" max="19" width="11.8554687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1.42578125" style="4" customWidth="1"/>
    <col min="23" max="23" width="11.42578125" style="83" customWidth="1"/>
    <col min="24" max="24" width="2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1.42578125" style="4" customWidth="1"/>
    <col min="38" max="38" width="11.42578125" style="83" customWidth="1"/>
    <col min="39" max="39" width="11.42578125" style="2" customWidth="1"/>
    <col min="40" max="42" width="11.42578125" style="1" customWidth="1"/>
    <col min="43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466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.75">
      <c r="A2" s="55"/>
      <c r="B2" s="55"/>
      <c r="C2" s="55"/>
      <c r="D2" s="55"/>
      <c r="E2" s="56"/>
      <c r="F2" s="55"/>
      <c r="G2" s="55"/>
      <c r="H2" s="55"/>
      <c r="I2" s="54"/>
      <c r="J2" s="284">
        <v>2025</v>
      </c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6"/>
      <c r="V2" s="287" t="s">
        <v>92</v>
      </c>
      <c r="W2" s="288"/>
      <c r="X2" s="85"/>
      <c r="Y2" s="284">
        <v>2026</v>
      </c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6"/>
      <c r="AK2" s="287" t="s">
        <v>92</v>
      </c>
      <c r="AL2" s="289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4" t="s">
        <v>69</v>
      </c>
      <c r="K3" s="64" t="s">
        <v>70</v>
      </c>
      <c r="L3" s="64" t="s">
        <v>71</v>
      </c>
      <c r="M3" s="61" t="s">
        <v>72</v>
      </c>
      <c r="N3" s="61" t="s">
        <v>73</v>
      </c>
      <c r="O3" s="61" t="s">
        <v>74</v>
      </c>
      <c r="P3" s="61" t="s">
        <v>75</v>
      </c>
      <c r="Q3" s="63" t="s">
        <v>76</v>
      </c>
      <c r="R3" s="61" t="s">
        <v>77</v>
      </c>
      <c r="S3" s="61" t="s">
        <v>78</v>
      </c>
      <c r="T3" s="61" t="s">
        <v>79</v>
      </c>
      <c r="U3" s="62" t="s">
        <v>80</v>
      </c>
      <c r="V3" s="46">
        <v>2025</v>
      </c>
      <c r="W3" s="69" t="s">
        <v>95</v>
      </c>
      <c r="X3" s="86"/>
      <c r="Y3" s="134" t="s">
        <v>69</v>
      </c>
      <c r="Z3" s="64" t="s">
        <v>70</v>
      </c>
      <c r="AA3" s="64" t="s">
        <v>71</v>
      </c>
      <c r="AB3" s="61" t="s">
        <v>72</v>
      </c>
      <c r="AC3" s="61" t="s">
        <v>73</v>
      </c>
      <c r="AD3" s="61" t="s">
        <v>74</v>
      </c>
      <c r="AE3" s="61" t="s">
        <v>75</v>
      </c>
      <c r="AF3" s="63" t="s">
        <v>76</v>
      </c>
      <c r="AG3" s="61" t="s">
        <v>77</v>
      </c>
      <c r="AH3" s="61" t="s">
        <v>78</v>
      </c>
      <c r="AI3" s="61" t="s">
        <v>79</v>
      </c>
      <c r="AJ3" s="62" t="s">
        <v>80</v>
      </c>
      <c r="AK3" s="46">
        <v>2026</v>
      </c>
      <c r="AL3" s="69" t="s">
        <v>95</v>
      </c>
      <c r="AM3" s="45" t="s">
        <v>96</v>
      </c>
    </row>
    <row r="4" spans="1:40" ht="14.45" customHeight="1">
      <c r="I4" s="43" t="s">
        <v>97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 collapsed="1">
      <c r="A6" s="12" t="s">
        <v>98</v>
      </c>
      <c r="B6" s="19"/>
      <c r="C6" s="19"/>
      <c r="D6" s="12"/>
      <c r="E6" s="7" t="s">
        <v>99</v>
      </c>
      <c r="I6" s="170" t="s">
        <v>100</v>
      </c>
      <c r="J6" s="15">
        <v>1679941</v>
      </c>
      <c r="K6" s="15">
        <v>1710290</v>
      </c>
      <c r="L6" s="15">
        <v>1874301</v>
      </c>
      <c r="M6" s="15">
        <v>1738490</v>
      </c>
      <c r="N6" s="15">
        <v>1902701</v>
      </c>
      <c r="O6" s="15">
        <v>1862854</v>
      </c>
      <c r="P6" s="15">
        <v>1754879</v>
      </c>
      <c r="Q6" s="15">
        <v>1760069</v>
      </c>
      <c r="R6" s="15">
        <v>1987540</v>
      </c>
      <c r="S6" s="15">
        <v>2142507</v>
      </c>
      <c r="T6" s="15">
        <f>SUM(T7:T12)</f>
        <v>1963372.3333333333</v>
      </c>
      <c r="U6" s="15">
        <f>SUM(U7:U12)</f>
        <v>2031140.111111111</v>
      </c>
      <c r="V6" s="15">
        <f t="shared" ref="J6:V6" si="1">SUM(V7:V12)</f>
        <v>22408085.444444448</v>
      </c>
      <c r="W6" s="72">
        <f t="shared" ref="W6:W34" si="2">V6/V$6</f>
        <v>1</v>
      </c>
      <c r="X6" s="89"/>
      <c r="Y6" s="15">
        <f t="shared" ref="Y6:AJ6" si="3">SUM(Y7:Y12)</f>
        <v>1751115.9</v>
      </c>
      <c r="Z6" s="15">
        <f t="shared" si="3"/>
        <v>1776373.12</v>
      </c>
      <c r="AA6" s="15">
        <f t="shared" si="3"/>
        <v>1969207.46</v>
      </c>
      <c r="AB6" s="15">
        <f t="shared" si="3"/>
        <v>1830087.56</v>
      </c>
      <c r="AC6" s="15">
        <f t="shared" si="3"/>
        <v>2013899.9999999998</v>
      </c>
      <c r="AD6" s="15">
        <f t="shared" si="3"/>
        <v>1967859.9</v>
      </c>
      <c r="AE6" s="15">
        <f t="shared" si="3"/>
        <v>1856177.3399999999</v>
      </c>
      <c r="AF6" s="15">
        <f t="shared" si="3"/>
        <v>1858813.76</v>
      </c>
      <c r="AG6" s="15">
        <f t="shared" si="3"/>
        <v>2103161.96</v>
      </c>
      <c r="AH6" s="15">
        <f t="shared" si="3"/>
        <v>2204711.6800000002</v>
      </c>
      <c r="AI6" s="15">
        <f t="shared" si="3"/>
        <v>2145837.66</v>
      </c>
      <c r="AJ6" s="15">
        <f t="shared" si="3"/>
        <v>2119847.62</v>
      </c>
      <c r="AK6" s="15">
        <f>SUM(AK7:AK12)</f>
        <v>23597093.959999997</v>
      </c>
      <c r="AL6" s="72">
        <f t="shared" ref="AL6:AL34" si="4">AK6/AK$6</f>
        <v>1</v>
      </c>
      <c r="AM6" s="10">
        <f>IFERROR(AK6/V6-1,0)</f>
        <v>5.3061584333182532E-2</v>
      </c>
      <c r="AN6" s="9"/>
    </row>
    <row r="7" spans="1:40" ht="15" hidden="1" customHeight="1" outlineLevel="1">
      <c r="A7" s="12" t="s">
        <v>98</v>
      </c>
      <c r="B7" s="19" t="s">
        <v>101</v>
      </c>
      <c r="C7" s="19" t="s">
        <v>102</v>
      </c>
      <c r="D7" s="12" t="s">
        <v>103</v>
      </c>
      <c r="E7" s="20"/>
      <c r="F7" s="12"/>
      <c r="G7" s="12"/>
      <c r="H7" s="12"/>
      <c r="I7" s="116" t="s">
        <v>27</v>
      </c>
      <c r="J7" s="65">
        <v>1003020</v>
      </c>
      <c r="K7" s="65">
        <v>992085</v>
      </c>
      <c r="L7" s="65">
        <v>1020162</v>
      </c>
      <c r="M7" s="65">
        <v>991737</v>
      </c>
      <c r="N7" s="65">
        <v>1069832</v>
      </c>
      <c r="O7" s="65">
        <v>1084784</v>
      </c>
      <c r="P7" s="65">
        <v>1032101</v>
      </c>
      <c r="Q7" s="65">
        <v>1027653</v>
      </c>
      <c r="R7" s="65">
        <v>1134813</v>
      </c>
      <c r="S7" s="65">
        <v>1205377</v>
      </c>
      <c r="T7" s="65">
        <f>AVERAGE(Q7:S7)</f>
        <v>1122614.3333333333</v>
      </c>
      <c r="U7" s="65">
        <f>AVERAGE(R7:T7)</f>
        <v>1154268.111111111</v>
      </c>
      <c r="V7" s="11">
        <f t="shared" ref="V7:V19" si="5">SUM(J7:U7)</f>
        <v>12838446.444444444</v>
      </c>
      <c r="W7" s="73">
        <f t="shared" si="2"/>
        <v>0.5729381243334839</v>
      </c>
      <c r="X7" s="89"/>
      <c r="Y7" s="244">
        <f>IFERROR(Y40*'Parametros AGS'!$L$7,0)</f>
        <v>1037685.9999999999</v>
      </c>
      <c r="Z7" s="244">
        <f>IFERROR(Z40*'Parametros AGS'!$L$7,0)</f>
        <v>1022877.2</v>
      </c>
      <c r="AA7" s="244">
        <f>IFERROR(AA40*'Parametros AGS'!$L$7,0)</f>
        <v>1071797.5999999999</v>
      </c>
      <c r="AB7" s="244">
        <f>IFERROR(AB40*'Parametros AGS'!$L$7,0)</f>
        <v>1048129.2</v>
      </c>
      <c r="AC7" s="244">
        <f>IFERROR(AC40*'Parametros AGS'!$L$7,0)</f>
        <v>1137024.7999999998</v>
      </c>
      <c r="AD7" s="244">
        <f>IFERROR(AD40*'Parametros AGS'!$L$7,0)</f>
        <v>1150442.5999999999</v>
      </c>
      <c r="AE7" s="244">
        <f>IFERROR(AE40*'Parametros AGS'!$L$7,0)</f>
        <v>1095872.5999999999</v>
      </c>
      <c r="AF7" s="244">
        <f>IFERROR(AF40*'Parametros AGS'!$L$7,0)</f>
        <v>1089538.2</v>
      </c>
      <c r="AG7" s="244">
        <f>IFERROR(AG40*'Parametros AGS'!$L$7,0)</f>
        <v>1206082.5999999999</v>
      </c>
      <c r="AH7" s="244">
        <f>IFERROR(AH40*'Parametros AGS'!$L$7,0)</f>
        <v>1224829</v>
      </c>
      <c r="AI7" s="244">
        <f>IFERROR(AI40*'Parametros AGS'!$L$7,0)</f>
        <v>1192172.5999999999</v>
      </c>
      <c r="AJ7" s="244">
        <f>IFERROR(AJ40*'Parametros AGS'!$L$7,0)</f>
        <v>1178070</v>
      </c>
      <c r="AK7" s="65">
        <f t="shared" ref="AK7:AK19" si="6">SUM(Y7:AJ7)</f>
        <v>13454522.399999999</v>
      </c>
      <c r="AL7" s="73">
        <f t="shared" si="4"/>
        <v>0.57017709141672634</v>
      </c>
      <c r="AM7" s="14">
        <f t="shared" ref="AM7:AM46" si="7">IFERROR(AK7/V7-1,0)</f>
        <v>4.798679951047724E-2</v>
      </c>
      <c r="AN7" s="9"/>
    </row>
    <row r="8" spans="1:40" ht="15" hidden="1" customHeight="1" outlineLevel="1">
      <c r="A8" s="12" t="s">
        <v>98</v>
      </c>
      <c r="B8" s="19" t="s">
        <v>101</v>
      </c>
      <c r="C8" s="19" t="s">
        <v>104</v>
      </c>
      <c r="D8" s="12" t="s">
        <v>105</v>
      </c>
      <c r="E8" s="20"/>
      <c r="F8" s="12"/>
      <c r="G8" s="12"/>
      <c r="H8" s="12"/>
      <c r="I8" s="116" t="s">
        <v>28</v>
      </c>
      <c r="J8" s="65">
        <v>675874</v>
      </c>
      <c r="K8" s="65">
        <v>718041</v>
      </c>
      <c r="L8" s="65">
        <v>854139</v>
      </c>
      <c r="M8" s="65">
        <v>746515</v>
      </c>
      <c r="N8" s="65">
        <v>832708</v>
      </c>
      <c r="O8" s="65">
        <v>778028</v>
      </c>
      <c r="P8" s="65">
        <v>722609</v>
      </c>
      <c r="Q8" s="65">
        <v>732416</v>
      </c>
      <c r="R8" s="65">
        <v>851986</v>
      </c>
      <c r="S8" s="65">
        <v>934894</v>
      </c>
      <c r="T8" s="65">
        <f t="shared" ref="T8:U12" si="8">AVERAGE(Q8:S8)</f>
        <v>839765.33333333337</v>
      </c>
      <c r="U8" s="65">
        <f t="shared" si="8"/>
        <v>875548.4444444445</v>
      </c>
      <c r="V8" s="11">
        <f t="shared" si="5"/>
        <v>9562523.777777778</v>
      </c>
      <c r="W8" s="73">
        <f t="shared" si="2"/>
        <v>0.42674434643181791</v>
      </c>
      <c r="X8" s="89"/>
      <c r="Y8" s="244">
        <f>IFERROR(Y41*'Parametros AGS'!$L$8,0)</f>
        <v>711869.9</v>
      </c>
      <c r="Z8" s="244">
        <f>IFERROR(Z41*'Parametros AGS'!$L$8,0)</f>
        <v>752055.92</v>
      </c>
      <c r="AA8" s="244">
        <f>IFERROR(AA41*'Parametros AGS'!$L$8,0)</f>
        <v>896209.86</v>
      </c>
      <c r="AB8" s="244">
        <f>IFERROR(AB41*'Parametros AGS'!$L$8,0)</f>
        <v>780398.36</v>
      </c>
      <c r="AC8" s="244">
        <f>IFERROR(AC41*'Parametros AGS'!$L$8,0)</f>
        <v>875375.2</v>
      </c>
      <c r="AD8" s="244">
        <f>IFERROR(AD41*'Parametros AGS'!$L$8,0)</f>
        <v>816157.3</v>
      </c>
      <c r="AE8" s="244">
        <f>IFERROR(AE41*'Parametros AGS'!$L$8,0)</f>
        <v>758924.74</v>
      </c>
      <c r="AF8" s="244">
        <f>IFERROR(AF41*'Parametros AGS'!$L$8,0)</f>
        <v>768075.56</v>
      </c>
      <c r="AG8" s="244">
        <f>IFERROR(AG41*'Parametros AGS'!$L$8,0)</f>
        <v>895639.36</v>
      </c>
      <c r="AH8" s="244">
        <f>IFERROR(AH41*'Parametros AGS'!$L$8,0)</f>
        <v>976102.68</v>
      </c>
      <c r="AI8" s="244">
        <f>IFERROR(AI41*'Parametros AGS'!$L$8,0)</f>
        <v>950065.06</v>
      </c>
      <c r="AJ8" s="244">
        <f>IFERROR(AJ41*'Parametros AGS'!$L$8,0)</f>
        <v>938837.62</v>
      </c>
      <c r="AK8" s="65">
        <f t="shared" si="6"/>
        <v>10119711.559999999</v>
      </c>
      <c r="AL8" s="73">
        <f t="shared" si="4"/>
        <v>0.42885414522458426</v>
      </c>
      <c r="AM8" s="14">
        <f t="shared" si="7"/>
        <v>5.8267858482826673E-2</v>
      </c>
      <c r="AN8" s="9"/>
    </row>
    <row r="9" spans="1:40" ht="15" hidden="1" customHeight="1" outlineLevel="1">
      <c r="A9" s="12" t="s">
        <v>98</v>
      </c>
      <c r="B9" s="19" t="s">
        <v>101</v>
      </c>
      <c r="C9" s="19" t="s">
        <v>106</v>
      </c>
      <c r="D9" s="12" t="s">
        <v>107</v>
      </c>
      <c r="E9" s="20"/>
      <c r="F9" s="12"/>
      <c r="G9" s="12"/>
      <c r="H9" s="12"/>
      <c r="I9" s="116" t="s">
        <v>5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f t="shared" si="8"/>
        <v>0</v>
      </c>
      <c r="U9" s="65">
        <f t="shared" si="8"/>
        <v>0</v>
      </c>
      <c r="V9" s="11">
        <f t="shared" si="5"/>
        <v>0</v>
      </c>
      <c r="W9" s="73">
        <f t="shared" si="2"/>
        <v>0</v>
      </c>
      <c r="X9" s="89"/>
      <c r="Y9" s="244">
        <f>IFERROR(Y42*'[1]Margen Ctvs-Ltr'!W$15,0)</f>
        <v>0</v>
      </c>
      <c r="Z9" s="65">
        <f>IFERROR(+Z42*('Parametros AGS'!C16+VLOOKUP($E$1,'Parametros AGS'!$B$125:$N$150,Z$1,0)),0)</f>
        <v>0</v>
      </c>
      <c r="AA9" s="65">
        <f>IFERROR(+AA42*('Parametros AGS'!D16+VLOOKUP($E$1,'Parametros AGS'!$B$125:$N$150,AA$1,0)),0)</f>
        <v>0</v>
      </c>
      <c r="AB9" s="65">
        <f>IFERROR(+AB42*('Parametros AGS'!E16+VLOOKUP($E$1,'Parametros AGS'!$B$125:$N$150,AB$1,0)),0)</f>
        <v>0</v>
      </c>
      <c r="AC9" s="65">
        <f>IFERROR(+AC42*('Parametros AGS'!F16+VLOOKUP($E$1,'Parametros AGS'!$B$125:$N$150,AC$1,0)),0)</f>
        <v>0</v>
      </c>
      <c r="AD9" s="65">
        <f>IFERROR(+AD42*('Parametros AGS'!G16+VLOOKUP($E$1,'Parametros AGS'!$B$125:$N$150,AD$1,0)),0)</f>
        <v>0</v>
      </c>
      <c r="AE9" s="65">
        <f>IFERROR(+AE42*('Parametros AGS'!H16+VLOOKUP($E$1,'Parametros AGS'!$B$125:$N$150,AE$1,0)),0)</f>
        <v>0</v>
      </c>
      <c r="AF9" s="65">
        <f>IFERROR(+AF42*('Parametros AGS'!I16+VLOOKUP($E$1,'Parametros AGS'!$B$125:$N$150,AF$1,0)),0)</f>
        <v>0</v>
      </c>
      <c r="AG9" s="65">
        <f>IFERROR(+AG42*('Parametros AGS'!J16+VLOOKUP($E$1,'Parametros AGS'!$B$125:$N$150,AG$1,0)),0)</f>
        <v>0</v>
      </c>
      <c r="AH9" s="65">
        <f>IFERROR(+AH42*('Parametros AGS'!K16+VLOOKUP($E$1,'Parametros AGS'!$B$125:$N$150,AH$1,0)),0)</f>
        <v>0</v>
      </c>
      <c r="AI9" s="65">
        <f>IFERROR(+AI42*('Parametros AGS'!L16+VLOOKUP($E$1,'Parametros AGS'!$B$125:$N$150,AI$1,0)),0)</f>
        <v>0</v>
      </c>
      <c r="AJ9" s="65">
        <f>IFERROR(+AJ42*('Parametros AGS'!M16+VLOOKUP($E$1,'Parametros AGS'!$B$125:$N$150,AJ$1,0)),0)</f>
        <v>0</v>
      </c>
      <c r="AK9" s="65">
        <f t="shared" si="6"/>
        <v>0</v>
      </c>
      <c r="AL9" s="73">
        <f t="shared" si="4"/>
        <v>0</v>
      </c>
      <c r="AM9" s="14">
        <f t="shared" si="7"/>
        <v>0</v>
      </c>
      <c r="AN9" s="9"/>
    </row>
    <row r="10" spans="1:40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6" t="s">
        <v>108</v>
      </c>
      <c r="J10" s="65">
        <v>1047</v>
      </c>
      <c r="K10" s="65">
        <v>164</v>
      </c>
      <c r="L10" s="65">
        <v>0</v>
      </c>
      <c r="M10" s="65">
        <v>238</v>
      </c>
      <c r="N10" s="65">
        <v>161</v>
      </c>
      <c r="O10" s="65">
        <v>42</v>
      </c>
      <c r="P10" s="65">
        <v>169</v>
      </c>
      <c r="Q10" s="65">
        <v>0</v>
      </c>
      <c r="R10" s="65">
        <v>741</v>
      </c>
      <c r="S10" s="65">
        <v>2237</v>
      </c>
      <c r="T10" s="65">
        <f t="shared" si="8"/>
        <v>992.66666666666663</v>
      </c>
      <c r="U10" s="65">
        <f t="shared" si="8"/>
        <v>1323.5555555555554</v>
      </c>
      <c r="V10" s="11">
        <f t="shared" si="5"/>
        <v>7115.2222222222226</v>
      </c>
      <c r="W10" s="73">
        <f t="shared" si="2"/>
        <v>3.1752923469801714E-4</v>
      </c>
      <c r="X10" s="89"/>
      <c r="Y10" s="244">
        <f>VLOOKUP($E$1,'[2]Resumen x Tipo Combustible'!$C$45:$P$48,Y1,0)</f>
        <v>1560</v>
      </c>
      <c r="Z10" s="244">
        <f>VLOOKUP($E$1,'[2]Resumen x Tipo Combustible'!$C$45:$P$48,Z1,0)</f>
        <v>1440</v>
      </c>
      <c r="AA10" s="244">
        <f>VLOOKUP($E$1,'[2]Resumen x Tipo Combustible'!$C$45:$P$48,AA1,0)</f>
        <v>1200</v>
      </c>
      <c r="AB10" s="244">
        <f>VLOOKUP($E$1,'[2]Resumen x Tipo Combustible'!$C$45:$P$48,AB1,0)</f>
        <v>1560</v>
      </c>
      <c r="AC10" s="244">
        <f>VLOOKUP($E$1,'[2]Resumen x Tipo Combustible'!$C$45:$P$48,AC1,0)</f>
        <v>1500</v>
      </c>
      <c r="AD10" s="244">
        <f>VLOOKUP($E$1,'[2]Resumen x Tipo Combustible'!$C$45:$P$48,AD1,0)</f>
        <v>1260</v>
      </c>
      <c r="AE10" s="244">
        <f>VLOOKUP($E$1,'[2]Resumen x Tipo Combustible'!$C$45:$P$48,AE1,0)</f>
        <v>1380</v>
      </c>
      <c r="AF10" s="244">
        <f>VLOOKUP($E$1,'[2]Resumen x Tipo Combustible'!$C$45:$P$48,AF1,0)</f>
        <v>1200</v>
      </c>
      <c r="AG10" s="244">
        <f>VLOOKUP($E$1,'[2]Resumen x Tipo Combustible'!$C$45:$P$48,AG1,0)</f>
        <v>1440</v>
      </c>
      <c r="AH10" s="244">
        <f>VLOOKUP($E$1,'[2]Resumen x Tipo Combustible'!$C$45:$P$48,AH1,0)</f>
        <v>3780</v>
      </c>
      <c r="AI10" s="244">
        <f>VLOOKUP($E$1,'[2]Resumen x Tipo Combustible'!$C$45:$P$48,AI1,0)</f>
        <v>3600</v>
      </c>
      <c r="AJ10" s="244">
        <f>VLOOKUP($E$1,'[2]Resumen x Tipo Combustible'!$C$45:$P$48,AJ1,0)</f>
        <v>2940</v>
      </c>
      <c r="AK10" s="65">
        <f t="shared" si="6"/>
        <v>22860</v>
      </c>
      <c r="AL10" s="73">
        <f t="shared" si="4"/>
        <v>9.6876335868944445E-4</v>
      </c>
      <c r="AM10" s="14">
        <f t="shared" si="7"/>
        <v>2.2128300826084919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6" t="s">
        <v>467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f t="shared" si="8"/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16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>
        <v>0</v>
      </c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 collapsed="1">
      <c r="A13" s="12" t="s">
        <v>110</v>
      </c>
      <c r="B13" s="19"/>
      <c r="E13" s="7" t="s">
        <v>111</v>
      </c>
      <c r="I13" s="170" t="s">
        <v>112</v>
      </c>
      <c r="J13" s="15">
        <v>1587187</v>
      </c>
      <c r="K13" s="15">
        <v>1598946</v>
      </c>
      <c r="L13" s="15">
        <v>1762983</v>
      </c>
      <c r="M13" s="15">
        <v>1637478</v>
      </c>
      <c r="N13" s="15">
        <v>1786406</v>
      </c>
      <c r="O13" s="15">
        <v>1641678</v>
      </c>
      <c r="P13" s="15">
        <v>1774734</v>
      </c>
      <c r="Q13" s="15">
        <v>1641744</v>
      </c>
      <c r="R13" s="15">
        <v>1859487</v>
      </c>
      <c r="S13" s="15">
        <v>2016399</v>
      </c>
      <c r="T13" s="15">
        <f>SUM(T14:T33)</f>
        <v>1839210.3333333335</v>
      </c>
      <c r="U13" s="15">
        <f>SUM(U14:U33)</f>
        <v>1905032.4444444445</v>
      </c>
      <c r="V13" s="15">
        <f t="shared" ref="K13:V13" si="9">SUM(V14:V33)</f>
        <v>21051284.77777778</v>
      </c>
      <c r="W13" s="72">
        <f t="shared" si="2"/>
        <v>0.93945039749020354</v>
      </c>
      <c r="X13" s="89"/>
      <c r="Y13" s="15">
        <f>SUM(Y14:Y33)</f>
        <v>1588830.0499999998</v>
      </c>
      <c r="Z13" s="15">
        <f t="shared" ref="Z13:AK13" si="10">SUM(Z14:Z33)</f>
        <v>1610244.94</v>
      </c>
      <c r="AA13" s="15">
        <f t="shared" si="10"/>
        <v>1785659.8299999998</v>
      </c>
      <c r="AB13" s="15">
        <f t="shared" si="10"/>
        <v>1666176.72</v>
      </c>
      <c r="AC13" s="15">
        <f t="shared" si="10"/>
        <v>1818164.4799999997</v>
      </c>
      <c r="AD13" s="15">
        <f t="shared" si="10"/>
        <v>1787320.39</v>
      </c>
      <c r="AE13" s="15">
        <f t="shared" si="10"/>
        <v>1686695.48</v>
      </c>
      <c r="AF13" s="15">
        <f t="shared" si="10"/>
        <v>1686626.21</v>
      </c>
      <c r="AG13" s="15">
        <f t="shared" si="10"/>
        <v>1907826.08</v>
      </c>
      <c r="AH13" s="15">
        <f t="shared" si="10"/>
        <v>1994690.28</v>
      </c>
      <c r="AI13" s="15">
        <f t="shared" si="10"/>
        <v>1948798.0899999999</v>
      </c>
      <c r="AJ13" s="15">
        <f t="shared" si="10"/>
        <v>1923337.46</v>
      </c>
      <c r="AK13" s="15">
        <f t="shared" si="10"/>
        <v>21404370.009999998</v>
      </c>
      <c r="AL13" s="72">
        <f t="shared" si="4"/>
        <v>0.90707652587573118</v>
      </c>
      <c r="AM13" s="10">
        <f t="shared" si="7"/>
        <v>1.677262152640413E-2</v>
      </c>
      <c r="AN13" s="9"/>
    </row>
    <row r="14" spans="1:40" ht="14.45" hidden="1" customHeight="1" outlineLevel="1">
      <c r="A14" s="37" t="s">
        <v>110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174" t="s">
        <v>115</v>
      </c>
      <c r="J14" s="65">
        <v>948628</v>
      </c>
      <c r="K14" s="65">
        <v>920643</v>
      </c>
      <c r="L14" s="65">
        <v>956721</v>
      </c>
      <c r="M14" s="65">
        <v>934588</v>
      </c>
      <c r="N14" s="65">
        <v>1004758</v>
      </c>
      <c r="O14" s="65">
        <v>1021595</v>
      </c>
      <c r="P14" s="65">
        <v>972757</v>
      </c>
      <c r="Q14" s="65">
        <v>966656</v>
      </c>
      <c r="R14" s="65">
        <v>1066101</v>
      </c>
      <c r="S14" s="65">
        <v>1134486</v>
      </c>
      <c r="T14" s="65">
        <f>AVERAGE(Q14:S14)</f>
        <v>1055747.6666666667</v>
      </c>
      <c r="U14" s="65">
        <f>AVERAGE(R14:T14)</f>
        <v>1085444.888888889</v>
      </c>
      <c r="V14" s="11">
        <f t="shared" si="5"/>
        <v>12068125.555555556</v>
      </c>
      <c r="W14" s="73">
        <f t="shared" si="2"/>
        <v>0.53856120753714642</v>
      </c>
      <c r="X14" s="89"/>
      <c r="Y14" s="244">
        <f>Y7-Y28-Y35</f>
        <v>946524.79999999993</v>
      </c>
      <c r="Z14" s="244">
        <f t="shared" ref="Z14:AJ14" si="11">Z7-Z28-Z35</f>
        <v>933494.94</v>
      </c>
      <c r="AA14" s="244">
        <f t="shared" si="11"/>
        <v>977639.67999999982</v>
      </c>
      <c r="AB14" s="244">
        <f t="shared" si="11"/>
        <v>957030.12</v>
      </c>
      <c r="AC14" s="244">
        <f t="shared" si="11"/>
        <v>1032886.0799999998</v>
      </c>
      <c r="AD14" s="244">
        <f t="shared" si="11"/>
        <v>1048838.0899999999</v>
      </c>
      <c r="AE14" s="244">
        <f t="shared" si="11"/>
        <v>1002160.1299999999</v>
      </c>
      <c r="AF14" s="244">
        <f t="shared" si="11"/>
        <v>994330.8899999999</v>
      </c>
      <c r="AG14" s="244">
        <f t="shared" si="11"/>
        <v>1100127.68</v>
      </c>
      <c r="AH14" s="244">
        <f t="shared" si="11"/>
        <v>1116082.5</v>
      </c>
      <c r="AI14" s="244">
        <f t="shared" si="11"/>
        <v>1089110.95</v>
      </c>
      <c r="AJ14" s="244">
        <f t="shared" si="11"/>
        <v>1075126.5</v>
      </c>
      <c r="AK14" s="65">
        <f t="shared" si="6"/>
        <v>12273352.359999998</v>
      </c>
      <c r="AL14" s="73">
        <f t="shared" si="4"/>
        <v>0.5201213497223367</v>
      </c>
      <c r="AM14" s="14">
        <f t="shared" si="7"/>
        <v>1.7005690196019385E-2</v>
      </c>
      <c r="AN14" s="9"/>
    </row>
    <row r="15" spans="1:40" ht="14.45" hidden="1" customHeight="1" outlineLevel="1">
      <c r="A15" s="37" t="s">
        <v>110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175" t="s">
        <v>118</v>
      </c>
      <c r="J15" s="65">
        <v>635939</v>
      </c>
      <c r="K15" s="65">
        <v>674987</v>
      </c>
      <c r="L15" s="65">
        <v>805325</v>
      </c>
      <c r="M15" s="65">
        <v>705891</v>
      </c>
      <c r="N15" s="65">
        <v>786736</v>
      </c>
      <c r="O15" s="65">
        <v>733698</v>
      </c>
      <c r="P15" s="65">
        <v>680611</v>
      </c>
      <c r="Q15" s="65">
        <v>686737</v>
      </c>
      <c r="R15" s="65">
        <v>800972</v>
      </c>
      <c r="S15" s="65">
        <v>880178</v>
      </c>
      <c r="T15" s="65">
        <f t="shared" ref="T15:U30" si="12">AVERAGE(Q15:S15)</f>
        <v>789295.66666666663</v>
      </c>
      <c r="U15" s="65">
        <f t="shared" si="12"/>
        <v>823481.88888888888</v>
      </c>
      <c r="V15" s="11">
        <f t="shared" si="5"/>
        <v>9003851.555555556</v>
      </c>
      <c r="W15" s="73">
        <f t="shared" si="2"/>
        <v>0.40181262151460811</v>
      </c>
      <c r="X15" s="89"/>
      <c r="Y15" s="244">
        <f>Y8-Y29-Y36</f>
        <v>641057.25</v>
      </c>
      <c r="Z15" s="244">
        <f t="shared" ref="Z15:AJ15" si="13">Z8-Z29-Z36</f>
        <v>675598</v>
      </c>
      <c r="AA15" s="244">
        <f t="shared" si="13"/>
        <v>807060.15</v>
      </c>
      <c r="AB15" s="244">
        <f t="shared" si="13"/>
        <v>707898.6</v>
      </c>
      <c r="AC15" s="244">
        <f t="shared" si="13"/>
        <v>784078.39999999991</v>
      </c>
      <c r="AD15" s="244">
        <f t="shared" si="13"/>
        <v>737474.3</v>
      </c>
      <c r="AE15" s="244">
        <f t="shared" si="13"/>
        <v>683431.35</v>
      </c>
      <c r="AF15" s="244">
        <f t="shared" si="13"/>
        <v>691335.32000000007</v>
      </c>
      <c r="AG15" s="244">
        <f t="shared" si="13"/>
        <v>806546.4</v>
      </c>
      <c r="AH15" s="244">
        <f t="shared" si="13"/>
        <v>875583.78</v>
      </c>
      <c r="AI15" s="244">
        <f t="shared" si="13"/>
        <v>856807.14</v>
      </c>
      <c r="AJ15" s="244">
        <f t="shared" si="13"/>
        <v>845858.96</v>
      </c>
      <c r="AK15" s="65">
        <f t="shared" si="6"/>
        <v>9112729.6500000004</v>
      </c>
      <c r="AL15" s="73">
        <f t="shared" si="4"/>
        <v>0.38618016546644296</v>
      </c>
      <c r="AM15" s="14">
        <f t="shared" si="7"/>
        <v>1.2092391103145639E-2</v>
      </c>
      <c r="AN15" s="9"/>
    </row>
    <row r="16" spans="1:40" ht="14.45" hidden="1" customHeight="1" outlineLevel="1">
      <c r="A16" s="37" t="s">
        <v>110</v>
      </c>
      <c r="B16" s="39"/>
      <c r="C16" s="39" t="s">
        <v>119</v>
      </c>
      <c r="D16" s="37" t="s">
        <v>120</v>
      </c>
      <c r="E16" s="38"/>
      <c r="F16" s="37"/>
      <c r="G16" s="37"/>
      <c r="H16" s="37"/>
      <c r="I16" s="170" t="s">
        <v>5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f t="shared" si="12"/>
        <v>0</v>
      </c>
      <c r="U16" s="65">
        <f t="shared" si="12"/>
        <v>0</v>
      </c>
      <c r="V16" s="11">
        <f t="shared" si="5"/>
        <v>0</v>
      </c>
      <c r="W16" s="73">
        <f t="shared" si="2"/>
        <v>0</v>
      </c>
      <c r="X16" s="89"/>
      <c r="Y16" s="244">
        <f>IFERROR(Y9-Y37,0)</f>
        <v>0</v>
      </c>
      <c r="Z16" s="244">
        <f t="shared" ref="Z16:AJ16" si="14">IFERROR(Z9-Z37,0)</f>
        <v>0</v>
      </c>
      <c r="AA16" s="244">
        <f t="shared" si="14"/>
        <v>0</v>
      </c>
      <c r="AB16" s="244">
        <f t="shared" si="14"/>
        <v>0</v>
      </c>
      <c r="AC16" s="244">
        <f t="shared" si="14"/>
        <v>0</v>
      </c>
      <c r="AD16" s="244">
        <f t="shared" si="14"/>
        <v>0</v>
      </c>
      <c r="AE16" s="244">
        <f t="shared" si="14"/>
        <v>0</v>
      </c>
      <c r="AF16" s="244">
        <f t="shared" si="14"/>
        <v>0</v>
      </c>
      <c r="AG16" s="244">
        <f t="shared" si="14"/>
        <v>0</v>
      </c>
      <c r="AH16" s="244">
        <f t="shared" si="14"/>
        <v>0</v>
      </c>
      <c r="AI16" s="244">
        <f t="shared" si="14"/>
        <v>0</v>
      </c>
      <c r="AJ16" s="244">
        <f t="shared" si="14"/>
        <v>0</v>
      </c>
      <c r="AK16" s="65">
        <f t="shared" si="6"/>
        <v>0</v>
      </c>
      <c r="AL16" s="73">
        <f t="shared" si="4"/>
        <v>0</v>
      </c>
      <c r="AM16" s="14">
        <f t="shared" si="7"/>
        <v>0</v>
      </c>
      <c r="AN16" s="9"/>
    </row>
    <row r="17" spans="1:40" ht="14.45" hidden="1" customHeight="1" outlineLevel="1">
      <c r="A17" s="37" t="s">
        <v>110</v>
      </c>
      <c r="B17" s="39"/>
      <c r="C17" s="39" t="s">
        <v>121</v>
      </c>
      <c r="D17" s="37"/>
      <c r="E17" s="38"/>
      <c r="F17" s="37"/>
      <c r="G17" s="37"/>
      <c r="H17" s="37"/>
      <c r="I17" s="174" t="s">
        <v>122</v>
      </c>
      <c r="J17" s="65">
        <v>0</v>
      </c>
      <c r="K17" s="65">
        <v>451</v>
      </c>
      <c r="L17" s="65">
        <v>0</v>
      </c>
      <c r="M17" s="65">
        <v>863</v>
      </c>
      <c r="N17" s="65">
        <v>0</v>
      </c>
      <c r="O17" s="65">
        <v>0</v>
      </c>
      <c r="P17" s="65">
        <v>1786</v>
      </c>
      <c r="Q17" s="65">
        <v>0</v>
      </c>
      <c r="R17" s="65">
        <v>0</v>
      </c>
      <c r="S17" s="65">
        <v>308</v>
      </c>
      <c r="T17" s="65">
        <f t="shared" si="12"/>
        <v>102.66666666666667</v>
      </c>
      <c r="U17" s="65">
        <f t="shared" si="12"/>
        <v>136.88888888888889</v>
      </c>
      <c r="V17" s="11">
        <f t="shared" si="5"/>
        <v>3647.5555555555552</v>
      </c>
      <c r="W17" s="73">
        <f t="shared" si="2"/>
        <v>1.6277854547631064E-4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  <c r="AN17" s="9"/>
    </row>
    <row r="18" spans="1:40" ht="14.45" hidden="1" customHeight="1" outlineLevel="1">
      <c r="A18" s="37" t="s">
        <v>110</v>
      </c>
      <c r="B18" s="39"/>
      <c r="C18" s="39" t="s">
        <v>123</v>
      </c>
      <c r="D18" s="37"/>
      <c r="E18" s="38"/>
      <c r="F18" s="37"/>
      <c r="G18" s="37"/>
      <c r="H18" s="37"/>
      <c r="I18" s="175" t="s">
        <v>124</v>
      </c>
      <c r="J18" s="65">
        <v>0</v>
      </c>
      <c r="K18" s="65">
        <v>2865</v>
      </c>
      <c r="L18" s="65">
        <v>1869</v>
      </c>
      <c r="M18" s="65">
        <v>0</v>
      </c>
      <c r="N18" s="65">
        <v>0</v>
      </c>
      <c r="O18" s="65">
        <v>0</v>
      </c>
      <c r="P18" s="65">
        <v>5777</v>
      </c>
      <c r="Q18" s="65">
        <v>0</v>
      </c>
      <c r="R18" s="65">
        <v>0</v>
      </c>
      <c r="S18" s="65">
        <v>0</v>
      </c>
      <c r="T18" s="65">
        <f t="shared" si="12"/>
        <v>0</v>
      </c>
      <c r="U18" s="65">
        <f t="shared" si="12"/>
        <v>0</v>
      </c>
      <c r="V18" s="11">
        <f t="shared" si="5"/>
        <v>10511</v>
      </c>
      <c r="W18" s="73">
        <f t="shared" si="2"/>
        <v>4.6907175653446788E-4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hidden="1" customHeight="1" outlineLevel="1">
      <c r="A19" s="37" t="s">
        <v>110</v>
      </c>
      <c r="B19" s="39"/>
      <c r="C19" s="39" t="s">
        <v>125</v>
      </c>
      <c r="D19" s="37"/>
      <c r="E19" s="38"/>
      <c r="F19" s="37"/>
      <c r="G19" s="37"/>
      <c r="H19" s="37"/>
      <c r="I19" s="170" t="s">
        <v>126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f t="shared" si="12"/>
        <v>0</v>
      </c>
      <c r="U19" s="65">
        <f t="shared" si="12"/>
        <v>0</v>
      </c>
      <c r="V19" s="11">
        <f t="shared" si="5"/>
        <v>0</v>
      </c>
      <c r="W19" s="73">
        <f t="shared" si="2"/>
        <v>0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0</v>
      </c>
      <c r="AN19" s="9"/>
    </row>
    <row r="20" spans="1:40" ht="14.45" hidden="1" customHeight="1" outlineLevel="1">
      <c r="A20" s="37"/>
      <c r="B20" s="39"/>
      <c r="C20" s="39"/>
      <c r="D20" s="37"/>
      <c r="E20" s="38"/>
      <c r="F20" s="37"/>
      <c r="G20" s="37"/>
      <c r="H20" s="37"/>
      <c r="I20" s="170" t="s">
        <v>129</v>
      </c>
      <c r="J20" s="65">
        <v>-1058</v>
      </c>
      <c r="K20" s="65">
        <v>0</v>
      </c>
      <c r="L20" s="65">
        <v>-5137</v>
      </c>
      <c r="M20" s="65">
        <v>0</v>
      </c>
      <c r="N20" s="65">
        <v>-597</v>
      </c>
      <c r="O20" s="65">
        <v>-27593</v>
      </c>
      <c r="P20" s="65">
        <v>27376</v>
      </c>
      <c r="Q20" s="65">
        <v>-10629</v>
      </c>
      <c r="R20" s="65">
        <v>-2405</v>
      </c>
      <c r="S20" s="65">
        <v>0</v>
      </c>
      <c r="T20" s="65">
        <f t="shared" si="12"/>
        <v>-4344.666666666667</v>
      </c>
      <c r="U20" s="65">
        <f t="shared" si="12"/>
        <v>-2249.8888888888891</v>
      </c>
      <c r="V20" s="11">
        <f t="shared" ref="V20:V33" si="15">SUM(J20:U20)</f>
        <v>-26637.555555555558</v>
      </c>
      <c r="W20" s="73">
        <f t="shared" ref="W20:W33" si="16">V20/V$6</f>
        <v>-1.1887475001644866E-3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ref="AK20:AK33" si="17">SUM(Y20:AJ20)</f>
        <v>0</v>
      </c>
      <c r="AL20" s="73">
        <f t="shared" ref="AL20:AL33" si="18">AK20/AK$6</f>
        <v>0</v>
      </c>
      <c r="AM20" s="14">
        <f t="shared" ref="AM20:AM33" si="19">IFERROR(AK20/V20-1,0)</f>
        <v>-1</v>
      </c>
      <c r="AN20" s="9"/>
    </row>
    <row r="21" spans="1:40" ht="14.45" hidden="1" customHeight="1" outlineLevel="1">
      <c r="A21" s="37"/>
      <c r="B21" s="39"/>
      <c r="C21" s="39"/>
      <c r="D21" s="37"/>
      <c r="E21" s="38"/>
      <c r="F21" s="37"/>
      <c r="G21" s="37"/>
      <c r="H21" s="37"/>
      <c r="I21" s="170" t="s">
        <v>131</v>
      </c>
      <c r="J21" s="65">
        <v>2812</v>
      </c>
      <c r="K21" s="65">
        <v>0</v>
      </c>
      <c r="L21" s="65">
        <v>0</v>
      </c>
      <c r="M21" s="65">
        <v>-149</v>
      </c>
      <c r="N21" s="65">
        <v>-4616</v>
      </c>
      <c r="O21" s="65">
        <v>-86054</v>
      </c>
      <c r="P21" s="65">
        <v>86054</v>
      </c>
      <c r="Q21" s="65">
        <v>-1020</v>
      </c>
      <c r="R21" s="65">
        <v>-5210</v>
      </c>
      <c r="S21" s="65">
        <v>496</v>
      </c>
      <c r="T21" s="65">
        <f t="shared" si="12"/>
        <v>-1911.3333333333333</v>
      </c>
      <c r="U21" s="65">
        <f t="shared" si="12"/>
        <v>-2208.4444444444443</v>
      </c>
      <c r="V21" s="11">
        <f t="shared" si="15"/>
        <v>-11806.777777777777</v>
      </c>
      <c r="W21" s="73">
        <f t="shared" si="16"/>
        <v>-5.268981059113637E-4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17"/>
        <v>0</v>
      </c>
      <c r="AL21" s="73">
        <f t="shared" si="18"/>
        <v>0</v>
      </c>
      <c r="AM21" s="14">
        <f t="shared" si="19"/>
        <v>-1</v>
      </c>
      <c r="AN21" s="9"/>
    </row>
    <row r="22" spans="1:40" ht="14.45" hidden="1" customHeight="1" outlineLevel="1">
      <c r="A22" s="37"/>
      <c r="B22" s="39"/>
      <c r="C22" s="39"/>
      <c r="D22" s="37"/>
      <c r="E22" s="38"/>
      <c r="F22" s="37"/>
      <c r="G22" s="37"/>
      <c r="H22" s="37"/>
      <c r="I22" s="170" t="s">
        <v>133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f t="shared" si="12"/>
        <v>0</v>
      </c>
      <c r="U22" s="65">
        <f t="shared" si="12"/>
        <v>0</v>
      </c>
      <c r="V22" s="11">
        <f t="shared" si="15"/>
        <v>0</v>
      </c>
      <c r="W22" s="73">
        <f t="shared" si="16"/>
        <v>0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17"/>
        <v>0</v>
      </c>
      <c r="AL22" s="73">
        <f t="shared" si="18"/>
        <v>0</v>
      </c>
      <c r="AM22" s="14">
        <f t="shared" si="19"/>
        <v>0</v>
      </c>
      <c r="AN22" s="9"/>
    </row>
    <row r="23" spans="1:40" ht="14.45" hidden="1" customHeight="1" outlineLevel="1">
      <c r="A23" s="37" t="s">
        <v>110</v>
      </c>
      <c r="B23" s="39"/>
      <c r="C23" s="39" t="s">
        <v>127</v>
      </c>
      <c r="D23" s="37" t="s">
        <v>128</v>
      </c>
      <c r="E23" s="38"/>
      <c r="F23" s="37"/>
      <c r="G23" s="37"/>
      <c r="H23" s="37"/>
      <c r="I23" s="174" t="s">
        <v>135</v>
      </c>
      <c r="J23" s="65">
        <v>0</v>
      </c>
      <c r="K23" s="65">
        <v>0</v>
      </c>
      <c r="L23" s="65">
        <v>2526</v>
      </c>
      <c r="M23" s="65">
        <v>-2526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f t="shared" si="12"/>
        <v>0</v>
      </c>
      <c r="U23" s="65">
        <f t="shared" si="12"/>
        <v>0</v>
      </c>
      <c r="V23" s="11">
        <f t="shared" si="15"/>
        <v>0</v>
      </c>
      <c r="W23" s="73">
        <f t="shared" si="16"/>
        <v>0</v>
      </c>
      <c r="X23" s="89"/>
      <c r="Y23" s="65">
        <f>0*Y40</f>
        <v>0</v>
      </c>
      <c r="Z23" s="65">
        <f t="shared" ref="Z23:AJ24" si="20">0*Z40</f>
        <v>0</v>
      </c>
      <c r="AA23" s="65">
        <f t="shared" si="20"/>
        <v>0</v>
      </c>
      <c r="AB23" s="65">
        <f t="shared" si="20"/>
        <v>0</v>
      </c>
      <c r="AC23" s="65">
        <f t="shared" si="20"/>
        <v>0</v>
      </c>
      <c r="AD23" s="65">
        <f t="shared" si="20"/>
        <v>0</v>
      </c>
      <c r="AE23" s="65">
        <f t="shared" si="20"/>
        <v>0</v>
      </c>
      <c r="AF23" s="65">
        <f t="shared" si="20"/>
        <v>0</v>
      </c>
      <c r="AG23" s="65">
        <f t="shared" si="20"/>
        <v>0</v>
      </c>
      <c r="AH23" s="65">
        <f t="shared" si="20"/>
        <v>0</v>
      </c>
      <c r="AI23" s="65">
        <f t="shared" si="20"/>
        <v>0</v>
      </c>
      <c r="AJ23" s="65">
        <f t="shared" si="20"/>
        <v>0</v>
      </c>
      <c r="AK23" s="65">
        <f t="shared" si="17"/>
        <v>0</v>
      </c>
      <c r="AL23" s="73">
        <f t="shared" si="18"/>
        <v>0</v>
      </c>
      <c r="AM23" s="14">
        <f t="shared" si="19"/>
        <v>0</v>
      </c>
      <c r="AN23" s="9"/>
    </row>
    <row r="24" spans="1:40" ht="14.45" hidden="1" customHeight="1" outlineLevel="1">
      <c r="A24" s="37" t="s">
        <v>110</v>
      </c>
      <c r="B24" s="39"/>
      <c r="C24" s="39" t="s">
        <v>130</v>
      </c>
      <c r="D24" s="37"/>
      <c r="E24" s="38"/>
      <c r="F24" s="37"/>
      <c r="G24" s="37"/>
      <c r="H24" s="37"/>
      <c r="I24" s="175" t="s">
        <v>137</v>
      </c>
      <c r="J24" s="65">
        <v>0</v>
      </c>
      <c r="K24" s="65">
        <v>0</v>
      </c>
      <c r="L24" s="65">
        <v>1680</v>
      </c>
      <c r="M24" s="65">
        <v>-1680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f t="shared" si="12"/>
        <v>0</v>
      </c>
      <c r="U24" s="65">
        <f t="shared" si="12"/>
        <v>0</v>
      </c>
      <c r="V24" s="11">
        <f t="shared" si="15"/>
        <v>0</v>
      </c>
      <c r="W24" s="73">
        <f t="shared" si="16"/>
        <v>0</v>
      </c>
      <c r="X24" s="89"/>
      <c r="Y24" s="65">
        <f>0*Y41</f>
        <v>0</v>
      </c>
      <c r="Z24" s="65">
        <f t="shared" si="20"/>
        <v>0</v>
      </c>
      <c r="AA24" s="65">
        <f t="shared" si="20"/>
        <v>0</v>
      </c>
      <c r="AB24" s="65">
        <f t="shared" si="20"/>
        <v>0</v>
      </c>
      <c r="AC24" s="65">
        <f t="shared" si="20"/>
        <v>0</v>
      </c>
      <c r="AD24" s="65">
        <f t="shared" si="20"/>
        <v>0</v>
      </c>
      <c r="AE24" s="65">
        <f t="shared" si="20"/>
        <v>0</v>
      </c>
      <c r="AF24" s="65">
        <f t="shared" si="20"/>
        <v>0</v>
      </c>
      <c r="AG24" s="65">
        <f t="shared" si="20"/>
        <v>0</v>
      </c>
      <c r="AH24" s="65">
        <f t="shared" si="20"/>
        <v>0</v>
      </c>
      <c r="AI24" s="65">
        <f t="shared" si="20"/>
        <v>0</v>
      </c>
      <c r="AJ24" s="65">
        <f t="shared" si="20"/>
        <v>0</v>
      </c>
      <c r="AK24" s="65">
        <f t="shared" si="17"/>
        <v>0</v>
      </c>
      <c r="AL24" s="73">
        <f t="shared" si="18"/>
        <v>0</v>
      </c>
      <c r="AM24" s="14">
        <f t="shared" si="19"/>
        <v>0</v>
      </c>
      <c r="AN24" s="9"/>
    </row>
    <row r="25" spans="1:40" ht="14.45" hidden="1" customHeight="1" outlineLevel="1">
      <c r="A25" s="37" t="s">
        <v>110</v>
      </c>
      <c r="B25" s="39"/>
      <c r="C25" s="39" t="s">
        <v>132</v>
      </c>
      <c r="D25" s="37"/>
      <c r="E25" s="38"/>
      <c r="F25" s="37"/>
      <c r="G25" s="37"/>
      <c r="H25" s="37"/>
      <c r="I25" s="174" t="s">
        <v>139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f t="shared" si="12"/>
        <v>0</v>
      </c>
      <c r="U25" s="65">
        <f t="shared" si="12"/>
        <v>0</v>
      </c>
      <c r="V25" s="11">
        <f t="shared" si="15"/>
        <v>0</v>
      </c>
      <c r="W25" s="73">
        <f t="shared" si="16"/>
        <v>0</v>
      </c>
      <c r="X25" s="89"/>
      <c r="Y25" s="65">
        <f>(Y40*'Parametros AGS'!$N$48)*'Parametros AGS'!$B$59</f>
        <v>0</v>
      </c>
      <c r="Z25" s="65">
        <f>(Z40*'Parametros AGS'!$N$48)*'Parametros AGS'!$B$59</f>
        <v>0</v>
      </c>
      <c r="AA25" s="65">
        <f>(AA40*'Parametros AGS'!$N$48)*'Parametros AGS'!$B$59</f>
        <v>0</v>
      </c>
      <c r="AB25" s="65">
        <f>(AB40*'Parametros AGS'!$N$48)*'Parametros AGS'!$B$59</f>
        <v>0</v>
      </c>
      <c r="AC25" s="65">
        <f>(AC40*'Parametros AGS'!$N$48)*'Parametros AGS'!$B$59</f>
        <v>0</v>
      </c>
      <c r="AD25" s="65">
        <f>(AD40*'Parametros AGS'!$N$48)*'Parametros AGS'!$B$59</f>
        <v>0</v>
      </c>
      <c r="AE25" s="65">
        <f>(AE40*'Parametros AGS'!$N$48)*'Parametros AGS'!$B$59</f>
        <v>0</v>
      </c>
      <c r="AF25" s="65">
        <f>(AF40*'Parametros AGS'!$N$48)*'Parametros AGS'!$B$59</f>
        <v>0</v>
      </c>
      <c r="AG25" s="65">
        <f>(AG40*'Parametros AGS'!$N$48)*'Parametros AGS'!$B$59</f>
        <v>0</v>
      </c>
      <c r="AH25" s="65">
        <f>(AH40*'Parametros AGS'!$N$48)*'Parametros AGS'!$B$59</f>
        <v>0</v>
      </c>
      <c r="AI25" s="65">
        <f>(AI40*'Parametros AGS'!$N$48)*'Parametros AGS'!$B$59</f>
        <v>0</v>
      </c>
      <c r="AJ25" s="65">
        <f>(AJ40*'Parametros AGS'!$N$48)*'Parametros AGS'!$B$59</f>
        <v>0</v>
      </c>
      <c r="AK25" s="65">
        <f t="shared" si="17"/>
        <v>0</v>
      </c>
      <c r="AL25" s="73">
        <f t="shared" si="18"/>
        <v>0</v>
      </c>
      <c r="AM25" s="14">
        <f t="shared" si="19"/>
        <v>0</v>
      </c>
      <c r="AN25" s="9"/>
    </row>
    <row r="26" spans="1:40" ht="14.45" hidden="1" customHeight="1" outlineLevel="1">
      <c r="A26" s="37" t="s">
        <v>110</v>
      </c>
      <c r="B26" s="39"/>
      <c r="C26" s="39" t="s">
        <v>134</v>
      </c>
      <c r="D26" s="37"/>
      <c r="E26" s="38"/>
      <c r="F26" s="37"/>
      <c r="G26" s="37"/>
      <c r="H26" s="37"/>
      <c r="I26" s="175" t="s">
        <v>140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f t="shared" si="12"/>
        <v>0</v>
      </c>
      <c r="U26" s="65">
        <f t="shared" si="12"/>
        <v>0</v>
      </c>
      <c r="V26" s="11">
        <f t="shared" si="15"/>
        <v>0</v>
      </c>
      <c r="W26" s="73">
        <f t="shared" si="16"/>
        <v>0</v>
      </c>
      <c r="X26" s="89"/>
      <c r="Y26" s="65">
        <f>(Y41*'Parametros AGS'!$N$49)*'Parametros AGS'!$B$60</f>
        <v>0</v>
      </c>
      <c r="Z26" s="65">
        <f>(Z41*'Parametros AGS'!$N$49)*'Parametros AGS'!$B$60</f>
        <v>0</v>
      </c>
      <c r="AA26" s="65">
        <f>(AA41*'Parametros AGS'!$N$49)*'Parametros AGS'!$B$60</f>
        <v>0</v>
      </c>
      <c r="AB26" s="65">
        <f>(AB41*'Parametros AGS'!$N$49)*'Parametros AGS'!$B$60</f>
        <v>0</v>
      </c>
      <c r="AC26" s="65">
        <f>(AC41*'Parametros AGS'!$N$49)*'Parametros AGS'!$B$60</f>
        <v>0</v>
      </c>
      <c r="AD26" s="65">
        <f>(AD41*'Parametros AGS'!$N$49)*'Parametros AGS'!$B$60</f>
        <v>0</v>
      </c>
      <c r="AE26" s="65">
        <f>(AE41*'Parametros AGS'!$N$49)*'Parametros AGS'!$B$60</f>
        <v>0</v>
      </c>
      <c r="AF26" s="65">
        <f>(AF41*'Parametros AGS'!$N$49)*'Parametros AGS'!$B$60</f>
        <v>0</v>
      </c>
      <c r="AG26" s="65">
        <f>(AG41*'Parametros AGS'!$N$49)*'Parametros AGS'!$B$60</f>
        <v>0</v>
      </c>
      <c r="AH26" s="65">
        <f>(AH41*'Parametros AGS'!$N$49)*'Parametros AGS'!$B$60</f>
        <v>0</v>
      </c>
      <c r="AI26" s="65">
        <f>(AI41*'Parametros AGS'!$N$49)*'Parametros AGS'!$B$60</f>
        <v>0</v>
      </c>
      <c r="AJ26" s="65">
        <f>(AJ41*'Parametros AGS'!$N$49)*'Parametros AGS'!$B$60</f>
        <v>0</v>
      </c>
      <c r="AK26" s="65">
        <f t="shared" si="17"/>
        <v>0</v>
      </c>
      <c r="AL26" s="73">
        <f t="shared" si="18"/>
        <v>0</v>
      </c>
      <c r="AM26" s="14">
        <f t="shared" si="19"/>
        <v>0</v>
      </c>
      <c r="AN26" s="9"/>
    </row>
    <row r="27" spans="1:40" ht="14.45" hidden="1" customHeight="1" outlineLevel="1">
      <c r="A27" s="37" t="s">
        <v>110</v>
      </c>
      <c r="B27" s="39"/>
      <c r="C27" s="39" t="s">
        <v>136</v>
      </c>
      <c r="D27" s="37"/>
      <c r="E27" s="38"/>
      <c r="F27" s="37"/>
      <c r="G27" s="37"/>
      <c r="H27" s="37"/>
      <c r="I27" s="170" t="s">
        <v>136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f t="shared" si="12"/>
        <v>0</v>
      </c>
      <c r="U27" s="65">
        <f t="shared" si="12"/>
        <v>0</v>
      </c>
      <c r="V27" s="11">
        <f t="shared" si="15"/>
        <v>0</v>
      </c>
      <c r="W27" s="73">
        <f t="shared" si="16"/>
        <v>0</v>
      </c>
      <c r="X27" s="89"/>
      <c r="Y27" s="65">
        <f>(Y42*'Parametros AGS'!$N$50)*'Parametros AGS'!$B$61</f>
        <v>0</v>
      </c>
      <c r="Z27" s="65">
        <f>(Z42*'Parametros AGS'!$N$50)*'Parametros AGS'!$B$61</f>
        <v>0</v>
      </c>
      <c r="AA27" s="65">
        <f>(AA42*'Parametros AGS'!$N$50)*'Parametros AGS'!$B$61</f>
        <v>0</v>
      </c>
      <c r="AB27" s="65">
        <f>(AB42*'Parametros AGS'!$N$50)*'Parametros AGS'!$B$61</f>
        <v>0</v>
      </c>
      <c r="AC27" s="65">
        <f>(AC42*'Parametros AGS'!$N$50)*'Parametros AGS'!$B$61</f>
        <v>0</v>
      </c>
      <c r="AD27" s="65">
        <f>(AD42*'Parametros AGS'!$N$50)*'Parametros AGS'!$B$61</f>
        <v>0</v>
      </c>
      <c r="AE27" s="65">
        <f>(AE42*'Parametros AGS'!$N$50)*'Parametros AGS'!$B$61</f>
        <v>0</v>
      </c>
      <c r="AF27" s="65">
        <f>(AF42*'Parametros AGS'!$N$50)*'Parametros AGS'!$B$61</f>
        <v>0</v>
      </c>
      <c r="AG27" s="65">
        <f>(AG42*'Parametros AGS'!$N$50)*'Parametros AGS'!$B$61</f>
        <v>0</v>
      </c>
      <c r="AH27" s="65">
        <f>(AH42*'Parametros AGS'!$N$50)*'Parametros AGS'!$B$61</f>
        <v>0</v>
      </c>
      <c r="AI27" s="65">
        <f>(AI42*'Parametros AGS'!$N$50)*'Parametros AGS'!$B$61</f>
        <v>0</v>
      </c>
      <c r="AJ27" s="65">
        <f>(AJ42*'Parametros AGS'!$N$50)*'Parametros AGS'!$B$61</f>
        <v>0</v>
      </c>
      <c r="AK27" s="65">
        <f t="shared" si="17"/>
        <v>0</v>
      </c>
      <c r="AL27" s="73">
        <f t="shared" si="18"/>
        <v>0</v>
      </c>
      <c r="AM27" s="14">
        <f t="shared" si="19"/>
        <v>0</v>
      </c>
      <c r="AN27" s="9"/>
    </row>
    <row r="28" spans="1:40" ht="14.45" hidden="1" customHeight="1" outlineLevel="1">
      <c r="A28" s="37" t="s">
        <v>110</v>
      </c>
      <c r="B28" s="39"/>
      <c r="C28" s="39" t="s">
        <v>138</v>
      </c>
      <c r="D28" s="37" t="s">
        <v>103</v>
      </c>
      <c r="E28" s="38"/>
      <c r="F28" s="37"/>
      <c r="G28" s="37"/>
      <c r="H28" s="37"/>
      <c r="I28" s="174" t="s">
        <v>141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f t="shared" si="12"/>
        <v>0</v>
      </c>
      <c r="U28" s="65">
        <f t="shared" si="12"/>
        <v>0</v>
      </c>
      <c r="V28" s="11">
        <f t="shared" si="15"/>
        <v>0</v>
      </c>
      <c r="W28" s="73">
        <f t="shared" si="16"/>
        <v>0</v>
      </c>
      <c r="X28" s="89"/>
      <c r="Y28" s="66">
        <f>+-Y40*'Parametros AGS'!$B$2</f>
        <v>0</v>
      </c>
      <c r="Z28" s="66">
        <f>+-Z40*'Parametros AGS'!$B$2</f>
        <v>0</v>
      </c>
      <c r="AA28" s="66">
        <f>+-AA40*'Parametros AGS'!$B$2</f>
        <v>0</v>
      </c>
      <c r="AB28" s="66">
        <f>+-AB40*'Parametros AGS'!$B$2</f>
        <v>0</v>
      </c>
      <c r="AC28" s="66">
        <f>+-AC40*'Parametros AGS'!$B$2</f>
        <v>0</v>
      </c>
      <c r="AD28" s="66">
        <f>+-AD40*'Parametros AGS'!$B$2</f>
        <v>0</v>
      </c>
      <c r="AE28" s="66">
        <f>+-AE40*'Parametros AGS'!$B$2</f>
        <v>0</v>
      </c>
      <c r="AF28" s="66">
        <f>+-AF40*'Parametros AGS'!$B$2</f>
        <v>0</v>
      </c>
      <c r="AG28" s="66">
        <f>+-AG40*'Parametros AGS'!$B$2</f>
        <v>0</v>
      </c>
      <c r="AH28" s="66">
        <f>+-AH40*'Parametros AGS'!$B$2</f>
        <v>0</v>
      </c>
      <c r="AI28" s="66">
        <f>+-AI40*'Parametros AGS'!$B$2</f>
        <v>0</v>
      </c>
      <c r="AJ28" s="66">
        <f>+-AJ40*'Parametros AGS'!$B$2</f>
        <v>0</v>
      </c>
      <c r="AK28" s="65">
        <f t="shared" si="17"/>
        <v>0</v>
      </c>
      <c r="AL28" s="73">
        <f t="shared" si="18"/>
        <v>0</v>
      </c>
      <c r="AM28" s="14">
        <f t="shared" si="19"/>
        <v>0</v>
      </c>
      <c r="AN28" s="9"/>
    </row>
    <row r="29" spans="1:40" ht="14.45" hidden="1" customHeight="1" outlineLevel="1">
      <c r="A29" s="37" t="s">
        <v>110</v>
      </c>
      <c r="B29" s="39"/>
      <c r="C29" s="39" t="s">
        <v>399</v>
      </c>
      <c r="D29" s="37" t="s">
        <v>103</v>
      </c>
      <c r="E29" s="38"/>
      <c r="F29" s="37"/>
      <c r="G29" s="37"/>
      <c r="H29" s="37"/>
      <c r="I29" s="175" t="s">
        <v>142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f t="shared" si="12"/>
        <v>0</v>
      </c>
      <c r="U29" s="65">
        <f t="shared" si="12"/>
        <v>0</v>
      </c>
      <c r="V29" s="11">
        <f t="shared" si="15"/>
        <v>0</v>
      </c>
      <c r="W29" s="73">
        <f t="shared" si="16"/>
        <v>0</v>
      </c>
      <c r="X29" s="89"/>
      <c r="Y29" s="66">
        <f>+-Y41*'Parametros AGS'!$B$3</f>
        <v>0</v>
      </c>
      <c r="Z29" s="66">
        <f>+-Z41*'Parametros AGS'!$B$3</f>
        <v>0</v>
      </c>
      <c r="AA29" s="66">
        <f>+-AA41*'Parametros AGS'!$B$3</f>
        <v>0</v>
      </c>
      <c r="AB29" s="66">
        <f>+-AB41*'Parametros AGS'!$B$3</f>
        <v>0</v>
      </c>
      <c r="AC29" s="66">
        <f>+-AC41*'Parametros AGS'!$B$3</f>
        <v>0</v>
      </c>
      <c r="AD29" s="66">
        <f>+-AD41*'Parametros AGS'!$B$3</f>
        <v>0</v>
      </c>
      <c r="AE29" s="66">
        <f>+-AE41*'Parametros AGS'!$B$3</f>
        <v>0</v>
      </c>
      <c r="AF29" s="66">
        <f>+-AF41*'Parametros AGS'!$B$3</f>
        <v>0</v>
      </c>
      <c r="AG29" s="66">
        <f>+-AG41*'Parametros AGS'!$B$3</f>
        <v>0</v>
      </c>
      <c r="AH29" s="66">
        <f>+-AH41*'Parametros AGS'!$B$3</f>
        <v>0</v>
      </c>
      <c r="AI29" s="66">
        <f>+-AI41*'Parametros AGS'!$B$3</f>
        <v>0</v>
      </c>
      <c r="AJ29" s="66">
        <f>+-AJ41*'Parametros AGS'!$B$3</f>
        <v>0</v>
      </c>
      <c r="AK29" s="65">
        <f t="shared" si="17"/>
        <v>0</v>
      </c>
      <c r="AL29" s="73">
        <f t="shared" si="18"/>
        <v>0</v>
      </c>
      <c r="AM29" s="14">
        <f t="shared" si="19"/>
        <v>0</v>
      </c>
      <c r="AN29" s="9"/>
    </row>
    <row r="30" spans="1:40" ht="14.45" hidden="1" customHeight="1" outlineLevel="1">
      <c r="A30" s="37"/>
      <c r="B30" s="39"/>
      <c r="C30" s="39"/>
      <c r="D30" s="37"/>
      <c r="E30" s="38"/>
      <c r="F30" s="37"/>
      <c r="G30" s="37"/>
      <c r="H30" s="37"/>
      <c r="I30" s="175" t="s">
        <v>143</v>
      </c>
      <c r="J30" s="65">
        <v>866</v>
      </c>
      <c r="K30" s="65">
        <v>0</v>
      </c>
      <c r="L30" s="65">
        <v>0</v>
      </c>
      <c r="M30" s="65">
        <v>491</v>
      </c>
      <c r="N30" s="65">
        <v>125</v>
      </c>
      <c r="O30" s="65">
        <v>32</v>
      </c>
      <c r="P30" s="65">
        <v>371</v>
      </c>
      <c r="Q30" s="65">
        <v>0</v>
      </c>
      <c r="R30" s="65">
        <v>30</v>
      </c>
      <c r="S30" s="65">
        <v>931</v>
      </c>
      <c r="T30" s="65">
        <f t="shared" si="12"/>
        <v>320.33333333333331</v>
      </c>
      <c r="U30" s="65">
        <f t="shared" si="12"/>
        <v>427.11111111111109</v>
      </c>
      <c r="V30" s="11">
        <f t="shared" si="15"/>
        <v>3593.4444444444443</v>
      </c>
      <c r="W30" s="73">
        <f t="shared" si="16"/>
        <v>1.6036374251399304E-4</v>
      </c>
      <c r="X30" s="89"/>
      <c r="Y30" s="65">
        <f>+Y10*0.8</f>
        <v>1248</v>
      </c>
      <c r="Z30" s="65">
        <f t="shared" ref="Z30:AJ30" si="21">+Z10*0.8</f>
        <v>1152</v>
      </c>
      <c r="AA30" s="65">
        <f t="shared" si="21"/>
        <v>960</v>
      </c>
      <c r="AB30" s="65">
        <f t="shared" si="21"/>
        <v>1248</v>
      </c>
      <c r="AC30" s="65">
        <f t="shared" si="21"/>
        <v>1200</v>
      </c>
      <c r="AD30" s="65">
        <f t="shared" si="21"/>
        <v>1008</v>
      </c>
      <c r="AE30" s="65">
        <f t="shared" si="21"/>
        <v>1104</v>
      </c>
      <c r="AF30" s="65">
        <f t="shared" si="21"/>
        <v>960</v>
      </c>
      <c r="AG30" s="65">
        <f t="shared" si="21"/>
        <v>1152</v>
      </c>
      <c r="AH30" s="65">
        <f t="shared" si="21"/>
        <v>3024</v>
      </c>
      <c r="AI30" s="65">
        <f t="shared" si="21"/>
        <v>2880</v>
      </c>
      <c r="AJ30" s="65">
        <f t="shared" si="21"/>
        <v>2352</v>
      </c>
      <c r="AK30" s="65">
        <f t="shared" si="17"/>
        <v>18288</v>
      </c>
      <c r="AL30" s="73">
        <f t="shared" si="18"/>
        <v>7.7501068695155556E-4</v>
      </c>
      <c r="AM30" s="14">
        <f t="shared" si="19"/>
        <v>4.0892674932747903</v>
      </c>
      <c r="AN30" s="9"/>
    </row>
    <row r="31" spans="1:40" ht="14.45" hidden="1" customHeight="1" outlineLevel="1">
      <c r="A31" s="37"/>
      <c r="B31" s="39"/>
      <c r="C31" s="39"/>
      <c r="D31" s="37"/>
      <c r="E31" s="38"/>
      <c r="F31" s="37"/>
      <c r="G31" s="37"/>
      <c r="H31" s="37"/>
      <c r="I31" s="175" t="s">
        <v>144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/>
      <c r="U31" s="65"/>
      <c r="V31" s="11">
        <f t="shared" si="15"/>
        <v>0</v>
      </c>
      <c r="W31" s="73">
        <f t="shared" si="16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17"/>
        <v>0</v>
      </c>
      <c r="AL31" s="73">
        <f t="shared" si="18"/>
        <v>0</v>
      </c>
      <c r="AM31" s="14">
        <f t="shared" si="19"/>
        <v>0</v>
      </c>
      <c r="AN31" s="9"/>
    </row>
    <row r="32" spans="1:40" ht="14.45" hidden="1" customHeight="1" outlineLevel="1">
      <c r="A32" s="37"/>
      <c r="B32" s="39"/>
      <c r="C32" s="39"/>
      <c r="D32" s="37"/>
      <c r="E32" s="38"/>
      <c r="F32" s="37"/>
      <c r="G32" s="37"/>
      <c r="H32" s="37"/>
      <c r="I32" s="175" t="s">
        <v>145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/>
      <c r="U32" s="65"/>
      <c r="V32" s="11">
        <f t="shared" si="15"/>
        <v>0</v>
      </c>
      <c r="W32" s="73">
        <f t="shared" si="16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17"/>
        <v>0</v>
      </c>
      <c r="AL32" s="73">
        <f t="shared" si="18"/>
        <v>0</v>
      </c>
      <c r="AM32" s="14">
        <f t="shared" si="19"/>
        <v>0</v>
      </c>
      <c r="AN32" s="9"/>
    </row>
    <row r="33" spans="1:41" ht="14.45" hidden="1" customHeight="1" outlineLevel="1">
      <c r="A33" s="37"/>
      <c r="B33" s="39"/>
      <c r="C33" s="39"/>
      <c r="D33" s="37"/>
      <c r="E33" s="38"/>
      <c r="F33" s="37"/>
      <c r="G33" s="37"/>
      <c r="H33" s="37"/>
      <c r="I33" s="175" t="s">
        <v>146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/>
      <c r="U33" s="65"/>
      <c r="V33" s="11">
        <f t="shared" si="15"/>
        <v>0</v>
      </c>
      <c r="W33" s="73">
        <f t="shared" si="16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17"/>
        <v>0</v>
      </c>
      <c r="AL33" s="73">
        <f t="shared" si="18"/>
        <v>0</v>
      </c>
      <c r="AM33" s="14">
        <f t="shared" si="19"/>
        <v>0</v>
      </c>
      <c r="AN33" s="9"/>
    </row>
    <row r="34" spans="1:41" ht="15.6" customHeight="1" collapsed="1">
      <c r="I34" s="36" t="s">
        <v>147</v>
      </c>
      <c r="J34" s="35">
        <v>92754</v>
      </c>
      <c r="K34" s="35">
        <v>111344</v>
      </c>
      <c r="L34" s="35">
        <v>111318</v>
      </c>
      <c r="M34" s="35">
        <v>101011</v>
      </c>
      <c r="N34" s="35">
        <v>116294</v>
      </c>
      <c r="O34" s="35">
        <v>221177</v>
      </c>
      <c r="P34" s="35">
        <v>-19855</v>
      </c>
      <c r="Q34" s="35">
        <v>118325</v>
      </c>
      <c r="R34" s="35">
        <v>128054</v>
      </c>
      <c r="S34" s="35">
        <v>126109</v>
      </c>
      <c r="T34" s="35">
        <f>+T6-T13</f>
        <v>124161.99999999977</v>
      </c>
      <c r="U34" s="35">
        <f>+U6-U13</f>
        <v>126107.66666666651</v>
      </c>
      <c r="V34" s="35">
        <f t="shared" ref="S34:V34" si="22">SUM(V35:V38)</f>
        <v>1356804.2222222222</v>
      </c>
      <c r="W34" s="73">
        <f t="shared" si="2"/>
        <v>6.0549761182681031E-2</v>
      </c>
      <c r="X34" s="89"/>
      <c r="Y34" s="35">
        <f t="shared" ref="Y34:AJ34" si="23">Y6-Y13</f>
        <v>162285.85000000009</v>
      </c>
      <c r="Z34" s="35">
        <f t="shared" si="23"/>
        <v>166128.18000000017</v>
      </c>
      <c r="AA34" s="35">
        <f t="shared" si="23"/>
        <v>183547.63000000012</v>
      </c>
      <c r="AB34" s="35">
        <f t="shared" si="23"/>
        <v>163910.84000000008</v>
      </c>
      <c r="AC34" s="35">
        <f t="shared" si="23"/>
        <v>195735.52000000002</v>
      </c>
      <c r="AD34" s="35">
        <f t="shared" si="23"/>
        <v>180539.51</v>
      </c>
      <c r="AE34" s="35">
        <f t="shared" si="23"/>
        <v>169481.85999999987</v>
      </c>
      <c r="AF34" s="35">
        <f t="shared" si="23"/>
        <v>172187.55000000005</v>
      </c>
      <c r="AG34" s="35">
        <f t="shared" si="23"/>
        <v>195335.87999999989</v>
      </c>
      <c r="AH34" s="35">
        <f t="shared" si="23"/>
        <v>210021.40000000014</v>
      </c>
      <c r="AI34" s="35">
        <f t="shared" si="23"/>
        <v>197039.5700000003</v>
      </c>
      <c r="AJ34" s="35">
        <f t="shared" si="23"/>
        <v>196510.16000000015</v>
      </c>
      <c r="AK34" s="35">
        <f>AK6-AK13</f>
        <v>2192723.9499999993</v>
      </c>
      <c r="AL34" s="73">
        <f t="shared" si="4"/>
        <v>9.2923474124268796E-2</v>
      </c>
      <c r="AM34" s="34">
        <f t="shared" si="7"/>
        <v>0.61609458025467956</v>
      </c>
      <c r="AN34" s="9"/>
    </row>
    <row r="35" spans="1:41" ht="14.45" hidden="1" customHeight="1" outlineLevel="1">
      <c r="I35" s="227" t="s">
        <v>148</v>
      </c>
      <c r="J35" s="30">
        <v>55450</v>
      </c>
      <c r="K35" s="30">
        <v>70991</v>
      </c>
      <c r="L35" s="30">
        <v>66052</v>
      </c>
      <c r="M35" s="30">
        <v>58812</v>
      </c>
      <c r="N35" s="30">
        <v>65671</v>
      </c>
      <c r="O35" s="30">
        <v>90783</v>
      </c>
      <c r="P35" s="30">
        <v>30181</v>
      </c>
      <c r="Q35" s="30">
        <v>71625</v>
      </c>
      <c r="R35" s="30">
        <v>71118</v>
      </c>
      <c r="S35" s="30">
        <v>70583</v>
      </c>
      <c r="T35" s="30">
        <f>+AVERAGE(Q35:S35)</f>
        <v>71108.666666666672</v>
      </c>
      <c r="U35" s="30">
        <f>+AVERAGE(R35:T35)</f>
        <v>70936.555555555562</v>
      </c>
      <c r="V35" s="32">
        <f t="shared" ref="V35:V37" si="24">SUM(J35:U35)</f>
        <v>793311.22222222225</v>
      </c>
      <c r="W35" s="74">
        <f t="shared" ref="W35:W46" si="25">V35/V$39</f>
        <v>0.77372740780331262</v>
      </c>
      <c r="X35" s="90"/>
      <c r="Y35" s="30">
        <f>+Y40*Y44</f>
        <v>91161.2</v>
      </c>
      <c r="Z35" s="30">
        <f t="shared" ref="Z35:AJ35" si="26">+Z40*Z44</f>
        <v>89382.260000000009</v>
      </c>
      <c r="AA35" s="30">
        <f t="shared" si="26"/>
        <v>94157.92</v>
      </c>
      <c r="AB35" s="30">
        <f t="shared" si="26"/>
        <v>91099.08</v>
      </c>
      <c r="AC35" s="30">
        <f t="shared" si="26"/>
        <v>104138.72</v>
      </c>
      <c r="AD35" s="30">
        <f t="shared" si="26"/>
        <v>101604.51</v>
      </c>
      <c r="AE35" s="30">
        <f t="shared" si="26"/>
        <v>93712.47</v>
      </c>
      <c r="AF35" s="30">
        <f t="shared" si="26"/>
        <v>95207.310000000012</v>
      </c>
      <c r="AG35" s="30">
        <f t="shared" si="26"/>
        <v>105954.92</v>
      </c>
      <c r="AH35" s="30">
        <f t="shared" si="26"/>
        <v>108746.5</v>
      </c>
      <c r="AI35" s="30">
        <f t="shared" si="26"/>
        <v>103061.65000000001</v>
      </c>
      <c r="AJ35" s="30">
        <f t="shared" si="26"/>
        <v>102943.5</v>
      </c>
      <c r="AK35" s="30">
        <f t="shared" ref="AK35:AK42" si="27">SUM(Y35:AJ35)</f>
        <v>1181170.04</v>
      </c>
      <c r="AL35" s="74">
        <f t="shared" ref="AL35:AL46" si="28">AK35/AK$39</f>
        <v>1.1016589098411265</v>
      </c>
      <c r="AM35" s="29">
        <f>IFERROR(AK35/V35-1,0)</f>
        <v>0.48891129598710115</v>
      </c>
      <c r="AN35" s="9"/>
    </row>
    <row r="36" spans="1:41" ht="14.45" hidden="1" customHeight="1" outlineLevel="1">
      <c r="I36" s="227" t="s">
        <v>149</v>
      </c>
      <c r="J36" s="30">
        <v>37123</v>
      </c>
      <c r="K36" s="30">
        <v>40189</v>
      </c>
      <c r="L36" s="30">
        <v>45266</v>
      </c>
      <c r="M36" s="30">
        <v>42453</v>
      </c>
      <c r="N36" s="30">
        <v>50587</v>
      </c>
      <c r="O36" s="30">
        <v>130384</v>
      </c>
      <c r="P36" s="30">
        <v>-49833</v>
      </c>
      <c r="Q36" s="30">
        <v>46700</v>
      </c>
      <c r="R36" s="30">
        <v>56225</v>
      </c>
      <c r="S36" s="30">
        <v>54220</v>
      </c>
      <c r="T36" s="30">
        <f t="shared" ref="T36:U38" si="29">+AVERAGE(Q36:S36)</f>
        <v>52381.666666666664</v>
      </c>
      <c r="U36" s="30">
        <f t="shared" si="29"/>
        <v>54275.555555555555</v>
      </c>
      <c r="V36" s="32">
        <f t="shared" si="24"/>
        <v>559971.22222222225</v>
      </c>
      <c r="W36" s="74">
        <f t="shared" si="25"/>
        <v>0.5461476783358632</v>
      </c>
      <c r="X36" s="90"/>
      <c r="Y36" s="30">
        <f t="shared" ref="Y36:AJ37" si="30">+Y41*Y45</f>
        <v>70812.649999999994</v>
      </c>
      <c r="Z36" s="30">
        <f t="shared" si="30"/>
        <v>76457.919999999998</v>
      </c>
      <c r="AA36" s="30">
        <f t="shared" si="30"/>
        <v>89149.71</v>
      </c>
      <c r="AB36" s="30">
        <f t="shared" si="30"/>
        <v>72499.760000000009</v>
      </c>
      <c r="AC36" s="30">
        <f t="shared" si="30"/>
        <v>91296.8</v>
      </c>
      <c r="AD36" s="30">
        <f t="shared" si="30"/>
        <v>78683</v>
      </c>
      <c r="AE36" s="30">
        <f t="shared" si="30"/>
        <v>75493.39</v>
      </c>
      <c r="AF36" s="30">
        <f t="shared" si="30"/>
        <v>76740.239999999991</v>
      </c>
      <c r="AG36" s="30">
        <f t="shared" si="30"/>
        <v>89092.96</v>
      </c>
      <c r="AH36" s="30">
        <f t="shared" si="30"/>
        <v>100518.90000000001</v>
      </c>
      <c r="AI36" s="30">
        <f t="shared" si="30"/>
        <v>93257.920000000013</v>
      </c>
      <c r="AJ36" s="30">
        <f t="shared" si="30"/>
        <v>92978.659999999989</v>
      </c>
      <c r="AK36" s="30">
        <f t="shared" si="27"/>
        <v>1006981.91</v>
      </c>
      <c r="AL36" s="74">
        <f t="shared" si="28"/>
        <v>0.93919635245771682</v>
      </c>
      <c r="AM36" s="29">
        <f>IFERROR(AK36/V36-1,0)</f>
        <v>0.79827439346585471</v>
      </c>
      <c r="AN36" s="9"/>
    </row>
    <row r="37" spans="1:41" ht="14.45" hidden="1" customHeight="1" outlineLevel="1">
      <c r="I37" s="227" t="s">
        <v>150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 t="s">
        <v>468</v>
      </c>
      <c r="S37" s="30" t="s">
        <v>468</v>
      </c>
      <c r="T37" s="30">
        <f t="shared" si="29"/>
        <v>0</v>
      </c>
      <c r="U37" s="30">
        <f t="shared" si="29"/>
        <v>0</v>
      </c>
      <c r="V37" s="32">
        <f t="shared" si="24"/>
        <v>0</v>
      </c>
      <c r="W37" s="74">
        <f t="shared" si="25"/>
        <v>0</v>
      </c>
      <c r="X37" s="90"/>
      <c r="Y37" s="30">
        <f t="shared" si="30"/>
        <v>0</v>
      </c>
      <c r="Z37" s="30">
        <f t="shared" si="30"/>
        <v>0</v>
      </c>
      <c r="AA37" s="30">
        <f t="shared" si="30"/>
        <v>0</v>
      </c>
      <c r="AB37" s="30">
        <f t="shared" si="30"/>
        <v>0</v>
      </c>
      <c r="AC37" s="30">
        <f t="shared" si="30"/>
        <v>0</v>
      </c>
      <c r="AD37" s="30">
        <f t="shared" si="30"/>
        <v>0</v>
      </c>
      <c r="AE37" s="30">
        <f t="shared" si="30"/>
        <v>0</v>
      </c>
      <c r="AF37" s="30">
        <f t="shared" si="30"/>
        <v>0</v>
      </c>
      <c r="AG37" s="30">
        <f t="shared" si="30"/>
        <v>0</v>
      </c>
      <c r="AH37" s="30">
        <f t="shared" si="30"/>
        <v>0</v>
      </c>
      <c r="AI37" s="30">
        <f t="shared" si="30"/>
        <v>0</v>
      </c>
      <c r="AJ37" s="30">
        <f t="shared" si="30"/>
        <v>0</v>
      </c>
      <c r="AK37" s="30">
        <f t="shared" si="27"/>
        <v>0</v>
      </c>
      <c r="AL37" s="74">
        <f t="shared" si="28"/>
        <v>0</v>
      </c>
      <c r="AM37" s="29">
        <f>IFERROR(AK37/V37-1,0)</f>
        <v>0</v>
      </c>
      <c r="AN37" s="9"/>
    </row>
    <row r="38" spans="1:41" ht="14.25" hidden="1" customHeight="1" outlineLevel="1">
      <c r="I38" s="227" t="s">
        <v>151</v>
      </c>
      <c r="J38" s="32">
        <v>181</v>
      </c>
      <c r="K38" s="32">
        <v>164</v>
      </c>
      <c r="L38" s="32">
        <v>0</v>
      </c>
      <c r="M38" s="32">
        <v>-253</v>
      </c>
      <c r="N38" s="32">
        <v>36</v>
      </c>
      <c r="O38" s="32">
        <v>10</v>
      </c>
      <c r="P38" s="32">
        <v>-202</v>
      </c>
      <c r="Q38" s="32">
        <v>0</v>
      </c>
      <c r="R38" s="30">
        <v>711</v>
      </c>
      <c r="S38" s="30">
        <v>1306</v>
      </c>
      <c r="T38" s="30">
        <f t="shared" si="29"/>
        <v>672.33333333333337</v>
      </c>
      <c r="U38" s="30">
        <f t="shared" si="29"/>
        <v>896.44444444444446</v>
      </c>
      <c r="V38" s="32">
        <f>SUM(J38:U38)</f>
        <v>3521.7777777777778</v>
      </c>
      <c r="W38" s="74">
        <f t="shared" si="25"/>
        <v>3.4348385785169357E-3</v>
      </c>
      <c r="X38" s="90"/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0">
        <f t="shared" si="27"/>
        <v>0</v>
      </c>
      <c r="AL38" s="74">
        <f t="shared" si="28"/>
        <v>0</v>
      </c>
      <c r="AM38" s="29">
        <f>IFERROR(AK38/V38-1,0)</f>
        <v>-1</v>
      </c>
      <c r="AN38" s="9"/>
    </row>
    <row r="39" spans="1:41" ht="14.45" customHeight="1" collapsed="1">
      <c r="I39" s="18" t="s">
        <v>152</v>
      </c>
      <c r="J39" s="33">
        <v>78122</v>
      </c>
      <c r="K39" s="33">
        <v>79226</v>
      </c>
      <c r="L39" s="33">
        <v>87049</v>
      </c>
      <c r="M39" s="33">
        <v>59991</v>
      </c>
      <c r="N39" s="33">
        <v>88741</v>
      </c>
      <c r="O39" s="33">
        <v>87018</v>
      </c>
      <c r="P39" s="33">
        <v>82004</v>
      </c>
      <c r="Q39" s="33">
        <v>82228</v>
      </c>
      <c r="R39" s="33">
        <v>92733</v>
      </c>
      <c r="S39" s="33">
        <v>99836</v>
      </c>
      <c r="T39" s="33">
        <f t="shared" ref="T39:U39" si="31">SUM(T40:T42)</f>
        <v>94655</v>
      </c>
      <c r="U39" s="33">
        <f t="shared" si="31"/>
        <v>93708</v>
      </c>
      <c r="V39" s="33">
        <f>SUM(J39:U39)</f>
        <v>1025311</v>
      </c>
      <c r="W39" s="74">
        <f t="shared" si="25"/>
        <v>1</v>
      </c>
      <c r="X39" s="90"/>
      <c r="Y39" s="33">
        <f t="shared" ref="Y39:AJ39" si="32">SUM(Y40:Y42)</f>
        <v>79685</v>
      </c>
      <c r="Z39" s="33">
        <f t="shared" si="32"/>
        <v>80754</v>
      </c>
      <c r="AA39" s="33">
        <f t="shared" si="32"/>
        <v>89357</v>
      </c>
      <c r="AB39" s="33">
        <f t="shared" si="32"/>
        <v>83176</v>
      </c>
      <c r="AC39" s="33">
        <f t="shared" si="32"/>
        <v>91492</v>
      </c>
      <c r="AD39" s="33">
        <f t="shared" si="32"/>
        <v>89524</v>
      </c>
      <c r="AE39" s="33">
        <f t="shared" si="32"/>
        <v>84466</v>
      </c>
      <c r="AF39" s="33">
        <f t="shared" si="32"/>
        <v>84571</v>
      </c>
      <c r="AG39" s="33">
        <f t="shared" si="32"/>
        <v>95607</v>
      </c>
      <c r="AH39" s="33">
        <f t="shared" si="32"/>
        <v>100009</v>
      </c>
      <c r="AI39" s="33">
        <f t="shared" si="32"/>
        <v>97342</v>
      </c>
      <c r="AJ39" s="33">
        <f t="shared" si="32"/>
        <v>96191</v>
      </c>
      <c r="AK39" s="33">
        <f t="shared" si="27"/>
        <v>1072174</v>
      </c>
      <c r="AL39" s="74">
        <f t="shared" si="28"/>
        <v>1</v>
      </c>
      <c r="AM39" s="16">
        <f>IFERROR(AK39/V39-1,0)</f>
        <v>4.5706132090653551E-2</v>
      </c>
      <c r="AN39" s="9" t="s">
        <v>452</v>
      </c>
    </row>
    <row r="40" spans="1:41" ht="14.45" hidden="1" customHeight="1" outlineLevel="1">
      <c r="E40" s="129"/>
      <c r="I40" s="31" t="s">
        <v>153</v>
      </c>
      <c r="J40" s="32">
        <v>47539</v>
      </c>
      <c r="K40" s="32">
        <v>46893</v>
      </c>
      <c r="L40" s="32">
        <v>48791</v>
      </c>
      <c r="M40" s="32">
        <v>30005</v>
      </c>
      <c r="N40" s="32">
        <v>51534</v>
      </c>
      <c r="O40" s="32">
        <v>52254</v>
      </c>
      <c r="P40" s="32">
        <v>49717</v>
      </c>
      <c r="Q40" s="32">
        <v>49502</v>
      </c>
      <c r="R40" s="32">
        <v>54664</v>
      </c>
      <c r="S40" s="32">
        <v>58063</v>
      </c>
      <c r="T40" s="32">
        <v>54171</v>
      </c>
      <c r="U40" s="32">
        <v>53629</v>
      </c>
      <c r="V40" s="32">
        <f>SUM(J40:U40)</f>
        <v>596762</v>
      </c>
      <c r="W40" s="74">
        <f t="shared" si="25"/>
        <v>0.58203023277815213</v>
      </c>
      <c r="X40" s="90"/>
      <c r="Y40" s="32">
        <f>VLOOKUP($E$1,'[2]Resumen x Tipo Combustible'!$C$4:$O$10,Y$1,0)</f>
        <v>48490</v>
      </c>
      <c r="Z40" s="32">
        <f>VLOOKUP($E$1,'[2]Resumen x Tipo Combustible'!$C$4:$O$10,Z$1,0)</f>
        <v>47798</v>
      </c>
      <c r="AA40" s="32">
        <f>VLOOKUP($E$1,'[2]Resumen x Tipo Combustible'!$C$4:$O$10,AA$1,0)</f>
        <v>50084</v>
      </c>
      <c r="AB40" s="32">
        <f>VLOOKUP($E$1,'[2]Resumen x Tipo Combustible'!$C$4:$O$10,AB$1,0)</f>
        <v>48978</v>
      </c>
      <c r="AC40" s="32">
        <f>VLOOKUP($E$1,'[2]Resumen x Tipo Combustible'!$C$4:$O$10,AC$1,0)</f>
        <v>53132</v>
      </c>
      <c r="AD40" s="32">
        <f>VLOOKUP($E$1,'[2]Resumen x Tipo Combustible'!$C$4:$O$10,AD$1,0)</f>
        <v>53759</v>
      </c>
      <c r="AE40" s="32">
        <f>VLOOKUP($E$1,'[2]Resumen x Tipo Combustible'!$C$4:$O$10,AE$1,0)</f>
        <v>51209</v>
      </c>
      <c r="AF40" s="32">
        <f>VLOOKUP($E$1,'[2]Resumen x Tipo Combustible'!$C$4:$O$10,AF$1,0)</f>
        <v>50913</v>
      </c>
      <c r="AG40" s="32">
        <f>VLOOKUP($E$1,'[2]Resumen x Tipo Combustible'!$C$4:$O$10,AG$1,0)</f>
        <v>56359</v>
      </c>
      <c r="AH40" s="32">
        <f>VLOOKUP($E$1,'[2]Resumen x Tipo Combustible'!$C$4:$O$10,AH$1,0)</f>
        <v>57235</v>
      </c>
      <c r="AI40" s="32">
        <f>VLOOKUP($E$1,'[2]Resumen x Tipo Combustible'!$C$4:$O$10,AI$1,0)</f>
        <v>55709</v>
      </c>
      <c r="AJ40" s="32">
        <f>VLOOKUP($E$1,'[2]Resumen x Tipo Combustible'!$C$4:$O$10,AJ$1,0)</f>
        <v>55050</v>
      </c>
      <c r="AK40" s="32">
        <f t="shared" si="27"/>
        <v>628716</v>
      </c>
      <c r="AL40" s="74">
        <f t="shared" si="28"/>
        <v>0.58639362640765402</v>
      </c>
      <c r="AM40" s="29">
        <f t="shared" si="7"/>
        <v>5.35456346081018E-2</v>
      </c>
      <c r="AN40" s="9"/>
    </row>
    <row r="41" spans="1:41" ht="14.45" hidden="1" customHeight="1" outlineLevel="1">
      <c r="E41" s="129"/>
      <c r="I41" s="31" t="s">
        <v>154</v>
      </c>
      <c r="J41" s="32">
        <v>30583</v>
      </c>
      <c r="K41" s="32">
        <v>32332</v>
      </c>
      <c r="L41" s="32">
        <v>38259</v>
      </c>
      <c r="M41" s="32">
        <v>29986</v>
      </c>
      <c r="N41" s="32">
        <v>37207</v>
      </c>
      <c r="O41" s="32">
        <v>34764</v>
      </c>
      <c r="P41" s="32">
        <v>32288</v>
      </c>
      <c r="Q41" s="32">
        <v>32726</v>
      </c>
      <c r="R41" s="32">
        <v>38068</v>
      </c>
      <c r="S41" s="32">
        <v>41773</v>
      </c>
      <c r="T41" s="32">
        <v>40484</v>
      </c>
      <c r="U41" s="32">
        <v>40079</v>
      </c>
      <c r="V41" s="32">
        <f>SUM(J41:U41)</f>
        <v>428549</v>
      </c>
      <c r="W41" s="74">
        <f t="shared" si="25"/>
        <v>0.41796976722184781</v>
      </c>
      <c r="X41" s="90"/>
      <c r="Y41" s="32">
        <f>VLOOKUP($E$1,'[2]Resumen x Tipo Combustible'!$C$12:$P$15,Y$1,0)</f>
        <v>31195</v>
      </c>
      <c r="Z41" s="32">
        <f>VLOOKUP($E$1,'[2]Resumen x Tipo Combustible'!$C$12:$P$15,Z$1,0)</f>
        <v>32956</v>
      </c>
      <c r="AA41" s="32">
        <f>VLOOKUP($E$1,'[2]Resumen x Tipo Combustible'!$C$12:$P$15,AA$1,0)</f>
        <v>39273</v>
      </c>
      <c r="AB41" s="32">
        <f>VLOOKUP($E$1,'[2]Resumen x Tipo Combustible'!$C$12:$P$15,AB$1,0)</f>
        <v>34198</v>
      </c>
      <c r="AC41" s="32">
        <f>VLOOKUP($E$1,'[2]Resumen x Tipo Combustible'!$C$12:$P$15,AC$1,0)</f>
        <v>38360</v>
      </c>
      <c r="AD41" s="32">
        <f>VLOOKUP($E$1,'[2]Resumen x Tipo Combustible'!$C$12:$P$15,AD$1,0)</f>
        <v>35765</v>
      </c>
      <c r="AE41" s="32">
        <f>VLOOKUP($E$1,'[2]Resumen x Tipo Combustible'!$C$12:$P$15,AE$1,0)</f>
        <v>33257</v>
      </c>
      <c r="AF41" s="32">
        <f>VLOOKUP($E$1,'[2]Resumen x Tipo Combustible'!$C$12:$P$15,AF$1,0)</f>
        <v>33658</v>
      </c>
      <c r="AG41" s="32">
        <f>VLOOKUP($E$1,'[2]Resumen x Tipo Combustible'!$C$12:$P$15,AG$1,0)</f>
        <v>39248</v>
      </c>
      <c r="AH41" s="32">
        <f>VLOOKUP($E$1,'[2]Resumen x Tipo Combustible'!$C$12:$P$15,AH$1,0)</f>
        <v>42774</v>
      </c>
      <c r="AI41" s="32">
        <f>VLOOKUP($E$1,'[2]Resumen x Tipo Combustible'!$C$12:$P$15,AI$1,0)</f>
        <v>41633</v>
      </c>
      <c r="AJ41" s="32">
        <f>VLOOKUP($E$1,'[2]Resumen x Tipo Combustible'!$C$12:$P$15,AJ$1,0)</f>
        <v>41141</v>
      </c>
      <c r="AK41" s="32">
        <f t="shared" si="27"/>
        <v>443458</v>
      </c>
      <c r="AL41" s="74">
        <f t="shared" si="28"/>
        <v>0.41360637359234603</v>
      </c>
      <c r="AM41" s="29">
        <f t="shared" si="7"/>
        <v>3.4789487316502887E-2</v>
      </c>
      <c r="AN41" s="9"/>
    </row>
    <row r="42" spans="1:41" ht="14.45" hidden="1" customHeight="1" outlineLevel="1">
      <c r="E42" s="129"/>
      <c r="I42" s="31" t="s">
        <v>155</v>
      </c>
      <c r="J42" s="32"/>
      <c r="K42" s="32"/>
      <c r="L42" s="32"/>
      <c r="M42" s="32"/>
      <c r="N42" s="32"/>
      <c r="O42" s="32"/>
      <c r="P42" s="32"/>
      <c r="Q42" s="32"/>
      <c r="R42" s="32" t="s">
        <v>468</v>
      </c>
      <c r="S42" s="32" t="s">
        <v>468</v>
      </c>
      <c r="T42" s="32">
        <v>0</v>
      </c>
      <c r="U42" s="32">
        <v>0</v>
      </c>
      <c r="V42" s="32">
        <f>SUM(J42:U42)</f>
        <v>0</v>
      </c>
      <c r="W42" s="74">
        <f t="shared" si="25"/>
        <v>0</v>
      </c>
      <c r="X42" s="90"/>
      <c r="Y42" s="32">
        <f>VLOOKUP($E$1,'[2]Resumen x Tipo Combustible'!$C$20:$P$23,Y$1,0)</f>
        <v>0</v>
      </c>
      <c r="Z42" s="32">
        <f>VLOOKUP($E$1,'[2]Resumen x Tipo Combustible'!$C$20:$P$23,Z$1,0)</f>
        <v>0</v>
      </c>
      <c r="AA42" s="32">
        <f>VLOOKUP($E$1,'[2]Resumen x Tipo Combustible'!$C$20:$P$23,AA$1,0)</f>
        <v>0</v>
      </c>
      <c r="AB42" s="32">
        <f>VLOOKUP($E$1,'[2]Resumen x Tipo Combustible'!$C$20:$P$23,AB$1,0)</f>
        <v>0</v>
      </c>
      <c r="AC42" s="32">
        <f>VLOOKUP($E$1,'[2]Resumen x Tipo Combustible'!$C$20:$P$23,AC$1,0)</f>
        <v>0</v>
      </c>
      <c r="AD42" s="32">
        <f>VLOOKUP($E$1,'[2]Resumen x Tipo Combustible'!$C$20:$P$23,AD$1,0)</f>
        <v>0</v>
      </c>
      <c r="AE42" s="32">
        <f>VLOOKUP($E$1,'[2]Resumen x Tipo Combustible'!$C$20:$P$23,AE$1,0)</f>
        <v>0</v>
      </c>
      <c r="AF42" s="32">
        <f>VLOOKUP($E$1,'[2]Resumen x Tipo Combustible'!$C$20:$P$23,AF$1,0)</f>
        <v>0</v>
      </c>
      <c r="AG42" s="32">
        <f>VLOOKUP($E$1,'[2]Resumen x Tipo Combustible'!$C$20:$P$23,AG$1,0)</f>
        <v>0</v>
      </c>
      <c r="AH42" s="32">
        <f>VLOOKUP($E$1,'[2]Resumen x Tipo Combustible'!$C$20:$P$23,AH$1,0)</f>
        <v>0</v>
      </c>
      <c r="AI42" s="32">
        <f>VLOOKUP($E$1,'[2]Resumen x Tipo Combustible'!$C$20:$P$23,AI$1,0)</f>
        <v>0</v>
      </c>
      <c r="AJ42" s="32">
        <f>VLOOKUP($E$1,'[2]Resumen x Tipo Combustible'!$C$20:$P$23,AJ$1,0)</f>
        <v>0</v>
      </c>
      <c r="AK42" s="32">
        <f t="shared" si="27"/>
        <v>0</v>
      </c>
      <c r="AL42" s="74">
        <f t="shared" si="28"/>
        <v>0</v>
      </c>
      <c r="AM42" s="29">
        <f t="shared" si="7"/>
        <v>0</v>
      </c>
      <c r="AN42" s="9"/>
    </row>
    <row r="43" spans="1:41" ht="14.45" customHeight="1">
      <c r="I43" s="18" t="s">
        <v>405</v>
      </c>
      <c r="J43" s="17">
        <v>1.19</v>
      </c>
      <c r="K43" s="17">
        <v>1.41</v>
      </c>
      <c r="L43" s="17">
        <v>1.28</v>
      </c>
      <c r="M43" s="17">
        <v>1.68</v>
      </c>
      <c r="N43" s="17">
        <v>1.31</v>
      </c>
      <c r="O43" s="17">
        <v>2.54</v>
      </c>
      <c r="P43" s="17">
        <v>-0.24</v>
      </c>
      <c r="Q43" s="17">
        <v>1.44</v>
      </c>
      <c r="R43" s="17">
        <v>1.38</v>
      </c>
      <c r="S43" s="17">
        <v>1.26</v>
      </c>
      <c r="T43" s="17">
        <f>+T34/T39</f>
        <v>1.3117320796577019</v>
      </c>
      <c r="U43" s="17">
        <f>+U34/U39</f>
        <v>1.3457513410452311</v>
      </c>
      <c r="V43" s="17">
        <f>+V34/V39</f>
        <v>1.3233099247176927</v>
      </c>
      <c r="W43" s="74">
        <f t="shared" si="25"/>
        <v>1.2906424730815263E-6</v>
      </c>
      <c r="X43" s="90"/>
      <c r="Y43" s="17">
        <f>AVERAGE(Y44:Y44)</f>
        <v>1.88</v>
      </c>
      <c r="Z43" s="17">
        <f t="shared" ref="Z43:AJ43" si="33">AVERAGE(Z44:Z44)</f>
        <v>1.87</v>
      </c>
      <c r="AA43" s="17">
        <f t="shared" si="33"/>
        <v>1.88</v>
      </c>
      <c r="AB43" s="17">
        <f t="shared" si="33"/>
        <v>1.86</v>
      </c>
      <c r="AC43" s="17">
        <f t="shared" si="33"/>
        <v>1.96</v>
      </c>
      <c r="AD43" s="17">
        <f t="shared" si="33"/>
        <v>1.89</v>
      </c>
      <c r="AE43" s="17">
        <f t="shared" si="33"/>
        <v>1.83</v>
      </c>
      <c r="AF43" s="17">
        <f t="shared" si="33"/>
        <v>1.87</v>
      </c>
      <c r="AG43" s="17">
        <f t="shared" si="33"/>
        <v>1.88</v>
      </c>
      <c r="AH43" s="17">
        <f t="shared" si="33"/>
        <v>1.9</v>
      </c>
      <c r="AI43" s="17">
        <f t="shared" si="33"/>
        <v>1.85</v>
      </c>
      <c r="AJ43" s="17">
        <f t="shared" si="33"/>
        <v>1.87</v>
      </c>
      <c r="AK43" s="17">
        <f>+AK34/AK39</f>
        <v>2.0451194955296428</v>
      </c>
      <c r="AL43" s="74">
        <f t="shared" si="28"/>
        <v>1.9074511185028202E-6</v>
      </c>
      <c r="AM43" s="16">
        <f t="shared" si="7"/>
        <v>0.54545768706898867</v>
      </c>
      <c r="AN43" s="176" t="s">
        <v>452</v>
      </c>
      <c r="AO43" s="276">
        <f>+AK43-V43</f>
        <v>0.72180957081195007</v>
      </c>
    </row>
    <row r="44" spans="1:41" ht="14.45" customHeight="1" outlineLevel="1">
      <c r="I44" s="31" t="s">
        <v>153</v>
      </c>
      <c r="J44" s="30">
        <v>1.17</v>
      </c>
      <c r="K44" s="30">
        <v>1.51</v>
      </c>
      <c r="L44" s="30">
        <v>1.35</v>
      </c>
      <c r="M44" s="30">
        <v>1.96</v>
      </c>
      <c r="N44" s="30">
        <v>1.27</v>
      </c>
      <c r="O44" s="30">
        <v>1.74</v>
      </c>
      <c r="P44" s="30">
        <v>0.61</v>
      </c>
      <c r="Q44" s="30">
        <v>1.45</v>
      </c>
      <c r="R44" s="30">
        <v>1.3</v>
      </c>
      <c r="S44" s="30">
        <v>1.22</v>
      </c>
      <c r="T44" s="30">
        <f>+T35/T40</f>
        <v>1.3126703709857059</v>
      </c>
      <c r="U44" s="30">
        <f>+U35/U40</f>
        <v>1.3227275458344472</v>
      </c>
      <c r="V44" s="30">
        <f>+V35/V40</f>
        <v>1.3293594803660793</v>
      </c>
      <c r="W44" s="74">
        <f t="shared" si="25"/>
        <v>1.2965426883804809E-6</v>
      </c>
      <c r="X44" s="90"/>
      <c r="Y44" s="248">
        <f>VLOOKUP(Y$3,[2]Margen!$I$7:$O$19,$Y$1,0)</f>
        <v>1.88</v>
      </c>
      <c r="Z44" s="248">
        <f>VLOOKUP(Z$3,[2]Margen!$I$7:$O$19,$Y$1,0)</f>
        <v>1.87</v>
      </c>
      <c r="AA44" s="248">
        <f>VLOOKUP(AA$3,[2]Margen!$I$7:$O$19,$Y$1,0)</f>
        <v>1.88</v>
      </c>
      <c r="AB44" s="248">
        <f>VLOOKUP(AB$3,[2]Margen!$I$7:$O$19,$Y$1,0)</f>
        <v>1.86</v>
      </c>
      <c r="AC44" s="248">
        <f>VLOOKUP(AC$3,[2]Margen!$I$7:$O$19,$Y$1,0)</f>
        <v>1.96</v>
      </c>
      <c r="AD44" s="248">
        <f>VLOOKUP(AD$3,[2]Margen!$I$7:$O$19,$Y$1,0)</f>
        <v>1.89</v>
      </c>
      <c r="AE44" s="248">
        <f>VLOOKUP(AE$3,[2]Margen!$I$7:$O$19,$Y$1,0)</f>
        <v>1.83</v>
      </c>
      <c r="AF44" s="248">
        <f>VLOOKUP(AF$3,[2]Margen!$I$7:$O$19,$Y$1,0)</f>
        <v>1.87</v>
      </c>
      <c r="AG44" s="248">
        <f>VLOOKUP(AG$3,[2]Margen!$I$7:$O$19,$Y$1,0)</f>
        <v>1.88</v>
      </c>
      <c r="AH44" s="248">
        <f>VLOOKUP(AH$3,[2]Margen!$I$7:$O$19,$Y$1,0)</f>
        <v>1.9</v>
      </c>
      <c r="AI44" s="248">
        <f>VLOOKUP(AI$3,[2]Margen!$I$7:$O$19,$Y$1,0)</f>
        <v>1.85</v>
      </c>
      <c r="AJ44" s="248">
        <f>VLOOKUP(AJ$3,[2]Margen!$I$7:$O$19,$Y$1,0)</f>
        <v>1.87</v>
      </c>
      <c r="AK44" s="30">
        <f>+AK35/AK40</f>
        <v>1.8787020530732477</v>
      </c>
      <c r="AL44" s="74">
        <f t="shared" si="28"/>
        <v>1.7522361604303478E-6</v>
      </c>
      <c r="AM44" s="29">
        <f t="shared" si="7"/>
        <v>0.41323854143342054</v>
      </c>
      <c r="AN44" s="9"/>
      <c r="AO44" s="276">
        <f>+AK44-V44</f>
        <v>0.54934257270716835</v>
      </c>
    </row>
    <row r="45" spans="1:41" ht="14.45" customHeight="1" outlineLevel="1">
      <c r="I45" s="31" t="s">
        <v>154</v>
      </c>
      <c r="J45" s="30">
        <v>1.21</v>
      </c>
      <c r="K45" s="30">
        <v>1.24</v>
      </c>
      <c r="L45" s="30">
        <v>1.18</v>
      </c>
      <c r="M45" s="30">
        <v>1.42</v>
      </c>
      <c r="N45" s="30">
        <v>1.36</v>
      </c>
      <c r="O45" s="30">
        <v>3.75</v>
      </c>
      <c r="P45" s="30">
        <v>-1.54</v>
      </c>
      <c r="Q45" s="30">
        <v>1.43</v>
      </c>
      <c r="R45" s="30">
        <v>1.48</v>
      </c>
      <c r="S45" s="30">
        <v>1.31</v>
      </c>
      <c r="T45" s="30">
        <f>+T36/T41</f>
        <v>1.29388565029806</v>
      </c>
      <c r="U45" s="30">
        <f>+U36/U41</f>
        <v>1.3542143156155482</v>
      </c>
      <c r="V45" s="30">
        <f>+V36/V41</f>
        <v>1.3066679008053275</v>
      </c>
      <c r="W45" s="74">
        <f t="shared" si="25"/>
        <v>1.2744112769738425E-6</v>
      </c>
      <c r="X45" s="90"/>
      <c r="Y45" s="248">
        <f>VLOOKUP(Y$3,[2]Margen!$I$7:$O$19,$AA$1,0)</f>
        <v>2.27</v>
      </c>
      <c r="Z45" s="248">
        <f>VLOOKUP(Z$3,[2]Margen!$I$7:$O$19,$AA$1,0)</f>
        <v>2.3199999999999998</v>
      </c>
      <c r="AA45" s="248">
        <f>VLOOKUP(AA$3,[2]Margen!$I$7:$O$19,$AA$1,0)</f>
        <v>2.27</v>
      </c>
      <c r="AB45" s="248">
        <f>VLOOKUP(AB$3,[2]Margen!$I$7:$O$19,$AA$1,0)</f>
        <v>2.12</v>
      </c>
      <c r="AC45" s="248">
        <f>VLOOKUP(AC$3,[2]Margen!$I$7:$O$19,$AA$1,0)</f>
        <v>2.38</v>
      </c>
      <c r="AD45" s="248">
        <f>VLOOKUP(AD$3,[2]Margen!$I$7:$O$19,$AA$1,0)</f>
        <v>2.2000000000000002</v>
      </c>
      <c r="AE45" s="248">
        <f>VLOOKUP(AE$3,[2]Margen!$I$7:$O$19,$AA$1,0)</f>
        <v>2.27</v>
      </c>
      <c r="AF45" s="248">
        <f>VLOOKUP(AF$3,[2]Margen!$I$7:$O$19,$AA$1,0)</f>
        <v>2.2799999999999998</v>
      </c>
      <c r="AG45" s="248">
        <f>VLOOKUP(AG$3,[2]Margen!$I$7:$O$19,$AA$1,0)</f>
        <v>2.27</v>
      </c>
      <c r="AH45" s="248">
        <f>VLOOKUP(AH$3,[2]Margen!$I$7:$O$19,$AA$1,0)</f>
        <v>2.35</v>
      </c>
      <c r="AI45" s="248">
        <f>VLOOKUP(AI$3,[2]Margen!$I$7:$O$19,$AA$1,0)</f>
        <v>2.2400000000000002</v>
      </c>
      <c r="AJ45" s="248">
        <f>VLOOKUP(AJ$3,[2]Margen!$I$7:$O$19,$AA$1,0)</f>
        <v>2.2599999999999998</v>
      </c>
      <c r="AK45" s="30">
        <f>+AK36/AK41</f>
        <v>2.2707492254057882</v>
      </c>
      <c r="AL45" s="74">
        <f t="shared" si="28"/>
        <v>2.1178924553344776E-6</v>
      </c>
      <c r="AM45" s="29">
        <f t="shared" si="7"/>
        <v>0.73781664339215558</v>
      </c>
      <c r="AN45" s="9"/>
      <c r="AO45" s="276">
        <f>+AK45-V45</f>
        <v>0.9640813246004607</v>
      </c>
    </row>
    <row r="46" spans="1:41" ht="14.45" customHeight="1" outlineLevel="1">
      <c r="I46" s="31" t="s">
        <v>155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74">
        <f t="shared" si="25"/>
        <v>0</v>
      </c>
      <c r="X46" s="90"/>
      <c r="Y46" s="248">
        <f>IFERROR(VLOOKUP(Y5,[2]Margen!$I$7:$O$19,$AC$1,0),0)</f>
        <v>0</v>
      </c>
      <c r="Z46" s="248">
        <f>IFERROR(VLOOKUP(Z5,[2]Margen!$I$7:$O$19,$AC$1,0),0)</f>
        <v>0</v>
      </c>
      <c r="AA46" s="248">
        <f>IFERROR(VLOOKUP(AA5,[2]Margen!$I$7:$O$19,$AC$1,0),0)</f>
        <v>0</v>
      </c>
      <c r="AB46" s="248">
        <f>IFERROR(VLOOKUP(AB5,[2]Margen!$I$7:$O$19,$AC$1,0),0)</f>
        <v>0</v>
      </c>
      <c r="AC46" s="248">
        <f>IFERROR(VLOOKUP(AC5,[2]Margen!$I$7:$O$19,$AC$1,0),0)</f>
        <v>0</v>
      </c>
      <c r="AD46" s="248">
        <f>IFERROR(VLOOKUP(AD5,[2]Margen!$I$7:$O$19,$AC$1,0),0)</f>
        <v>0</v>
      </c>
      <c r="AE46" s="248">
        <f>IFERROR(VLOOKUP(AE5,[2]Margen!$I$7:$O$19,$AC$1,0),0)</f>
        <v>0</v>
      </c>
      <c r="AF46" s="248">
        <f>IFERROR(VLOOKUP(AF5,[2]Margen!$I$7:$O$19,$AC$1,0),0)</f>
        <v>0</v>
      </c>
      <c r="AG46" s="248">
        <f>IFERROR(VLOOKUP(AG5,[2]Margen!$I$7:$O$19,$AC$1,0),0)</f>
        <v>0</v>
      </c>
      <c r="AH46" s="248">
        <f>IFERROR(VLOOKUP(AH5,[2]Margen!$I$7:$O$19,$AC$1,0),0)</f>
        <v>0</v>
      </c>
      <c r="AI46" s="248">
        <f>IFERROR(VLOOKUP(AI5,[2]Margen!$I$7:$O$19,$AC$1,0),0)</f>
        <v>0</v>
      </c>
      <c r="AJ46" s="248">
        <f>IFERROR(VLOOKUP(AJ5,[2]Margen!$I$7:$O$19,$AC$1,0),0)</f>
        <v>0</v>
      </c>
      <c r="AK46" s="30">
        <f>IFERROR(+AK38/AK42,0)</f>
        <v>0</v>
      </c>
      <c r="AL46" s="74">
        <f t="shared" si="28"/>
        <v>0</v>
      </c>
      <c r="AM46" s="29">
        <f t="shared" si="7"/>
        <v>0</v>
      </c>
      <c r="AN46" s="9"/>
      <c r="AO46" s="276">
        <f>+AK46-V46</f>
        <v>0</v>
      </c>
    </row>
    <row r="47" spans="1:41" ht="14.45" customHeight="1"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21"/>
      <c r="B48" s="21"/>
      <c r="C48" s="21"/>
      <c r="D48" s="21"/>
      <c r="E48" s="7" t="s">
        <v>111</v>
      </c>
      <c r="I48" s="141" t="s">
        <v>159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6" customHeight="1">
      <c r="A49" s="21"/>
      <c r="B49" s="21"/>
      <c r="C49" s="21"/>
      <c r="D49" s="21"/>
      <c r="E49" s="22"/>
      <c r="F49" s="21"/>
      <c r="G49" s="21"/>
      <c r="H49" s="21"/>
      <c r="I49" s="141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>
      <c r="A50" s="12" t="s">
        <v>157</v>
      </c>
      <c r="B50" s="19" t="s">
        <v>101</v>
      </c>
      <c r="I50" s="169" t="s">
        <v>161</v>
      </c>
      <c r="J50" s="15">
        <v>51922</v>
      </c>
      <c r="K50" s="15">
        <v>14845</v>
      </c>
      <c r="L50" s="15">
        <v>14298</v>
      </c>
      <c r="M50" s="15">
        <v>30897</v>
      </c>
      <c r="N50" s="15">
        <v>54138</v>
      </c>
      <c r="O50" s="15">
        <v>45449</v>
      </c>
      <c r="P50" s="15">
        <v>53430</v>
      </c>
      <c r="Q50" s="15">
        <v>14747</v>
      </c>
      <c r="R50" s="15">
        <v>58683</v>
      </c>
      <c r="S50" s="15">
        <v>61890</v>
      </c>
      <c r="T50" s="15">
        <f t="shared" ref="T50:U50" si="34">SUM(T51:T90)</f>
        <v>52069.201781818192</v>
      </c>
      <c r="U50" s="15">
        <f t="shared" si="34"/>
        <v>64113.2111</v>
      </c>
      <c r="V50" s="15">
        <f>SUM(V51:V90)</f>
        <v>516479.41288181819</v>
      </c>
      <c r="W50" s="72">
        <f t="shared" ref="W50:W160" si="35">V50/V$6</f>
        <v>2.304879701402009E-2</v>
      </c>
      <c r="X50" s="89"/>
      <c r="Y50" s="15">
        <f>SUM(Y51:Y90)</f>
        <v>78646.803807579563</v>
      </c>
      <c r="Z50" s="15">
        <f>SUM(Z51:Z90)</f>
        <v>192757.95779889569</v>
      </c>
      <c r="AA50" s="15">
        <f>SUM(AA51:AA90)</f>
        <v>35523.383272964173</v>
      </c>
      <c r="AB50" s="15">
        <f>SUM(AB51:AB90)</f>
        <v>40422.662518684934</v>
      </c>
      <c r="AC50" s="15">
        <f>SUM(AC51:AC90)</f>
        <v>44882.578321041088</v>
      </c>
      <c r="AD50" s="15">
        <f>SUM(AD51:AD90)</f>
        <v>34967.685518684928</v>
      </c>
      <c r="AE50" s="15">
        <f>SUM(AE51:AE90)</f>
        <v>27451.535725041089</v>
      </c>
      <c r="AF50" s="15">
        <f>SUM(AF51:AF90)</f>
        <v>35970.325917041089</v>
      </c>
      <c r="AG50" s="15">
        <f>SUM(AG51:AG90)</f>
        <v>54696.732922684925</v>
      </c>
      <c r="AH50" s="15">
        <f>SUM(AH51:AH90)</f>
        <v>23983.992129041089</v>
      </c>
      <c r="AI50" s="15">
        <f>SUM(AI51:AI90)</f>
        <v>28643.307326684924</v>
      </c>
      <c r="AJ50" s="15">
        <f>SUM(AJ51:AJ90)</f>
        <v>41404.600917041098</v>
      </c>
      <c r="AK50" s="15">
        <f>SUM(AK51:AK90)</f>
        <v>639351.56617538468</v>
      </c>
      <c r="AL50" s="72">
        <f t="shared" ref="AL50:AL160" si="36">AK50/AK$6</f>
        <v>2.7094504402074466E-2</v>
      </c>
      <c r="AM50" s="10">
        <f t="shared" ref="AM50:AM142" si="37">IFERROR(AK50/V50-1,0)</f>
        <v>0.23790329339164251</v>
      </c>
      <c r="AN50" s="9"/>
    </row>
    <row r="51" spans="1:40" ht="14.45" customHeight="1" outlineLevel="1">
      <c r="A51" s="12" t="s">
        <v>157</v>
      </c>
      <c r="B51" s="8" t="s">
        <v>101</v>
      </c>
      <c r="C51" s="19" t="s">
        <v>158</v>
      </c>
      <c r="D51" s="12"/>
      <c r="E51" s="20"/>
      <c r="F51" s="12"/>
      <c r="G51" s="12"/>
      <c r="H51" s="12"/>
      <c r="I51" s="228" t="s">
        <v>162</v>
      </c>
      <c r="J51" s="65">
        <v>5821</v>
      </c>
      <c r="K51" s="65">
        <v>5332</v>
      </c>
      <c r="L51" s="65">
        <v>6034</v>
      </c>
      <c r="M51" s="65">
        <v>5480</v>
      </c>
      <c r="N51" s="65">
        <v>7681</v>
      </c>
      <c r="O51" s="65">
        <v>5663</v>
      </c>
      <c r="P51" s="65">
        <v>6883</v>
      </c>
      <c r="Q51" s="65">
        <v>6665</v>
      </c>
      <c r="R51" s="65">
        <v>6040</v>
      </c>
      <c r="S51" s="65">
        <v>5635</v>
      </c>
      <c r="T51" s="65">
        <f t="shared" ref="T51:U51" si="38">+AVERAGE(P51:S51)</f>
        <v>6305.75</v>
      </c>
      <c r="U51" s="65">
        <f t="shared" si="38"/>
        <v>6161.4375</v>
      </c>
      <c r="V51" s="65">
        <f>SUM(J51:U51)</f>
        <v>73701.1875</v>
      </c>
      <c r="W51" s="73">
        <f t="shared" si="35"/>
        <v>3.2890443801066663E-3</v>
      </c>
      <c r="X51" s="89"/>
      <c r="Y51" s="65">
        <f>VLOOKUP($E$1,[3]Resumen!$C$8:$O$11,Y1,0)</f>
        <v>6666.8720799999992</v>
      </c>
      <c r="Z51" s="65">
        <f>VLOOKUP($E$1,[3]Resumen!$C$8:$O$11,Z1,0)</f>
        <v>6666.8720799999992</v>
      </c>
      <c r="AA51" s="65">
        <f>VLOOKUP($E$1,[3]Resumen!$C$8:$O$11,AA1,0)</f>
        <v>6666.8720799999992</v>
      </c>
      <c r="AB51" s="65">
        <f>VLOOKUP($E$1,[3]Resumen!$C$8:$O$11,AB1,0)</f>
        <v>6666.8720799999992</v>
      </c>
      <c r="AC51" s="65">
        <f>VLOOKUP($E$1,[3]Resumen!$C$8:$O$11,AC1,0)</f>
        <v>6666.8720799999992</v>
      </c>
      <c r="AD51" s="65">
        <f>VLOOKUP($E$1,[3]Resumen!$C$8:$O$11,AD1,0)</f>
        <v>6666.8720799999992</v>
      </c>
      <c r="AE51" s="65">
        <f>VLOOKUP($E$1,[3]Resumen!$C$8:$O$11,AE1,0)</f>
        <v>6666.8720799999992</v>
      </c>
      <c r="AF51" s="65">
        <f>VLOOKUP($E$1,[3]Resumen!$C$8:$O$11,AF1,0)</f>
        <v>6666.8720799999992</v>
      </c>
      <c r="AG51" s="65">
        <f>VLOOKUP($E$1,[3]Resumen!$C$8:$O$11,AG1,0)</f>
        <v>6666.8720799999992</v>
      </c>
      <c r="AH51" s="65">
        <f>VLOOKUP($E$1,[3]Resumen!$C$8:$O$11,AH1,0)</f>
        <v>6666.8720799999992</v>
      </c>
      <c r="AI51" s="65">
        <f>VLOOKUP($E$1,[3]Resumen!$C$8:$O$11,AI1,0)</f>
        <v>6666.8720799999992</v>
      </c>
      <c r="AJ51" s="65">
        <f>VLOOKUP($E$1,[3]Resumen!$C$8:$O$11,AJ1,0)</f>
        <v>6666.8720799999992</v>
      </c>
      <c r="AK51" s="65">
        <f>SUM(Y51:AJ51)</f>
        <v>80002.464959999998</v>
      </c>
      <c r="AL51" s="73">
        <f t="shared" si="36"/>
        <v>3.3903524347368413E-3</v>
      </c>
      <c r="AM51" s="14">
        <f t="shared" si="37"/>
        <v>8.5497638148638977E-2</v>
      </c>
      <c r="AN51" s="176">
        <f>+AK51/AK39</f>
        <v>7.4617053724488749E-2</v>
      </c>
    </row>
    <row r="52" spans="1:40" ht="14.45" customHeight="1" outlineLevel="1">
      <c r="A52" s="12" t="s">
        <v>157</v>
      </c>
      <c r="B52" s="8" t="s">
        <v>101</v>
      </c>
      <c r="I52" s="228" t="s">
        <v>158</v>
      </c>
      <c r="J52" s="65">
        <v>0</v>
      </c>
      <c r="K52" s="65">
        <v>0</v>
      </c>
      <c r="L52" s="65">
        <v>1840</v>
      </c>
      <c r="M52" s="65">
        <v>1840</v>
      </c>
      <c r="N52" s="65">
        <v>1840</v>
      </c>
      <c r="O52" s="65">
        <v>1840</v>
      </c>
      <c r="P52" s="65">
        <v>1840</v>
      </c>
      <c r="Q52" s="65">
        <v>1840</v>
      </c>
      <c r="R52" s="65">
        <v>1840</v>
      </c>
      <c r="S52" s="65">
        <v>1840</v>
      </c>
      <c r="T52" s="65">
        <f t="shared" ref="T52" si="39">+AVERAGE(P52:S52)</f>
        <v>1840</v>
      </c>
      <c r="U52" s="65">
        <f t="shared" ref="U52" si="40">+AVERAGE(Q52:T52)</f>
        <v>1840</v>
      </c>
      <c r="V52" s="65">
        <f t="shared" ref="V52:V86" si="41">SUM(J52:U52)</f>
        <v>18400</v>
      </c>
      <c r="W52" s="73">
        <f t="shared" si="35"/>
        <v>8.2113217774086285E-4</v>
      </c>
      <c r="X52" s="89"/>
      <c r="Y52" s="65">
        <f>VLOOKUP($E$1,[4]Resumen!$C$9:$O$12,Y1,0)</f>
        <v>1840</v>
      </c>
      <c r="Z52" s="65">
        <f>VLOOKUP($E$1,[4]Resumen!$C$9:$O$12,Z1,0)</f>
        <v>1840</v>
      </c>
      <c r="AA52" s="65">
        <f>VLOOKUP($E$1,[4]Resumen!$C$9:$O$12,AA1,0)</f>
        <v>1840</v>
      </c>
      <c r="AB52" s="65">
        <f>VLOOKUP($E$1,[4]Resumen!$C$9:$O$12,AB1,0)</f>
        <v>1840</v>
      </c>
      <c r="AC52" s="65">
        <f>VLOOKUP($E$1,[4]Resumen!$C$9:$O$12,AC1,0)</f>
        <v>1840</v>
      </c>
      <c r="AD52" s="65">
        <f>VLOOKUP($E$1,[4]Resumen!$C$9:$O$12,AD1,0)</f>
        <v>1840</v>
      </c>
      <c r="AE52" s="65">
        <f>VLOOKUP($E$1,[4]Resumen!$C$9:$O$12,AE1,0)</f>
        <v>1840</v>
      </c>
      <c r="AF52" s="65">
        <f>VLOOKUP($E$1,[4]Resumen!$C$9:$O$12,AF1,0)</f>
        <v>1840</v>
      </c>
      <c r="AG52" s="65">
        <f>VLOOKUP($E$1,[4]Resumen!$C$9:$O$12,AG1,0)</f>
        <v>1840</v>
      </c>
      <c r="AH52" s="65">
        <f>VLOOKUP($E$1,[4]Resumen!$C$9:$O$12,AH1,0)</f>
        <v>1840</v>
      </c>
      <c r="AI52" s="65">
        <f>VLOOKUP($E$1,[4]Resumen!$C$9:$O$12,AI1,0)</f>
        <v>1840</v>
      </c>
      <c r="AJ52" s="65">
        <f>VLOOKUP($E$1,[4]Resumen!$C$9:$O$12,AJ1,0)</f>
        <v>1840</v>
      </c>
      <c r="AK52" s="65">
        <f t="shared" ref="AK52:AK86" si="42">SUM(Y52:AJ52)</f>
        <v>22080</v>
      </c>
      <c r="AL52" s="73">
        <f t="shared" si="36"/>
        <v>9.3570844093888593E-4</v>
      </c>
      <c r="AM52" s="14">
        <f t="shared" si="37"/>
        <v>0.19999999999999996</v>
      </c>
      <c r="AN52" s="9"/>
    </row>
    <row r="53" spans="1:40" ht="14.45" customHeight="1" outlineLevel="1">
      <c r="A53" s="12" t="s">
        <v>157</v>
      </c>
      <c r="B53" s="8" t="s">
        <v>101</v>
      </c>
      <c r="I53" s="228" t="s">
        <v>163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41"/>
        <v>0</v>
      </c>
      <c r="W53" s="73">
        <f t="shared" si="35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42"/>
        <v>0</v>
      </c>
      <c r="AL53" s="73">
        <f t="shared" si="36"/>
        <v>0</v>
      </c>
      <c r="AM53" s="14">
        <f t="shared" si="37"/>
        <v>0</v>
      </c>
      <c r="AN53" s="9"/>
    </row>
    <row r="54" spans="1:40" ht="14.45" customHeight="1" outlineLevel="1">
      <c r="A54" s="12" t="s">
        <v>157</v>
      </c>
      <c r="B54" s="8" t="s">
        <v>101</v>
      </c>
      <c r="I54" s="228" t="s">
        <v>164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47</v>
      </c>
      <c r="S54" s="65">
        <v>1806</v>
      </c>
      <c r="T54" s="65">
        <f t="shared" ref="T54" si="43">+AVERAGE(P54:S54)</f>
        <v>463.25</v>
      </c>
      <c r="U54" s="65">
        <f t="shared" ref="U54" si="44">+AVERAGE(Q54:T54)</f>
        <v>579.0625</v>
      </c>
      <c r="V54" s="65">
        <f t="shared" si="41"/>
        <v>2895.3125</v>
      </c>
      <c r="W54" s="73">
        <f t="shared" si="35"/>
        <v>1.2920838360681207E-4</v>
      </c>
      <c r="X54" s="89"/>
      <c r="Y54" s="65">
        <f>VLOOKUP($E$1,[5]Resumen!$C$9:$O$12,Y1,0)</f>
        <v>0</v>
      </c>
      <c r="Z54" s="65">
        <f>VLOOKUP($E$1,[5]Resumen!$C$9:$O$12,Z1,0)</f>
        <v>0</v>
      </c>
      <c r="AA54" s="65">
        <f>VLOOKUP($E$1,[5]Resumen!$C$9:$O$12,AA1,0)</f>
        <v>0</v>
      </c>
      <c r="AB54" s="65">
        <f>VLOOKUP($E$1,[5]Resumen!$C$9:$O$12,AB1,0)</f>
        <v>0</v>
      </c>
      <c r="AC54" s="65">
        <f>VLOOKUP($E$1,[5]Resumen!$C$9:$O$12,AC1,0)</f>
        <v>0</v>
      </c>
      <c r="AD54" s="65">
        <f>VLOOKUP($E$1,[5]Resumen!$C$9:$O$12,AD1,0)</f>
        <v>0</v>
      </c>
      <c r="AE54" s="65">
        <f>VLOOKUP($E$1,[5]Resumen!$C$9:$O$12,AE1,0)</f>
        <v>0</v>
      </c>
      <c r="AF54" s="65">
        <f>VLOOKUP($E$1,[5]Resumen!$C$9:$O$12,AF1,0)</f>
        <v>0</v>
      </c>
      <c r="AG54" s="65">
        <f>VLOOKUP($E$1,[5]Resumen!$C$9:$O$12,AG1,0)</f>
        <v>0</v>
      </c>
      <c r="AH54" s="65">
        <f>VLOOKUP($E$1,[5]Resumen!$C$9:$O$12,AH1,0)</f>
        <v>0</v>
      </c>
      <c r="AI54" s="65">
        <f>VLOOKUP($E$1,[5]Resumen!$C$9:$O$12,AI1,0)</f>
        <v>0</v>
      </c>
      <c r="AJ54" s="65">
        <f>VLOOKUP($E$1,[5]Resumen!$C$9:$O$12,AJ1,0)</f>
        <v>1242.1199999999999</v>
      </c>
      <c r="AK54" s="65">
        <f t="shared" si="42"/>
        <v>1242.1199999999999</v>
      </c>
      <c r="AL54" s="73">
        <f t="shared" si="36"/>
        <v>5.2638685174773953E-5</v>
      </c>
      <c r="AM54" s="14">
        <f t="shared" si="37"/>
        <v>-0.57098931462493252</v>
      </c>
      <c r="AN54" s="9"/>
    </row>
    <row r="55" spans="1:40" ht="14.45" customHeight="1" outlineLevel="1">
      <c r="A55" s="12" t="s">
        <v>157</v>
      </c>
      <c r="B55" s="8" t="s">
        <v>101</v>
      </c>
      <c r="C55" s="8" t="s">
        <v>160</v>
      </c>
      <c r="I55" s="228" t="s">
        <v>165</v>
      </c>
      <c r="J55" s="65">
        <v>0</v>
      </c>
      <c r="K55" s="65">
        <v>0</v>
      </c>
      <c r="L55" s="65">
        <v>0</v>
      </c>
      <c r="M55" s="65">
        <v>479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41"/>
        <v>479</v>
      </c>
      <c r="W55" s="73">
        <f t="shared" si="35"/>
        <v>2.1376212670536594E-5</v>
      </c>
      <c r="X55" s="89"/>
      <c r="Y55" s="65">
        <f>VLOOKUP($E$1,[6]Resumen!$V$107:$AH$110,Y1,0)</f>
        <v>11892.263899999998</v>
      </c>
      <c r="Z55" s="65">
        <f>VLOOKUP($E$1,[6]Resumen!$V$107:$AH$110,Z1,0)</f>
        <v>0</v>
      </c>
      <c r="AA55" s="65">
        <f>VLOOKUP($E$1,[6]Resumen!$V$107:$AH$110,AA1,0)</f>
        <v>0</v>
      </c>
      <c r="AB55" s="65">
        <f>VLOOKUP($E$1,[6]Resumen!$V$107:$AH$110,AB1,0)</f>
        <v>0</v>
      </c>
      <c r="AC55" s="65">
        <f>VLOOKUP($E$1,[6]Resumen!$V$107:$AH$110,AC1,0)</f>
        <v>0</v>
      </c>
      <c r="AD55" s="65">
        <f>VLOOKUP($E$1,[6]Resumen!$V$107:$AH$110,AD1,0)</f>
        <v>0</v>
      </c>
      <c r="AE55" s="65">
        <f>VLOOKUP($E$1,[6]Resumen!$V$107:$AH$110,AE1,0)</f>
        <v>0</v>
      </c>
      <c r="AF55" s="65">
        <f>VLOOKUP($E$1,[6]Resumen!$V$107:$AH$110,AF1,0)</f>
        <v>0</v>
      </c>
      <c r="AG55" s="65">
        <f>VLOOKUP($E$1,[6]Resumen!$V$107:$AH$110,AG1,0)</f>
        <v>0</v>
      </c>
      <c r="AH55" s="65">
        <f>VLOOKUP($E$1,[6]Resumen!$V$107:$AH$110,AH1,0)</f>
        <v>0</v>
      </c>
      <c r="AI55" s="65">
        <f>VLOOKUP($E$1,[6]Resumen!$V$107:$AH$110,AI1,0)</f>
        <v>0</v>
      </c>
      <c r="AJ55" s="65">
        <f>VLOOKUP($E$1,[6]Resumen!$V$107:$AH$110,AJ1,0)</f>
        <v>0</v>
      </c>
      <c r="AK55" s="65">
        <f t="shared" si="42"/>
        <v>11892.263899999998</v>
      </c>
      <c r="AL55" s="73">
        <f t="shared" si="36"/>
        <v>5.0397154497748163E-4</v>
      </c>
      <c r="AM55" s="14">
        <f t="shared" si="37"/>
        <v>23.827273277661792</v>
      </c>
      <c r="AN55" s="9"/>
    </row>
    <row r="56" spans="1:40" ht="14.45" customHeight="1" outlineLevel="1">
      <c r="A56" s="12" t="s">
        <v>157</v>
      </c>
      <c r="B56" s="8" t="s">
        <v>101</v>
      </c>
      <c r="I56" s="228" t="s">
        <v>166</v>
      </c>
      <c r="J56" s="65">
        <v>1380</v>
      </c>
      <c r="K56" s="65">
        <v>2926</v>
      </c>
      <c r="L56" s="65">
        <v>0</v>
      </c>
      <c r="M56" s="65">
        <v>1716</v>
      </c>
      <c r="N56" s="65">
        <v>1444</v>
      </c>
      <c r="O56" s="65">
        <v>1294</v>
      </c>
      <c r="P56" s="65">
        <v>0</v>
      </c>
      <c r="Q56" s="65">
        <v>2053</v>
      </c>
      <c r="R56" s="65">
        <v>807</v>
      </c>
      <c r="S56" s="65">
        <v>997</v>
      </c>
      <c r="T56" s="65">
        <f t="shared" ref="T56" si="45">+AVERAGE(P56:S56)</f>
        <v>964.25</v>
      </c>
      <c r="U56" s="65">
        <f t="shared" ref="U56" si="46">+AVERAGE(Q56:T56)</f>
        <v>1205.3125</v>
      </c>
      <c r="V56" s="65">
        <f t="shared" si="41"/>
        <v>14786.5625</v>
      </c>
      <c r="W56" s="73">
        <f t="shared" si="35"/>
        <v>6.5987621015904229E-4</v>
      </c>
      <c r="X56" s="89"/>
      <c r="Y56" s="65">
        <f>VLOOKUP($E$1,[7]Resumen!$V$181:$AH$184,Y1,0)</f>
        <v>1449.1399999999999</v>
      </c>
      <c r="Z56" s="65">
        <f>VLOOKUP($E$1,[7]Resumen!$V$181:$AH$184,Z1,0)</f>
        <v>1449.1399999999999</v>
      </c>
      <c r="AA56" s="65">
        <f>VLOOKUP($E$1,[7]Resumen!$V$181:$AH$184,AA1,0)</f>
        <v>1449.1399999999999</v>
      </c>
      <c r="AB56" s="65">
        <f>VLOOKUP($E$1,[7]Resumen!$V$181:$AH$184,AB1,0)</f>
        <v>1449.1399999999999</v>
      </c>
      <c r="AC56" s="65">
        <f>VLOOKUP($E$1,[7]Resumen!$V$181:$AH$184,AC1,0)</f>
        <v>1449.1399999999999</v>
      </c>
      <c r="AD56" s="65">
        <f>VLOOKUP($E$1,[7]Resumen!$V$181:$AH$184,AD1,0)</f>
        <v>1449.1399999999999</v>
      </c>
      <c r="AE56" s="65">
        <f>VLOOKUP($E$1,[7]Resumen!$V$181:$AH$184,AE1,0)</f>
        <v>1449.1399999999999</v>
      </c>
      <c r="AF56" s="65">
        <f>VLOOKUP($E$1,[7]Resumen!$V$181:$AH$184,AF1,0)</f>
        <v>1449.1399999999999</v>
      </c>
      <c r="AG56" s="65">
        <f>VLOOKUP($E$1,[7]Resumen!$V$181:$AH$184,AG1,0)</f>
        <v>1449.1399999999999</v>
      </c>
      <c r="AH56" s="65">
        <f>VLOOKUP($E$1,[7]Resumen!$V$181:$AH$184,AH1,0)</f>
        <v>1449.1399999999999</v>
      </c>
      <c r="AI56" s="65">
        <f>VLOOKUP($E$1,[7]Resumen!$V$181:$AH$184,AI1,0)</f>
        <v>1449.1399999999999</v>
      </c>
      <c r="AJ56" s="65">
        <f>VLOOKUP($E$1,[7]Resumen!$V$181:$AH$184,AJ1,0)</f>
        <v>1449.1399999999999</v>
      </c>
      <c r="AK56" s="65">
        <f t="shared" si="42"/>
        <v>17389.679999999997</v>
      </c>
      <c r="AL56" s="73">
        <f t="shared" si="36"/>
        <v>7.3694159244683526E-4</v>
      </c>
      <c r="AM56" s="14">
        <f t="shared" si="37"/>
        <v>0.1760461567724072</v>
      </c>
      <c r="AN56" s="9"/>
    </row>
    <row r="57" spans="1:40" ht="14.45" customHeight="1" outlineLevel="1">
      <c r="A57" s="12" t="s">
        <v>157</v>
      </c>
      <c r="B57" s="8" t="s">
        <v>101</v>
      </c>
      <c r="I57" s="228" t="s">
        <v>167</v>
      </c>
      <c r="J57" s="65">
        <v>5700</v>
      </c>
      <c r="K57" s="65">
        <v>2400</v>
      </c>
      <c r="L57" s="65">
        <v>3606</v>
      </c>
      <c r="M57" s="65">
        <v>8198</v>
      </c>
      <c r="N57" s="65">
        <v>11681</v>
      </c>
      <c r="O57" s="65">
        <v>6258</v>
      </c>
      <c r="P57" s="65">
        <v>6000</v>
      </c>
      <c r="Q57" s="65">
        <v>-33896</v>
      </c>
      <c r="R57" s="65">
        <v>878</v>
      </c>
      <c r="S57" s="65">
        <v>0</v>
      </c>
      <c r="T57" s="65">
        <v>0</v>
      </c>
      <c r="U57" s="65">
        <v>0</v>
      </c>
      <c r="V57" s="65">
        <f t="shared" si="41"/>
        <v>10825</v>
      </c>
      <c r="W57" s="73">
        <f t="shared" si="35"/>
        <v>4.8308455565461086E-4</v>
      </c>
      <c r="X57" s="89"/>
      <c r="Y57" s="65">
        <f>+VLOOKUP($E$1,[8]Resumen!$V$7:$AH$11,Y1)</f>
        <v>0</v>
      </c>
      <c r="Z57" s="65">
        <f>+VLOOKUP($E$1,[8]Resumen!$V$7:$AH$11,Z1)</f>
        <v>0</v>
      </c>
      <c r="AA57" s="65">
        <f>+VLOOKUP($E$1,[8]Resumen!$V$7:$AH$11,AA1)</f>
        <v>4243.91</v>
      </c>
      <c r="AB57" s="65">
        <f>+VLOOKUP($E$1,[8]Resumen!$V$7:$AH$11,AB1)</f>
        <v>5175.5</v>
      </c>
      <c r="AC57" s="65">
        <f>+VLOOKUP($E$1,[8]Resumen!$V$7:$AH$11,AC1)</f>
        <v>12938.749999999998</v>
      </c>
      <c r="AD57" s="65">
        <f>+VLOOKUP($E$1,[8]Resumen!$V$7:$AH$11,AD1)</f>
        <v>0</v>
      </c>
      <c r="AE57" s="65">
        <f>+VLOOKUP($E$1,[8]Resumen!$V$7:$AH$11,AE1)</f>
        <v>0</v>
      </c>
      <c r="AF57" s="65">
        <f>+VLOOKUP($E$1,[8]Resumen!$V$7:$AH$11,AF1)</f>
        <v>310.52999999999997</v>
      </c>
      <c r="AG57" s="65">
        <f>+VLOOKUP($E$1,[8]Resumen!$V$7:$AH$11,AG1)</f>
        <v>0</v>
      </c>
      <c r="AH57" s="65">
        <f>+VLOOKUP($E$1,[8]Resumen!$V$7:$AH$11,AH1)</f>
        <v>0</v>
      </c>
      <c r="AI57" s="65">
        <f>+VLOOKUP($E$1,[8]Resumen!$V$7:$AH$11,AI1)</f>
        <v>0</v>
      </c>
      <c r="AJ57" s="65">
        <f>+VLOOKUP($E$1,[8]Resumen!$V$7:$AH$11,AJ1)</f>
        <v>0</v>
      </c>
      <c r="AK57" s="65">
        <f>SUM(Y57:AJ57)</f>
        <v>22668.689999999995</v>
      </c>
      <c r="AL57" s="73">
        <f t="shared" si="36"/>
        <v>9.606560044396245E-4</v>
      </c>
      <c r="AM57" s="14">
        <f t="shared" si="37"/>
        <v>1.0941053117782906</v>
      </c>
      <c r="AN57" s="9"/>
    </row>
    <row r="58" spans="1:40" ht="14.45" customHeight="1" outlineLevel="1">
      <c r="A58" s="12" t="s">
        <v>157</v>
      </c>
      <c r="B58" s="8" t="s">
        <v>101</v>
      </c>
      <c r="I58" s="228" t="s">
        <v>168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6381.8181818181829</v>
      </c>
      <c r="U58" s="65">
        <v>0</v>
      </c>
      <c r="V58" s="65">
        <f t="shared" si="41"/>
        <v>6381.8181818181829</v>
      </c>
      <c r="W58" s="73">
        <f t="shared" si="35"/>
        <v>2.8479979682514121E-4</v>
      </c>
      <c r="X58" s="89"/>
      <c r="Y58" s="65">
        <f>VLOOKUP($E$1,[9]Resumen!$V$8:$AH$11,Y1,0)</f>
        <v>186.61658653846152</v>
      </c>
      <c r="Z58" s="65">
        <f>VLOOKUP($E$1,[9]Resumen!$V$8:$AH$11,Z1,0)</f>
        <v>597.17307692307691</v>
      </c>
      <c r="AA58" s="65">
        <f>VLOOKUP($E$1,[9]Resumen!$V$8:$AH$11,AA1,0)</f>
        <v>111.96995192307691</v>
      </c>
      <c r="AB58" s="65">
        <f>VLOOKUP($E$1,[9]Resumen!$V$8:$AH$11,AB1,0)</f>
        <v>0</v>
      </c>
      <c r="AC58" s="65">
        <f>VLOOKUP($E$1,[9]Resumen!$V$8:$AH$11,AC1,0)</f>
        <v>0</v>
      </c>
      <c r="AD58" s="65">
        <f>VLOOKUP($E$1,[9]Resumen!$V$8:$AH$11,AD1,0)</f>
        <v>0</v>
      </c>
      <c r="AE58" s="65">
        <f>VLOOKUP($E$1,[9]Resumen!$V$8:$AH$11,AE1,0)</f>
        <v>0</v>
      </c>
      <c r="AF58" s="65">
        <f>VLOOKUP($E$1,[9]Resumen!$V$8:$AH$11,AF1,0)</f>
        <v>0</v>
      </c>
      <c r="AG58" s="65">
        <f>VLOOKUP($E$1,[9]Resumen!$V$8:$AH$11,AG1,0)</f>
        <v>0</v>
      </c>
      <c r="AH58" s="65">
        <f>VLOOKUP($E$1,[9]Resumen!$V$8:$AH$11,AH1,0)</f>
        <v>0</v>
      </c>
      <c r="AI58" s="65">
        <f>VLOOKUP($E$1,[9]Resumen!$V$8:$AH$11,AI1,0)</f>
        <v>0</v>
      </c>
      <c r="AJ58" s="65">
        <f>VLOOKUP($E$1,[9]Resumen!$V$8:$AH$11,AJ1,0)</f>
        <v>0</v>
      </c>
      <c r="AK58" s="65">
        <f t="shared" si="42"/>
        <v>895.75961538461536</v>
      </c>
      <c r="AL58" s="73">
        <f t="shared" si="36"/>
        <v>3.7960590270269683E-5</v>
      </c>
      <c r="AM58" s="14">
        <f t="shared" si="37"/>
        <v>-0.85963880670611448</v>
      </c>
      <c r="AN58" s="9"/>
    </row>
    <row r="59" spans="1:40" ht="14.45" customHeight="1" outlineLevel="1">
      <c r="A59" s="12" t="s">
        <v>157</v>
      </c>
      <c r="B59" s="8" t="s">
        <v>101</v>
      </c>
      <c r="I59" s="228" t="s">
        <v>169</v>
      </c>
      <c r="J59" s="65"/>
      <c r="K59" s="65"/>
      <c r="L59" s="65"/>
      <c r="M59" s="65"/>
      <c r="N59" s="65"/>
      <c r="O59" s="65"/>
      <c r="P59" s="65"/>
      <c r="Q59" s="65"/>
      <c r="R59" s="65"/>
      <c r="S59" s="65">
        <v>0</v>
      </c>
      <c r="T59" s="65"/>
      <c r="U59" s="65"/>
      <c r="V59" s="65">
        <f t="shared" si="41"/>
        <v>0</v>
      </c>
      <c r="W59" s="73">
        <f t="shared" si="35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42"/>
        <v>0</v>
      </c>
      <c r="AL59" s="73">
        <f t="shared" si="36"/>
        <v>0</v>
      </c>
      <c r="AM59" s="14">
        <f t="shared" si="37"/>
        <v>0</v>
      </c>
      <c r="AN59" s="9"/>
    </row>
    <row r="60" spans="1:40" ht="14.45" customHeight="1" outlineLevel="1">
      <c r="A60" s="12" t="s">
        <v>157</v>
      </c>
      <c r="B60" s="8" t="s">
        <v>101</v>
      </c>
      <c r="I60" s="228" t="s">
        <v>170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/>
      <c r="U60" s="65"/>
      <c r="V60" s="65">
        <f t="shared" si="41"/>
        <v>0</v>
      </c>
      <c r="W60" s="73">
        <f t="shared" si="35"/>
        <v>0</v>
      </c>
      <c r="X60" s="89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>
        <f t="shared" si="42"/>
        <v>0</v>
      </c>
      <c r="AL60" s="73">
        <f t="shared" si="36"/>
        <v>0</v>
      </c>
      <c r="AM60" s="14">
        <f t="shared" si="37"/>
        <v>0</v>
      </c>
      <c r="AN60" s="9"/>
    </row>
    <row r="61" spans="1:40" ht="14.45" customHeight="1" outlineLevel="1">
      <c r="A61" s="12" t="s">
        <v>157</v>
      </c>
      <c r="B61" s="8" t="s">
        <v>101</v>
      </c>
      <c r="I61" s="228" t="s">
        <v>171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/>
      <c r="U61" s="65"/>
      <c r="V61" s="65">
        <f t="shared" si="41"/>
        <v>0</v>
      </c>
      <c r="W61" s="73">
        <f t="shared" si="35"/>
        <v>0</v>
      </c>
      <c r="X61" s="89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>
        <f t="shared" si="42"/>
        <v>0</v>
      </c>
      <c r="AL61" s="73">
        <f t="shared" si="36"/>
        <v>0</v>
      </c>
      <c r="AM61" s="14">
        <f t="shared" si="37"/>
        <v>0</v>
      </c>
      <c r="AN61" s="9"/>
    </row>
    <row r="62" spans="1:40" ht="14.45" customHeight="1" outlineLevel="1">
      <c r="A62" s="12" t="s">
        <v>157</v>
      </c>
      <c r="B62" s="8" t="s">
        <v>101</v>
      </c>
      <c r="I62" s="228" t="s">
        <v>172</v>
      </c>
      <c r="J62" s="65">
        <v>50</v>
      </c>
      <c r="K62" s="65">
        <v>0</v>
      </c>
      <c r="L62" s="65">
        <v>0</v>
      </c>
      <c r="M62" s="65">
        <v>3660</v>
      </c>
      <c r="N62" s="65">
        <v>0</v>
      </c>
      <c r="O62" s="65">
        <v>0</v>
      </c>
      <c r="P62" s="65">
        <v>0</v>
      </c>
      <c r="Q62" s="65">
        <v>600</v>
      </c>
      <c r="R62" s="65">
        <v>2300</v>
      </c>
      <c r="S62" s="65">
        <v>0</v>
      </c>
      <c r="T62" s="65"/>
      <c r="U62" s="65"/>
      <c r="V62" s="65">
        <f t="shared" si="41"/>
        <v>6610</v>
      </c>
      <c r="W62" s="73">
        <f t="shared" si="35"/>
        <v>2.9498280950364695E-4</v>
      </c>
      <c r="X62" s="89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>
        <f t="shared" si="42"/>
        <v>0</v>
      </c>
      <c r="AL62" s="73">
        <f t="shared" si="36"/>
        <v>0</v>
      </c>
      <c r="AM62" s="14">
        <f t="shared" si="37"/>
        <v>-1</v>
      </c>
      <c r="AN62" s="9"/>
    </row>
    <row r="63" spans="1:40" ht="14.45" customHeight="1" outlineLevel="1">
      <c r="A63" s="12" t="s">
        <v>157</v>
      </c>
      <c r="B63" s="8" t="s">
        <v>101</v>
      </c>
      <c r="I63" s="228" t="s">
        <v>173</v>
      </c>
      <c r="J63" s="65">
        <v>1320</v>
      </c>
      <c r="K63" s="65">
        <v>505</v>
      </c>
      <c r="L63" s="65">
        <v>156</v>
      </c>
      <c r="M63" s="65">
        <v>1320</v>
      </c>
      <c r="N63" s="65">
        <v>1660</v>
      </c>
      <c r="O63" s="65">
        <v>1020</v>
      </c>
      <c r="P63" s="65">
        <v>1446</v>
      </c>
      <c r="Q63" s="65">
        <v>511</v>
      </c>
      <c r="R63" s="65">
        <v>0</v>
      </c>
      <c r="S63" s="65">
        <v>538</v>
      </c>
      <c r="T63" s="65">
        <f t="shared" ref="T63" si="47">+AVERAGE(P63:S63)</f>
        <v>623.75</v>
      </c>
      <c r="U63" s="65">
        <f t="shared" ref="U63" si="48">+AVERAGE(Q63:T63)</f>
        <v>418.1875</v>
      </c>
      <c r="V63" s="65">
        <f t="shared" si="41"/>
        <v>9517.9375</v>
      </c>
      <c r="W63" s="73">
        <f t="shared" si="35"/>
        <v>4.2475460581393608E-4</v>
      </c>
      <c r="X63" s="89"/>
      <c r="Y63" s="65">
        <f>VLOOKUP($E$1,[7]Detalle!$C$168:$O$171,Y1,0)</f>
        <v>800</v>
      </c>
      <c r="Z63" s="65">
        <f>VLOOKUP($E$1,[7]Detalle!$C$168:$O$171,Z1,0)</f>
        <v>800</v>
      </c>
      <c r="AA63" s="65">
        <f>VLOOKUP($E$1,[7]Detalle!$C$168:$O$171,AA1,0)</f>
        <v>800</v>
      </c>
      <c r="AB63" s="65">
        <f>VLOOKUP($E$1,[7]Detalle!$C$168:$O$171,AB1,0)</f>
        <v>800</v>
      </c>
      <c r="AC63" s="65">
        <f>VLOOKUP($E$1,[7]Detalle!$C$168:$O$171,AC1,0)</f>
        <v>800</v>
      </c>
      <c r="AD63" s="65">
        <f>VLOOKUP($E$1,[7]Detalle!$C$168:$O$171,AD1,0)</f>
        <v>800</v>
      </c>
      <c r="AE63" s="65">
        <f>VLOOKUP($E$1,[7]Detalle!$C$168:$O$171,AE1,0)</f>
        <v>800</v>
      </c>
      <c r="AF63" s="65">
        <f>VLOOKUP($E$1,[7]Detalle!$C$168:$O$171,AF1,0)</f>
        <v>800</v>
      </c>
      <c r="AG63" s="65">
        <f>VLOOKUP($E$1,[7]Detalle!$C$168:$O$171,AG1,0)</f>
        <v>800</v>
      </c>
      <c r="AH63" s="65">
        <f>VLOOKUP($E$1,[7]Detalle!$C$168:$O$171,AH1,0)</f>
        <v>800</v>
      </c>
      <c r="AI63" s="65">
        <f>VLOOKUP($E$1,[7]Detalle!$C$168:$O$171,AI1,0)</f>
        <v>800</v>
      </c>
      <c r="AJ63" s="65">
        <f>VLOOKUP($E$1,[7]Detalle!$C$168:$O$171,AJ1,0)</f>
        <v>800</v>
      </c>
      <c r="AK63" s="65">
        <f t="shared" si="42"/>
        <v>9600</v>
      </c>
      <c r="AL63" s="73">
        <f t="shared" si="36"/>
        <v>4.068297569299504E-4</v>
      </c>
      <c r="AM63" s="14">
        <f t="shared" si="37"/>
        <v>8.6218784269176396E-3</v>
      </c>
      <c r="AN63" s="9"/>
    </row>
    <row r="64" spans="1:40" ht="14.45" customHeight="1" outlineLevel="1">
      <c r="A64" s="12" t="s">
        <v>157</v>
      </c>
      <c r="B64" s="8" t="s">
        <v>101</v>
      </c>
      <c r="I64" s="228" t="s">
        <v>174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/>
      <c r="U64" s="65"/>
      <c r="V64" s="65">
        <f t="shared" si="41"/>
        <v>0</v>
      </c>
      <c r="W64" s="73">
        <f t="shared" si="35"/>
        <v>0</v>
      </c>
      <c r="X64" s="89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>
        <f t="shared" si="42"/>
        <v>0</v>
      </c>
      <c r="AL64" s="73">
        <f t="shared" si="36"/>
        <v>0</v>
      </c>
      <c r="AM64" s="14">
        <f t="shared" si="37"/>
        <v>0</v>
      </c>
      <c r="AN64" s="9"/>
    </row>
    <row r="65" spans="1:40" ht="14.45" customHeight="1" outlineLevel="1">
      <c r="A65" s="12" t="s">
        <v>157</v>
      </c>
      <c r="B65" s="8" t="s">
        <v>101</v>
      </c>
      <c r="I65" s="228" t="s">
        <v>175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f t="shared" si="41"/>
        <v>0</v>
      </c>
      <c r="W65" s="73">
        <f t="shared" si="35"/>
        <v>0</v>
      </c>
      <c r="X65" s="89"/>
      <c r="Y65" s="65">
        <f>VLOOKUP($E$1,[6]Resumen!$V$26:$AH$29,Y1,0)</f>
        <v>35400.42</v>
      </c>
      <c r="Z65" s="65">
        <f>VLOOKUP($E$1,[6]Resumen!$V$26:$AH$29,Z1,0)</f>
        <v>157335.19999999998</v>
      </c>
      <c r="AA65" s="65">
        <f>VLOOKUP($E$1,[6]Resumen!$V$26:$AH$29,AA1,0)</f>
        <v>0</v>
      </c>
      <c r="AB65" s="65">
        <f>VLOOKUP($E$1,[6]Resumen!$V$26:$AH$29,AB1,0)</f>
        <v>0</v>
      </c>
      <c r="AC65" s="65">
        <f>VLOOKUP($E$1,[6]Resumen!$V$26:$AH$29,AC1,0)</f>
        <v>0</v>
      </c>
      <c r="AD65" s="65">
        <f>VLOOKUP($E$1,[6]Resumen!$V$26:$AH$29,AD1,0)</f>
        <v>0</v>
      </c>
      <c r="AE65" s="65">
        <f>VLOOKUP($E$1,[6]Resumen!$V$26:$AH$29,AE1,0)</f>
        <v>0</v>
      </c>
      <c r="AF65" s="65">
        <f>VLOOKUP($E$1,[6]Resumen!$V$26:$AH$29,AF1,0)</f>
        <v>0</v>
      </c>
      <c r="AG65" s="65">
        <f>VLOOKUP($E$1,[6]Resumen!$V$26:$AH$29,AG1,0)</f>
        <v>0</v>
      </c>
      <c r="AH65" s="65">
        <f>VLOOKUP($E$1,[6]Resumen!$V$26:$AH$29,AH1,0)</f>
        <v>0</v>
      </c>
      <c r="AI65" s="65">
        <f>VLOOKUP($E$1,[6]Resumen!$V$26:$AH$29,AI1,0)</f>
        <v>0</v>
      </c>
      <c r="AJ65" s="65">
        <f>VLOOKUP($E$1,[6]Resumen!$V$26:$AH$29,AJ1,0)</f>
        <v>0</v>
      </c>
      <c r="AK65" s="65">
        <f t="shared" si="42"/>
        <v>192735.62</v>
      </c>
      <c r="AL65" s="73">
        <f t="shared" si="36"/>
        <v>8.1677693162857598E-3</v>
      </c>
      <c r="AM65" s="14">
        <f t="shared" si="37"/>
        <v>0</v>
      </c>
      <c r="AN65" s="9"/>
    </row>
    <row r="66" spans="1:40" ht="14.45" customHeight="1" outlineLevel="1">
      <c r="A66" s="12" t="s">
        <v>157</v>
      </c>
      <c r="B66" s="8" t="s">
        <v>101</v>
      </c>
      <c r="I66" s="228" t="s">
        <v>176</v>
      </c>
      <c r="J66" s="65">
        <v>0</v>
      </c>
      <c r="K66" s="65">
        <v>0</v>
      </c>
      <c r="L66" s="65">
        <v>0</v>
      </c>
      <c r="M66" s="65">
        <v>0</v>
      </c>
      <c r="N66" s="65">
        <v>24800</v>
      </c>
      <c r="O66" s="65">
        <v>24800</v>
      </c>
      <c r="P66" s="65">
        <v>24800</v>
      </c>
      <c r="Q66" s="65">
        <v>24800</v>
      </c>
      <c r="R66" s="65">
        <v>24800</v>
      </c>
      <c r="S66" s="65">
        <v>24800</v>
      </c>
      <c r="T66" s="65">
        <f t="shared" ref="T66" si="49">+AVERAGE(P66:S66)</f>
        <v>24800</v>
      </c>
      <c r="U66" s="65">
        <f t="shared" ref="U66" si="50">+AVERAGE(Q66:T66)</f>
        <v>24800</v>
      </c>
      <c r="V66" s="65">
        <f t="shared" si="41"/>
        <v>198400</v>
      </c>
      <c r="W66" s="73">
        <f t="shared" si="35"/>
        <v>8.8539469599884339E-3</v>
      </c>
      <c r="X66" s="89"/>
      <c r="Y66" s="65">
        <f>VLOOKUP($E$1,[10]Resumen!$V$8:$AH$11,Y1,0)</f>
        <v>5834.8586999999998</v>
      </c>
      <c r="Z66" s="65">
        <f>VLOOKUP($E$1,[10]Resumen!$V$8:$AH$11,Z1,0)</f>
        <v>5834.8586999999998</v>
      </c>
      <c r="AA66" s="65">
        <f>VLOOKUP($E$1,[10]Resumen!$V$8:$AH$11,AA1,0)</f>
        <v>5834.8586999999998</v>
      </c>
      <c r="AB66" s="65">
        <f>VLOOKUP($E$1,[10]Resumen!$V$8:$AH$11,AB1,0)</f>
        <v>5834.8586999999998</v>
      </c>
      <c r="AC66" s="65">
        <f>VLOOKUP($E$1,[10]Resumen!$V$8:$AH$11,AC1,0)</f>
        <v>5834.8586999999998</v>
      </c>
      <c r="AD66" s="65">
        <f>VLOOKUP($E$1,[10]Resumen!$V$8:$AH$11,AD1,0)</f>
        <v>5834.8586999999998</v>
      </c>
      <c r="AE66" s="65">
        <f>VLOOKUP($E$1,[10]Resumen!$V$8:$AH$11,AE1,0)</f>
        <v>5834.8586999999998</v>
      </c>
      <c r="AF66" s="65">
        <f>VLOOKUP($E$1,[10]Resumen!$V$8:$AH$11,AF1,0)</f>
        <v>5834.8586999999998</v>
      </c>
      <c r="AG66" s="65">
        <f>VLOOKUP($E$1,[10]Resumen!$V$8:$AH$11,AG1,0)</f>
        <v>5834.8586999999998</v>
      </c>
      <c r="AH66" s="65">
        <f>VLOOKUP($E$1,[10]Resumen!$V$8:$AH$11,AH1,0)</f>
        <v>5834.8586999999998</v>
      </c>
      <c r="AI66" s="65">
        <f>VLOOKUP($E$1,[10]Resumen!$V$8:$AH$11,AI1,0)</f>
        <v>5834.8586999999998</v>
      </c>
      <c r="AJ66" s="65">
        <f>VLOOKUP($E$1,[10]Resumen!$V$8:$AH$11,AJ1,0)</f>
        <v>5834.8586999999998</v>
      </c>
      <c r="AK66" s="65">
        <f t="shared" si="42"/>
        <v>70018.304399999979</v>
      </c>
      <c r="AL66" s="73">
        <f t="shared" si="36"/>
        <v>2.9672426833020071E-3</v>
      </c>
      <c r="AM66" s="14">
        <f t="shared" si="37"/>
        <v>-0.64708515927419363</v>
      </c>
      <c r="AN66" s="9"/>
    </row>
    <row r="67" spans="1:40" ht="14.45" customHeight="1" outlineLevel="1">
      <c r="A67" s="12" t="s">
        <v>157</v>
      </c>
      <c r="B67" s="8" t="s">
        <v>101</v>
      </c>
      <c r="I67" s="228" t="s">
        <v>177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/>
      <c r="U67" s="65"/>
      <c r="V67" s="65">
        <f t="shared" si="41"/>
        <v>0</v>
      </c>
      <c r="W67" s="73">
        <f t="shared" si="35"/>
        <v>0</v>
      </c>
      <c r="X67" s="89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>
        <f t="shared" si="42"/>
        <v>0</v>
      </c>
      <c r="AL67" s="73">
        <f t="shared" si="36"/>
        <v>0</v>
      </c>
      <c r="AM67" s="14">
        <f t="shared" si="37"/>
        <v>0</v>
      </c>
      <c r="AN67" s="9"/>
    </row>
    <row r="68" spans="1:40" ht="14.45" customHeight="1" outlineLevel="1">
      <c r="A68" s="12" t="s">
        <v>157</v>
      </c>
      <c r="B68" s="8" t="s">
        <v>101</v>
      </c>
      <c r="I68" s="228" t="s">
        <v>178</v>
      </c>
      <c r="J68" s="65">
        <v>0</v>
      </c>
      <c r="K68" s="65">
        <v>0</v>
      </c>
      <c r="L68" s="65">
        <v>0</v>
      </c>
      <c r="M68" s="65">
        <v>592</v>
      </c>
      <c r="N68" s="65">
        <v>1272</v>
      </c>
      <c r="O68" s="65">
        <v>1517</v>
      </c>
      <c r="P68" s="65">
        <v>0</v>
      </c>
      <c r="Q68" s="65">
        <v>1940</v>
      </c>
      <c r="R68" s="65">
        <v>0</v>
      </c>
      <c r="S68" s="65">
        <v>0</v>
      </c>
      <c r="T68" s="65"/>
      <c r="U68" s="65"/>
      <c r="V68" s="65">
        <f t="shared" si="41"/>
        <v>5321</v>
      </c>
      <c r="W68" s="73">
        <f t="shared" si="35"/>
        <v>2.3745893031299625E-4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42"/>
        <v>0</v>
      </c>
      <c r="AL68" s="73">
        <f t="shared" si="36"/>
        <v>0</v>
      </c>
      <c r="AM68" s="14">
        <f t="shared" si="37"/>
        <v>-1</v>
      </c>
      <c r="AN68" s="9"/>
    </row>
    <row r="69" spans="1:40" ht="14.45" customHeight="1" outlineLevel="1">
      <c r="A69" s="12" t="s">
        <v>157</v>
      </c>
      <c r="B69" s="8" t="s">
        <v>101</v>
      </c>
      <c r="I69" s="228" t="s">
        <v>179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f t="shared" ref="T69" si="51">+AVERAGE(P69:S69)</f>
        <v>0</v>
      </c>
      <c r="U69" s="65">
        <f t="shared" ref="U69" si="52">+AVERAGE(Q69:T69)</f>
        <v>0</v>
      </c>
      <c r="V69" s="65">
        <f t="shared" si="41"/>
        <v>0</v>
      </c>
      <c r="W69" s="73">
        <f t="shared" si="35"/>
        <v>0</v>
      </c>
      <c r="X69" s="89"/>
      <c r="Y69" s="65">
        <f>VLOOKUP($E$1,[6]Resumen!$V$35:$AH$38,Y1,0)</f>
        <v>0</v>
      </c>
      <c r="Z69" s="65">
        <f>VLOOKUP($E$1,[6]Resumen!$V$35:$AH$38,Z1,0)</f>
        <v>0</v>
      </c>
      <c r="AA69" s="65">
        <f>VLOOKUP($E$1,[6]Resumen!$V$35:$AH$38,AA1,0)</f>
        <v>0</v>
      </c>
      <c r="AB69" s="65">
        <f>VLOOKUP($E$1,[6]Resumen!$V$35:$AH$38,AB1,0)</f>
        <v>0</v>
      </c>
      <c r="AC69" s="65">
        <f>VLOOKUP($E$1,[6]Resumen!$V$35:$AH$38,AC1,0)</f>
        <v>0</v>
      </c>
      <c r="AD69" s="65">
        <f>VLOOKUP($E$1,[6]Resumen!$V$35:$AH$38,AD1,0)</f>
        <v>0</v>
      </c>
      <c r="AE69" s="65">
        <f>VLOOKUP($E$1,[6]Resumen!$V$35:$AH$38,AE1,0)</f>
        <v>0</v>
      </c>
      <c r="AF69" s="65">
        <f>VLOOKUP($E$1,[6]Resumen!$V$35:$AH$38,AF1,0)</f>
        <v>0</v>
      </c>
      <c r="AG69" s="65">
        <f>VLOOKUP($E$1,[6]Resumen!$V$35:$AH$38,AG1,0)</f>
        <v>0</v>
      </c>
      <c r="AH69" s="65">
        <f>VLOOKUP($E$1,[6]Resumen!$V$35:$AH$38,AH1,0)</f>
        <v>0</v>
      </c>
      <c r="AI69" s="65">
        <f>VLOOKUP($E$1,[6]Resumen!$V$35:$AH$38,AI1,0)</f>
        <v>0</v>
      </c>
      <c r="AJ69" s="65">
        <f>VLOOKUP($E$1,[6]Resumen!$V$35:$AH$38,AJ1,0)</f>
        <v>0</v>
      </c>
      <c r="AK69" s="65">
        <f t="shared" si="42"/>
        <v>0</v>
      </c>
      <c r="AL69" s="73">
        <f t="shared" si="36"/>
        <v>0</v>
      </c>
      <c r="AM69" s="14">
        <f t="shared" si="37"/>
        <v>0</v>
      </c>
      <c r="AN69" s="9"/>
    </row>
    <row r="70" spans="1:40" ht="14.45" customHeight="1" outlineLevel="1">
      <c r="A70" s="12" t="s">
        <v>157</v>
      </c>
      <c r="B70" s="8" t="s">
        <v>101</v>
      </c>
      <c r="I70" s="228" t="s">
        <v>180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/>
      <c r="U70" s="65"/>
      <c r="V70" s="65">
        <f t="shared" si="41"/>
        <v>0</v>
      </c>
      <c r="W70" s="73">
        <f t="shared" si="35"/>
        <v>0</v>
      </c>
      <c r="X70" s="89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>
        <f t="shared" si="42"/>
        <v>0</v>
      </c>
      <c r="AL70" s="73">
        <f t="shared" si="36"/>
        <v>0</v>
      </c>
      <c r="AM70" s="14">
        <f t="shared" si="37"/>
        <v>0</v>
      </c>
      <c r="AN70" s="9"/>
    </row>
    <row r="71" spans="1:40" ht="14.45" customHeight="1" outlineLevel="1">
      <c r="A71" s="12" t="s">
        <v>157</v>
      </c>
      <c r="B71" s="8" t="s">
        <v>101</v>
      </c>
      <c r="I71" s="228" t="s">
        <v>181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f t="shared" ref="T71" si="53">+AVERAGE(P71:S71)</f>
        <v>0</v>
      </c>
      <c r="U71" s="65">
        <f t="shared" ref="U71" si="54">+AVERAGE(Q71:T71)</f>
        <v>0</v>
      </c>
      <c r="V71" s="65">
        <f t="shared" si="41"/>
        <v>0</v>
      </c>
      <c r="W71" s="73">
        <f t="shared" si="35"/>
        <v>0</v>
      </c>
      <c r="X71" s="89"/>
      <c r="Y71" s="65">
        <f>VLOOKUP($E$1,[6]Resumen!$V$98:$AH$101,Y1,0)</f>
        <v>598.15734904109581</v>
      </c>
      <c r="Z71" s="65">
        <f>VLOOKUP($E$1,[6]Resumen!$V$98:$AH$101,Z1,0)</f>
        <v>540.27115397260275</v>
      </c>
      <c r="AA71" s="65">
        <f>VLOOKUP($E$1,[6]Resumen!$V$98:$AH$101,AA1,0)</f>
        <v>598.15734904109581</v>
      </c>
      <c r="AB71" s="65">
        <f>VLOOKUP($E$1,[6]Resumen!$V$98:$AH$101,AB1,0)</f>
        <v>578.86195068493146</v>
      </c>
      <c r="AC71" s="65">
        <f>VLOOKUP($E$1,[6]Resumen!$V$98:$AH$101,AC1,0)</f>
        <v>598.15734904109581</v>
      </c>
      <c r="AD71" s="65">
        <f>VLOOKUP($E$1,[6]Resumen!$V$98:$AH$101,AD1,0)</f>
        <v>578.86195068493146</v>
      </c>
      <c r="AE71" s="65">
        <f>VLOOKUP($E$1,[6]Resumen!$V$98:$AH$101,AE1,0)</f>
        <v>598.15734904109581</v>
      </c>
      <c r="AF71" s="65">
        <f>VLOOKUP($E$1,[6]Resumen!$V$98:$AH$101,AF1,0)</f>
        <v>598.15734904109581</v>
      </c>
      <c r="AG71" s="65">
        <f>VLOOKUP($E$1,[6]Resumen!$V$98:$AH$101,AG1,0)</f>
        <v>578.86195068493146</v>
      </c>
      <c r="AH71" s="65">
        <f>VLOOKUP($E$1,[6]Resumen!$V$98:$AH$101,AH1,0)</f>
        <v>598.15734904109581</v>
      </c>
      <c r="AI71" s="65">
        <f>VLOOKUP($E$1,[6]Resumen!$V$98:$AH$101,AI1,0)</f>
        <v>578.86195068493146</v>
      </c>
      <c r="AJ71" s="65">
        <f>VLOOKUP($E$1,[6]Resumen!$V$98:$AH$101,AJ1,0)</f>
        <v>598.15734904109581</v>
      </c>
      <c r="AK71" s="65">
        <f t="shared" si="42"/>
        <v>7042.8203999999996</v>
      </c>
      <c r="AL71" s="73">
        <f t="shared" si="36"/>
        <v>2.9846134494096834E-4</v>
      </c>
      <c r="AM71" s="14">
        <f t="shared" si="37"/>
        <v>0</v>
      </c>
      <c r="AN71" s="9"/>
    </row>
    <row r="72" spans="1:40" ht="14.45" customHeight="1" outlineLevel="1">
      <c r="A72" s="12"/>
      <c r="I72" s="228" t="s">
        <v>182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/>
      <c r="U72" s="65"/>
      <c r="V72" s="65">
        <f t="shared" si="41"/>
        <v>0</v>
      </c>
      <c r="W72" s="73">
        <f t="shared" si="35"/>
        <v>0</v>
      </c>
      <c r="X72" s="89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>
        <f t="shared" si="42"/>
        <v>0</v>
      </c>
      <c r="AL72" s="73">
        <f t="shared" si="36"/>
        <v>0</v>
      </c>
      <c r="AM72" s="14">
        <f t="shared" si="37"/>
        <v>0</v>
      </c>
      <c r="AN72" s="9"/>
    </row>
    <row r="73" spans="1:40" ht="14.45" customHeight="1" outlineLevel="1">
      <c r="A73" s="12"/>
      <c r="I73" s="228" t="s">
        <v>183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41"/>
        <v>0</v>
      </c>
      <c r="W73" s="73">
        <f t="shared" si="35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42"/>
        <v>0</v>
      </c>
      <c r="AL73" s="73">
        <f t="shared" si="36"/>
        <v>0</v>
      </c>
      <c r="AM73" s="14">
        <f t="shared" si="37"/>
        <v>0</v>
      </c>
      <c r="AN73" s="9"/>
    </row>
    <row r="74" spans="1:40" ht="14.45" customHeight="1" outlineLevel="1">
      <c r="A74" s="12"/>
      <c r="I74" s="228" t="s">
        <v>184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/>
      <c r="U74" s="65"/>
      <c r="V74" s="65">
        <f t="shared" si="41"/>
        <v>0</v>
      </c>
      <c r="W74" s="73">
        <f t="shared" si="35"/>
        <v>0</v>
      </c>
      <c r="X74" s="89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>
        <f t="shared" si="42"/>
        <v>0</v>
      </c>
      <c r="AL74" s="73">
        <f t="shared" si="36"/>
        <v>0</v>
      </c>
      <c r="AM74" s="14">
        <f t="shared" si="37"/>
        <v>0</v>
      </c>
      <c r="AN74" s="9"/>
    </row>
    <row r="75" spans="1:40" ht="14.45" customHeight="1" outlineLevel="1">
      <c r="A75" s="12"/>
      <c r="I75" s="228" t="s">
        <v>185</v>
      </c>
      <c r="J75" s="65">
        <v>0</v>
      </c>
      <c r="K75" s="65">
        <v>1739</v>
      </c>
      <c r="L75" s="65">
        <v>718</v>
      </c>
      <c r="M75" s="65">
        <v>718</v>
      </c>
      <c r="N75" s="65">
        <v>752</v>
      </c>
      <c r="O75" s="65">
        <v>747</v>
      </c>
      <c r="P75" s="65">
        <v>763</v>
      </c>
      <c r="Q75" s="65">
        <v>914</v>
      </c>
      <c r="R75" s="65">
        <v>981</v>
      </c>
      <c r="S75" s="65">
        <v>910</v>
      </c>
      <c r="T75" s="65">
        <f t="shared" ref="T75:T76" si="55">+AVERAGE(P75:S75)</f>
        <v>892</v>
      </c>
      <c r="U75" s="65">
        <f t="shared" ref="U75:U76" si="56">+AVERAGE(Q75:T75)</f>
        <v>924.25</v>
      </c>
      <c r="V75" s="65">
        <f t="shared" si="41"/>
        <v>10058.25</v>
      </c>
      <c r="W75" s="73">
        <f t="shared" si="35"/>
        <v>4.4886699601967578E-4</v>
      </c>
      <c r="X75" s="89"/>
      <c r="Y75" s="65">
        <f>VLOOKUP($E$1,[11]Resumen!$V$10:$AH$13,Y1,0)</f>
        <v>1035.0999999999999</v>
      </c>
      <c r="Z75" s="65">
        <f>VLOOKUP($E$1,[11]Resumen!$V$10:$AH$13,Z1,0)</f>
        <v>1035.0999999999999</v>
      </c>
      <c r="AA75" s="65">
        <f>VLOOKUP($E$1,[11]Resumen!$V$10:$AH$13,AA1,0)</f>
        <v>1035.0999999999999</v>
      </c>
      <c r="AB75" s="65">
        <f>VLOOKUP($E$1,[11]Resumen!$V$10:$AH$13,AB1,0)</f>
        <v>1035.0999999999999</v>
      </c>
      <c r="AC75" s="65">
        <f>VLOOKUP($E$1,[11]Resumen!$V$10:$AH$13,AC1,0)</f>
        <v>1035.0999999999999</v>
      </c>
      <c r="AD75" s="65">
        <f>VLOOKUP($E$1,[11]Resumen!$V$10:$AH$13,AD1,0)</f>
        <v>1035.0999999999999</v>
      </c>
      <c r="AE75" s="65">
        <f>VLOOKUP($E$1,[11]Resumen!$V$10:$AH$13,AE1,0)</f>
        <v>1035.0999999999999</v>
      </c>
      <c r="AF75" s="65">
        <f>VLOOKUP($E$1,[11]Resumen!$V$10:$AH$13,AF1,0)</f>
        <v>1035.0999999999999</v>
      </c>
      <c r="AG75" s="65">
        <f>VLOOKUP($E$1,[11]Resumen!$V$10:$AH$13,AG1,0)</f>
        <v>1035.0999999999999</v>
      </c>
      <c r="AH75" s="65">
        <f>VLOOKUP($E$1,[11]Resumen!$V$10:$AH$13,AH1,0)</f>
        <v>1035.0999999999999</v>
      </c>
      <c r="AI75" s="65">
        <f>VLOOKUP($E$1,[11]Resumen!$V$10:$AH$13,AI1,0)</f>
        <v>1035.0999999999999</v>
      </c>
      <c r="AJ75" s="65">
        <f>VLOOKUP($E$1,[11]Resumen!$V$10:$AH$13,AJ1,0)</f>
        <v>1035.0999999999999</v>
      </c>
      <c r="AK75" s="65">
        <f t="shared" si="42"/>
        <v>12421.200000000003</v>
      </c>
      <c r="AL75" s="73">
        <f t="shared" si="36"/>
        <v>5.2638685174773972E-4</v>
      </c>
      <c r="AM75" s="14">
        <f t="shared" si="37"/>
        <v>0.23492655282976682</v>
      </c>
      <c r="AN75" s="9"/>
    </row>
    <row r="76" spans="1:40" ht="14.45" customHeight="1" outlineLevel="1">
      <c r="A76" s="12"/>
      <c r="I76" s="228" t="s">
        <v>186</v>
      </c>
      <c r="J76" s="65">
        <v>736</v>
      </c>
      <c r="K76" s="65">
        <v>0</v>
      </c>
      <c r="L76" s="65">
        <v>0</v>
      </c>
      <c r="M76" s="65">
        <v>4950</v>
      </c>
      <c r="N76" s="65">
        <v>0</v>
      </c>
      <c r="O76" s="65">
        <v>0</v>
      </c>
      <c r="P76" s="65">
        <v>670</v>
      </c>
      <c r="Q76" s="65">
        <v>985</v>
      </c>
      <c r="R76" s="65">
        <v>0</v>
      </c>
      <c r="S76" s="65">
        <v>0</v>
      </c>
      <c r="T76" s="65">
        <f t="shared" si="55"/>
        <v>413.75</v>
      </c>
      <c r="U76" s="65">
        <f t="shared" si="56"/>
        <v>349.6875</v>
      </c>
      <c r="V76" s="65">
        <f t="shared" si="41"/>
        <v>8104.4375</v>
      </c>
      <c r="W76" s="73">
        <f t="shared" si="35"/>
        <v>3.6167469639889751E-4</v>
      </c>
      <c r="X76" s="89"/>
      <c r="Y76" s="65">
        <v>985</v>
      </c>
      <c r="Z76" s="65">
        <v>985</v>
      </c>
      <c r="AA76" s="65">
        <v>985</v>
      </c>
      <c r="AB76" s="65">
        <v>985</v>
      </c>
      <c r="AC76" s="65">
        <v>985</v>
      </c>
      <c r="AD76" s="65">
        <v>985</v>
      </c>
      <c r="AE76" s="65">
        <v>985</v>
      </c>
      <c r="AF76" s="65">
        <v>985</v>
      </c>
      <c r="AG76" s="65">
        <v>985</v>
      </c>
      <c r="AH76" s="65">
        <v>985</v>
      </c>
      <c r="AI76" s="65">
        <v>985</v>
      </c>
      <c r="AJ76" s="65">
        <v>985</v>
      </c>
      <c r="AK76" s="65">
        <f t="shared" si="42"/>
        <v>11820</v>
      </c>
      <c r="AL76" s="73">
        <f t="shared" si="36"/>
        <v>5.0090913822000143E-4</v>
      </c>
      <c r="AM76" s="14">
        <f t="shared" si="37"/>
        <v>0.45846025711223026</v>
      </c>
      <c r="AN76" s="9"/>
    </row>
    <row r="77" spans="1:40" ht="14.45" customHeight="1" outlineLevel="1">
      <c r="A77" s="12"/>
      <c r="I77" s="228" t="s">
        <v>187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/>
      <c r="U77" s="65"/>
      <c r="V77" s="65">
        <f t="shared" si="41"/>
        <v>0</v>
      </c>
      <c r="W77" s="73">
        <f t="shared" si="35"/>
        <v>0</v>
      </c>
      <c r="X77" s="89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>
        <f t="shared" si="42"/>
        <v>0</v>
      </c>
      <c r="AL77" s="73">
        <f t="shared" si="36"/>
        <v>0</v>
      </c>
      <c r="AM77" s="14">
        <f t="shared" si="37"/>
        <v>0</v>
      </c>
      <c r="AN77" s="9"/>
    </row>
    <row r="78" spans="1:40" ht="14.45" customHeight="1" outlineLevel="1">
      <c r="A78" s="12" t="s">
        <v>157</v>
      </c>
      <c r="B78" s="8" t="s">
        <v>101</v>
      </c>
      <c r="I78" s="228" t="s">
        <v>188</v>
      </c>
      <c r="J78" s="65">
        <v>34970</v>
      </c>
      <c r="K78" s="65">
        <v>0</v>
      </c>
      <c r="L78" s="65">
        <v>0</v>
      </c>
      <c r="M78" s="65">
        <v>0</v>
      </c>
      <c r="N78" s="65">
        <v>881</v>
      </c>
      <c r="O78" s="65">
        <v>0</v>
      </c>
      <c r="P78" s="65">
        <v>8901</v>
      </c>
      <c r="Q78" s="65">
        <v>1822</v>
      </c>
      <c r="R78" s="65">
        <v>16184</v>
      </c>
      <c r="S78" s="65">
        <v>1316</v>
      </c>
      <c r="T78" s="65">
        <v>4308.0336000000007</v>
      </c>
      <c r="U78" s="65">
        <v>4308.0336000000007</v>
      </c>
      <c r="V78" s="65">
        <f t="shared" si="41"/>
        <v>72690.06719999999</v>
      </c>
      <c r="W78" s="73">
        <f t="shared" si="35"/>
        <v>3.2439213684818291E-3</v>
      </c>
      <c r="X78" s="89"/>
      <c r="Y78" s="65">
        <f>VLOOKUP($E$1,[12]Resumen!$V$8:$AH$11,Y1,0)</f>
        <v>7431.935191999999</v>
      </c>
      <c r="Z78" s="65">
        <f>VLOOKUP($E$1,[12]Resumen!$V$8:$AH$11,Z1,0)</f>
        <v>11147.902787999999</v>
      </c>
      <c r="AA78" s="65">
        <f>VLOOKUP($E$1,[12]Resumen!$V$8:$AH$11,AA1,0)</f>
        <v>7431.935191999999</v>
      </c>
      <c r="AB78" s="65">
        <f>VLOOKUP($E$1,[12]Resumen!$V$8:$AH$11,AB1,0)</f>
        <v>10475.087788000001</v>
      </c>
      <c r="AC78" s="65">
        <f>VLOOKUP($E$1,[12]Resumen!$V$8:$AH$11,AC1,0)</f>
        <v>7431.935191999999</v>
      </c>
      <c r="AD78" s="65">
        <f>VLOOKUP($E$1,[12]Resumen!$V$8:$AH$11,AD1,0)</f>
        <v>10475.087788000001</v>
      </c>
      <c r="AE78" s="65">
        <f>VLOOKUP($E$1,[12]Resumen!$V$8:$AH$11,AE1,0)</f>
        <v>3715.9675959999995</v>
      </c>
      <c r="AF78" s="65">
        <f>VLOOKUP($E$1,[12]Resumen!$V$8:$AH$11,AF1,0)</f>
        <v>11147.902787999999</v>
      </c>
      <c r="AG78" s="65">
        <f>VLOOKUP($E$1,[12]Resumen!$V$8:$AH$11,AG1,0)</f>
        <v>6759.1201919999994</v>
      </c>
      <c r="AH78" s="65">
        <f>VLOOKUP($E$1,[12]Resumen!$V$8:$AH$11,AH1,0)</f>
        <v>0</v>
      </c>
      <c r="AI78" s="65">
        <f>VLOOKUP($E$1,[12]Resumen!$V$8:$AH$11,AI1,0)</f>
        <v>3715.9675959999995</v>
      </c>
      <c r="AJ78" s="65">
        <f>VLOOKUP($E$1,[12]Resumen!$V$8:$AH$11,AJ1,0)</f>
        <v>11147.902787999999</v>
      </c>
      <c r="AK78" s="65">
        <f t="shared" si="42"/>
        <v>90880.744899999991</v>
      </c>
      <c r="AL78" s="73">
        <f t="shared" si="36"/>
        <v>3.8513532663833152E-3</v>
      </c>
      <c r="AM78" s="14">
        <f t="shared" si="37"/>
        <v>0.25024984018724372</v>
      </c>
      <c r="AN78" s="9"/>
    </row>
    <row r="79" spans="1:40" ht="14.45" customHeight="1" outlineLevel="1">
      <c r="A79" s="12" t="s">
        <v>157</v>
      </c>
      <c r="B79" s="8" t="s">
        <v>101</v>
      </c>
      <c r="I79" s="228" t="s">
        <v>189</v>
      </c>
      <c r="J79" s="65">
        <v>0</v>
      </c>
      <c r="K79" s="65">
        <v>0</v>
      </c>
      <c r="L79" s="65">
        <v>0</v>
      </c>
      <c r="M79" s="65">
        <v>0</v>
      </c>
      <c r="N79" s="65">
        <v>183</v>
      </c>
      <c r="O79" s="65">
        <v>365</v>
      </c>
      <c r="P79" s="65">
        <v>183</v>
      </c>
      <c r="Q79" s="65">
        <v>0</v>
      </c>
      <c r="R79" s="65">
        <v>0</v>
      </c>
      <c r="S79" s="65">
        <v>0</v>
      </c>
      <c r="T79" s="65">
        <v>260</v>
      </c>
      <c r="U79" s="65">
        <v>0</v>
      </c>
      <c r="V79" s="65">
        <f t="shared" si="41"/>
        <v>991</v>
      </c>
      <c r="W79" s="73">
        <f t="shared" si="35"/>
        <v>4.4225108051151906E-5</v>
      </c>
      <c r="X79" s="89"/>
      <c r="Y79" s="65">
        <f>VLOOKUP($E$1,[13]Resumen!$V$8:$AH$11,Y1,0)</f>
        <v>0</v>
      </c>
      <c r="Z79" s="65">
        <f>VLOOKUP($E$1,[13]Resumen!$V$8:$AH$11,Z1,0)</f>
        <v>0</v>
      </c>
      <c r="AA79" s="65">
        <f>VLOOKUP($E$1,[13]Resumen!$V$8:$AH$11,AA1,0)</f>
        <v>0</v>
      </c>
      <c r="AB79" s="65">
        <f>VLOOKUP($E$1,[13]Resumen!$V$8:$AH$11,AB1,0)</f>
        <v>1055.8019999999999</v>
      </c>
      <c r="AC79" s="65">
        <f>VLOOKUP($E$1,[13]Resumen!$V$8:$AH$11,AC1,0)</f>
        <v>0</v>
      </c>
      <c r="AD79" s="65">
        <f>VLOOKUP($E$1,[13]Resumen!$V$8:$AH$11,AD1,0)</f>
        <v>0</v>
      </c>
      <c r="AE79" s="65">
        <f>VLOOKUP($E$1,[13]Resumen!$V$8:$AH$11,AE1,0)</f>
        <v>0</v>
      </c>
      <c r="AF79" s="65">
        <f>VLOOKUP($E$1,[13]Resumen!$V$8:$AH$11,AF1,0)</f>
        <v>0</v>
      </c>
      <c r="AG79" s="65">
        <f>VLOOKUP($E$1,[13]Resumen!$V$8:$AH$11,AG1,0)</f>
        <v>0</v>
      </c>
      <c r="AH79" s="65">
        <f>VLOOKUP($E$1,[13]Resumen!$V$8:$AH$11,AH1,0)</f>
        <v>0</v>
      </c>
      <c r="AI79" s="65">
        <f>VLOOKUP($E$1,[13]Resumen!$V$8:$AH$11,AI1,0)</f>
        <v>1055.8019999999999</v>
      </c>
      <c r="AJ79" s="65">
        <f>VLOOKUP($E$1,[13]Resumen!$V$8:$AH$11,AJ1,0)</f>
        <v>0</v>
      </c>
      <c r="AK79" s="65">
        <f t="shared" si="42"/>
        <v>2111.6039999999998</v>
      </c>
      <c r="AL79" s="73">
        <f t="shared" si="36"/>
        <v>8.9485764797115721E-5</v>
      </c>
      <c r="AM79" s="14">
        <f t="shared" si="37"/>
        <v>1.1307810292633702</v>
      </c>
      <c r="AN79" s="9"/>
    </row>
    <row r="80" spans="1:40" ht="14.45" customHeight="1" outlineLevel="1">
      <c r="A80" s="12"/>
      <c r="I80" s="228" t="s">
        <v>190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/>
      <c r="U80" s="65"/>
      <c r="V80" s="65">
        <f t="shared" si="41"/>
        <v>0</v>
      </c>
      <c r="W80" s="73">
        <f t="shared" si="35"/>
        <v>0</v>
      </c>
      <c r="X80" s="89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>
        <f t="shared" si="42"/>
        <v>0</v>
      </c>
      <c r="AL80" s="73">
        <f t="shared" si="36"/>
        <v>0</v>
      </c>
      <c r="AM80" s="14">
        <f t="shared" si="37"/>
        <v>0</v>
      </c>
      <c r="AN80" s="9"/>
    </row>
    <row r="81" spans="1:40" ht="14.45" customHeight="1" outlineLevel="1">
      <c r="A81" s="12" t="s">
        <v>157</v>
      </c>
      <c r="B81" s="8" t="s">
        <v>101</v>
      </c>
      <c r="I81" s="228" t="s">
        <v>192</v>
      </c>
      <c r="J81" s="65">
        <v>895</v>
      </c>
      <c r="K81" s="65">
        <v>895</v>
      </c>
      <c r="L81" s="65">
        <v>895</v>
      </c>
      <c r="M81" s="65">
        <v>895</v>
      </c>
      <c r="N81" s="65">
        <v>895</v>
      </c>
      <c r="O81" s="65">
        <v>895</v>
      </c>
      <c r="P81" s="65">
        <v>895</v>
      </c>
      <c r="Q81" s="65">
        <v>3758</v>
      </c>
      <c r="R81" s="65">
        <v>3758</v>
      </c>
      <c r="S81" s="65">
        <v>3758</v>
      </c>
      <c r="T81" s="65">
        <v>4526.4399999999996</v>
      </c>
      <c r="U81" s="65">
        <v>4526.4399999999996</v>
      </c>
      <c r="V81" s="65">
        <f t="shared" si="41"/>
        <v>26591.879999999997</v>
      </c>
      <c r="W81" s="73">
        <f t="shared" si="35"/>
        <v>1.186709148620853E-3</v>
      </c>
      <c r="X81" s="89"/>
      <c r="Y81" s="65">
        <v>4526.4399999999996</v>
      </c>
      <c r="Z81" s="65">
        <v>4526.4399999999996</v>
      </c>
      <c r="AA81" s="65">
        <v>4526.4399999999996</v>
      </c>
      <c r="AB81" s="65">
        <v>4526.4399999999996</v>
      </c>
      <c r="AC81" s="65">
        <v>4526.4399999999996</v>
      </c>
      <c r="AD81" s="65">
        <v>4526.4399999999996</v>
      </c>
      <c r="AE81" s="65">
        <v>4526.4399999999996</v>
      </c>
      <c r="AF81" s="65">
        <v>4526.4399999999996</v>
      </c>
      <c r="AG81" s="65">
        <v>4526.4399999999996</v>
      </c>
      <c r="AH81" s="65">
        <v>4526.4399999999996</v>
      </c>
      <c r="AI81" s="65">
        <v>4526.4399999999996</v>
      </c>
      <c r="AJ81" s="65">
        <v>4526.4399999999996</v>
      </c>
      <c r="AK81" s="65">
        <f t="shared" si="42"/>
        <v>54317.280000000006</v>
      </c>
      <c r="AL81" s="73">
        <f t="shared" si="36"/>
        <v>2.3018631061975064E-3</v>
      </c>
      <c r="AM81" s="14">
        <f t="shared" si="37"/>
        <v>1.0426265461486746</v>
      </c>
      <c r="AN81" s="9"/>
    </row>
    <row r="82" spans="1:40" ht="14.45" customHeight="1" outlineLevel="1">
      <c r="A82" s="12"/>
      <c r="I82" s="228" t="s">
        <v>193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/>
      <c r="U82" s="65"/>
      <c r="V82" s="65">
        <f t="shared" si="41"/>
        <v>0</v>
      </c>
      <c r="W82" s="73">
        <f t="shared" si="35"/>
        <v>0</v>
      </c>
      <c r="X82" s="89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>
        <f t="shared" si="42"/>
        <v>0</v>
      </c>
      <c r="AL82" s="73">
        <f t="shared" si="36"/>
        <v>0</v>
      </c>
      <c r="AM82" s="14">
        <f t="shared" si="37"/>
        <v>0</v>
      </c>
      <c r="AN82" s="9"/>
    </row>
    <row r="83" spans="1:40" ht="14.45" customHeight="1" outlineLevel="1">
      <c r="A83" s="12"/>
      <c r="I83" s="228" t="s">
        <v>194</v>
      </c>
      <c r="J83" s="65">
        <v>1049</v>
      </c>
      <c r="K83" s="65">
        <v>1049</v>
      </c>
      <c r="L83" s="65">
        <v>1049</v>
      </c>
      <c r="M83" s="65">
        <v>1049</v>
      </c>
      <c r="N83" s="65">
        <v>1049</v>
      </c>
      <c r="O83" s="65">
        <v>1049</v>
      </c>
      <c r="P83" s="65">
        <v>1049</v>
      </c>
      <c r="Q83" s="65">
        <v>1311</v>
      </c>
      <c r="R83" s="65">
        <v>1049</v>
      </c>
      <c r="S83" s="65">
        <v>1049</v>
      </c>
      <c r="T83" s="65"/>
      <c r="U83" s="65"/>
      <c r="V83" s="65">
        <f t="shared" si="41"/>
        <v>10752</v>
      </c>
      <c r="W83" s="73">
        <f t="shared" si="35"/>
        <v>4.798268029929216E-4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42"/>
        <v>0</v>
      </c>
      <c r="AL83" s="73">
        <f t="shared" si="36"/>
        <v>0</v>
      </c>
      <c r="AM83" s="14">
        <f t="shared" si="37"/>
        <v>-1</v>
      </c>
      <c r="AN83" s="9"/>
    </row>
    <row r="84" spans="1:40" ht="14.45" customHeight="1" outlineLevel="1">
      <c r="A84" s="12"/>
      <c r="I84" s="228" t="s">
        <v>195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41"/>
        <v>0</v>
      </c>
      <c r="W84" s="73">
        <f t="shared" si="35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42"/>
        <v>0</v>
      </c>
      <c r="AL84" s="73">
        <f t="shared" si="36"/>
        <v>0</v>
      </c>
      <c r="AM84" s="14">
        <f t="shared" si="37"/>
        <v>0</v>
      </c>
      <c r="AN84" s="9"/>
    </row>
    <row r="85" spans="1:40" ht="14.45" customHeight="1" outlineLevel="1">
      <c r="A85" s="12"/>
      <c r="I85" s="228" t="s">
        <v>196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f t="shared" si="41"/>
        <v>0</v>
      </c>
      <c r="W85" s="73">
        <f t="shared" si="35"/>
        <v>0</v>
      </c>
      <c r="X85" s="89"/>
      <c r="Y85" s="65">
        <f>VLOOKUP($E$1,[7]Resumen!$V$154:$AH$157,Y1,0)</f>
        <v>0</v>
      </c>
      <c r="Z85" s="65">
        <f>VLOOKUP($E$1,[7]Resumen!$V$154:$AH$157,Z1,0)</f>
        <v>0</v>
      </c>
      <c r="AA85" s="65">
        <f>VLOOKUP($E$1,[7]Resumen!$V$154:$AH$157,AA1,0)</f>
        <v>0</v>
      </c>
      <c r="AB85" s="65">
        <f>VLOOKUP($E$1,[7]Resumen!$V$154:$AH$157,AB1,0)</f>
        <v>0</v>
      </c>
      <c r="AC85" s="65">
        <f>VLOOKUP($E$1,[7]Resumen!$V$154:$AH$157,AC1,0)</f>
        <v>0</v>
      </c>
      <c r="AD85" s="65">
        <f>VLOOKUP($E$1,[7]Resumen!$V$154:$AH$157,AD1,0)</f>
        <v>0</v>
      </c>
      <c r="AE85" s="65">
        <f>VLOOKUP($E$1,[7]Resumen!$V$154:$AH$157,AE1,0)</f>
        <v>0</v>
      </c>
      <c r="AF85" s="65">
        <f>VLOOKUP($E$1,[7]Resumen!$V$154:$AH$157,AF1,0)</f>
        <v>0</v>
      </c>
      <c r="AG85" s="65">
        <f>VLOOKUP($E$1,[7]Resumen!$V$154:$AH$157,AG1,0)</f>
        <v>0</v>
      </c>
      <c r="AH85" s="65">
        <f>VLOOKUP($E$1,[7]Resumen!$V$154:$AH$157,AH1,0)</f>
        <v>0</v>
      </c>
      <c r="AI85" s="65">
        <f>VLOOKUP($E$1,[7]Resumen!$V$154:$AH$157,AI1,0)</f>
        <v>0</v>
      </c>
      <c r="AJ85" s="65">
        <f>VLOOKUP($E$1,[7]Resumen!$V$154:$AH$157,AJ1,0)</f>
        <v>0</v>
      </c>
      <c r="AK85" s="65">
        <f t="shared" si="42"/>
        <v>0</v>
      </c>
      <c r="AL85" s="73">
        <f t="shared" si="36"/>
        <v>0</v>
      </c>
      <c r="AM85" s="14">
        <f t="shared" si="37"/>
        <v>0</v>
      </c>
      <c r="AN85" s="9" t="s">
        <v>452</v>
      </c>
    </row>
    <row r="86" spans="1:40" ht="14.45" customHeight="1" outlineLevel="1">
      <c r="A86" s="12"/>
      <c r="I86" s="228" t="s">
        <v>197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/>
      <c r="U86" s="65"/>
      <c r="V86" s="65">
        <f t="shared" si="41"/>
        <v>0</v>
      </c>
      <c r="W86" s="73">
        <f t="shared" si="35"/>
        <v>0</v>
      </c>
      <c r="X86" s="89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>
        <f t="shared" si="42"/>
        <v>0</v>
      </c>
      <c r="AL86" s="73">
        <f t="shared" si="36"/>
        <v>0</v>
      </c>
      <c r="AM86" s="14">
        <f t="shared" si="37"/>
        <v>0</v>
      </c>
      <c r="AN86" s="9"/>
    </row>
    <row r="87" spans="1:40" ht="14.45" customHeight="1" outlineLevel="1">
      <c r="A87" s="12"/>
      <c r="I87" s="228" t="s">
        <v>198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19240</v>
      </c>
      <c r="T87" s="65">
        <v>0</v>
      </c>
      <c r="U87" s="65">
        <v>0</v>
      </c>
      <c r="V87" s="65">
        <f t="shared" ref="V87:V90" si="57">SUM(J87:U87)</f>
        <v>19240</v>
      </c>
      <c r="W87" s="73">
        <f t="shared" ref="W87:W90" si="58">V87/V$6</f>
        <v>8.5861864672468488E-4</v>
      </c>
      <c r="X87" s="89"/>
      <c r="Y87" s="65">
        <f>VLOOKUP($E$1,[7]Resumen!$V$10:$AH$13,Y1,0)</f>
        <v>0</v>
      </c>
      <c r="Z87" s="65">
        <f>VLOOKUP($E$1,[7]Resumen!$V$10:$AH$13,Z1,0)</f>
        <v>0</v>
      </c>
      <c r="AA87" s="65">
        <f>VLOOKUP($E$1,[7]Resumen!$V$10:$AH$13,AA1,0)</f>
        <v>0</v>
      </c>
      <c r="AB87" s="65">
        <f>VLOOKUP($E$1,[7]Resumen!$V$10:$AH$13,AB1,0)</f>
        <v>0</v>
      </c>
      <c r="AC87" s="65">
        <f>VLOOKUP($E$1,[7]Resumen!$V$10:$AH$13,AC1,0)</f>
        <v>0</v>
      </c>
      <c r="AD87" s="65">
        <f>VLOOKUP($E$1,[7]Resumen!$V$10:$AH$13,AD1,0)</f>
        <v>0</v>
      </c>
      <c r="AE87" s="65">
        <f>VLOOKUP($E$1,[7]Resumen!$V$10:$AH$13,AE1,0)</f>
        <v>0</v>
      </c>
      <c r="AF87" s="65">
        <f>VLOOKUP($E$1,[7]Resumen!$V$10:$AH$13,AF1,0)</f>
        <v>0</v>
      </c>
      <c r="AG87" s="65">
        <f>VLOOKUP($E$1,[7]Resumen!$V$10:$AH$13,AG1,0)</f>
        <v>24221.339999999997</v>
      </c>
      <c r="AH87" s="65">
        <f>VLOOKUP($E$1,[7]Resumen!$V$10:$AH$13,AH1,0)</f>
        <v>0</v>
      </c>
      <c r="AI87" s="65">
        <f>VLOOKUP($E$1,[7]Resumen!$V$10:$AH$13,AI1,0)</f>
        <v>0</v>
      </c>
      <c r="AJ87" s="65">
        <f>VLOOKUP($E$1,[7]Resumen!$V$10:$AH$13,AJ1,0)</f>
        <v>0</v>
      </c>
      <c r="AK87" s="65">
        <f t="shared" ref="AK87:AK90" si="59">SUM(Y87:AJ87)</f>
        <v>24221.339999999997</v>
      </c>
      <c r="AL87" s="73">
        <f t="shared" ref="AL87:AL90" si="60">AK87/AK$6</f>
        <v>1.026454360908092E-3</v>
      </c>
      <c r="AM87" s="14">
        <f t="shared" ref="AM87:AM90" si="61">IFERROR(AK87/V87-1,0)</f>
        <v>0.25890540540540519</v>
      </c>
      <c r="AN87" s="9"/>
    </row>
    <row r="88" spans="1:40" ht="14.45" customHeight="1" outlineLevel="1">
      <c r="A88" s="12"/>
      <c r="I88" s="228" t="s">
        <v>199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1443</v>
      </c>
      <c r="R88" s="65">
        <v>0</v>
      </c>
      <c r="S88" s="65">
        <v>0</v>
      </c>
      <c r="T88" s="65">
        <v>290.16000000000003</v>
      </c>
      <c r="U88" s="65">
        <v>19000.8</v>
      </c>
      <c r="V88" s="65">
        <f t="shared" si="57"/>
        <v>20733.96</v>
      </c>
      <c r="W88" s="73">
        <f t="shared" si="58"/>
        <v>9.2528922434738804E-4</v>
      </c>
      <c r="X88" s="89"/>
      <c r="Y88" s="65">
        <f>VLOOKUP($E$1,[14]Resumen!$V$8:$AH$11,Y1,0)</f>
        <v>0</v>
      </c>
      <c r="Z88" s="65">
        <f>VLOOKUP($E$1,[14]Resumen!$V$8:$AH$11,Z1,0)</f>
        <v>0</v>
      </c>
      <c r="AA88" s="65">
        <f>VLOOKUP($E$1,[14]Resumen!$V$8:$AH$11,AA1,0)</f>
        <v>0</v>
      </c>
      <c r="AB88" s="65">
        <f>VLOOKUP($E$1,[14]Resumen!$V$8:$AH$11,AB1,0)</f>
        <v>0</v>
      </c>
      <c r="AC88" s="65">
        <f>VLOOKUP($E$1,[14]Resumen!$V$8:$AH$11,AC1,0)</f>
        <v>776.32499999999993</v>
      </c>
      <c r="AD88" s="65">
        <f>VLOOKUP($E$1,[14]Resumen!$V$8:$AH$11,AD1,0)</f>
        <v>776.32499999999993</v>
      </c>
      <c r="AE88" s="65">
        <f>VLOOKUP($E$1,[14]Resumen!$V$8:$AH$11,AE1,0)</f>
        <v>0</v>
      </c>
      <c r="AF88" s="65">
        <f>VLOOKUP($E$1,[14]Resumen!$V$8:$AH$11,AF1,0)</f>
        <v>776.32499999999993</v>
      </c>
      <c r="AG88" s="65">
        <f>VLOOKUP($E$1,[14]Resumen!$V$8:$AH$11,AG1,0)</f>
        <v>0</v>
      </c>
      <c r="AH88" s="65">
        <f>VLOOKUP($E$1,[14]Resumen!$V$8:$AH$11,AH1,0)</f>
        <v>248.42399999999998</v>
      </c>
      <c r="AI88" s="65">
        <f>VLOOKUP($E$1,[14]Resumen!$V$8:$AH$11,AI1,0)</f>
        <v>155.26499999999999</v>
      </c>
      <c r="AJ88" s="65">
        <f>VLOOKUP($E$1,[14]Resumen!$V$8:$AH$11,AJ1,0)</f>
        <v>5279.0099999999993</v>
      </c>
      <c r="AK88" s="65">
        <f t="shared" si="59"/>
        <v>8011.6739999999991</v>
      </c>
      <c r="AL88" s="73">
        <f t="shared" si="60"/>
        <v>3.3951951937729197E-4</v>
      </c>
      <c r="AM88" s="14">
        <f t="shared" si="61"/>
        <v>-0.61359653438127593</v>
      </c>
      <c r="AN88" s="9"/>
    </row>
    <row r="89" spans="1:40" ht="14.45" customHeight="1" outlineLevel="1">
      <c r="A89" s="12"/>
      <c r="I89" s="228" t="s">
        <v>200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/>
      <c r="U89" s="65"/>
      <c r="V89" s="65">
        <f t="shared" si="57"/>
        <v>0</v>
      </c>
      <c r="W89" s="73">
        <f t="shared" si="58"/>
        <v>0</v>
      </c>
      <c r="X89" s="89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>
        <f t="shared" si="59"/>
        <v>0</v>
      </c>
      <c r="AL89" s="73">
        <f t="shared" si="60"/>
        <v>0</v>
      </c>
      <c r="AM89" s="14">
        <f t="shared" si="61"/>
        <v>0</v>
      </c>
      <c r="AN89" s="9"/>
    </row>
    <row r="90" spans="1:40" ht="14.45" customHeight="1" outlineLevel="1">
      <c r="A90" s="12"/>
      <c r="I90" s="228" t="s">
        <v>201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f t="shared" si="57"/>
        <v>0</v>
      </c>
      <c r="W90" s="73">
        <f t="shared" si="58"/>
        <v>0</v>
      </c>
      <c r="X90" s="89"/>
      <c r="Y90" s="65">
        <f>VLOOKUP($E$1,[6]Resumen!$V$44:$AH$47,Y1,0)</f>
        <v>0</v>
      </c>
      <c r="Z90" s="65">
        <f>VLOOKUP($E$1,[6]Resumen!$V$44:$AH$47,Z1,0)</f>
        <v>0</v>
      </c>
      <c r="AA90" s="65">
        <f>VLOOKUP($E$1,[6]Resumen!$V$44:$AH$47,AA1,0)</f>
        <v>0</v>
      </c>
      <c r="AB90" s="65">
        <f>VLOOKUP($E$1,[6]Resumen!$V$44:$AH$47,AB1,0)</f>
        <v>0</v>
      </c>
      <c r="AC90" s="65">
        <f>VLOOKUP($E$1,[6]Resumen!$V$44:$AH$47,AC1,0)</f>
        <v>0</v>
      </c>
      <c r="AD90" s="65">
        <f>VLOOKUP($E$1,[6]Resumen!$V$44:$AH$47,AD1,0)</f>
        <v>0</v>
      </c>
      <c r="AE90" s="65">
        <f>VLOOKUP($E$1,[6]Resumen!$V$44:$AH$47,AE1,0)</f>
        <v>0</v>
      </c>
      <c r="AF90" s="65">
        <f>VLOOKUP($E$1,[6]Resumen!$V$44:$AH$47,AF1,0)</f>
        <v>0</v>
      </c>
      <c r="AG90" s="65">
        <f>VLOOKUP($E$1,[6]Resumen!$V$44:$AH$47,AG1,0)</f>
        <v>0</v>
      </c>
      <c r="AH90" s="65">
        <f>VLOOKUP($E$1,[6]Resumen!$V$44:$AH$47,AH1,0)</f>
        <v>0</v>
      </c>
      <c r="AI90" s="65">
        <f>VLOOKUP($E$1,[6]Resumen!$V$44:$AH$47,AI1,0)</f>
        <v>0</v>
      </c>
      <c r="AJ90" s="65">
        <f>VLOOKUP($E$1,[6]Resumen!$V$44:$AH$47,AJ1,0)</f>
        <v>0</v>
      </c>
      <c r="AK90" s="65">
        <f t="shared" si="59"/>
        <v>0</v>
      </c>
      <c r="AL90" s="73">
        <f t="shared" si="60"/>
        <v>0</v>
      </c>
      <c r="AM90" s="14">
        <f t="shared" si="61"/>
        <v>0</v>
      </c>
      <c r="AN90" s="9" t="s">
        <v>469</v>
      </c>
    </row>
    <row r="91" spans="1:40" ht="14.45" customHeight="1" collapsed="1">
      <c r="A91" s="12" t="s">
        <v>191</v>
      </c>
      <c r="B91" s="8" t="s">
        <v>101</v>
      </c>
      <c r="I91" s="170" t="s">
        <v>202</v>
      </c>
      <c r="J91" s="15">
        <v>95916</v>
      </c>
      <c r="K91" s="15">
        <v>81257</v>
      </c>
      <c r="L91" s="15">
        <v>91913</v>
      </c>
      <c r="M91" s="15">
        <v>76629</v>
      </c>
      <c r="N91" s="15">
        <v>82064</v>
      </c>
      <c r="O91" s="15">
        <v>78978</v>
      </c>
      <c r="P91" s="15">
        <v>72171</v>
      </c>
      <c r="Q91" s="15">
        <v>63997</v>
      </c>
      <c r="R91" s="15">
        <v>50567</v>
      </c>
      <c r="S91" s="15">
        <v>56086</v>
      </c>
      <c r="T91" s="15">
        <f t="shared" ref="J91:V91" si="62">SUM(T92:T106)</f>
        <v>60705.75</v>
      </c>
      <c r="U91" s="15">
        <f t="shared" si="62"/>
        <v>57839.1875</v>
      </c>
      <c r="V91" s="15">
        <f t="shared" si="62"/>
        <v>868121.9375</v>
      </c>
      <c r="W91" s="72">
        <f t="shared" si="35"/>
        <v>3.874145962413001E-2</v>
      </c>
      <c r="X91" s="89"/>
      <c r="Y91" s="15">
        <f t="shared" ref="Y91:AK91" si="63">SUM(Y92:Y106)</f>
        <v>67041.375699615572</v>
      </c>
      <c r="Z91" s="15">
        <f t="shared" si="63"/>
        <v>60127.876695658706</v>
      </c>
      <c r="AA91" s="15">
        <f t="shared" si="63"/>
        <v>65626.381110683375</v>
      </c>
      <c r="AB91" s="15">
        <f t="shared" si="63"/>
        <v>62084.030721675153</v>
      </c>
      <c r="AC91" s="15">
        <f t="shared" si="63"/>
        <v>65626.381110683375</v>
      </c>
      <c r="AD91" s="15">
        <f t="shared" si="63"/>
        <v>62084.030721675153</v>
      </c>
      <c r="AE91" s="15">
        <f t="shared" si="63"/>
        <v>63916.865526683367</v>
      </c>
      <c r="AF91" s="15">
        <f t="shared" si="63"/>
        <v>63916.865526683367</v>
      </c>
      <c r="AG91" s="15">
        <f t="shared" si="63"/>
        <v>63793.546305675147</v>
      </c>
      <c r="AH91" s="15">
        <f t="shared" si="63"/>
        <v>63916.865526683367</v>
      </c>
      <c r="AI91" s="15">
        <f t="shared" si="63"/>
        <v>63793.546305675147</v>
      </c>
      <c r="AJ91" s="15">
        <f t="shared" si="63"/>
        <v>65626.381110683375</v>
      </c>
      <c r="AK91" s="15">
        <f>SUM(AK92:AK106)</f>
        <v>767554.14636207512</v>
      </c>
      <c r="AL91" s="72">
        <f t="shared" si="36"/>
        <v>3.2527486124485271E-2</v>
      </c>
      <c r="AM91" s="10">
        <f t="shared" si="37"/>
        <v>-0.11584523647396583</v>
      </c>
      <c r="AN91" s="9"/>
    </row>
    <row r="92" spans="1:40" ht="14.45" hidden="1" customHeight="1" outlineLevel="1">
      <c r="A92" s="12" t="s">
        <v>191</v>
      </c>
      <c r="B92" s="8" t="s">
        <v>101</v>
      </c>
      <c r="I92" s="228" t="s">
        <v>203</v>
      </c>
      <c r="J92" s="65">
        <v>2856</v>
      </c>
      <c r="K92" s="65">
        <v>2334</v>
      </c>
      <c r="L92" s="65">
        <v>2518</v>
      </c>
      <c r="M92" s="65">
        <v>1880</v>
      </c>
      <c r="N92" s="65">
        <v>1995</v>
      </c>
      <c r="O92" s="65">
        <v>2041</v>
      </c>
      <c r="P92" s="65">
        <v>2150</v>
      </c>
      <c r="Q92" s="65">
        <v>1841</v>
      </c>
      <c r="R92" s="65">
        <v>1463</v>
      </c>
      <c r="S92" s="65">
        <v>1414</v>
      </c>
      <c r="T92" s="65">
        <f t="shared" ref="T92:T106" si="64">+AVERAGE(P92:S92)</f>
        <v>1717</v>
      </c>
      <c r="U92" s="65">
        <f t="shared" ref="U92:U106" si="65">+AVERAGE(Q92:T92)</f>
        <v>1608.75</v>
      </c>
      <c r="V92" s="65">
        <f t="shared" ref="V92:V155" si="66">SUM(J92:U92)</f>
        <v>23817.75</v>
      </c>
      <c r="W92" s="73">
        <f t="shared" si="35"/>
        <v>1.0629087459993172E-3</v>
      </c>
      <c r="X92" s="89"/>
      <c r="Y92" s="65">
        <f>VLOOKUP($I92,'[15]Gasto Real Vs Presupuesto 2026'!$A$61:$N$84,Y$1,0)</f>
        <v>1872.0300111780825</v>
      </c>
      <c r="Z92" s="65">
        <f>VLOOKUP($I92,'[15]Gasto Real Vs Presupuesto 2026'!$A$61:$N$84,Z$1,0)</f>
        <v>1639.2615189041096</v>
      </c>
      <c r="AA92" s="65">
        <f>VLOOKUP($I92,'[15]Gasto Real Vs Presupuesto 2026'!$A$61:$N$84,AA$1,0)</f>
        <v>1814.8966816438356</v>
      </c>
      <c r="AB92" s="65">
        <f>VLOOKUP($I92,'[15]Gasto Real Vs Presupuesto 2026'!$A$61:$N$84,AB$1,0)</f>
        <v>1756.3516273972605</v>
      </c>
      <c r="AC92" s="65">
        <f>VLOOKUP($I92,'[15]Gasto Real Vs Presupuesto 2026'!$A$61:$N$84,AC$1,0)</f>
        <v>1814.8966816438356</v>
      </c>
      <c r="AD92" s="65">
        <f>VLOOKUP($I92,'[15]Gasto Real Vs Presupuesto 2026'!$A$61:$N$84,AD$1,0)</f>
        <v>1756.3516273972605</v>
      </c>
      <c r="AE92" s="65">
        <f>VLOOKUP($I92,'[15]Gasto Real Vs Presupuesto 2026'!$A$61:$N$84,AE$1,0)</f>
        <v>1814.8966816438356</v>
      </c>
      <c r="AF92" s="65">
        <f>VLOOKUP($I92,'[15]Gasto Real Vs Presupuesto 2026'!$A$61:$N$84,AF$1,0)</f>
        <v>1814.8966816438356</v>
      </c>
      <c r="AG92" s="65">
        <f>VLOOKUP($I92,'[15]Gasto Real Vs Presupuesto 2026'!$A$61:$N$84,AG$1,0)</f>
        <v>1756.3516273972605</v>
      </c>
      <c r="AH92" s="65">
        <f>VLOOKUP($I92,'[15]Gasto Real Vs Presupuesto 2026'!$A$61:$N$84,AH$1,0)</f>
        <v>1814.8966816438356</v>
      </c>
      <c r="AI92" s="65">
        <f>VLOOKUP($I92,'[15]Gasto Real Vs Presupuesto 2026'!$A$61:$N$84,AI$1,0)</f>
        <v>1756.3516273972605</v>
      </c>
      <c r="AJ92" s="65">
        <f>VLOOKUP($I92,'[15]Gasto Real Vs Presupuesto 2026'!$A$61:$N$84,AJ$1,0)</f>
        <v>1814.8966816438356</v>
      </c>
      <c r="AK92" s="65">
        <f t="shared" ref="AK92:AK156" si="67">SUM(Y92:AJ92)</f>
        <v>21426.078129534246</v>
      </c>
      <c r="AL92" s="73">
        <f t="shared" si="36"/>
        <v>9.0799647472922338E-4</v>
      </c>
      <c r="AM92" s="14">
        <f t="shared" si="37"/>
        <v>-0.10041552499567563</v>
      </c>
      <c r="AN92" s="9"/>
    </row>
    <row r="93" spans="1:40" ht="14.45" hidden="1" customHeight="1" outlineLevel="1">
      <c r="A93" s="12" t="s">
        <v>191</v>
      </c>
      <c r="B93" s="8" t="s">
        <v>101</v>
      </c>
      <c r="I93" s="228" t="s">
        <v>204</v>
      </c>
      <c r="J93" s="65">
        <v>3150</v>
      </c>
      <c r="K93" s="65">
        <v>5357</v>
      </c>
      <c r="L93" s="65">
        <v>5286</v>
      </c>
      <c r="M93" s="65">
        <v>9871</v>
      </c>
      <c r="N93" s="65">
        <v>11983</v>
      </c>
      <c r="O93" s="65">
        <v>10114</v>
      </c>
      <c r="P93" s="65">
        <v>6450</v>
      </c>
      <c r="Q93" s="65">
        <v>6300</v>
      </c>
      <c r="R93" s="65">
        <v>6532</v>
      </c>
      <c r="S93" s="65">
        <v>8976</v>
      </c>
      <c r="T93" s="65">
        <f t="shared" si="64"/>
        <v>7064.5</v>
      </c>
      <c r="U93" s="65">
        <f t="shared" si="65"/>
        <v>7218.125</v>
      </c>
      <c r="V93" s="65">
        <f t="shared" si="66"/>
        <v>88301.625</v>
      </c>
      <c r="W93" s="73">
        <f t="shared" si="35"/>
        <v>3.9406144366471206E-3</v>
      </c>
      <c r="X93" s="89"/>
      <c r="Y93" s="65">
        <f>VLOOKUP($I93,'[15]Gasto Real Vs Presupuesto 2026'!$A$61:$N$84,Y$1,0)</f>
        <v>7098.9865714285706</v>
      </c>
      <c r="Z93" s="65">
        <f>VLOOKUP($I93,'[15]Gasto Real Vs Presupuesto 2026'!$A$61:$N$84,Z$1,0)</f>
        <v>7098.9865714285706</v>
      </c>
      <c r="AA93" s="65">
        <f>VLOOKUP($I93,'[15]Gasto Real Vs Presupuesto 2026'!$A$61:$N$84,AA$1,0)</f>
        <v>7098.9865714285706</v>
      </c>
      <c r="AB93" s="65">
        <f>VLOOKUP($I93,'[15]Gasto Real Vs Presupuesto 2026'!$A$61:$N$84,AB$1,0)</f>
        <v>7098.9865714285706</v>
      </c>
      <c r="AC93" s="65">
        <f>VLOOKUP($I93,'[15]Gasto Real Vs Presupuesto 2026'!$A$61:$N$84,AC$1,0)</f>
        <v>7098.9865714285706</v>
      </c>
      <c r="AD93" s="65">
        <f>VLOOKUP($I93,'[15]Gasto Real Vs Presupuesto 2026'!$A$61:$N$84,AD$1,0)</f>
        <v>7098.9865714285706</v>
      </c>
      <c r="AE93" s="65">
        <f>VLOOKUP($I93,'[15]Gasto Real Vs Presupuesto 2026'!$A$61:$N$84,AE$1,0)</f>
        <v>7098.9865714285706</v>
      </c>
      <c r="AF93" s="65">
        <f>VLOOKUP($I93,'[15]Gasto Real Vs Presupuesto 2026'!$A$61:$N$84,AF$1,0)</f>
        <v>7098.9865714285706</v>
      </c>
      <c r="AG93" s="65">
        <f>VLOOKUP($I93,'[15]Gasto Real Vs Presupuesto 2026'!$A$61:$N$84,AG$1,0)</f>
        <v>7098.9865714285706</v>
      </c>
      <c r="AH93" s="65">
        <f>VLOOKUP($I93,'[15]Gasto Real Vs Presupuesto 2026'!$A$61:$N$84,AH$1,0)</f>
        <v>7098.9865714285706</v>
      </c>
      <c r="AI93" s="65">
        <f>VLOOKUP($I93,'[15]Gasto Real Vs Presupuesto 2026'!$A$61:$N$84,AI$1,0)</f>
        <v>7098.9865714285706</v>
      </c>
      <c r="AJ93" s="65">
        <f>VLOOKUP($I93,'[15]Gasto Real Vs Presupuesto 2026'!$A$61:$N$84,AJ$1,0)</f>
        <v>7098.9865714285706</v>
      </c>
      <c r="AK93" s="65">
        <f t="shared" si="67"/>
        <v>85187.838857142851</v>
      </c>
      <c r="AL93" s="73">
        <f t="shared" si="36"/>
        <v>3.6100987266290845E-3</v>
      </c>
      <c r="AM93" s="14">
        <f t="shared" si="37"/>
        <v>-3.5263067274890481E-2</v>
      </c>
      <c r="AN93" s="9"/>
    </row>
    <row r="94" spans="1:40" ht="14.45" hidden="1" customHeight="1" outlineLevel="1">
      <c r="A94" s="12" t="s">
        <v>191</v>
      </c>
      <c r="B94" s="8" t="s">
        <v>101</v>
      </c>
      <c r="I94" s="228" t="s">
        <v>205</v>
      </c>
      <c r="J94" s="65">
        <v>3254</v>
      </c>
      <c r="K94" s="65">
        <v>2797</v>
      </c>
      <c r="L94" s="65">
        <v>3953</v>
      </c>
      <c r="M94" s="65">
        <v>0</v>
      </c>
      <c r="N94" s="65">
        <v>2555</v>
      </c>
      <c r="O94" s="65">
        <v>0</v>
      </c>
      <c r="P94" s="65">
        <v>0</v>
      </c>
      <c r="Q94" s="65">
        <v>0</v>
      </c>
      <c r="R94" s="65">
        <v>1399</v>
      </c>
      <c r="S94" s="65">
        <v>0</v>
      </c>
      <c r="T94" s="65">
        <f t="shared" si="64"/>
        <v>349.75</v>
      </c>
      <c r="U94" s="65">
        <f t="shared" si="65"/>
        <v>437.1875</v>
      </c>
      <c r="V94" s="65">
        <f t="shared" si="66"/>
        <v>14744.9375</v>
      </c>
      <c r="W94" s="73">
        <f t="shared" si="35"/>
        <v>6.5801862174064748E-4</v>
      </c>
      <c r="X94" s="89"/>
      <c r="Y94" s="65">
        <f>VLOOKUP($I94,'[15]Gasto Real Vs Presupuesto 2026'!$A$61:$N$84,Y$1,0)</f>
        <v>1763.3314944000001</v>
      </c>
      <c r="Z94" s="65">
        <f>VLOOKUP($I94,'[15]Gasto Real Vs Presupuesto 2026'!$A$61:$N$84,Z$1,0)</f>
        <v>1709.515584</v>
      </c>
      <c r="AA94" s="65">
        <f>VLOOKUP($I94,'[15]Gasto Real Vs Presupuesto 2026'!$A$61:$N$84,AA$1,0)</f>
        <v>1709.515584</v>
      </c>
      <c r="AB94" s="65">
        <f>VLOOKUP($I94,'[15]Gasto Real Vs Presupuesto 2026'!$A$61:$N$84,AB$1,0)</f>
        <v>0</v>
      </c>
      <c r="AC94" s="65">
        <f>VLOOKUP($I94,'[15]Gasto Real Vs Presupuesto 2026'!$A$61:$N$84,AC$1,0)</f>
        <v>1709.515584</v>
      </c>
      <c r="AD94" s="65">
        <f>VLOOKUP($I94,'[15]Gasto Real Vs Presupuesto 2026'!$A$61:$N$84,AD$1,0)</f>
        <v>0</v>
      </c>
      <c r="AE94" s="65">
        <f>VLOOKUP($I94,'[15]Gasto Real Vs Presupuesto 2026'!$A$61:$N$84,AE$1,0)</f>
        <v>0</v>
      </c>
      <c r="AF94" s="65">
        <f>VLOOKUP($I94,'[15]Gasto Real Vs Presupuesto 2026'!$A$61:$N$84,AF$1,0)</f>
        <v>0</v>
      </c>
      <c r="AG94" s="65">
        <f>VLOOKUP($I94,'[15]Gasto Real Vs Presupuesto 2026'!$A$61:$N$84,AG$1,0)</f>
        <v>1709.515584</v>
      </c>
      <c r="AH94" s="65">
        <f>VLOOKUP($I94,'[15]Gasto Real Vs Presupuesto 2026'!$A$61:$N$84,AH$1,0)</f>
        <v>0</v>
      </c>
      <c r="AI94" s="65">
        <f>VLOOKUP($I94,'[15]Gasto Real Vs Presupuesto 2026'!$A$61:$N$84,AI$1,0)</f>
        <v>1709.515584</v>
      </c>
      <c r="AJ94" s="65">
        <f>VLOOKUP($I94,'[15]Gasto Real Vs Presupuesto 2026'!$A$61:$N$84,AJ$1,0)</f>
        <v>1709.515584</v>
      </c>
      <c r="AK94" s="65">
        <f t="shared" si="67"/>
        <v>12020.424998400002</v>
      </c>
      <c r="AL94" s="73">
        <f t="shared" si="36"/>
        <v>5.094027687806013E-4</v>
      </c>
      <c r="AM94" s="14">
        <f t="shared" si="37"/>
        <v>-0.18477613089916445</v>
      </c>
      <c r="AN94" s="9"/>
    </row>
    <row r="95" spans="1:40" ht="14.45" hidden="1" customHeight="1" outlineLevel="1">
      <c r="A95" s="12" t="s">
        <v>191</v>
      </c>
      <c r="B95" s="8" t="s">
        <v>101</v>
      </c>
      <c r="I95" s="228" t="s">
        <v>206</v>
      </c>
      <c r="J95" s="65">
        <v>3912</v>
      </c>
      <c r="K95" s="65">
        <v>3185</v>
      </c>
      <c r="L95" s="65">
        <v>3613</v>
      </c>
      <c r="M95" s="65">
        <v>2549</v>
      </c>
      <c r="N95" s="65">
        <v>2942</v>
      </c>
      <c r="O95" s="65">
        <v>2982</v>
      </c>
      <c r="P95" s="65">
        <v>2903</v>
      </c>
      <c r="Q95" s="65">
        <v>2531</v>
      </c>
      <c r="R95" s="65">
        <v>1874</v>
      </c>
      <c r="S95" s="65">
        <v>2063</v>
      </c>
      <c r="T95" s="65">
        <f t="shared" si="64"/>
        <v>2342.75</v>
      </c>
      <c r="U95" s="65">
        <f t="shared" si="65"/>
        <v>2202.6875</v>
      </c>
      <c r="V95" s="65">
        <f t="shared" si="66"/>
        <v>33099.4375</v>
      </c>
      <c r="W95" s="73">
        <f t="shared" si="35"/>
        <v>1.4771202824115533E-3</v>
      </c>
      <c r="X95" s="89"/>
      <c r="Y95" s="65">
        <f>VLOOKUP($I95,'[15]Gasto Real Vs Presupuesto 2026'!$A$61:$N$84,Y$1,0)</f>
        <v>2514.5107110144004</v>
      </c>
      <c r="Z95" s="65">
        <f>VLOOKUP($I95,'[15]Gasto Real Vs Presupuesto 2026'!$A$61:$N$84,Z$1,0)</f>
        <v>2393.3218176</v>
      </c>
      <c r="AA95" s="65">
        <f>VLOOKUP($I95,'[15]Gasto Real Vs Presupuesto 2026'!$A$61:$N$84,AA$1,0)</f>
        <v>2649.7491552000001</v>
      </c>
      <c r="AB95" s="65">
        <f>VLOOKUP($I95,'[15]Gasto Real Vs Presupuesto 2026'!$A$61:$N$84,AB$1,0)</f>
        <v>2564.2733759999996</v>
      </c>
      <c r="AC95" s="65">
        <f>VLOOKUP($I95,'[15]Gasto Real Vs Presupuesto 2026'!$A$61:$N$84,AC$1,0)</f>
        <v>2649.7491552000001</v>
      </c>
      <c r="AD95" s="65">
        <f>VLOOKUP($I95,'[15]Gasto Real Vs Presupuesto 2026'!$A$61:$N$84,AD$1,0)</f>
        <v>2564.2733759999996</v>
      </c>
      <c r="AE95" s="65">
        <f>VLOOKUP($I95,'[15]Gasto Real Vs Presupuesto 2026'!$A$61:$N$84,AE$1,0)</f>
        <v>2649.7491552000001</v>
      </c>
      <c r="AF95" s="65">
        <f>VLOOKUP($I95,'[15]Gasto Real Vs Presupuesto 2026'!$A$61:$N$84,AF$1,0)</f>
        <v>2649.7491552000001</v>
      </c>
      <c r="AG95" s="65">
        <f>VLOOKUP($I95,'[15]Gasto Real Vs Presupuesto 2026'!$A$61:$N$84,AG$1,0)</f>
        <v>2564.2733759999996</v>
      </c>
      <c r="AH95" s="65">
        <f>VLOOKUP($I95,'[15]Gasto Real Vs Presupuesto 2026'!$A$61:$N$84,AH$1,0)</f>
        <v>2649.7491552000001</v>
      </c>
      <c r="AI95" s="65">
        <f>VLOOKUP($I95,'[15]Gasto Real Vs Presupuesto 2026'!$A$61:$N$84,AI$1,0)</f>
        <v>2564.2733759999996</v>
      </c>
      <c r="AJ95" s="65">
        <f>VLOOKUP($I95,'[15]Gasto Real Vs Presupuesto 2026'!$A$61:$N$84,AJ$1,0)</f>
        <v>2649.7491552000001</v>
      </c>
      <c r="AK95" s="65">
        <f t="shared" si="67"/>
        <v>31063.420963814402</v>
      </c>
      <c r="AL95" s="73">
        <f t="shared" si="36"/>
        <v>1.3164087500126395E-3</v>
      </c>
      <c r="AM95" s="14">
        <f t="shared" si="37"/>
        <v>-6.1512118935120763E-2</v>
      </c>
      <c r="AN95" s="9"/>
    </row>
    <row r="96" spans="1:40" ht="14.45" hidden="1" customHeight="1" outlineLevel="1">
      <c r="A96" s="12" t="s">
        <v>191</v>
      </c>
      <c r="B96" s="8" t="s">
        <v>101</v>
      </c>
      <c r="I96" s="228" t="s">
        <v>207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>
        <v>0</v>
      </c>
      <c r="U96" s="65">
        <f t="shared" si="65"/>
        <v>0</v>
      </c>
      <c r="V96" s="65">
        <f t="shared" si="66"/>
        <v>0</v>
      </c>
      <c r="W96" s="73">
        <f t="shared" si="35"/>
        <v>0</v>
      </c>
      <c r="X96" s="89"/>
      <c r="Y96" s="65">
        <f>VLOOKUP($I96,'[15]Gasto Real Vs Presupuesto 2026'!$A$61:$N$84,Y$1,0)</f>
        <v>0</v>
      </c>
      <c r="Z96" s="65">
        <f>VLOOKUP($I96,'[15]Gasto Real Vs Presupuesto 2026'!$A$61:$N$84,Z$1,0)</f>
        <v>0</v>
      </c>
      <c r="AA96" s="65">
        <f>VLOOKUP($I96,'[15]Gasto Real Vs Presupuesto 2026'!$A$61:$N$84,AA$1,0)</f>
        <v>0</v>
      </c>
      <c r="AB96" s="65">
        <f>VLOOKUP($I96,'[15]Gasto Real Vs Presupuesto 2026'!$A$61:$N$84,AB$1,0)</f>
        <v>0</v>
      </c>
      <c r="AC96" s="65">
        <f>VLOOKUP($I96,'[15]Gasto Real Vs Presupuesto 2026'!$A$61:$N$84,AC$1,0)</f>
        <v>0</v>
      </c>
      <c r="AD96" s="65">
        <f>VLOOKUP($I96,'[15]Gasto Real Vs Presupuesto 2026'!$A$61:$N$84,AD$1,0)</f>
        <v>0</v>
      </c>
      <c r="AE96" s="65">
        <f>VLOOKUP($I96,'[15]Gasto Real Vs Presupuesto 2026'!$A$61:$N$84,AE$1,0)</f>
        <v>0</v>
      </c>
      <c r="AF96" s="65">
        <f>VLOOKUP($I96,'[15]Gasto Real Vs Presupuesto 2026'!$A$61:$N$84,AF$1,0)</f>
        <v>0</v>
      </c>
      <c r="AG96" s="65">
        <f>VLOOKUP($I96,'[15]Gasto Real Vs Presupuesto 2026'!$A$61:$N$84,AG$1,0)</f>
        <v>0</v>
      </c>
      <c r="AH96" s="65">
        <f>VLOOKUP($I96,'[15]Gasto Real Vs Presupuesto 2026'!$A$61:$N$84,AH$1,0)</f>
        <v>0</v>
      </c>
      <c r="AI96" s="65">
        <f>VLOOKUP($I96,'[15]Gasto Real Vs Presupuesto 2026'!$A$61:$N$84,AI$1,0)</f>
        <v>0</v>
      </c>
      <c r="AJ96" s="65">
        <f>VLOOKUP($I96,'[15]Gasto Real Vs Presupuesto 2026'!$A$61:$N$84,AJ$1,0)</f>
        <v>0</v>
      </c>
      <c r="AK96" s="65">
        <f t="shared" si="67"/>
        <v>0</v>
      </c>
      <c r="AL96" s="73">
        <f t="shared" si="36"/>
        <v>0</v>
      </c>
      <c r="AM96" s="14">
        <f t="shared" si="37"/>
        <v>0</v>
      </c>
      <c r="AN96" s="9"/>
    </row>
    <row r="97" spans="1:40" ht="14.45" hidden="1" customHeight="1" outlineLevel="1">
      <c r="A97" s="12" t="s">
        <v>191</v>
      </c>
      <c r="B97" s="8" t="s">
        <v>101</v>
      </c>
      <c r="I97" s="228" t="s">
        <v>209</v>
      </c>
      <c r="J97" s="65">
        <v>6593</v>
      </c>
      <c r="K97" s="65">
        <v>5481</v>
      </c>
      <c r="L97" s="65">
        <v>5857</v>
      </c>
      <c r="M97" s="65">
        <v>4626</v>
      </c>
      <c r="N97" s="65">
        <v>5459</v>
      </c>
      <c r="O97" s="65">
        <v>5317</v>
      </c>
      <c r="P97" s="65">
        <v>4959</v>
      </c>
      <c r="Q97" s="65">
        <v>4201</v>
      </c>
      <c r="R97" s="65">
        <v>3209</v>
      </c>
      <c r="S97" s="65">
        <v>3551</v>
      </c>
      <c r="T97" s="65">
        <f t="shared" si="64"/>
        <v>3980</v>
      </c>
      <c r="U97" s="65">
        <f t="shared" si="65"/>
        <v>3735.25</v>
      </c>
      <c r="V97" s="65">
        <f t="shared" si="66"/>
        <v>56968.25</v>
      </c>
      <c r="W97" s="73">
        <f t="shared" si="35"/>
        <v>2.5423077817709732E-3</v>
      </c>
      <c r="X97" s="89"/>
      <c r="Y97" s="65">
        <f>VLOOKUP($I97,'[15]Gasto Real Vs Presupuesto 2026'!$A$61:$N$84,Y$1,0)</f>
        <v>3814.8004799999999</v>
      </c>
      <c r="Z97" s="65">
        <f>VLOOKUP($I97,'[15]Gasto Real Vs Presupuesto 2026'!$A$61:$N$84,Z$1,0)</f>
        <v>3445.6262400000005</v>
      </c>
      <c r="AA97" s="65">
        <f>VLOOKUP($I97,'[15]Gasto Real Vs Presupuesto 2026'!$A$61:$N$84,AA$1,0)</f>
        <v>3814.8004799999999</v>
      </c>
      <c r="AB97" s="65">
        <f>VLOOKUP($I97,'[15]Gasto Real Vs Presupuesto 2026'!$A$61:$N$84,AB$1,0)</f>
        <v>3691.7424000000001</v>
      </c>
      <c r="AC97" s="65">
        <f>VLOOKUP($I97,'[15]Gasto Real Vs Presupuesto 2026'!$A$61:$N$84,AC$1,0)</f>
        <v>3814.8004799999999</v>
      </c>
      <c r="AD97" s="65">
        <f>VLOOKUP($I97,'[15]Gasto Real Vs Presupuesto 2026'!$A$61:$N$84,AD$1,0)</f>
        <v>3691.7424000000001</v>
      </c>
      <c r="AE97" s="65">
        <f>VLOOKUP($I97,'[15]Gasto Real Vs Presupuesto 2026'!$A$61:$N$84,AE$1,0)</f>
        <v>3814.8004799999999</v>
      </c>
      <c r="AF97" s="65">
        <f>VLOOKUP($I97,'[15]Gasto Real Vs Presupuesto 2026'!$A$61:$N$84,AF$1,0)</f>
        <v>3814.8004799999999</v>
      </c>
      <c r="AG97" s="65">
        <f>VLOOKUP($I97,'[15]Gasto Real Vs Presupuesto 2026'!$A$61:$N$84,AG$1,0)</f>
        <v>3691.7424000000001</v>
      </c>
      <c r="AH97" s="65">
        <f>VLOOKUP($I97,'[15]Gasto Real Vs Presupuesto 2026'!$A$61:$N$84,AH$1,0)</f>
        <v>3814.8004799999999</v>
      </c>
      <c r="AI97" s="65">
        <f>VLOOKUP($I97,'[15]Gasto Real Vs Presupuesto 2026'!$A$61:$N$84,AI$1,0)</f>
        <v>3691.7424000000001</v>
      </c>
      <c r="AJ97" s="65">
        <f>VLOOKUP($I97,'[15]Gasto Real Vs Presupuesto 2026'!$A$61:$N$84,AJ$1,0)</f>
        <v>3814.8004799999999</v>
      </c>
      <c r="AK97" s="65">
        <f t="shared" si="67"/>
        <v>44916.199200000003</v>
      </c>
      <c r="AL97" s="73">
        <f t="shared" si="36"/>
        <v>1.9034631669534619E-3</v>
      </c>
      <c r="AM97" s="14">
        <f t="shared" si="37"/>
        <v>-0.21155732886300693</v>
      </c>
      <c r="AN97" s="9"/>
    </row>
    <row r="98" spans="1:40" ht="14.45" hidden="1" customHeight="1" outlineLevel="1">
      <c r="A98" s="12" t="s">
        <v>191</v>
      </c>
      <c r="B98" s="8" t="s">
        <v>101</v>
      </c>
      <c r="I98" s="228" t="s">
        <v>210</v>
      </c>
      <c r="J98" s="65">
        <v>5689</v>
      </c>
      <c r="K98" s="65">
        <v>4933</v>
      </c>
      <c r="L98" s="65">
        <v>5322</v>
      </c>
      <c r="M98" s="65">
        <v>4232</v>
      </c>
      <c r="N98" s="65">
        <v>4335</v>
      </c>
      <c r="O98" s="65">
        <v>5257</v>
      </c>
      <c r="P98" s="65">
        <v>3839</v>
      </c>
      <c r="Q98" s="65">
        <v>3795</v>
      </c>
      <c r="R98" s="65">
        <v>2464</v>
      </c>
      <c r="S98" s="65">
        <v>3016</v>
      </c>
      <c r="T98" s="65">
        <f t="shared" si="64"/>
        <v>3278.5</v>
      </c>
      <c r="U98" s="65">
        <f t="shared" si="65"/>
        <v>3138.375</v>
      </c>
      <c r="V98" s="65">
        <f t="shared" si="66"/>
        <v>49298.875</v>
      </c>
      <c r="W98" s="73">
        <f t="shared" si="35"/>
        <v>2.2000485102676402E-3</v>
      </c>
      <c r="X98" s="89"/>
      <c r="Y98" s="65">
        <f>VLOOKUP($I98,'[15]Gasto Real Vs Presupuesto 2026'!$A$61:$N$84,Y$1,0)</f>
        <v>2818.1603999999998</v>
      </c>
      <c r="Z98" s="65">
        <f>VLOOKUP($I98,'[15]Gasto Real Vs Presupuesto 2026'!$A$61:$N$84,Z$1,0)</f>
        <v>2545.4351999999999</v>
      </c>
      <c r="AA98" s="65">
        <f>VLOOKUP($I98,'[15]Gasto Real Vs Presupuesto 2026'!$A$61:$N$84,AA$1,0)</f>
        <v>2818.1603999999998</v>
      </c>
      <c r="AB98" s="65">
        <f>VLOOKUP($I98,'[15]Gasto Real Vs Presupuesto 2026'!$A$61:$N$84,AB$1,0)</f>
        <v>2727.2520000000004</v>
      </c>
      <c r="AC98" s="65">
        <f>VLOOKUP($I98,'[15]Gasto Real Vs Presupuesto 2026'!$A$61:$N$84,AC$1,0)</f>
        <v>2818.1603999999998</v>
      </c>
      <c r="AD98" s="65">
        <f>VLOOKUP($I98,'[15]Gasto Real Vs Presupuesto 2026'!$A$61:$N$84,AD$1,0)</f>
        <v>2727.2520000000004</v>
      </c>
      <c r="AE98" s="65">
        <f>VLOOKUP($I98,'[15]Gasto Real Vs Presupuesto 2026'!$A$61:$N$84,AE$1,0)</f>
        <v>2818.1603999999998</v>
      </c>
      <c r="AF98" s="65">
        <f>VLOOKUP($I98,'[15]Gasto Real Vs Presupuesto 2026'!$A$61:$N$84,AF$1,0)</f>
        <v>2818.1603999999998</v>
      </c>
      <c r="AG98" s="65">
        <f>VLOOKUP($I98,'[15]Gasto Real Vs Presupuesto 2026'!$A$61:$N$84,AG$1,0)</f>
        <v>2727.2520000000004</v>
      </c>
      <c r="AH98" s="65">
        <f>VLOOKUP($I98,'[15]Gasto Real Vs Presupuesto 2026'!$A$61:$N$84,AH$1,0)</f>
        <v>2818.1603999999998</v>
      </c>
      <c r="AI98" s="65">
        <f>VLOOKUP($I98,'[15]Gasto Real Vs Presupuesto 2026'!$A$61:$N$84,AI$1,0)</f>
        <v>2727.2520000000004</v>
      </c>
      <c r="AJ98" s="65">
        <f>VLOOKUP($I98,'[15]Gasto Real Vs Presupuesto 2026'!$A$61:$N$84,AJ$1,0)</f>
        <v>2818.1603999999998</v>
      </c>
      <c r="AK98" s="65">
        <f t="shared" si="67"/>
        <v>33181.565999999999</v>
      </c>
      <c r="AL98" s="73">
        <f t="shared" si="36"/>
        <v>1.4061717114932403E-3</v>
      </c>
      <c r="AM98" s="14">
        <f t="shared" si="37"/>
        <v>-0.32693056383132479</v>
      </c>
      <c r="AN98" s="9"/>
    </row>
    <row r="99" spans="1:40" ht="14.45" hidden="1" customHeight="1" outlineLevel="1">
      <c r="A99" s="12" t="s">
        <v>191</v>
      </c>
      <c r="B99" s="8" t="s">
        <v>101</v>
      </c>
      <c r="I99" s="231" t="s">
        <v>211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f t="shared" si="64"/>
        <v>0</v>
      </c>
      <c r="U99" s="65">
        <f t="shared" si="65"/>
        <v>0</v>
      </c>
      <c r="V99" s="65">
        <f t="shared" si="66"/>
        <v>0</v>
      </c>
      <c r="W99" s="73">
        <f t="shared" si="35"/>
        <v>0</v>
      </c>
      <c r="X99" s="89"/>
      <c r="Y99" s="65">
        <f>VLOOKUP($I99,'[15]Gasto Real Vs Presupuesto 2026'!$A$61:$N$84,Y$1,0)</f>
        <v>0</v>
      </c>
      <c r="Z99" s="65">
        <f>VLOOKUP($I99,'[15]Gasto Real Vs Presupuesto 2026'!$A$61:$N$84,Z$1,0)</f>
        <v>0</v>
      </c>
      <c r="AA99" s="65">
        <f>VLOOKUP($I99,'[15]Gasto Real Vs Presupuesto 2026'!$A$61:$N$84,AA$1,0)</f>
        <v>0</v>
      </c>
      <c r="AB99" s="65">
        <f>VLOOKUP($I99,'[15]Gasto Real Vs Presupuesto 2026'!$A$61:$N$84,AB$1,0)</f>
        <v>0</v>
      </c>
      <c r="AC99" s="65">
        <f>VLOOKUP($I99,'[15]Gasto Real Vs Presupuesto 2026'!$A$61:$N$84,AC$1,0)</f>
        <v>0</v>
      </c>
      <c r="AD99" s="65">
        <f>VLOOKUP($I99,'[15]Gasto Real Vs Presupuesto 2026'!$A$61:$N$84,AD$1,0)</f>
        <v>0</v>
      </c>
      <c r="AE99" s="65">
        <f>VLOOKUP($I99,'[15]Gasto Real Vs Presupuesto 2026'!$A$61:$N$84,AE$1,0)</f>
        <v>0</v>
      </c>
      <c r="AF99" s="65">
        <f>VLOOKUP($I99,'[15]Gasto Real Vs Presupuesto 2026'!$A$61:$N$84,AF$1,0)</f>
        <v>0</v>
      </c>
      <c r="AG99" s="65">
        <f>VLOOKUP($I99,'[15]Gasto Real Vs Presupuesto 2026'!$A$61:$N$84,AG$1,0)</f>
        <v>0</v>
      </c>
      <c r="AH99" s="65">
        <f>VLOOKUP($I99,'[15]Gasto Real Vs Presupuesto 2026'!$A$61:$N$84,AH$1,0)</f>
        <v>0</v>
      </c>
      <c r="AI99" s="65">
        <f>VLOOKUP($I99,'[15]Gasto Real Vs Presupuesto 2026'!$A$61:$N$84,AI$1,0)</f>
        <v>0</v>
      </c>
      <c r="AJ99" s="65">
        <f>VLOOKUP($I99,'[15]Gasto Real Vs Presupuesto 2026'!$A$61:$N$84,AJ$1,0)</f>
        <v>0</v>
      </c>
      <c r="AK99" s="65">
        <f t="shared" si="67"/>
        <v>0</v>
      </c>
      <c r="AL99" s="73">
        <f t="shared" si="36"/>
        <v>0</v>
      </c>
      <c r="AM99" s="14">
        <f t="shared" si="37"/>
        <v>0</v>
      </c>
      <c r="AN99" s="9"/>
    </row>
    <row r="100" spans="1:40" ht="14.45" hidden="1" customHeight="1" outlineLevel="1">
      <c r="A100" s="12" t="s">
        <v>191</v>
      </c>
      <c r="B100" s="8" t="s">
        <v>101</v>
      </c>
      <c r="I100" s="228" t="s">
        <v>212</v>
      </c>
      <c r="J100" s="65">
        <v>2021</v>
      </c>
      <c r="K100" s="65">
        <v>1494</v>
      </c>
      <c r="L100" s="65">
        <v>1662</v>
      </c>
      <c r="M100" s="65">
        <v>904</v>
      </c>
      <c r="N100" s="65">
        <v>1397</v>
      </c>
      <c r="O100" s="65">
        <v>1236</v>
      </c>
      <c r="P100" s="65">
        <v>1194</v>
      </c>
      <c r="Q100" s="65">
        <v>1054</v>
      </c>
      <c r="R100" s="65">
        <v>670</v>
      </c>
      <c r="S100" s="65">
        <v>876</v>
      </c>
      <c r="T100" s="65">
        <f t="shared" si="64"/>
        <v>948.5</v>
      </c>
      <c r="U100" s="65">
        <f t="shared" si="65"/>
        <v>887.125</v>
      </c>
      <c r="V100" s="65">
        <f t="shared" si="66"/>
        <v>14343.625</v>
      </c>
      <c r="W100" s="73">
        <f t="shared" si="35"/>
        <v>6.4010934961675453E-4</v>
      </c>
      <c r="X100" s="89"/>
      <c r="Y100" s="65">
        <f>VLOOKUP($I100,'[15]Gasto Real Vs Presupuesto 2026'!$A$61:$N$84,Y$1,0)</f>
        <v>1138.8182568</v>
      </c>
      <c r="Z100" s="65">
        <f>VLOOKUP($I100,'[15]Gasto Real Vs Presupuesto 2026'!$A$61:$N$84,Z$1,0)</f>
        <v>997.21742400000016</v>
      </c>
      <c r="AA100" s="65">
        <f>VLOOKUP($I100,'[15]Gasto Real Vs Presupuesto 2026'!$A$61:$N$84,AA$1,0)</f>
        <v>1104.062148</v>
      </c>
      <c r="AB100" s="65">
        <f>VLOOKUP($I100,'[15]Gasto Real Vs Presupuesto 2026'!$A$61:$N$84,AB$1,0)</f>
        <v>1068.4472400000002</v>
      </c>
      <c r="AC100" s="65">
        <f>VLOOKUP($I100,'[15]Gasto Real Vs Presupuesto 2026'!$A$61:$N$84,AC$1,0)</f>
        <v>1104.062148</v>
      </c>
      <c r="AD100" s="65">
        <f>VLOOKUP($I100,'[15]Gasto Real Vs Presupuesto 2026'!$A$61:$N$84,AD$1,0)</f>
        <v>1068.4472400000002</v>
      </c>
      <c r="AE100" s="65">
        <f>VLOOKUP($I100,'[15]Gasto Real Vs Presupuesto 2026'!$A$61:$N$84,AE$1,0)</f>
        <v>1104.062148</v>
      </c>
      <c r="AF100" s="65">
        <f>VLOOKUP($I100,'[15]Gasto Real Vs Presupuesto 2026'!$A$61:$N$84,AF$1,0)</f>
        <v>1104.062148</v>
      </c>
      <c r="AG100" s="65">
        <f>VLOOKUP($I100,'[15]Gasto Real Vs Presupuesto 2026'!$A$61:$N$84,AG$1,0)</f>
        <v>1068.4472400000002</v>
      </c>
      <c r="AH100" s="65">
        <f>VLOOKUP($I100,'[15]Gasto Real Vs Presupuesto 2026'!$A$61:$N$84,AH$1,0)</f>
        <v>1104.062148</v>
      </c>
      <c r="AI100" s="65">
        <f>VLOOKUP($I100,'[15]Gasto Real Vs Presupuesto 2026'!$A$61:$N$84,AI$1,0)</f>
        <v>1068.4472400000002</v>
      </c>
      <c r="AJ100" s="65">
        <f>VLOOKUP($I100,'[15]Gasto Real Vs Presupuesto 2026'!$A$61:$N$84,AJ$1,0)</f>
        <v>1104.062148</v>
      </c>
      <c r="AK100" s="65">
        <f t="shared" si="67"/>
        <v>13034.197528799999</v>
      </c>
      <c r="AL100" s="73">
        <f t="shared" si="36"/>
        <v>5.5236452212694418E-4</v>
      </c>
      <c r="AM100" s="14">
        <f t="shared" si="37"/>
        <v>-9.1289856727291729E-2</v>
      </c>
      <c r="AN100" s="9"/>
    </row>
    <row r="101" spans="1:40" ht="14.45" hidden="1" customHeight="1" outlineLevel="1">
      <c r="A101" s="12" t="s">
        <v>191</v>
      </c>
      <c r="B101" s="8" t="s">
        <v>101</v>
      </c>
      <c r="I101" s="228" t="s">
        <v>213</v>
      </c>
      <c r="J101" s="65">
        <v>620</v>
      </c>
      <c r="K101" s="65">
        <v>519</v>
      </c>
      <c r="L101" s="65">
        <v>581</v>
      </c>
      <c r="M101" s="65">
        <v>487</v>
      </c>
      <c r="N101" s="65">
        <v>472</v>
      </c>
      <c r="O101" s="65">
        <v>465</v>
      </c>
      <c r="P101" s="65">
        <v>460</v>
      </c>
      <c r="Q101" s="65">
        <v>417</v>
      </c>
      <c r="R101" s="65">
        <v>345</v>
      </c>
      <c r="S101" s="65">
        <v>361</v>
      </c>
      <c r="T101" s="65">
        <f t="shared" si="64"/>
        <v>395.75</v>
      </c>
      <c r="U101" s="65">
        <f t="shared" si="65"/>
        <v>379.6875</v>
      </c>
      <c r="V101" s="65">
        <f t="shared" si="66"/>
        <v>5502.4375</v>
      </c>
      <c r="W101" s="73">
        <f t="shared" si="35"/>
        <v>2.4555589604662986E-4</v>
      </c>
      <c r="X101" s="89"/>
      <c r="Y101" s="65">
        <f>VLOOKUP($I101,'[15]Gasto Real Vs Presupuesto 2026'!$A$61:$N$84,Y$1,0)</f>
        <v>468.00750279452063</v>
      </c>
      <c r="Z101" s="65">
        <f>VLOOKUP($I101,'[15]Gasto Real Vs Presupuesto 2026'!$A$61:$N$84,Z$1,0)</f>
        <v>409.8153797260274</v>
      </c>
      <c r="AA101" s="65">
        <f>VLOOKUP($I101,'[15]Gasto Real Vs Presupuesto 2026'!$A$61:$N$84,AA$1,0)</f>
        <v>453.72417041095889</v>
      </c>
      <c r="AB101" s="65">
        <f>VLOOKUP($I101,'[15]Gasto Real Vs Presupuesto 2026'!$A$61:$N$84,AB$1,0)</f>
        <v>439.08790684931512</v>
      </c>
      <c r="AC101" s="65">
        <f>VLOOKUP($I101,'[15]Gasto Real Vs Presupuesto 2026'!$A$61:$N$84,AC$1,0)</f>
        <v>453.72417041095889</v>
      </c>
      <c r="AD101" s="65">
        <f>VLOOKUP($I101,'[15]Gasto Real Vs Presupuesto 2026'!$A$61:$N$84,AD$1,0)</f>
        <v>439.08790684931512</v>
      </c>
      <c r="AE101" s="65">
        <f>VLOOKUP($I101,'[15]Gasto Real Vs Presupuesto 2026'!$A$61:$N$84,AE$1,0)</f>
        <v>453.72417041095889</v>
      </c>
      <c r="AF101" s="65">
        <f>VLOOKUP($I101,'[15]Gasto Real Vs Presupuesto 2026'!$A$61:$N$84,AF$1,0)</f>
        <v>453.72417041095889</v>
      </c>
      <c r="AG101" s="65">
        <f>VLOOKUP($I101,'[15]Gasto Real Vs Presupuesto 2026'!$A$61:$N$84,AG$1,0)</f>
        <v>439.08790684931512</v>
      </c>
      <c r="AH101" s="65">
        <f>VLOOKUP($I101,'[15]Gasto Real Vs Presupuesto 2026'!$A$61:$N$84,AH$1,0)</f>
        <v>453.72417041095889</v>
      </c>
      <c r="AI101" s="65">
        <f>VLOOKUP($I101,'[15]Gasto Real Vs Presupuesto 2026'!$A$61:$N$84,AI$1,0)</f>
        <v>439.08790684931512</v>
      </c>
      <c r="AJ101" s="65">
        <f>VLOOKUP($I101,'[15]Gasto Real Vs Presupuesto 2026'!$A$61:$N$84,AJ$1,0)</f>
        <v>453.72417041095889</v>
      </c>
      <c r="AK101" s="65">
        <f t="shared" si="67"/>
        <v>5356.5195323835615</v>
      </c>
      <c r="AL101" s="73">
        <f t="shared" si="36"/>
        <v>2.2699911868230584E-4</v>
      </c>
      <c r="AM101" s="14">
        <f t="shared" si="37"/>
        <v>-2.6518786922420934E-2</v>
      </c>
      <c r="AN101" s="9"/>
    </row>
    <row r="102" spans="1:40" ht="14.45" hidden="1" customHeight="1" outlineLevel="1">
      <c r="A102" s="12" t="s">
        <v>191</v>
      </c>
      <c r="B102" s="8" t="s">
        <v>101</v>
      </c>
      <c r="I102" s="228" t="s">
        <v>215</v>
      </c>
      <c r="J102" s="65">
        <v>0</v>
      </c>
      <c r="K102" s="65">
        <v>0</v>
      </c>
      <c r="L102" s="65">
        <v>0</v>
      </c>
      <c r="M102" s="65">
        <v>7637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f t="shared" si="64"/>
        <v>0</v>
      </c>
      <c r="U102" s="65">
        <f t="shared" si="65"/>
        <v>0</v>
      </c>
      <c r="V102" s="65">
        <f t="shared" si="66"/>
        <v>7637</v>
      </c>
      <c r="W102" s="73">
        <f t="shared" si="35"/>
        <v>3.4081448051124835E-4</v>
      </c>
      <c r="X102" s="89"/>
      <c r="Y102" s="65">
        <f>VLOOKUP($I102,'[15]Gasto Real Vs Presupuesto 2026'!$A$61:$N$84,Y$1,0)</f>
        <v>0</v>
      </c>
      <c r="Z102" s="65">
        <f>VLOOKUP($I102,'[15]Gasto Real Vs Presupuesto 2026'!$A$61:$N$84,Z$1,0)</f>
        <v>0</v>
      </c>
      <c r="AA102" s="65">
        <f>VLOOKUP($I102,'[15]Gasto Real Vs Presupuesto 2026'!$A$61:$N$84,AA$1,0)</f>
        <v>0</v>
      </c>
      <c r="AB102" s="65">
        <f>VLOOKUP($I102,'[15]Gasto Real Vs Presupuesto 2026'!$A$61:$N$84,AB$1,0)</f>
        <v>0</v>
      </c>
      <c r="AC102" s="65">
        <f>VLOOKUP($I102,'[15]Gasto Real Vs Presupuesto 2026'!$A$61:$N$84,AC$1,0)</f>
        <v>0</v>
      </c>
      <c r="AD102" s="65">
        <f>VLOOKUP($I102,'[15]Gasto Real Vs Presupuesto 2026'!$A$61:$N$84,AD$1,0)</f>
        <v>0</v>
      </c>
      <c r="AE102" s="65">
        <f>VLOOKUP($I102,'[15]Gasto Real Vs Presupuesto 2026'!$A$61:$N$84,AE$1,0)</f>
        <v>0</v>
      </c>
      <c r="AF102" s="65">
        <f>VLOOKUP($I102,'[15]Gasto Real Vs Presupuesto 2026'!$A$61:$N$84,AF$1,0)</f>
        <v>0</v>
      </c>
      <c r="AG102" s="65">
        <f>VLOOKUP($I102,'[15]Gasto Real Vs Presupuesto 2026'!$A$61:$N$84,AG$1,0)</f>
        <v>0</v>
      </c>
      <c r="AH102" s="65">
        <f>VLOOKUP($I102,'[15]Gasto Real Vs Presupuesto 2026'!$A$61:$N$84,AH$1,0)</f>
        <v>0</v>
      </c>
      <c r="AI102" s="65">
        <f>VLOOKUP($I102,'[15]Gasto Real Vs Presupuesto 2026'!$A$61:$N$84,AI$1,0)</f>
        <v>0</v>
      </c>
      <c r="AJ102" s="65">
        <f>VLOOKUP($I102,'[15]Gasto Real Vs Presupuesto 2026'!$A$61:$N$84,AJ$1,0)</f>
        <v>0</v>
      </c>
      <c r="AK102" s="65">
        <f t="shared" si="67"/>
        <v>0</v>
      </c>
      <c r="AL102" s="73">
        <f t="shared" si="36"/>
        <v>0</v>
      </c>
      <c r="AM102" s="14">
        <f t="shared" si="37"/>
        <v>-1</v>
      </c>
      <c r="AN102" s="9"/>
    </row>
    <row r="103" spans="1:40" ht="14.45" hidden="1" customHeight="1" outlineLevel="1">
      <c r="A103" s="12" t="s">
        <v>191</v>
      </c>
      <c r="B103" s="8" t="s">
        <v>101</v>
      </c>
      <c r="I103" s="228" t="s">
        <v>216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/>
      <c r="T103" s="65">
        <f t="shared" si="64"/>
        <v>0</v>
      </c>
      <c r="U103" s="65">
        <f t="shared" si="65"/>
        <v>0</v>
      </c>
      <c r="V103" s="65">
        <f t="shared" si="66"/>
        <v>0</v>
      </c>
      <c r="W103" s="73">
        <f t="shared" si="35"/>
        <v>0</v>
      </c>
      <c r="X103" s="89"/>
      <c r="Y103" s="65">
        <f>VLOOKUP($I103,'[15]Gasto Real Vs Presupuesto 2026'!$A$61:$N$84,Y$1,0)</f>
        <v>0</v>
      </c>
      <c r="Z103" s="65">
        <f>VLOOKUP($I103,'[15]Gasto Real Vs Presupuesto 2026'!$A$61:$N$84,Z$1,0)</f>
        <v>0</v>
      </c>
      <c r="AA103" s="65">
        <f>VLOOKUP($I103,'[15]Gasto Real Vs Presupuesto 2026'!$A$61:$N$84,AA$1,0)</f>
        <v>0</v>
      </c>
      <c r="AB103" s="65">
        <f>VLOOKUP($I103,'[15]Gasto Real Vs Presupuesto 2026'!$A$61:$N$84,AB$1,0)</f>
        <v>0</v>
      </c>
      <c r="AC103" s="65">
        <f>VLOOKUP($I103,'[15]Gasto Real Vs Presupuesto 2026'!$A$61:$N$84,AC$1,0)</f>
        <v>0</v>
      </c>
      <c r="AD103" s="65">
        <f>VLOOKUP($I103,'[15]Gasto Real Vs Presupuesto 2026'!$A$61:$N$84,AD$1,0)</f>
        <v>0</v>
      </c>
      <c r="AE103" s="65">
        <f>VLOOKUP($I103,'[15]Gasto Real Vs Presupuesto 2026'!$A$61:$N$84,AE$1,0)</f>
        <v>0</v>
      </c>
      <c r="AF103" s="65">
        <f>VLOOKUP($I103,'[15]Gasto Real Vs Presupuesto 2026'!$A$61:$N$84,AF$1,0)</f>
        <v>0</v>
      </c>
      <c r="AG103" s="65">
        <f>VLOOKUP($I103,'[15]Gasto Real Vs Presupuesto 2026'!$A$61:$N$84,AG$1,0)</f>
        <v>0</v>
      </c>
      <c r="AH103" s="65">
        <f>VLOOKUP($I103,'[15]Gasto Real Vs Presupuesto 2026'!$A$61:$N$84,AH$1,0)</f>
        <v>0</v>
      </c>
      <c r="AI103" s="65">
        <f>VLOOKUP($I103,'[15]Gasto Real Vs Presupuesto 2026'!$A$61:$N$84,AI$1,0)</f>
        <v>0</v>
      </c>
      <c r="AJ103" s="65">
        <f>VLOOKUP($I103,'[15]Gasto Real Vs Presupuesto 2026'!$A$61:$N$84,AJ$1,0)</f>
        <v>0</v>
      </c>
      <c r="AK103" s="65">
        <f t="shared" si="67"/>
        <v>0</v>
      </c>
      <c r="AL103" s="73">
        <f t="shared" si="36"/>
        <v>0</v>
      </c>
      <c r="AM103" s="14">
        <f t="shared" si="37"/>
        <v>0</v>
      </c>
      <c r="AN103" s="9"/>
    </row>
    <row r="104" spans="1:40" ht="14.45" hidden="1" customHeight="1" outlineLevel="1">
      <c r="A104" s="12" t="s">
        <v>191</v>
      </c>
      <c r="B104" s="8" t="s">
        <v>101</v>
      </c>
      <c r="I104" s="228" t="s">
        <v>217</v>
      </c>
      <c r="J104" s="65">
        <v>65205</v>
      </c>
      <c r="K104" s="65">
        <v>53082</v>
      </c>
      <c r="L104" s="65">
        <v>60216</v>
      </c>
      <c r="M104" s="65">
        <v>42491</v>
      </c>
      <c r="N104" s="65">
        <v>49039</v>
      </c>
      <c r="O104" s="65">
        <v>49705</v>
      </c>
      <c r="P104" s="65">
        <v>48378</v>
      </c>
      <c r="Q104" s="65">
        <v>42190</v>
      </c>
      <c r="R104" s="65">
        <v>31233</v>
      </c>
      <c r="S104" s="65">
        <v>34384</v>
      </c>
      <c r="T104" s="65">
        <f t="shared" si="64"/>
        <v>39046.25</v>
      </c>
      <c r="U104" s="65">
        <f t="shared" si="65"/>
        <v>36713.3125</v>
      </c>
      <c r="V104" s="65">
        <f t="shared" si="66"/>
        <v>551682.5625</v>
      </c>
      <c r="W104" s="73">
        <f t="shared" si="35"/>
        <v>2.4619799128656777E-2</v>
      </c>
      <c r="X104" s="89"/>
      <c r="Y104" s="65">
        <f>VLOOKUP($I104,'[15]Gasto Real Vs Presupuesto 2026'!$A$61:$N$84,Y$1,0)</f>
        <v>45552.730271999993</v>
      </c>
      <c r="Z104" s="65">
        <f>VLOOKUP($I104,'[15]Gasto Real Vs Presupuesto 2026'!$A$61:$N$84,Z$1,0)</f>
        <v>39888.696960000001</v>
      </c>
      <c r="AA104" s="65">
        <f>VLOOKUP($I104,'[15]Gasto Real Vs Presupuesto 2026'!$A$61:$N$84,AA$1,0)</f>
        <v>44162.485919999999</v>
      </c>
      <c r="AB104" s="65">
        <f>VLOOKUP($I104,'[15]Gasto Real Vs Presupuesto 2026'!$A$61:$N$84,AB$1,0)</f>
        <v>42737.889600000002</v>
      </c>
      <c r="AC104" s="65">
        <f>VLOOKUP($I104,'[15]Gasto Real Vs Presupuesto 2026'!$A$61:$N$84,AC$1,0)</f>
        <v>44162.485919999999</v>
      </c>
      <c r="AD104" s="65">
        <f>VLOOKUP($I104,'[15]Gasto Real Vs Presupuesto 2026'!$A$61:$N$84,AD$1,0)</f>
        <v>42737.889600000002</v>
      </c>
      <c r="AE104" s="65">
        <f>VLOOKUP($I104,'[15]Gasto Real Vs Presupuesto 2026'!$A$61:$N$84,AE$1,0)</f>
        <v>44162.485919999999</v>
      </c>
      <c r="AF104" s="65">
        <f>VLOOKUP($I104,'[15]Gasto Real Vs Presupuesto 2026'!$A$61:$N$84,AF$1,0)</f>
        <v>44162.485919999999</v>
      </c>
      <c r="AG104" s="65">
        <f>VLOOKUP($I104,'[15]Gasto Real Vs Presupuesto 2026'!$A$61:$N$84,AG$1,0)</f>
        <v>42737.889600000002</v>
      </c>
      <c r="AH104" s="65">
        <f>VLOOKUP($I104,'[15]Gasto Real Vs Presupuesto 2026'!$A$61:$N$84,AH$1,0)</f>
        <v>44162.485919999999</v>
      </c>
      <c r="AI104" s="65">
        <f>VLOOKUP($I104,'[15]Gasto Real Vs Presupuesto 2026'!$A$61:$N$84,AI$1,0)</f>
        <v>42737.889600000002</v>
      </c>
      <c r="AJ104" s="65">
        <f>VLOOKUP($I104,'[15]Gasto Real Vs Presupuesto 2026'!$A$61:$N$84,AJ$1,0)</f>
        <v>44162.485919999999</v>
      </c>
      <c r="AK104" s="65">
        <f t="shared" si="67"/>
        <v>521367.90115200001</v>
      </c>
      <c r="AL104" s="73">
        <f t="shared" si="36"/>
        <v>2.2094580885077767E-2</v>
      </c>
      <c r="AM104" s="14">
        <f t="shared" si="37"/>
        <v>-5.4949464435900097E-2</v>
      </c>
      <c r="AN104" s="9"/>
    </row>
    <row r="105" spans="1:40" ht="14.45" hidden="1" customHeight="1" outlineLevel="1">
      <c r="A105" s="12" t="s">
        <v>191</v>
      </c>
      <c r="B105" s="8" t="s">
        <v>101</v>
      </c>
      <c r="I105" s="228" t="s">
        <v>218</v>
      </c>
      <c r="J105" s="65">
        <v>144</v>
      </c>
      <c r="K105" s="65">
        <v>0</v>
      </c>
      <c r="L105" s="65">
        <v>578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f t="shared" si="64"/>
        <v>0</v>
      </c>
      <c r="U105" s="65">
        <f t="shared" si="65"/>
        <v>0</v>
      </c>
      <c r="V105" s="65">
        <f t="shared" si="66"/>
        <v>722</v>
      </c>
      <c r="W105" s="73">
        <f t="shared" si="35"/>
        <v>3.2220512626570817E-5</v>
      </c>
      <c r="X105" s="89"/>
      <c r="Y105" s="65">
        <f>VLOOKUP($I105,'[15]Gasto Real Vs Presupuesto 2026'!$A$61:$N$84,Y$1,0)</f>
        <v>0</v>
      </c>
      <c r="Z105" s="65">
        <f>VLOOKUP($I105,'[15]Gasto Real Vs Presupuesto 2026'!$A$61:$N$84,Z$1,0)</f>
        <v>0</v>
      </c>
      <c r="AA105" s="65">
        <f>VLOOKUP($I105,'[15]Gasto Real Vs Presupuesto 2026'!$A$61:$N$84,AA$1,0)</f>
        <v>0</v>
      </c>
      <c r="AB105" s="65">
        <f>VLOOKUP($I105,'[15]Gasto Real Vs Presupuesto 2026'!$A$61:$N$84,AB$1,0)</f>
        <v>0</v>
      </c>
      <c r="AC105" s="65">
        <f>VLOOKUP($I105,'[15]Gasto Real Vs Presupuesto 2026'!$A$61:$N$84,AC$1,0)</f>
        <v>0</v>
      </c>
      <c r="AD105" s="65">
        <f>VLOOKUP($I105,'[15]Gasto Real Vs Presupuesto 2026'!$A$61:$N$84,AD$1,0)</f>
        <v>0</v>
      </c>
      <c r="AE105" s="65">
        <f>VLOOKUP($I105,'[15]Gasto Real Vs Presupuesto 2026'!$A$61:$N$84,AE$1,0)</f>
        <v>0</v>
      </c>
      <c r="AF105" s="65">
        <f>VLOOKUP($I105,'[15]Gasto Real Vs Presupuesto 2026'!$A$61:$N$84,AF$1,0)</f>
        <v>0</v>
      </c>
      <c r="AG105" s="65">
        <f>VLOOKUP($I105,'[15]Gasto Real Vs Presupuesto 2026'!$A$61:$N$84,AG$1,0)</f>
        <v>0</v>
      </c>
      <c r="AH105" s="65">
        <f>VLOOKUP($I105,'[15]Gasto Real Vs Presupuesto 2026'!$A$61:$N$84,AH$1,0)</f>
        <v>0</v>
      </c>
      <c r="AI105" s="65">
        <f>VLOOKUP($I105,'[15]Gasto Real Vs Presupuesto 2026'!$A$61:$N$84,AI$1,0)</f>
        <v>0</v>
      </c>
      <c r="AJ105" s="65">
        <f>VLOOKUP($I105,'[15]Gasto Real Vs Presupuesto 2026'!$A$61:$N$84,AJ$1,0)</f>
        <v>0</v>
      </c>
      <c r="AK105" s="65">
        <f t="shared" si="67"/>
        <v>0</v>
      </c>
      <c r="AL105" s="73">
        <f t="shared" si="36"/>
        <v>0</v>
      </c>
      <c r="AM105" s="14">
        <f t="shared" si="37"/>
        <v>-1</v>
      </c>
      <c r="AN105" s="9"/>
    </row>
    <row r="106" spans="1:40" ht="14.45" hidden="1" customHeight="1" outlineLevel="1">
      <c r="A106" s="12" t="s">
        <v>191</v>
      </c>
      <c r="B106" s="8" t="s">
        <v>101</v>
      </c>
      <c r="I106" s="228" t="s">
        <v>219</v>
      </c>
      <c r="J106" s="65">
        <v>2471</v>
      </c>
      <c r="K106" s="65">
        <v>2075</v>
      </c>
      <c r="L106" s="65">
        <v>2326</v>
      </c>
      <c r="M106" s="65">
        <v>1950</v>
      </c>
      <c r="N106" s="65">
        <v>1888</v>
      </c>
      <c r="O106" s="65">
        <v>1861</v>
      </c>
      <c r="P106" s="65">
        <v>1839</v>
      </c>
      <c r="Q106" s="65">
        <v>1668</v>
      </c>
      <c r="R106" s="65">
        <v>1379</v>
      </c>
      <c r="S106" s="65">
        <v>1445</v>
      </c>
      <c r="T106" s="65">
        <f t="shared" si="64"/>
        <v>1582.75</v>
      </c>
      <c r="U106" s="65">
        <f t="shared" si="65"/>
        <v>1518.6875</v>
      </c>
      <c r="V106" s="65">
        <f t="shared" si="66"/>
        <v>22003.4375</v>
      </c>
      <c r="W106" s="73">
        <f t="shared" si="35"/>
        <v>9.8194187783478084E-4</v>
      </c>
      <c r="X106" s="89"/>
      <c r="Y106" s="65">
        <f>VLOOKUP($I106,'[15]Gasto Real Vs Presupuesto 2026'!$A$61:$N$84,Y$1,0)</f>
        <v>0</v>
      </c>
      <c r="Z106" s="65">
        <f>VLOOKUP($I106,'[15]Gasto Real Vs Presupuesto 2026'!$A$61:$N$84,Z$1,0)</f>
        <v>0</v>
      </c>
      <c r="AA106" s="65">
        <f>VLOOKUP($I106,'[15]Gasto Real Vs Presupuesto 2026'!$A$61:$N$84,AA$1,0)</f>
        <v>0</v>
      </c>
      <c r="AB106" s="65">
        <f>VLOOKUP($I106,'[15]Gasto Real Vs Presupuesto 2026'!$A$61:$N$84,AB$1,0)</f>
        <v>0</v>
      </c>
      <c r="AC106" s="65">
        <f>VLOOKUP($I106,'[15]Gasto Real Vs Presupuesto 2026'!$A$61:$N$84,AC$1,0)</f>
        <v>0</v>
      </c>
      <c r="AD106" s="65">
        <f>VLOOKUP($I106,'[15]Gasto Real Vs Presupuesto 2026'!$A$61:$N$84,AD$1,0)</f>
        <v>0</v>
      </c>
      <c r="AE106" s="65">
        <f>VLOOKUP($I106,'[15]Gasto Real Vs Presupuesto 2026'!$A$61:$N$84,AE$1,0)</f>
        <v>0</v>
      </c>
      <c r="AF106" s="65">
        <f>VLOOKUP($I106,'[15]Gasto Real Vs Presupuesto 2026'!$A$61:$N$84,AF$1,0)</f>
        <v>0</v>
      </c>
      <c r="AG106" s="65">
        <f>VLOOKUP($I106,'[15]Gasto Real Vs Presupuesto 2026'!$A$61:$N$84,AG$1,0)</f>
        <v>0</v>
      </c>
      <c r="AH106" s="65">
        <f>VLOOKUP($I106,'[15]Gasto Real Vs Presupuesto 2026'!$A$61:$N$84,AH$1,0)</f>
        <v>0</v>
      </c>
      <c r="AI106" s="65">
        <f>VLOOKUP($I106,'[15]Gasto Real Vs Presupuesto 2026'!$A$61:$N$84,AI$1,0)</f>
        <v>0</v>
      </c>
      <c r="AJ106" s="65">
        <f>VLOOKUP($I106,'[15]Gasto Real Vs Presupuesto 2026'!$A$61:$N$84,AJ$1,0)</f>
        <v>0</v>
      </c>
      <c r="AK106" s="65">
        <f t="shared" si="67"/>
        <v>0</v>
      </c>
      <c r="AL106" s="73">
        <f t="shared" si="36"/>
        <v>0</v>
      </c>
      <c r="AM106" s="14">
        <f t="shared" si="37"/>
        <v>-1</v>
      </c>
      <c r="AN106" s="9"/>
    </row>
    <row r="107" spans="1:40" ht="14.45" customHeight="1" collapsed="1">
      <c r="A107" s="12" t="s">
        <v>208</v>
      </c>
      <c r="B107" s="8" t="s">
        <v>101</v>
      </c>
      <c r="I107" s="170" t="s">
        <v>220</v>
      </c>
      <c r="J107" s="15">
        <v>21213</v>
      </c>
      <c r="K107" s="15">
        <v>17309</v>
      </c>
      <c r="L107" s="15">
        <v>20244</v>
      </c>
      <c r="M107" s="15">
        <v>15965</v>
      </c>
      <c r="N107" s="15">
        <v>16884</v>
      </c>
      <c r="O107" s="15">
        <v>16888</v>
      </c>
      <c r="P107" s="15">
        <v>18212</v>
      </c>
      <c r="Q107" s="15">
        <v>15445</v>
      </c>
      <c r="R107" s="15">
        <v>10825</v>
      </c>
      <c r="S107" s="15">
        <v>11125</v>
      </c>
      <c r="T107" s="15">
        <f t="shared" ref="K107:V107" si="68">SUM(T108:T111)</f>
        <v>13901.5</v>
      </c>
      <c r="U107" s="15">
        <f t="shared" si="68"/>
        <v>12823.875</v>
      </c>
      <c r="V107" s="15">
        <f t="shared" si="68"/>
        <v>190834.375</v>
      </c>
      <c r="W107" s="72">
        <f t="shared" si="35"/>
        <v>8.5163177136720909E-3</v>
      </c>
      <c r="X107" s="89"/>
      <c r="Y107" s="15">
        <f>SUM(Y108:Y111)</f>
        <v>16478.815245770111</v>
      </c>
      <c r="Z107" s="15">
        <f t="shared" ref="Z107:AK107" si="69">SUM(Z108:Z111)</f>
        <v>14734.944195748119</v>
      </c>
      <c r="AA107" s="15">
        <f t="shared" si="69"/>
        <v>16087.217844996114</v>
      </c>
      <c r="AB107" s="15">
        <f t="shared" si="69"/>
        <v>15227.709670608057</v>
      </c>
      <c r="AC107" s="15">
        <f t="shared" si="69"/>
        <v>16087.217844996114</v>
      </c>
      <c r="AD107" s="15">
        <f t="shared" si="69"/>
        <v>15227.709670608057</v>
      </c>
      <c r="AE107" s="15">
        <f t="shared" si="69"/>
        <v>15643.029577937043</v>
      </c>
      <c r="AF107" s="15">
        <f t="shared" si="69"/>
        <v>15643.029577937043</v>
      </c>
      <c r="AG107" s="15">
        <f t="shared" si="69"/>
        <v>15636.459961913448</v>
      </c>
      <c r="AH107" s="15">
        <f t="shared" si="69"/>
        <v>15643.029577937043</v>
      </c>
      <c r="AI107" s="15">
        <f t="shared" si="69"/>
        <v>15636.459961913448</v>
      </c>
      <c r="AJ107" s="15">
        <f t="shared" si="69"/>
        <v>16087.217844996114</v>
      </c>
      <c r="AK107" s="15">
        <f t="shared" si="69"/>
        <v>188132.84097536074</v>
      </c>
      <c r="AL107" s="72">
        <f t="shared" si="36"/>
        <v>7.9727122879736483E-3</v>
      </c>
      <c r="AM107" s="10">
        <f t="shared" si="37"/>
        <v>-1.415643289967683E-2</v>
      </c>
      <c r="AN107" s="9"/>
    </row>
    <row r="108" spans="1:40" ht="15" hidden="1" customHeight="1" outlineLevel="1">
      <c r="A108" s="12" t="s">
        <v>208</v>
      </c>
      <c r="B108" s="8" t="s">
        <v>101</v>
      </c>
      <c r="I108" s="218" t="s">
        <v>221</v>
      </c>
      <c r="J108" s="65">
        <v>3845</v>
      </c>
      <c r="K108" s="65">
        <v>3249</v>
      </c>
      <c r="L108" s="65">
        <v>3672</v>
      </c>
      <c r="M108" s="65">
        <v>2778</v>
      </c>
      <c r="N108" s="65">
        <v>3079</v>
      </c>
      <c r="O108" s="65">
        <v>3113</v>
      </c>
      <c r="P108" s="65">
        <v>3460</v>
      </c>
      <c r="Q108" s="65">
        <v>2869</v>
      </c>
      <c r="R108" s="65">
        <v>2115</v>
      </c>
      <c r="S108" s="65">
        <v>2046</v>
      </c>
      <c r="T108" s="65">
        <f t="shared" ref="T108:T111" si="70">+AVERAGE(P108:S108)</f>
        <v>2622.5</v>
      </c>
      <c r="U108" s="65">
        <f t="shared" ref="U108:U111" si="71">+AVERAGE(Q108:T108)</f>
        <v>2413.125</v>
      </c>
      <c r="V108" s="65">
        <f t="shared" ref="V108:V111" si="72">SUM(J108:U108)</f>
        <v>35261.625</v>
      </c>
      <c r="W108" s="73">
        <f t="shared" si="35"/>
        <v>1.5736116808115028E-3</v>
      </c>
      <c r="X108" s="89"/>
      <c r="Y108" s="65">
        <f>VLOOKUP($I108,'[15]Gasto Real Vs Presupuesto 2026'!$A$61:$N$84,Y$1,0)</f>
        <v>2894.6952054300591</v>
      </c>
      <c r="Z108" s="65">
        <f>VLOOKUP($I108,'[15]Gasto Real Vs Presupuesto 2026'!$A$61:$N$84,Z$1,0)</f>
        <v>2587.1746719029356</v>
      </c>
      <c r="AA108" s="65">
        <f>VLOOKUP($I108,'[15]Gasto Real Vs Presupuesto 2026'!$A$61:$N$84,AA$1,0)</f>
        <v>2817.183553774169</v>
      </c>
      <c r="AB108" s="65">
        <f>VLOOKUP($I108,'[15]Gasto Real Vs Presupuesto 2026'!$A$61:$N$84,AB$1,0)</f>
        <v>2655.0381472837576</v>
      </c>
      <c r="AC108" s="65">
        <f>VLOOKUP($I108,'[15]Gasto Real Vs Presupuesto 2026'!$A$61:$N$84,AC$1,0)</f>
        <v>2817.183553774169</v>
      </c>
      <c r="AD108" s="65">
        <f>VLOOKUP($I108,'[15]Gasto Real Vs Presupuesto 2026'!$A$61:$N$84,AD$1,0)</f>
        <v>2655.0381472837576</v>
      </c>
      <c r="AE108" s="65">
        <f>VLOOKUP($I108,'[15]Gasto Real Vs Presupuesto 2026'!$A$61:$N$84,AE$1,0)</f>
        <v>2731.7077745741685</v>
      </c>
      <c r="AF108" s="65">
        <f>VLOOKUP($I108,'[15]Gasto Real Vs Presupuesto 2026'!$A$61:$N$84,AF$1,0)</f>
        <v>2731.7077745741685</v>
      </c>
      <c r="AG108" s="65">
        <f>VLOOKUP($I108,'[15]Gasto Real Vs Presupuesto 2026'!$A$61:$N$84,AG$1,0)</f>
        <v>2740.5139264837571</v>
      </c>
      <c r="AH108" s="65">
        <f>VLOOKUP($I108,'[15]Gasto Real Vs Presupuesto 2026'!$A$61:$N$84,AH$1,0)</f>
        <v>2731.7077745741685</v>
      </c>
      <c r="AI108" s="65">
        <f>VLOOKUP($I108,'[15]Gasto Real Vs Presupuesto 2026'!$A$61:$N$84,AI$1,0)</f>
        <v>2740.5139264837571</v>
      </c>
      <c r="AJ108" s="65">
        <f>VLOOKUP($I108,'[15]Gasto Real Vs Presupuesto 2026'!$A$61:$N$84,AJ$1,0)</f>
        <v>2817.183553774169</v>
      </c>
      <c r="AK108" s="124">
        <f t="shared" si="67"/>
        <v>32919.648009913042</v>
      </c>
      <c r="AL108" s="73">
        <f t="shared" si="36"/>
        <v>1.3950721248012967E-3</v>
      </c>
      <c r="AM108" s="14">
        <f t="shared" si="37"/>
        <v>-6.6417160017071208E-2</v>
      </c>
      <c r="AN108" s="9"/>
    </row>
    <row r="109" spans="1:40" ht="15" hidden="1" customHeight="1" outlineLevel="1">
      <c r="A109" s="12" t="s">
        <v>208</v>
      </c>
      <c r="B109" s="8" t="s">
        <v>101</v>
      </c>
      <c r="I109" s="218" t="s">
        <v>222</v>
      </c>
      <c r="J109" s="65">
        <v>5962</v>
      </c>
      <c r="K109" s="65">
        <v>4919</v>
      </c>
      <c r="L109" s="65">
        <v>5821</v>
      </c>
      <c r="M109" s="65">
        <v>4317</v>
      </c>
      <c r="N109" s="65">
        <v>4802</v>
      </c>
      <c r="O109" s="65">
        <v>4933</v>
      </c>
      <c r="P109" s="65">
        <v>5552</v>
      </c>
      <c r="Q109" s="65">
        <v>4658</v>
      </c>
      <c r="R109" s="65">
        <v>3070</v>
      </c>
      <c r="S109" s="65">
        <v>3257</v>
      </c>
      <c r="T109" s="65">
        <f t="shared" si="70"/>
        <v>4134.25</v>
      </c>
      <c r="U109" s="65">
        <f t="shared" si="71"/>
        <v>3779.8125</v>
      </c>
      <c r="V109" s="65">
        <f t="shared" si="72"/>
        <v>55205.0625</v>
      </c>
      <c r="W109" s="73">
        <f t="shared" si="35"/>
        <v>2.4636224561383393E-3</v>
      </c>
      <c r="X109" s="89"/>
      <c r="Y109" s="65">
        <f>VLOOKUP($I109,'[15]Gasto Real Vs Presupuesto 2026'!$A$61:$N$84,Y$1,0)</f>
        <v>5260.399531566356</v>
      </c>
      <c r="Z109" s="65">
        <f>VLOOKUP($I109,'[15]Gasto Real Vs Presupuesto 2026'!$A$61:$N$84,Z$1,0)</f>
        <v>4683.6536933240232</v>
      </c>
      <c r="AA109" s="65">
        <f>VLOOKUP($I109,'[15]Gasto Real Vs Presupuesto 2026'!$A$61:$N$84,AA$1,0)</f>
        <v>5099.3726304604625</v>
      </c>
      <c r="AB109" s="65">
        <f>VLOOKUP($I109,'[15]Gasto Real Vs Presupuesto 2026'!$A$61:$N$84,AB$1,0)</f>
        <v>4806.3103995615429</v>
      </c>
      <c r="AC109" s="65">
        <f>VLOOKUP($I109,'[15]Gasto Real Vs Presupuesto 2026'!$A$61:$N$84,AC$1,0)</f>
        <v>5099.3726304604625</v>
      </c>
      <c r="AD109" s="65">
        <f>VLOOKUP($I109,'[15]Gasto Real Vs Presupuesto 2026'!$A$61:$N$84,AD$1,0)</f>
        <v>4806.3103995615429</v>
      </c>
      <c r="AE109" s="65">
        <f>VLOOKUP($I109,'[15]Gasto Real Vs Presupuesto 2026'!$A$61:$N$84,AE$1,0)</f>
        <v>4909.4454028533455</v>
      </c>
      <c r="AF109" s="65">
        <f>VLOOKUP($I109,'[15]Gasto Real Vs Presupuesto 2026'!$A$61:$N$84,AF$1,0)</f>
        <v>4909.4454028533455</v>
      </c>
      <c r="AG109" s="65">
        <f>VLOOKUP($I109,'[15]Gasto Real Vs Presupuesto 2026'!$A$61:$N$84,AG$1,0)</f>
        <v>4960.7996514149827</v>
      </c>
      <c r="AH109" s="65">
        <f>VLOOKUP($I109,'[15]Gasto Real Vs Presupuesto 2026'!$A$61:$N$84,AH$1,0)</f>
        <v>4909.4454028533455</v>
      </c>
      <c r="AI109" s="65">
        <f>VLOOKUP($I109,'[15]Gasto Real Vs Presupuesto 2026'!$A$61:$N$84,AI$1,0)</f>
        <v>4960.7996514149827</v>
      </c>
      <c r="AJ109" s="65">
        <f>VLOOKUP($I109,'[15]Gasto Real Vs Presupuesto 2026'!$A$61:$N$84,AJ$1,0)</f>
        <v>5099.3726304604625</v>
      </c>
      <c r="AK109" s="124">
        <f t="shared" si="67"/>
        <v>59504.727426784862</v>
      </c>
      <c r="AL109" s="73">
        <f t="shared" si="36"/>
        <v>2.5216972703356083E-3</v>
      </c>
      <c r="AM109" s="14">
        <f t="shared" si="37"/>
        <v>7.7885337541006461E-2</v>
      </c>
      <c r="AN109" s="9"/>
    </row>
    <row r="110" spans="1:40" ht="15" hidden="1" customHeight="1" outlineLevel="1">
      <c r="A110" s="12" t="s">
        <v>208</v>
      </c>
      <c r="B110" s="8" t="s">
        <v>101</v>
      </c>
      <c r="I110" s="218" t="s">
        <v>223</v>
      </c>
      <c r="J110" s="65">
        <v>8820</v>
      </c>
      <c r="K110" s="65">
        <v>6947</v>
      </c>
      <c r="L110" s="65">
        <v>8111</v>
      </c>
      <c r="M110" s="65">
        <v>6235</v>
      </c>
      <c r="N110" s="65">
        <v>6751</v>
      </c>
      <c r="O110" s="65">
        <v>6700</v>
      </c>
      <c r="P110" s="65">
        <v>7230</v>
      </c>
      <c r="Q110" s="65">
        <v>6086</v>
      </c>
      <c r="R110" s="65">
        <v>3904</v>
      </c>
      <c r="S110" s="65">
        <v>4296</v>
      </c>
      <c r="T110" s="65">
        <f t="shared" si="70"/>
        <v>5379</v>
      </c>
      <c r="U110" s="65">
        <f t="shared" si="71"/>
        <v>4916.25</v>
      </c>
      <c r="V110" s="65">
        <f t="shared" si="72"/>
        <v>75375.25</v>
      </c>
      <c r="W110" s="73">
        <f t="shared" si="35"/>
        <v>3.363752346753368E-3</v>
      </c>
      <c r="X110" s="89"/>
      <c r="Y110" s="124">
        <f>VLOOKUP($I110,'[15]Gasto Real Vs Presupuesto 2026'!$A$61:$N$84,Y$1,0)</f>
        <v>6387.9145591156612</v>
      </c>
      <c r="Z110" s="124">
        <f>VLOOKUP($I110,'[15]Gasto Real Vs Presupuesto 2026'!$A$61:$N$84,Z$1,0)</f>
        <v>5732.0791841794007</v>
      </c>
      <c r="AA110" s="124">
        <f>VLOOKUP($I110,'[15]Gasto Real Vs Presupuesto 2026'!$A$61:$N$84,AA$1,0)</f>
        <v>6281.3627020969825</v>
      </c>
      <c r="AB110" s="124">
        <f>VLOOKUP($I110,'[15]Gasto Real Vs Presupuesto 2026'!$A$61:$N$84,AB$1,0)</f>
        <v>5980.7684033925025</v>
      </c>
      <c r="AC110" s="124">
        <f>VLOOKUP($I110,'[15]Gasto Real Vs Presupuesto 2026'!$A$61:$N$84,AC$1,0)</f>
        <v>6281.3627020969825</v>
      </c>
      <c r="AD110" s="124">
        <f>VLOOKUP($I110,'[15]Gasto Real Vs Presupuesto 2026'!$A$61:$N$84,AD$1,0)</f>
        <v>5980.7684033925025</v>
      </c>
      <c r="AE110" s="124">
        <f>VLOOKUP($I110,'[15]Gasto Real Vs Presupuesto 2026'!$A$61:$N$84,AE$1,0)</f>
        <v>6163.8629093650279</v>
      </c>
      <c r="AF110" s="124">
        <f>VLOOKUP($I110,'[15]Gasto Real Vs Presupuesto 2026'!$A$61:$N$84,AF$1,0)</f>
        <v>6163.8629093650279</v>
      </c>
      <c r="AG110" s="124">
        <f>VLOOKUP($I110,'[15]Gasto Real Vs Presupuesto 2026'!$A$61:$N$84,AG$1,0)</f>
        <v>6098.2681961244552</v>
      </c>
      <c r="AH110" s="124">
        <f>VLOOKUP($I110,'[15]Gasto Real Vs Presupuesto 2026'!$A$61:$N$84,AH$1,0)</f>
        <v>6163.8629093650279</v>
      </c>
      <c r="AI110" s="124">
        <f>VLOOKUP($I110,'[15]Gasto Real Vs Presupuesto 2026'!$A$61:$N$84,AI$1,0)</f>
        <v>6098.2681961244552</v>
      </c>
      <c r="AJ110" s="124">
        <f>VLOOKUP($I110,'[15]Gasto Real Vs Presupuesto 2026'!$A$61:$N$84,AJ$1,0)</f>
        <v>6281.3627020969825</v>
      </c>
      <c r="AK110" s="124">
        <f t="shared" si="67"/>
        <v>73613.743776715026</v>
      </c>
      <c r="AL110" s="73">
        <f t="shared" si="36"/>
        <v>3.1196105716025649E-3</v>
      </c>
      <c r="AM110" s="14">
        <f t="shared" si="37"/>
        <v>-2.336982263123466E-2</v>
      </c>
      <c r="AN110" s="9"/>
    </row>
    <row r="111" spans="1:40" ht="15" hidden="1" customHeight="1" outlineLevel="1">
      <c r="A111" s="12" t="s">
        <v>208</v>
      </c>
      <c r="B111" s="8" t="s">
        <v>101</v>
      </c>
      <c r="I111" t="s">
        <v>406</v>
      </c>
      <c r="J111" s="65">
        <v>2586</v>
      </c>
      <c r="K111" s="65">
        <v>2194</v>
      </c>
      <c r="L111" s="65">
        <v>2640</v>
      </c>
      <c r="M111" s="65">
        <v>2635</v>
      </c>
      <c r="N111" s="65">
        <v>2252</v>
      </c>
      <c r="O111" s="65">
        <v>2142</v>
      </c>
      <c r="P111" s="65">
        <v>1970</v>
      </c>
      <c r="Q111" s="65">
        <v>1832</v>
      </c>
      <c r="R111" s="65">
        <v>1735</v>
      </c>
      <c r="S111" s="65">
        <v>1526</v>
      </c>
      <c r="T111" s="65">
        <f t="shared" si="70"/>
        <v>1765.75</v>
      </c>
      <c r="U111" s="65">
        <f t="shared" si="71"/>
        <v>1714.6875</v>
      </c>
      <c r="V111" s="65">
        <f t="shared" si="72"/>
        <v>24992.4375</v>
      </c>
      <c r="W111" s="73">
        <f t="shared" si="35"/>
        <v>1.1153312299688807E-3</v>
      </c>
      <c r="X111" s="89"/>
      <c r="Y111" s="124">
        <f>VLOOKUP($I111,'[15]Gasto Real Vs Presupuesto 2026'!$A$61:$N$84,Y$1,0)</f>
        <v>1935.8059496580354</v>
      </c>
      <c r="Z111" s="124">
        <f>VLOOKUP($I111,'[15]Gasto Real Vs Presupuesto 2026'!$A$61:$N$84,Z$1,0)</f>
        <v>1732.0366463417611</v>
      </c>
      <c r="AA111" s="124">
        <f>VLOOKUP($I111,'[15]Gasto Real Vs Presupuesto 2026'!$A$61:$N$84,AA$1,0)</f>
        <v>1889.2989586645008</v>
      </c>
      <c r="AB111" s="124">
        <f>VLOOKUP($I111,'[15]Gasto Real Vs Presupuesto 2026'!$A$61:$N$84,AB$1,0)</f>
        <v>1785.5927203702543</v>
      </c>
      <c r="AC111" s="124">
        <f>VLOOKUP($I111,'[15]Gasto Real Vs Presupuesto 2026'!$A$61:$N$84,AC$1,0)</f>
        <v>1889.2989586645008</v>
      </c>
      <c r="AD111" s="124">
        <f>VLOOKUP($I111,'[15]Gasto Real Vs Presupuesto 2026'!$A$61:$N$84,AD$1,0)</f>
        <v>1785.5927203702543</v>
      </c>
      <c r="AE111" s="124">
        <f>VLOOKUP($I111,'[15]Gasto Real Vs Presupuesto 2026'!$A$61:$N$84,AE$1,0)</f>
        <v>1838.0134911445011</v>
      </c>
      <c r="AF111" s="124">
        <f>VLOOKUP($I111,'[15]Gasto Real Vs Presupuesto 2026'!$A$61:$N$84,AF$1,0)</f>
        <v>1838.0134911445011</v>
      </c>
      <c r="AG111" s="124">
        <f>VLOOKUP($I111,'[15]Gasto Real Vs Presupuesto 2026'!$A$61:$N$84,AG$1,0)</f>
        <v>1836.8781878902544</v>
      </c>
      <c r="AH111" s="124">
        <f>VLOOKUP($I111,'[15]Gasto Real Vs Presupuesto 2026'!$A$61:$N$84,AH$1,0)</f>
        <v>1838.0134911445011</v>
      </c>
      <c r="AI111" s="124">
        <f>VLOOKUP($I111,'[15]Gasto Real Vs Presupuesto 2026'!$A$61:$N$84,AI$1,0)</f>
        <v>1836.8781878902544</v>
      </c>
      <c r="AJ111" s="124">
        <f>VLOOKUP($I111,'[15]Gasto Real Vs Presupuesto 2026'!$A$61:$N$84,AJ$1,0)</f>
        <v>1889.2989586645008</v>
      </c>
      <c r="AK111" s="124">
        <f t="shared" si="67"/>
        <v>22094.721761947825</v>
      </c>
      <c r="AL111" s="73">
        <f t="shared" si="36"/>
        <v>9.3633232123417913E-4</v>
      </c>
      <c r="AM111" s="14">
        <f t="shared" si="37"/>
        <v>-0.11594370249209085</v>
      </c>
      <c r="AN111" s="9"/>
    </row>
    <row r="112" spans="1:40" ht="14.45" customHeight="1">
      <c r="A112" s="12" t="s">
        <v>214</v>
      </c>
      <c r="B112" s="8" t="s">
        <v>101</v>
      </c>
      <c r="C112" s="8" t="s">
        <v>91</v>
      </c>
      <c r="I112" s="170" t="s">
        <v>225</v>
      </c>
      <c r="J112" s="15">
        <v>73835</v>
      </c>
      <c r="K112" s="15">
        <v>60391</v>
      </c>
      <c r="L112" s="15">
        <v>31602</v>
      </c>
      <c r="M112" s="15">
        <v>48679</v>
      </c>
      <c r="N112" s="15">
        <v>0</v>
      </c>
      <c r="O112" s="15">
        <v>5250</v>
      </c>
      <c r="P112" s="15">
        <v>49095</v>
      </c>
      <c r="Q112" s="15">
        <v>34044</v>
      </c>
      <c r="R112" s="15">
        <v>25830</v>
      </c>
      <c r="S112" s="15">
        <v>42816</v>
      </c>
      <c r="T112" s="15">
        <v>25053.08</v>
      </c>
      <c r="U112" s="15">
        <v>33373.08</v>
      </c>
      <c r="V112" s="15">
        <f t="shared" ref="K112:V112" si="73">SUM(V113:V147)</f>
        <v>429970.16000000003</v>
      </c>
      <c r="W112" s="72">
        <f t="shared" si="35"/>
        <v>1.9188170317629743E-2</v>
      </c>
      <c r="X112" s="89"/>
      <c r="Y112" s="15">
        <f>SUM(Y113:Y147)</f>
        <v>64318.372299999995</v>
      </c>
      <c r="Z112" s="15">
        <f t="shared" ref="Z112:AK112" si="74">SUM(Z113:Z147)</f>
        <v>29994.043799999999</v>
      </c>
      <c r="AA112" s="15">
        <f t="shared" si="74"/>
        <v>32334.404899999998</v>
      </c>
      <c r="AB112" s="15">
        <f t="shared" si="74"/>
        <v>130411.16499999999</v>
      </c>
      <c r="AC112" s="15">
        <f t="shared" si="74"/>
        <v>32581.793799999999</v>
      </c>
      <c r="AD112" s="15">
        <f t="shared" si="74"/>
        <v>20121.260000000002</v>
      </c>
      <c r="AE112" s="15">
        <f t="shared" si="74"/>
        <v>41470.61</v>
      </c>
      <c r="AF112" s="15">
        <f t="shared" si="74"/>
        <v>29994.043799999999</v>
      </c>
      <c r="AG112" s="15">
        <f t="shared" si="74"/>
        <v>47499.654999999999</v>
      </c>
      <c r="AH112" s="15">
        <f t="shared" si="74"/>
        <v>23744.11</v>
      </c>
      <c r="AI112" s="15">
        <f t="shared" si="74"/>
        <v>24818.543799999999</v>
      </c>
      <c r="AJ112" s="15">
        <f t="shared" si="74"/>
        <v>23330.07</v>
      </c>
      <c r="AK112" s="15">
        <f t="shared" si="74"/>
        <v>500618.0724</v>
      </c>
      <c r="AL112" s="72">
        <f t="shared" si="36"/>
        <v>2.1215242573878367E-2</v>
      </c>
      <c r="AM112" s="10">
        <f t="shared" si="37"/>
        <v>0.16430887296923102</v>
      </c>
      <c r="AN112" s="9"/>
    </row>
    <row r="113" spans="1:40" ht="14.45" customHeight="1" outlineLevel="1">
      <c r="A113" s="12" t="s">
        <v>214</v>
      </c>
      <c r="B113" s="8" t="s">
        <v>101</v>
      </c>
      <c r="I113" s="229" t="s">
        <v>226</v>
      </c>
      <c r="J113" s="65">
        <v>0</v>
      </c>
      <c r="K113" s="65">
        <v>7286</v>
      </c>
      <c r="L113" s="65">
        <v>8640</v>
      </c>
      <c r="M113" s="65">
        <v>10879</v>
      </c>
      <c r="N113" s="65">
        <v>0</v>
      </c>
      <c r="O113" s="65">
        <v>2250</v>
      </c>
      <c r="P113" s="65">
        <v>3700</v>
      </c>
      <c r="Q113" s="65">
        <v>0</v>
      </c>
      <c r="R113" s="65">
        <v>0</v>
      </c>
      <c r="S113" s="65">
        <v>0</v>
      </c>
      <c r="T113" s="65">
        <v>796.12</v>
      </c>
      <c r="U113" s="65">
        <v>796.12</v>
      </c>
      <c r="V113" s="65">
        <f t="shared" ref="V113:V122" si="75">SUM(J113:U113)</f>
        <v>34347.240000000005</v>
      </c>
      <c r="W113" s="73">
        <f t="shared" si="35"/>
        <v>1.5328056511189174E-3</v>
      </c>
      <c r="X113" s="89"/>
      <c r="Y113" s="65">
        <f>VLOOKUP($E$1,[4]Resumen!$C$27:$O$30,Y1,0)+VLOOKUP($E$1,[16]Resumen!$V$8:$AH$11,Y1,0)</f>
        <v>3533.51</v>
      </c>
      <c r="Z113" s="65">
        <f>VLOOKUP($E$1,[4]Resumen!$C$27:$O$30,Z1,0)+VLOOKUP($E$1,[16]Resumen!$V$8:$AH$11,Z1,0)</f>
        <v>3533.51</v>
      </c>
      <c r="AA113" s="65">
        <f>VLOOKUP($E$1,[4]Resumen!$C$27:$O$30,AA1,0)+VLOOKUP($E$1,[16]Resumen!$V$8:$AH$11,AA1,0)</f>
        <v>3533.51</v>
      </c>
      <c r="AB113" s="65">
        <f>VLOOKUP($E$1,[4]Resumen!$C$27:$O$30,AB1,0)+VLOOKUP($E$1,[16]Resumen!$V$8:$AH$11,AB1,0)</f>
        <v>3533.51</v>
      </c>
      <c r="AC113" s="65">
        <f>VLOOKUP($E$1,[4]Resumen!$C$27:$O$30,AC1,0)+VLOOKUP($E$1,[16]Resumen!$V$8:$AH$11,AC1,0)</f>
        <v>3533.51</v>
      </c>
      <c r="AD113" s="65">
        <f>VLOOKUP($E$1,[4]Resumen!$C$27:$O$30,AD1,0)+VLOOKUP($E$1,[16]Resumen!$V$8:$AH$11,AD1,0)</f>
        <v>3533.51</v>
      </c>
      <c r="AE113" s="65">
        <f>VLOOKUP($E$1,[4]Resumen!$C$27:$O$30,AE1,0)+VLOOKUP($E$1,[16]Resumen!$V$8:$AH$11,AE1,0)</f>
        <v>3533.51</v>
      </c>
      <c r="AF113" s="65">
        <f>VLOOKUP($E$1,[4]Resumen!$C$27:$O$30,AF1,0)+VLOOKUP($E$1,[16]Resumen!$V$8:$AH$11,AF1,0)</f>
        <v>3533.51</v>
      </c>
      <c r="AG113" s="65">
        <f>VLOOKUP($E$1,[4]Resumen!$C$27:$O$30,AG1,0)+VLOOKUP($E$1,[16]Resumen!$V$8:$AH$11,AG1,0)</f>
        <v>3533.51</v>
      </c>
      <c r="AH113" s="65">
        <f>VLOOKUP($E$1,[4]Resumen!$C$27:$O$30,AH1,0)+VLOOKUP($E$1,[16]Resumen!$V$8:$AH$11,AH1,0)</f>
        <v>3533.51</v>
      </c>
      <c r="AI113" s="65">
        <f>VLOOKUP($E$1,[4]Resumen!$C$27:$O$30,AI1,0)+VLOOKUP($E$1,[16]Resumen!$V$8:$AH$11,AI1,0)</f>
        <v>3533.51</v>
      </c>
      <c r="AJ113" s="65">
        <f>VLOOKUP($E$1,[4]Resumen!$C$27:$O$30,AJ1,0)+VLOOKUP($E$1,[16]Resumen!$V$8:$AH$11,AJ1,0)</f>
        <v>3533.51</v>
      </c>
      <c r="AK113" s="65">
        <f t="shared" si="67"/>
        <v>42402.120000000017</v>
      </c>
      <c r="AL113" s="73">
        <f t="shared" si="36"/>
        <v>1.796921268011937E-3</v>
      </c>
      <c r="AM113" s="14">
        <f t="shared" si="37"/>
        <v>0.2345131661233919</v>
      </c>
      <c r="AN113" s="9"/>
    </row>
    <row r="114" spans="1:40" ht="14.45" customHeight="1" outlineLevel="1">
      <c r="A114" s="12"/>
      <c r="I114" s="228" t="s">
        <v>227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/>
      <c r="U114" s="65"/>
      <c r="V114" s="65">
        <f t="shared" si="75"/>
        <v>0</v>
      </c>
      <c r="W114" s="73">
        <f t="shared" si="35"/>
        <v>0</v>
      </c>
      <c r="X114" s="89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>
        <f t="shared" si="67"/>
        <v>0</v>
      </c>
      <c r="AL114" s="73">
        <f t="shared" si="36"/>
        <v>0</v>
      </c>
      <c r="AM114" s="14">
        <f t="shared" si="37"/>
        <v>0</v>
      </c>
      <c r="AN114" s="9"/>
    </row>
    <row r="115" spans="1:40" ht="14.45" customHeight="1" outlineLevel="1">
      <c r="A115" s="12"/>
      <c r="I115" s="228" t="s">
        <v>228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/>
      <c r="U115" s="65"/>
      <c r="V115" s="65">
        <f t="shared" si="75"/>
        <v>0</v>
      </c>
      <c r="W115" s="73">
        <f t="shared" si="35"/>
        <v>0</v>
      </c>
      <c r="X115" s="89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>
        <f t="shared" si="67"/>
        <v>0</v>
      </c>
      <c r="AL115" s="73">
        <f t="shared" si="36"/>
        <v>0</v>
      </c>
      <c r="AM115" s="14">
        <f t="shared" si="37"/>
        <v>0</v>
      </c>
      <c r="AN115" s="9"/>
    </row>
    <row r="116" spans="1:40" ht="14.45" customHeight="1" outlineLevel="1">
      <c r="A116" s="12"/>
      <c r="E116" s="7" t="s">
        <v>470</v>
      </c>
      <c r="I116" s="228" t="s">
        <v>229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f t="shared" si="75"/>
        <v>0</v>
      </c>
      <c r="W116" s="73">
        <f t="shared" si="35"/>
        <v>0</v>
      </c>
      <c r="X116" s="89"/>
      <c r="Y116" s="65">
        <f>VLOOKUP($E$1,[7]Resumen!$V$19:$AH$22,Y1,0)</f>
        <v>4657.95</v>
      </c>
      <c r="Z116" s="65">
        <f>VLOOKUP($E$1,[7]Resumen!$V$19:$AH$22,Z1,0)</f>
        <v>0</v>
      </c>
      <c r="AA116" s="65">
        <f>VLOOKUP($E$1,[7]Resumen!$V$19:$AH$22,AA1,0)</f>
        <v>0</v>
      </c>
      <c r="AB116" s="65">
        <f>VLOOKUP($E$1,[7]Resumen!$V$19:$AH$22,AB1,0)</f>
        <v>109927.62</v>
      </c>
      <c r="AC116" s="65">
        <f>VLOOKUP($E$1,[7]Resumen!$V$19:$AH$22,AC1,0)</f>
        <v>0</v>
      </c>
      <c r="AD116" s="65">
        <f>VLOOKUP($E$1,[7]Resumen!$V$19:$AH$22,AD1,0)</f>
        <v>0</v>
      </c>
      <c r="AE116" s="65">
        <f>VLOOKUP($E$1,[7]Resumen!$V$19:$AH$22,AE1,0)</f>
        <v>0</v>
      </c>
      <c r="AF116" s="65">
        <f>VLOOKUP($E$1,[7]Resumen!$V$19:$AH$22,AF1,0)</f>
        <v>0</v>
      </c>
      <c r="AG116" s="65">
        <f>VLOOKUP($E$1,[7]Resumen!$V$19:$AH$22,AG1,0)</f>
        <v>0</v>
      </c>
      <c r="AH116" s="65">
        <f>VLOOKUP($E$1,[7]Resumen!$V$19:$AH$22,AH1,0)</f>
        <v>0</v>
      </c>
      <c r="AI116" s="65">
        <f>VLOOKUP($E$1,[7]Resumen!$V$19:$AH$22,AI1,0)</f>
        <v>0</v>
      </c>
      <c r="AJ116" s="65">
        <f>VLOOKUP($E$1,[7]Resumen!$V$19:$AH$22,AJ1,0)</f>
        <v>0</v>
      </c>
      <c r="AK116" s="65">
        <f t="shared" si="67"/>
        <v>114585.56999999999</v>
      </c>
      <c r="AL116" s="73">
        <f t="shared" si="36"/>
        <v>4.8559187073728971E-3</v>
      </c>
      <c r="AM116" s="14">
        <f t="shared" si="37"/>
        <v>0</v>
      </c>
      <c r="AN116" s="9"/>
    </row>
    <row r="117" spans="1:40" ht="14.45" customHeight="1" outlineLevel="1">
      <c r="A117" s="12"/>
      <c r="I117" s="228" t="s">
        <v>230</v>
      </c>
      <c r="J117" s="65">
        <v>0</v>
      </c>
      <c r="K117" s="65">
        <v>2250</v>
      </c>
      <c r="L117" s="65">
        <v>0</v>
      </c>
      <c r="M117" s="65">
        <v>15000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9400</v>
      </c>
      <c r="T117" s="65">
        <v>0</v>
      </c>
      <c r="U117" s="65">
        <v>0</v>
      </c>
      <c r="V117" s="65">
        <f t="shared" si="75"/>
        <v>26650</v>
      </c>
      <c r="W117" s="73">
        <f t="shared" si="35"/>
        <v>1.1893028552605431E-3</v>
      </c>
      <c r="X117" s="89"/>
      <c r="Y117" s="65">
        <f>VLOOKUP($E$1,[7]Resumen!$V$28:$AH$31,Y1,0)</f>
        <v>0</v>
      </c>
      <c r="Z117" s="65">
        <f>VLOOKUP($E$1,[7]Resumen!$V$28:$AH$31,Z1,0)</f>
        <v>0</v>
      </c>
      <c r="AA117" s="65">
        <f>VLOOKUP($E$1,[7]Resumen!$V$28:$AH$31,AA1,0)</f>
        <v>0</v>
      </c>
      <c r="AB117" s="65">
        <f>VLOOKUP($E$1,[7]Resumen!$V$28:$AH$31,AB1,0)</f>
        <v>0</v>
      </c>
      <c r="AC117" s="65">
        <f>VLOOKUP($E$1,[7]Resumen!$V$28:$AH$31,AC1,0)</f>
        <v>0</v>
      </c>
      <c r="AD117" s="65">
        <f>VLOOKUP($E$1,[7]Resumen!$V$28:$AH$31,AD1,0)</f>
        <v>0</v>
      </c>
      <c r="AE117" s="65">
        <f>VLOOKUP($E$1,[7]Resumen!$V$28:$AH$31,AE1,0)</f>
        <v>0</v>
      </c>
      <c r="AF117" s="65">
        <f>VLOOKUP($E$1,[7]Resumen!$V$28:$AH$31,AF1,0)</f>
        <v>0</v>
      </c>
      <c r="AG117" s="65">
        <f>VLOOKUP($E$1,[7]Resumen!$V$28:$AH$31,AG1,0)</f>
        <v>24842.399999999998</v>
      </c>
      <c r="AH117" s="65">
        <f>VLOOKUP($E$1,[7]Resumen!$V$28:$AH$31,AH1,0)</f>
        <v>0</v>
      </c>
      <c r="AI117" s="65">
        <f>VLOOKUP($E$1,[7]Resumen!$V$28:$AH$31,AI1,0)</f>
        <v>0</v>
      </c>
      <c r="AJ117" s="65">
        <f>VLOOKUP($E$1,[7]Resumen!$V$28:$AH$31,AJ1,0)</f>
        <v>0</v>
      </c>
      <c r="AK117" s="65">
        <f t="shared" si="67"/>
        <v>24842.399999999998</v>
      </c>
      <c r="AL117" s="73">
        <f t="shared" si="36"/>
        <v>1.052773703495479E-3</v>
      </c>
      <c r="AM117" s="14">
        <f t="shared" si="37"/>
        <v>-6.7827392120075158E-2</v>
      </c>
      <c r="AN117" s="9"/>
    </row>
    <row r="118" spans="1:40" ht="14.45" customHeight="1" outlineLevel="1">
      <c r="A118" s="12"/>
      <c r="I118" s="228" t="s">
        <v>231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/>
      <c r="U118" s="65"/>
      <c r="V118" s="65">
        <f t="shared" si="75"/>
        <v>0</v>
      </c>
      <c r="W118" s="73">
        <f t="shared" si="35"/>
        <v>0</v>
      </c>
      <c r="X118" s="89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>
        <f t="shared" si="67"/>
        <v>0</v>
      </c>
      <c r="AL118" s="73">
        <f t="shared" si="36"/>
        <v>0</v>
      </c>
      <c r="AM118" s="14">
        <f t="shared" si="37"/>
        <v>0</v>
      </c>
      <c r="AN118" s="9"/>
    </row>
    <row r="119" spans="1:40" ht="14.45" customHeight="1" outlineLevel="1">
      <c r="A119" s="12"/>
      <c r="I119" s="228" t="s">
        <v>232</v>
      </c>
      <c r="J119" s="65">
        <v>37688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5"/>
        <v>37688</v>
      </c>
      <c r="W119" s="73">
        <f>V119/V$6</f>
        <v>1.6818929084074805E-3</v>
      </c>
      <c r="X119" s="89"/>
      <c r="Y119" s="65">
        <f>VLOOKUP($E$1,[6]Resumen!$V$53:$AH$56,Y1,0)</f>
        <v>37339.162299999996</v>
      </c>
      <c r="Z119" s="65">
        <f>VLOOKUP($E$1,[6]Resumen!$V$53:$AH$56,Z1,0)</f>
        <v>0</v>
      </c>
      <c r="AA119" s="65">
        <f>VLOOKUP($E$1,[6]Resumen!$V$53:$AH$56,AA1,0)</f>
        <v>0</v>
      </c>
      <c r="AB119" s="65">
        <f>VLOOKUP($E$1,[6]Resumen!$V$53:$AH$56,AB1,0)</f>
        <v>0</v>
      </c>
      <c r="AC119" s="65">
        <f>VLOOKUP($E$1,[6]Resumen!$V$53:$AH$56,AC1,0)</f>
        <v>0</v>
      </c>
      <c r="AD119" s="65">
        <f>VLOOKUP($E$1,[6]Resumen!$V$53:$AH$56,AD1,0)</f>
        <v>0</v>
      </c>
      <c r="AE119" s="65">
        <f>VLOOKUP($E$1,[6]Resumen!$V$53:$AH$56,AE1,0)</f>
        <v>0</v>
      </c>
      <c r="AF119" s="65">
        <f>VLOOKUP($E$1,[6]Resumen!$V$53:$AH$56,AF1,0)</f>
        <v>0</v>
      </c>
      <c r="AG119" s="65">
        <f>VLOOKUP($E$1,[6]Resumen!$V$53:$AH$56,AG1,0)</f>
        <v>0</v>
      </c>
      <c r="AH119" s="65">
        <f>VLOOKUP($E$1,[6]Resumen!$V$53:$AH$56,AH1,0)</f>
        <v>0</v>
      </c>
      <c r="AI119" s="65">
        <f>VLOOKUP($E$1,[6]Resumen!$V$53:$AH$56,AI1,0)</f>
        <v>0</v>
      </c>
      <c r="AJ119" s="65">
        <f>VLOOKUP($E$1,[6]Resumen!$V$53:$AH$56,AJ1,0)</f>
        <v>0</v>
      </c>
      <c r="AK119" s="65">
        <f t="shared" si="67"/>
        <v>37339.162299999996</v>
      </c>
      <c r="AL119" s="73">
        <f>AK119/AK$6</f>
        <v>1.5823627419246842E-3</v>
      </c>
      <c r="AM119" s="14">
        <f>IFERROR(AK119/V119-1,0)</f>
        <v>-9.2559355763108808E-3</v>
      </c>
      <c r="AN119" s="9"/>
    </row>
    <row r="120" spans="1:40" ht="14.45" customHeight="1" outlineLevel="1">
      <c r="A120" s="12"/>
      <c r="I120" s="228" t="s">
        <v>233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75"/>
        <v>0</v>
      </c>
      <c r="W120" s="73">
        <f>V120/V$6</f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7"/>
        <v>0</v>
      </c>
      <c r="AL120" s="73">
        <f>AK120/AK$6</f>
        <v>0</v>
      </c>
      <c r="AM120" s="14">
        <f>IFERROR(AK120/V120-1,0)</f>
        <v>0</v>
      </c>
      <c r="AN120" s="9"/>
    </row>
    <row r="121" spans="1:40" ht="14.45" customHeight="1" outlineLevel="1">
      <c r="A121" s="12"/>
      <c r="I121" s="228" t="s">
        <v>234</v>
      </c>
      <c r="J121" s="65">
        <v>8300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/>
      <c r="T121" s="65">
        <v>0</v>
      </c>
      <c r="U121" s="65">
        <v>0</v>
      </c>
      <c r="V121" s="65">
        <f t="shared" si="75"/>
        <v>8300</v>
      </c>
      <c r="W121" s="73">
        <f>V121/V$6</f>
        <v>3.7040201495919359E-4</v>
      </c>
      <c r="X121" s="89"/>
      <c r="Y121" s="65">
        <f>VLOOKUP($E$1,[7]Resumen!$V$37:$AH$40,Y1,0)</f>
        <v>0</v>
      </c>
      <c r="Z121" s="65">
        <f>VLOOKUP($E$1,[7]Resumen!$V$37:$AH$40,Z1,0)</f>
        <v>0</v>
      </c>
      <c r="AA121" s="65">
        <f>VLOOKUP($E$1,[7]Resumen!$V$37:$AH$40,AA1,0)</f>
        <v>0</v>
      </c>
      <c r="AB121" s="65">
        <f>VLOOKUP($E$1,[7]Resumen!$V$37:$AH$40,AB1,0)</f>
        <v>0</v>
      </c>
      <c r="AC121" s="65">
        <f>VLOOKUP($E$1,[7]Resumen!$V$37:$AH$40,AC1,0)</f>
        <v>7763.2499999999991</v>
      </c>
      <c r="AD121" s="65">
        <f>VLOOKUP($E$1,[7]Resumen!$V$37:$AH$40,AD1,0)</f>
        <v>0</v>
      </c>
      <c r="AE121" s="65">
        <f>VLOOKUP($E$1,[7]Resumen!$V$37:$AH$40,AE1,0)</f>
        <v>0</v>
      </c>
      <c r="AF121" s="65">
        <f>VLOOKUP($E$1,[7]Resumen!$V$37:$AH$40,AF1,0)</f>
        <v>0</v>
      </c>
      <c r="AG121" s="65">
        <f>VLOOKUP($E$1,[7]Resumen!$V$37:$AH$40,AG1,0)</f>
        <v>0</v>
      </c>
      <c r="AH121" s="65">
        <f>VLOOKUP($E$1,[7]Resumen!$V$37:$AH$40,AH1,0)</f>
        <v>0</v>
      </c>
      <c r="AI121" s="65">
        <f>VLOOKUP($E$1,[7]Resumen!$V$37:$AH$40,AI1,0)</f>
        <v>0</v>
      </c>
      <c r="AJ121" s="65">
        <f>VLOOKUP($E$1,[7]Resumen!$V$37:$AH$40,AJ1,0)</f>
        <v>0</v>
      </c>
      <c r="AK121" s="65">
        <f t="shared" si="67"/>
        <v>7763.2499999999991</v>
      </c>
      <c r="AL121" s="73">
        <f>AK121/AK$6</f>
        <v>3.2899178234233723E-4</v>
      </c>
      <c r="AM121" s="14">
        <f>IFERROR(AK121/V121-1,0)</f>
        <v>-6.4668674698795336E-2</v>
      </c>
      <c r="AN121" s="9"/>
    </row>
    <row r="122" spans="1:40" ht="14.45" customHeight="1" outlineLevel="1">
      <c r="A122" s="12"/>
      <c r="I122" s="228" t="s">
        <v>235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7100</v>
      </c>
      <c r="T122" s="65"/>
      <c r="U122" s="65"/>
      <c r="V122" s="65">
        <f t="shared" si="75"/>
        <v>7100</v>
      </c>
      <c r="W122" s="73">
        <f>V122/V$6</f>
        <v>3.1684991641087645E-4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7"/>
        <v>0</v>
      </c>
      <c r="AL122" s="73">
        <f>AK122/AK$6</f>
        <v>0</v>
      </c>
      <c r="AM122" s="14">
        <f>IFERROR(AK122/V122-1,0)</f>
        <v>-1</v>
      </c>
      <c r="AN122" s="9"/>
    </row>
    <row r="123" spans="1:40" ht="14.45" customHeight="1" outlineLevel="1">
      <c r="A123" s="12"/>
      <c r="I123" s="228" t="s">
        <v>236</v>
      </c>
      <c r="J123" s="65">
        <v>27847</v>
      </c>
      <c r="K123" s="65">
        <v>18605</v>
      </c>
      <c r="L123" s="65">
        <v>3588</v>
      </c>
      <c r="M123" s="65">
        <v>0</v>
      </c>
      <c r="N123" s="65">
        <v>0</v>
      </c>
      <c r="O123" s="65">
        <v>0</v>
      </c>
      <c r="P123" s="65">
        <v>1021</v>
      </c>
      <c r="Q123" s="65">
        <v>3118</v>
      </c>
      <c r="R123" s="65">
        <v>11675</v>
      </c>
      <c r="S123" s="65">
        <v>2926</v>
      </c>
      <c r="T123" s="65">
        <v>3040.96</v>
      </c>
      <c r="U123" s="65">
        <v>3040.96</v>
      </c>
      <c r="V123" s="65">
        <f t="shared" ref="V123:V147" si="76">SUM(J123:U123)</f>
        <v>74861.920000000013</v>
      </c>
      <c r="W123" s="73">
        <f t="shared" ref="W123:W147" si="77">V123/V$6</f>
        <v>3.3408440977968621E-3</v>
      </c>
      <c r="X123" s="89"/>
      <c r="Y123" s="65">
        <f>VLOOKUP($E$1,[7]Resumen!$V$46:$AH$49,Y1,0)</f>
        <v>2587.75</v>
      </c>
      <c r="Z123" s="65">
        <f>VLOOKUP($E$1,[7]Resumen!$V$46:$AH$49,Z1,0)</f>
        <v>2587.75</v>
      </c>
      <c r="AA123" s="65">
        <f>VLOOKUP($E$1,[7]Resumen!$V$46:$AH$49,AA1,0)</f>
        <v>2587.75</v>
      </c>
      <c r="AB123" s="65">
        <f>VLOOKUP($E$1,[7]Resumen!$V$46:$AH$49,AB1,0)</f>
        <v>2587.75</v>
      </c>
      <c r="AC123" s="65">
        <f>VLOOKUP($E$1,[7]Resumen!$V$46:$AH$49,AC1,0)</f>
        <v>2587.75</v>
      </c>
      <c r="AD123" s="65">
        <f>VLOOKUP($E$1,[7]Resumen!$V$46:$AH$49,AD1,0)</f>
        <v>2587.75</v>
      </c>
      <c r="AE123" s="65">
        <f>VLOOKUP($E$1,[7]Resumen!$V$46:$AH$49,AE1,0)</f>
        <v>2587.75</v>
      </c>
      <c r="AF123" s="65">
        <f>VLOOKUP($E$1,[7]Resumen!$V$46:$AH$49,AF1,0)</f>
        <v>2587.75</v>
      </c>
      <c r="AG123" s="65">
        <f>VLOOKUP($E$1,[7]Resumen!$V$46:$AH$49,AG1,0)</f>
        <v>2587.75</v>
      </c>
      <c r="AH123" s="65">
        <f>VLOOKUP($E$1,[7]Resumen!$V$46:$AH$49,AH1,0)</f>
        <v>2587.75</v>
      </c>
      <c r="AI123" s="65">
        <f>VLOOKUP($E$1,[7]Resumen!$V$46:$AH$49,AI1,0)</f>
        <v>2587.75</v>
      </c>
      <c r="AJ123" s="65">
        <f>VLOOKUP($E$1,[7]Resumen!$V$46:$AH$49,AJ1,0)</f>
        <v>2587.75</v>
      </c>
      <c r="AK123" s="65">
        <f t="shared" ref="AK123:AK133" si="78">SUM(Y123:AJ123)</f>
        <v>31053</v>
      </c>
      <c r="AL123" s="73">
        <f t="shared" ref="AL123:AL133" si="79">AK123/AK$6</f>
        <v>1.3159671293693489E-3</v>
      </c>
      <c r="AM123" s="14">
        <f t="shared" ref="AM123:AM133" si="80">IFERROR(AK123/V123-1,0)</f>
        <v>-0.58519631876927558</v>
      </c>
      <c r="AN123" s="9"/>
    </row>
    <row r="124" spans="1:40" ht="14.45" customHeight="1" outlineLevel="1">
      <c r="A124" s="12"/>
      <c r="I124" s="228" t="s">
        <v>237</v>
      </c>
      <c r="J124" s="65">
        <v>0</v>
      </c>
      <c r="K124" s="65">
        <v>4250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3300</v>
      </c>
      <c r="T124" s="65">
        <v>0</v>
      </c>
      <c r="U124" s="65">
        <v>0</v>
      </c>
      <c r="V124" s="65">
        <f t="shared" si="76"/>
        <v>7550</v>
      </c>
      <c r="W124" s="73">
        <f t="shared" si="77"/>
        <v>3.3693195336649534E-4</v>
      </c>
      <c r="X124" s="89"/>
      <c r="Y124" s="65">
        <f>VLOOKUP($E$1,[7]Resumen!$V$55:$AH$58,Y1,0)</f>
        <v>0</v>
      </c>
      <c r="Z124" s="65">
        <f>VLOOKUP($E$1,[7]Resumen!$V$55:$AH$58,Z1,0)</f>
        <v>0</v>
      </c>
      <c r="AA124" s="65">
        <f>VLOOKUP($E$1,[7]Resumen!$V$55:$AH$58,AA1,0)</f>
        <v>0</v>
      </c>
      <c r="AB124" s="65">
        <f>VLOOKUP($E$1,[7]Resumen!$V$55:$AH$58,AB1,0)</f>
        <v>362.28499999999997</v>
      </c>
      <c r="AC124" s="65">
        <f>VLOOKUP($E$1,[7]Resumen!$V$55:$AH$58,AC1,0)</f>
        <v>0</v>
      </c>
      <c r="AD124" s="65">
        <f>VLOOKUP($E$1,[7]Resumen!$V$55:$AH$58,AD1,0)</f>
        <v>0</v>
      </c>
      <c r="AE124" s="65">
        <f>VLOOKUP($E$1,[7]Resumen!$V$55:$AH$58,AE1,0)</f>
        <v>0</v>
      </c>
      <c r="AF124" s="65">
        <f>VLOOKUP($E$1,[7]Resumen!$V$55:$AH$58,AF1,0)</f>
        <v>0</v>
      </c>
      <c r="AG124" s="65">
        <f>VLOOKUP($E$1,[7]Resumen!$V$55:$AH$58,AG1,0)</f>
        <v>2535.9949999999999</v>
      </c>
      <c r="AH124" s="65">
        <f>VLOOKUP($E$1,[7]Resumen!$V$55:$AH$58,AH1,0)</f>
        <v>0</v>
      </c>
      <c r="AI124" s="65">
        <f>VLOOKUP($E$1,[7]Resumen!$V$55:$AH$58,AI1,0)</f>
        <v>0</v>
      </c>
      <c r="AJ124" s="65">
        <f>VLOOKUP($E$1,[7]Resumen!$V$55:$AH$58,AJ1,0)</f>
        <v>0</v>
      </c>
      <c r="AK124" s="65">
        <f t="shared" si="78"/>
        <v>2898.2799999999997</v>
      </c>
      <c r="AL124" s="73">
        <f t="shared" si="79"/>
        <v>1.2282359874113923E-4</v>
      </c>
      <c r="AM124" s="14">
        <f t="shared" si="80"/>
        <v>-0.61612185430463584</v>
      </c>
      <c r="AN124" s="9"/>
    </row>
    <row r="125" spans="1:40" ht="14.45" customHeight="1" outlineLevel="1">
      <c r="A125" s="12"/>
      <c r="I125" s="228" t="s">
        <v>238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f t="shared" si="76"/>
        <v>0</v>
      </c>
      <c r="W125" s="73">
        <f t="shared" si="77"/>
        <v>0</v>
      </c>
      <c r="X125" s="89"/>
      <c r="Y125" s="65">
        <f>VLOOKUP($E$1,[6]Resumen!$V$62:$AH$65,Y1,0)</f>
        <v>0</v>
      </c>
      <c r="Z125" s="65">
        <f>VLOOKUP($E$1,[6]Resumen!$V$62:$AH$65,Z1,0)</f>
        <v>0</v>
      </c>
      <c r="AA125" s="65">
        <f>VLOOKUP($E$1,[6]Resumen!$V$62:$AH$65,AA1,0)</f>
        <v>3621.8148999999999</v>
      </c>
      <c r="AB125" s="65">
        <f>VLOOKUP($E$1,[6]Resumen!$V$62:$AH$65,AB1,0)</f>
        <v>0</v>
      </c>
      <c r="AC125" s="65">
        <f>VLOOKUP($E$1,[6]Resumen!$V$62:$AH$65,AC1,0)</f>
        <v>0</v>
      </c>
      <c r="AD125" s="65">
        <f>VLOOKUP($E$1,[6]Resumen!$V$62:$AH$65,AD1,0)</f>
        <v>0</v>
      </c>
      <c r="AE125" s="65">
        <f>VLOOKUP($E$1,[6]Resumen!$V$62:$AH$65,AE1,0)</f>
        <v>0</v>
      </c>
      <c r="AF125" s="65">
        <f>VLOOKUP($E$1,[6]Resumen!$V$62:$AH$65,AF1,0)</f>
        <v>0</v>
      </c>
      <c r="AG125" s="65">
        <f>VLOOKUP($E$1,[6]Resumen!$V$62:$AH$65,AG1,0)</f>
        <v>0</v>
      </c>
      <c r="AH125" s="65">
        <f>VLOOKUP($E$1,[6]Resumen!$V$62:$AH$65,AH1,0)</f>
        <v>0</v>
      </c>
      <c r="AI125" s="65">
        <f>VLOOKUP($E$1,[6]Resumen!$V$62:$AH$65,AI1,0)</f>
        <v>0</v>
      </c>
      <c r="AJ125" s="65">
        <f>VLOOKUP($E$1,[6]Resumen!$V$62:$AH$65,AJ1,0)</f>
        <v>0</v>
      </c>
      <c r="AK125" s="65">
        <f t="shared" si="78"/>
        <v>3621.8148999999999</v>
      </c>
      <c r="AL125" s="73">
        <f t="shared" si="79"/>
        <v>1.5348563285544508E-4</v>
      </c>
      <c r="AM125" s="14">
        <f t="shared" si="80"/>
        <v>0</v>
      </c>
      <c r="AN125" s="9"/>
    </row>
    <row r="126" spans="1:40" ht="14.45" customHeight="1" outlineLevel="1">
      <c r="A126" s="12"/>
      <c r="I126" s="228" t="s">
        <v>239</v>
      </c>
      <c r="J126" s="65">
        <v>0</v>
      </c>
      <c r="K126" s="65">
        <v>0</v>
      </c>
      <c r="L126" s="65">
        <v>0</v>
      </c>
      <c r="M126" s="65">
        <v>4800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5500</v>
      </c>
      <c r="U126" s="65">
        <v>5500</v>
      </c>
      <c r="V126" s="65">
        <f t="shared" si="76"/>
        <v>15800</v>
      </c>
      <c r="W126" s="73">
        <f t="shared" si="77"/>
        <v>7.0510263088617575E-4</v>
      </c>
      <c r="X126" s="89"/>
      <c r="Y126" s="65">
        <f>VLOOKUP($E$1,[4]Resumen!$C$36:$O$39,Y1,0)+VLOOKUP($E$1,[7]Resumen!$V$64:$AH$67,Y1,0)</f>
        <v>0</v>
      </c>
      <c r="Z126" s="65">
        <f>VLOOKUP($E$1,[4]Resumen!$C$36:$O$39,Z1,0)+VLOOKUP($E$1,[7]Resumen!$V$64:$AH$67,Z1,0)</f>
        <v>5175.5</v>
      </c>
      <c r="AA126" s="65">
        <f>VLOOKUP($E$1,[4]Resumen!$C$36:$O$39,AA1,0)+VLOOKUP($E$1,[7]Resumen!$V$64:$AH$67,AA1,0)</f>
        <v>0</v>
      </c>
      <c r="AB126" s="65">
        <f>VLOOKUP($E$1,[4]Resumen!$C$36:$O$39,AB1,0)+VLOOKUP($E$1,[7]Resumen!$V$64:$AH$67,AB1,0)</f>
        <v>0</v>
      </c>
      <c r="AC126" s="65">
        <f>VLOOKUP($E$1,[4]Resumen!$C$36:$O$39,AC1,0)+VLOOKUP($E$1,[7]Resumen!$V$64:$AH$67,AC1,0)</f>
        <v>0</v>
      </c>
      <c r="AD126" s="65">
        <f>VLOOKUP($E$1,[4]Resumen!$C$36:$O$39,AD1,0)+VLOOKUP($E$1,[7]Resumen!$V$64:$AH$67,AD1,0)</f>
        <v>0</v>
      </c>
      <c r="AE126" s="65">
        <f>VLOOKUP($E$1,[4]Resumen!$C$36:$O$39,AE1,0)+VLOOKUP($E$1,[7]Resumen!$V$64:$AH$67,AE1,0)</f>
        <v>0</v>
      </c>
      <c r="AF126" s="65">
        <f>VLOOKUP($E$1,[4]Resumen!$C$36:$O$39,AF1,0)+VLOOKUP($E$1,[7]Resumen!$V$64:$AH$67,AF1,0)</f>
        <v>5175.5</v>
      </c>
      <c r="AG126" s="65">
        <f>VLOOKUP($E$1,[4]Resumen!$C$36:$O$39,AG1,0)+VLOOKUP($E$1,[7]Resumen!$V$64:$AH$67,AG1,0)</f>
        <v>0</v>
      </c>
      <c r="AH126" s="65">
        <f>VLOOKUP($E$1,[4]Resumen!$C$36:$O$39,AH1,0)+VLOOKUP($E$1,[7]Resumen!$V$64:$AH$67,AH1,0)</f>
        <v>0</v>
      </c>
      <c r="AI126" s="65">
        <f>VLOOKUP($E$1,[4]Resumen!$C$36:$O$39,AI1,0)+VLOOKUP($E$1,[7]Resumen!$V$64:$AH$67,AI1,0)</f>
        <v>0</v>
      </c>
      <c r="AJ126" s="65">
        <f>VLOOKUP($E$1,[4]Resumen!$C$36:$O$39,AJ1,0)+VLOOKUP($E$1,[7]Resumen!$V$64:$AH$67,AJ1,0)</f>
        <v>0</v>
      </c>
      <c r="AK126" s="65">
        <f t="shared" si="78"/>
        <v>10351</v>
      </c>
      <c r="AL126" s="73">
        <f t="shared" si="79"/>
        <v>4.3865570978978297E-4</v>
      </c>
      <c r="AM126" s="14">
        <f t="shared" si="80"/>
        <v>-0.34487341772151903</v>
      </c>
      <c r="AN126" s="9"/>
    </row>
    <row r="127" spans="1:40" ht="14.45" customHeight="1" outlineLevel="1">
      <c r="A127" s="12"/>
      <c r="I127" s="228" t="s">
        <v>241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2080</v>
      </c>
      <c r="V127" s="65">
        <f t="shared" si="76"/>
        <v>2080</v>
      </c>
      <c r="W127" s="73">
        <f t="shared" si="77"/>
        <v>9.282363748374971E-5</v>
      </c>
      <c r="X127" s="89"/>
      <c r="Y127" s="65">
        <f>VLOOKUP($E$1,[7]Resumen!$V$73:$AH$76,Y1,0)</f>
        <v>0</v>
      </c>
      <c r="Z127" s="65">
        <f>VLOOKUP($E$1,[7]Resumen!$V$73:$AH$76,Z1,0)</f>
        <v>0</v>
      </c>
      <c r="AA127" s="65">
        <f>VLOOKUP($E$1,[7]Resumen!$V$73:$AH$76,AA1,0)</f>
        <v>0</v>
      </c>
      <c r="AB127" s="65">
        <f>VLOOKUP($E$1,[7]Resumen!$V$73:$AH$76,AB1,0)</f>
        <v>0</v>
      </c>
      <c r="AC127" s="65">
        <f>VLOOKUP($E$1,[7]Resumen!$V$73:$AH$76,AC1,0)</f>
        <v>0</v>
      </c>
      <c r="AD127" s="65">
        <f>VLOOKUP($E$1,[7]Resumen!$V$73:$AH$76,AD1,0)</f>
        <v>0</v>
      </c>
      <c r="AE127" s="65">
        <f>VLOOKUP($E$1,[7]Resumen!$V$73:$AH$76,AE1,0)</f>
        <v>0</v>
      </c>
      <c r="AF127" s="65">
        <f>VLOOKUP($E$1,[7]Resumen!$V$73:$AH$76,AF1,0)</f>
        <v>0</v>
      </c>
      <c r="AG127" s="65">
        <f>VLOOKUP($E$1,[7]Resumen!$V$73:$AH$76,AG1,0)</f>
        <v>0</v>
      </c>
      <c r="AH127" s="65">
        <f>VLOOKUP($E$1,[7]Resumen!$V$73:$AH$76,AH1,0)</f>
        <v>0</v>
      </c>
      <c r="AI127" s="65">
        <f>VLOOKUP($E$1,[7]Resumen!$V$73:$AH$76,AI1,0)</f>
        <v>0</v>
      </c>
      <c r="AJ127" s="65">
        <f>VLOOKUP($E$1,[7]Resumen!$V$73:$AH$76,AJ1,0)</f>
        <v>0</v>
      </c>
      <c r="AK127" s="65">
        <f t="shared" si="78"/>
        <v>0</v>
      </c>
      <c r="AL127" s="73">
        <f t="shared" si="79"/>
        <v>0</v>
      </c>
      <c r="AM127" s="14">
        <f t="shared" si="80"/>
        <v>-1</v>
      </c>
      <c r="AN127" s="9"/>
    </row>
    <row r="128" spans="1:40" ht="14.45" customHeight="1" outlineLevel="1">
      <c r="A128" s="12"/>
      <c r="I128" s="228" t="s">
        <v>242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/>
      <c r="U128" s="65"/>
      <c r="V128" s="65">
        <f t="shared" si="76"/>
        <v>0</v>
      </c>
      <c r="W128" s="73">
        <f t="shared" si="77"/>
        <v>0</v>
      </c>
      <c r="X128" s="89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>
        <f t="shared" si="78"/>
        <v>0</v>
      </c>
      <c r="AL128" s="73">
        <f t="shared" si="79"/>
        <v>0</v>
      </c>
      <c r="AM128" s="14">
        <f t="shared" si="80"/>
        <v>0</v>
      </c>
      <c r="AN128" s="9"/>
    </row>
    <row r="129" spans="1:40" ht="14.45" customHeight="1" outlineLevel="1">
      <c r="A129" s="12"/>
      <c r="I129" s="228" t="s">
        <v>243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76"/>
        <v>0</v>
      </c>
      <c r="W129" s="73">
        <f t="shared" si="77"/>
        <v>0</v>
      </c>
      <c r="X129" s="89"/>
      <c r="Y129" s="65">
        <f>VLOOKUP($E$1,[7]Resumen!$V$82:$AH$85,Y1,0)</f>
        <v>0</v>
      </c>
      <c r="Z129" s="65">
        <f>VLOOKUP($E$1,[7]Resumen!$V$82:$AH$85,Z1,0)</f>
        <v>0</v>
      </c>
      <c r="AA129" s="65">
        <f>VLOOKUP($E$1,[7]Resumen!$V$82:$AH$85,AA1,0)</f>
        <v>0</v>
      </c>
      <c r="AB129" s="65">
        <f>VLOOKUP($E$1,[7]Resumen!$V$82:$AH$85,AB1,0)</f>
        <v>0</v>
      </c>
      <c r="AC129" s="65">
        <f>VLOOKUP($E$1,[7]Resumen!$V$82:$AH$85,AC1,0)</f>
        <v>0</v>
      </c>
      <c r="AD129" s="65">
        <f>VLOOKUP($E$1,[7]Resumen!$V$82:$AH$85,AD1,0)</f>
        <v>0</v>
      </c>
      <c r="AE129" s="65">
        <f>VLOOKUP($E$1,[7]Resumen!$V$82:$AH$85,AE1,0)</f>
        <v>0</v>
      </c>
      <c r="AF129" s="65">
        <f>VLOOKUP($E$1,[7]Resumen!$V$82:$AH$85,AF1,0)</f>
        <v>0</v>
      </c>
      <c r="AG129" s="65">
        <f>VLOOKUP($E$1,[7]Resumen!$V$82:$AH$85,AG1,0)</f>
        <v>0</v>
      </c>
      <c r="AH129" s="65">
        <f>VLOOKUP($E$1,[7]Resumen!$V$82:$AH$85,AH1,0)</f>
        <v>0</v>
      </c>
      <c r="AI129" s="65">
        <f>VLOOKUP($E$1,[7]Resumen!$V$82:$AH$85,AI1,0)</f>
        <v>0</v>
      </c>
      <c r="AJ129" s="65">
        <f>VLOOKUP($E$1,[7]Resumen!$V$82:$AH$85,AJ1,0)</f>
        <v>0</v>
      </c>
      <c r="AK129" s="65">
        <f t="shared" si="78"/>
        <v>0</v>
      </c>
      <c r="AL129" s="73">
        <f t="shared" si="79"/>
        <v>0</v>
      </c>
      <c r="AM129" s="14">
        <f t="shared" si="80"/>
        <v>0</v>
      </c>
      <c r="AN129" s="9" t="s">
        <v>452</v>
      </c>
    </row>
    <row r="130" spans="1:40" ht="14.45" customHeight="1" outlineLevel="1">
      <c r="A130" s="12"/>
      <c r="I130" s="228" t="s">
        <v>244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76"/>
        <v>0</v>
      </c>
      <c r="W130" s="73">
        <f t="shared" si="77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78"/>
        <v>0</v>
      </c>
      <c r="AL130" s="73">
        <f t="shared" si="79"/>
        <v>0</v>
      </c>
      <c r="AM130" s="14">
        <f t="shared" si="80"/>
        <v>0</v>
      </c>
      <c r="AN130" s="9"/>
    </row>
    <row r="131" spans="1:40" ht="14.45" customHeight="1" outlineLevel="1">
      <c r="A131" s="12"/>
      <c r="I131" s="228" t="s">
        <v>245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/>
      <c r="U131" s="65"/>
      <c r="V131" s="65">
        <f t="shared" si="76"/>
        <v>0</v>
      </c>
      <c r="W131" s="73">
        <f t="shared" si="77"/>
        <v>0</v>
      </c>
      <c r="X131" s="89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>
        <f t="shared" si="78"/>
        <v>0</v>
      </c>
      <c r="AL131" s="73">
        <f t="shared" si="79"/>
        <v>0</v>
      </c>
      <c r="AM131" s="14">
        <f t="shared" si="80"/>
        <v>0</v>
      </c>
      <c r="AN131" s="9"/>
    </row>
    <row r="132" spans="1:40" ht="14.45" customHeight="1" outlineLevel="1">
      <c r="A132" s="12"/>
      <c r="I132" s="228" t="s">
        <v>247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76"/>
        <v>0</v>
      </c>
      <c r="W132" s="73">
        <f t="shared" si="77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78"/>
        <v>0</v>
      </c>
      <c r="AL132" s="73">
        <f t="shared" si="79"/>
        <v>0</v>
      </c>
      <c r="AM132" s="14">
        <f t="shared" si="80"/>
        <v>0</v>
      </c>
      <c r="AN132" s="9"/>
    </row>
    <row r="133" spans="1:40" ht="14.45" customHeight="1" outlineLevel="1">
      <c r="A133" s="12"/>
      <c r="I133" s="228" t="s">
        <v>248</v>
      </c>
      <c r="J133" s="65">
        <v>0</v>
      </c>
      <c r="K133" s="65">
        <v>0</v>
      </c>
      <c r="L133" s="65">
        <v>2374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f t="shared" si="76"/>
        <v>2374</v>
      </c>
      <c r="W133" s="73">
        <f t="shared" si="77"/>
        <v>1.0594390162808742E-4</v>
      </c>
      <c r="X133" s="89"/>
      <c r="Y133" s="65">
        <f>VLOOKUP($E$1,[4]Resumen!$C$18:$O$21,Y1,0)+VLOOKUP($E$1,[7]Resumen!$V$91:$AH$94,Y1,0)</f>
        <v>2200</v>
      </c>
      <c r="Z133" s="65">
        <f>VLOOKUP($E$1,[4]Resumen!$C$18:$O$21,Z1,0)+VLOOKUP($E$1,[7]Resumen!$V$91:$AH$94,Z1,0)</f>
        <v>0</v>
      </c>
      <c r="AA133" s="65">
        <f>VLOOKUP($E$1,[4]Resumen!$C$18:$O$21,AA1,0)+VLOOKUP($E$1,[7]Resumen!$V$91:$AH$94,AA1,0)</f>
        <v>0</v>
      </c>
      <c r="AB133" s="65">
        <f>VLOOKUP($E$1,[4]Resumen!$C$18:$O$21,AB1,0)+VLOOKUP($E$1,[7]Resumen!$V$91:$AH$94,AB1,0)</f>
        <v>0</v>
      </c>
      <c r="AC133" s="65">
        <f>VLOOKUP($E$1,[4]Resumen!$C$18:$O$21,AC1,0)+VLOOKUP($E$1,[7]Resumen!$V$91:$AH$94,AC1,0)</f>
        <v>0</v>
      </c>
      <c r="AD133" s="65">
        <f>VLOOKUP($E$1,[4]Resumen!$C$18:$O$21,AD1,0)+VLOOKUP($E$1,[7]Resumen!$V$91:$AH$94,AD1,0)</f>
        <v>0</v>
      </c>
      <c r="AE133" s="65">
        <f>VLOOKUP($E$1,[4]Resumen!$C$18:$O$21,AE1,0)+VLOOKUP($E$1,[7]Resumen!$V$91:$AH$94,AE1,0)</f>
        <v>2200</v>
      </c>
      <c r="AF133" s="65">
        <f>VLOOKUP($E$1,[4]Resumen!$C$18:$O$21,AF1,0)+VLOOKUP($E$1,[7]Resumen!$V$91:$AH$94,AF1,0)</f>
        <v>0</v>
      </c>
      <c r="AG133" s="65">
        <f>VLOOKUP($E$1,[4]Resumen!$C$18:$O$21,AG1,0)+VLOOKUP($E$1,[7]Resumen!$V$91:$AH$94,AG1,0)</f>
        <v>0</v>
      </c>
      <c r="AH133" s="65">
        <f>VLOOKUP($E$1,[4]Resumen!$C$18:$O$21,AH1,0)+VLOOKUP($E$1,[7]Resumen!$V$91:$AH$94,AH1,0)</f>
        <v>0</v>
      </c>
      <c r="AI133" s="65">
        <f>VLOOKUP($E$1,[4]Resumen!$C$18:$O$21,AI1,0)+VLOOKUP($E$1,[7]Resumen!$V$91:$AH$94,AI1,0)</f>
        <v>0</v>
      </c>
      <c r="AJ133" s="65">
        <f>VLOOKUP($E$1,[4]Resumen!$C$18:$O$21,AJ1,0)+VLOOKUP($E$1,[7]Resumen!$V$91:$AH$94,AJ1,0)</f>
        <v>0</v>
      </c>
      <c r="AK133" s="65">
        <f t="shared" si="78"/>
        <v>4400</v>
      </c>
      <c r="AL133" s="73">
        <f t="shared" si="79"/>
        <v>1.8646363859289394E-4</v>
      </c>
      <c r="AM133" s="14">
        <f t="shared" si="80"/>
        <v>0.85341196293176069</v>
      </c>
      <c r="AN133" s="9"/>
    </row>
    <row r="134" spans="1:40" ht="14.45" customHeight="1" outlineLevel="1">
      <c r="A134" s="12"/>
      <c r="I134" s="228" t="s">
        <v>249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76"/>
        <v>0</v>
      </c>
      <c r="W134" s="73">
        <f t="shared" si="77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7"/>
        <v>0</v>
      </c>
      <c r="AL134" s="73">
        <f t="shared" si="36"/>
        <v>0</v>
      </c>
      <c r="AM134" s="14">
        <f t="shared" si="37"/>
        <v>0</v>
      </c>
      <c r="AN134" s="9"/>
    </row>
    <row r="135" spans="1:40" ht="14.45" customHeight="1" outlineLevel="1">
      <c r="A135" s="12"/>
      <c r="I135" s="228" t="s">
        <v>250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13927</v>
      </c>
      <c r="R135" s="65">
        <v>155</v>
      </c>
      <c r="S135" s="65">
        <v>6091</v>
      </c>
      <c r="T135" s="65">
        <v>0</v>
      </c>
      <c r="U135" s="65">
        <v>0</v>
      </c>
      <c r="V135" s="65">
        <f t="shared" si="76"/>
        <v>20173</v>
      </c>
      <c r="W135" s="73">
        <f t="shared" si="77"/>
        <v>9.0025540334600143E-4</v>
      </c>
      <c r="X135" s="89"/>
      <c r="Y135" s="65">
        <f>VLOOKUP($E$1,[7]Resumen!$V$100:$AH$103,Y1,0)</f>
        <v>0</v>
      </c>
      <c r="Z135" s="65">
        <f>VLOOKUP($E$1,[7]Resumen!$V$100:$AH$103,Z1,0)</f>
        <v>0</v>
      </c>
      <c r="AA135" s="65">
        <f>VLOOKUP($E$1,[7]Resumen!$V$100:$AH$103,AA1,0)</f>
        <v>0</v>
      </c>
      <c r="AB135" s="65">
        <f>VLOOKUP($E$1,[7]Resumen!$V$100:$AH$103,AB1,0)</f>
        <v>0</v>
      </c>
      <c r="AC135" s="65">
        <f>VLOOKUP($E$1,[7]Resumen!$V$100:$AH$103,AC1,0)</f>
        <v>0</v>
      </c>
      <c r="AD135" s="65">
        <f>VLOOKUP($E$1,[7]Resumen!$V$100:$AH$103,AD1,0)</f>
        <v>0</v>
      </c>
      <c r="AE135" s="65">
        <f>VLOOKUP($E$1,[7]Resumen!$V$100:$AH$103,AE1,0)</f>
        <v>15526.499999999998</v>
      </c>
      <c r="AF135" s="65">
        <f>VLOOKUP($E$1,[7]Resumen!$V$100:$AH$103,AF1,0)</f>
        <v>0</v>
      </c>
      <c r="AG135" s="65">
        <f>VLOOKUP($E$1,[7]Resumen!$V$100:$AH$103,AG1,0)</f>
        <v>0</v>
      </c>
      <c r="AH135" s="65">
        <f>VLOOKUP($E$1,[7]Resumen!$V$100:$AH$103,AH1,0)</f>
        <v>0</v>
      </c>
      <c r="AI135" s="65">
        <f>VLOOKUP($E$1,[7]Resumen!$V$100:$AH$103,AI1,0)</f>
        <v>0</v>
      </c>
      <c r="AJ135" s="65">
        <f>VLOOKUP($E$1,[7]Resumen!$V$100:$AH$103,AJ1,0)</f>
        <v>0</v>
      </c>
      <c r="AK135" s="65">
        <f t="shared" si="67"/>
        <v>15526.499999999998</v>
      </c>
      <c r="AL135" s="73">
        <f t="shared" si="36"/>
        <v>6.5798356468467446E-4</v>
      </c>
      <c r="AM135" s="14">
        <f t="shared" si="37"/>
        <v>-0.23033262281267053</v>
      </c>
      <c r="AN135" s="9"/>
    </row>
    <row r="136" spans="1:40" ht="14.45" customHeight="1" outlineLevel="1">
      <c r="A136" s="12"/>
      <c r="I136" s="228" t="s">
        <v>251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76"/>
        <v>0</v>
      </c>
      <c r="W136" s="73">
        <f t="shared" si="77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7"/>
        <v>0</v>
      </c>
      <c r="AL136" s="73">
        <f t="shared" si="36"/>
        <v>0</v>
      </c>
      <c r="AM136" s="14">
        <f t="shared" si="37"/>
        <v>0</v>
      </c>
      <c r="AN136" s="9"/>
    </row>
    <row r="137" spans="1:40" ht="14.45" customHeight="1" outlineLevel="1">
      <c r="A137" s="12"/>
      <c r="I137" s="228" t="s">
        <v>252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/>
      <c r="U137" s="65"/>
      <c r="V137" s="65">
        <f t="shared" si="76"/>
        <v>0</v>
      </c>
      <c r="W137" s="73">
        <f t="shared" si="77"/>
        <v>0</v>
      </c>
      <c r="X137" s="89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>
        <f t="shared" si="67"/>
        <v>0</v>
      </c>
      <c r="AL137" s="73">
        <f t="shared" si="36"/>
        <v>0</v>
      </c>
      <c r="AM137" s="14">
        <f t="shared" si="37"/>
        <v>0</v>
      </c>
      <c r="AN137" s="9"/>
    </row>
    <row r="138" spans="1:40" ht="14.45" customHeight="1" outlineLevel="1">
      <c r="A138" s="12"/>
      <c r="I138" s="228" t="s">
        <v>253</v>
      </c>
      <c r="J138" s="65">
        <v>0</v>
      </c>
      <c r="K138" s="65">
        <v>0</v>
      </c>
      <c r="L138" s="65">
        <v>0</v>
      </c>
      <c r="M138" s="65">
        <v>4000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f t="shared" si="76"/>
        <v>4000</v>
      </c>
      <c r="W138" s="73">
        <f t="shared" si="77"/>
        <v>1.7850699516105715E-4</v>
      </c>
      <c r="X138" s="89"/>
      <c r="Y138" s="65">
        <f>VLOOKUP($E$1,[7]Resumen!$V$109:$AH$112,Y1,0)</f>
        <v>0</v>
      </c>
      <c r="Z138" s="65">
        <f>VLOOKUP($E$1,[7]Resumen!$V$109:$AH$112,Z1,0)</f>
        <v>0</v>
      </c>
      <c r="AA138" s="65">
        <f>VLOOKUP($E$1,[7]Resumen!$V$109:$AH$112,AA1,0)</f>
        <v>4968.4799999999996</v>
      </c>
      <c r="AB138" s="65">
        <f>VLOOKUP($E$1,[7]Resumen!$V$109:$AH$112,AB1,0)</f>
        <v>0</v>
      </c>
      <c r="AC138" s="65">
        <f>VLOOKUP($E$1,[7]Resumen!$V$109:$AH$112,AC1,0)</f>
        <v>0</v>
      </c>
      <c r="AD138" s="65">
        <f>VLOOKUP($E$1,[7]Resumen!$V$109:$AH$112,AD1,0)</f>
        <v>0</v>
      </c>
      <c r="AE138" s="65">
        <f>VLOOKUP($E$1,[7]Resumen!$V$109:$AH$112,AE1,0)</f>
        <v>0</v>
      </c>
      <c r="AF138" s="65">
        <f>VLOOKUP($E$1,[7]Resumen!$V$109:$AH$112,AF1,0)</f>
        <v>0</v>
      </c>
      <c r="AG138" s="65">
        <f>VLOOKUP($E$1,[7]Resumen!$V$109:$AH$112,AG1,0)</f>
        <v>0</v>
      </c>
      <c r="AH138" s="65">
        <f>VLOOKUP($E$1,[7]Resumen!$V$109:$AH$112,AH1,0)</f>
        <v>0</v>
      </c>
      <c r="AI138" s="65">
        <f>VLOOKUP($E$1,[7]Resumen!$V$109:$AH$112,AI1,0)</f>
        <v>0</v>
      </c>
      <c r="AJ138" s="65">
        <f>VLOOKUP($E$1,[7]Resumen!$V$109:$AH$112,AJ1,0)</f>
        <v>0</v>
      </c>
      <c r="AK138" s="65">
        <f t="shared" si="67"/>
        <v>4968.4799999999996</v>
      </c>
      <c r="AL138" s="73">
        <f t="shared" si="36"/>
        <v>2.1055474069909581E-4</v>
      </c>
      <c r="AM138" s="14">
        <f t="shared" si="37"/>
        <v>0.24211999999999989</v>
      </c>
      <c r="AN138" s="9"/>
    </row>
    <row r="139" spans="1:40" ht="14.45" customHeight="1" outlineLevel="1">
      <c r="A139" s="12"/>
      <c r="E139" s="7" t="s">
        <v>254</v>
      </c>
      <c r="I139" s="228" t="s">
        <v>254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f t="shared" si="76"/>
        <v>0</v>
      </c>
      <c r="W139" s="73">
        <f t="shared" si="77"/>
        <v>0</v>
      </c>
      <c r="X139" s="89"/>
      <c r="Y139" s="65">
        <f>VLOOKUP($E$1,[7]Resumen!$V$118:$AH$121,Y1,0)</f>
        <v>0</v>
      </c>
      <c r="Z139" s="65">
        <f>VLOOKUP($E$1,[7]Resumen!$V$118:$AH$121,Z1,0)</f>
        <v>0</v>
      </c>
      <c r="AA139" s="65">
        <f>VLOOKUP($E$1,[7]Resumen!$V$118:$AH$121,AA1,0)</f>
        <v>0</v>
      </c>
      <c r="AB139" s="65">
        <f>VLOOKUP($E$1,[7]Resumen!$V$118:$AH$121,AB1,0)</f>
        <v>0</v>
      </c>
      <c r="AC139" s="65">
        <f>VLOOKUP($E$1,[7]Resumen!$V$118:$AH$121,AC1,0)</f>
        <v>0</v>
      </c>
      <c r="AD139" s="65">
        <f>VLOOKUP($E$1,[7]Resumen!$V$118:$AH$121,AD1,0)</f>
        <v>0</v>
      </c>
      <c r="AE139" s="65">
        <f>VLOOKUP($E$1,[7]Resumen!$V$118:$AH$121,AE1,0)</f>
        <v>0</v>
      </c>
      <c r="AF139" s="65">
        <f>VLOOKUP($E$1,[7]Resumen!$V$118:$AH$121,AF1,0)</f>
        <v>0</v>
      </c>
      <c r="AG139" s="65">
        <f>VLOOKUP($E$1,[7]Resumen!$V$118:$AH$121,AG1,0)</f>
        <v>0</v>
      </c>
      <c r="AH139" s="65">
        <f>VLOOKUP($E$1,[7]Resumen!$V$118:$AH$121,AH1,0)</f>
        <v>0</v>
      </c>
      <c r="AI139" s="65">
        <f>VLOOKUP($E$1,[7]Resumen!$V$118:$AH$121,AI1,0)</f>
        <v>0</v>
      </c>
      <c r="AJ139" s="65">
        <f>VLOOKUP($E$1,[7]Resumen!$V$118:$AH$121,AJ1,0)</f>
        <v>0</v>
      </c>
      <c r="AK139" s="65">
        <f t="shared" si="67"/>
        <v>0</v>
      </c>
      <c r="AL139" s="73">
        <f t="shared" si="36"/>
        <v>0</v>
      </c>
      <c r="AM139" s="14">
        <f t="shared" si="37"/>
        <v>0</v>
      </c>
      <c r="AN139" s="9" t="s">
        <v>452</v>
      </c>
    </row>
    <row r="140" spans="1:40" ht="14.45" customHeight="1" outlineLevel="1">
      <c r="A140" s="12"/>
      <c r="I140" s="228" t="s">
        <v>255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6"/>
        <v>0</v>
      </c>
      <c r="W140" s="73">
        <f t="shared" si="77"/>
        <v>0</v>
      </c>
      <c r="X140" s="89"/>
      <c r="Y140" s="65">
        <f>VLOOKUP($E$1,[7]Resumen!$V$127:$AH$130,Y1,0)</f>
        <v>0</v>
      </c>
      <c r="Z140" s="65">
        <f>VLOOKUP($E$1,[7]Resumen!$V$127:$AH$130,Z1,0)</f>
        <v>0</v>
      </c>
      <c r="AA140" s="65">
        <f>VLOOKUP($E$1,[7]Resumen!$V$127:$AH$130,AA1,0)</f>
        <v>3622.8499999999995</v>
      </c>
      <c r="AB140" s="65">
        <f>VLOOKUP($E$1,[7]Resumen!$V$127:$AH$130,AB1,0)</f>
        <v>0</v>
      </c>
      <c r="AC140" s="65">
        <f>VLOOKUP($E$1,[7]Resumen!$V$127:$AH$130,AC1,0)</f>
        <v>0</v>
      </c>
      <c r="AD140" s="65">
        <f>VLOOKUP($E$1,[7]Resumen!$V$127:$AH$130,AD1,0)</f>
        <v>0</v>
      </c>
      <c r="AE140" s="65">
        <f>VLOOKUP($E$1,[7]Resumen!$V$127:$AH$130,AE1,0)</f>
        <v>3622.8499999999995</v>
      </c>
      <c r="AF140" s="65">
        <f>VLOOKUP($E$1,[7]Resumen!$V$127:$AH$130,AF1,0)</f>
        <v>0</v>
      </c>
      <c r="AG140" s="65">
        <f>VLOOKUP($E$1,[7]Resumen!$V$127:$AH$130,AG1,0)</f>
        <v>0</v>
      </c>
      <c r="AH140" s="65">
        <f>VLOOKUP($E$1,[7]Resumen!$V$127:$AH$130,AH1,0)</f>
        <v>3622.8499999999995</v>
      </c>
      <c r="AI140" s="65">
        <f>VLOOKUP($E$1,[7]Resumen!$V$127:$AH$130,AI1,0)</f>
        <v>0</v>
      </c>
      <c r="AJ140" s="65">
        <f>VLOOKUP($E$1,[7]Resumen!$V$127:$AH$130,AJ1,0)</f>
        <v>0</v>
      </c>
      <c r="AK140" s="65">
        <f t="shared" si="67"/>
        <v>10868.55</v>
      </c>
      <c r="AL140" s="73">
        <f t="shared" si="36"/>
        <v>4.6058849527927213E-4</v>
      </c>
      <c r="AM140" s="14">
        <f t="shared" si="37"/>
        <v>0</v>
      </c>
      <c r="AN140" s="9"/>
    </row>
    <row r="141" spans="1:40" ht="14.45" customHeight="1" outlineLevel="1">
      <c r="A141" s="12"/>
      <c r="I141" s="228" t="s">
        <v>256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/>
      <c r="U141" s="65"/>
      <c r="V141" s="65">
        <f t="shared" si="76"/>
        <v>0</v>
      </c>
      <c r="W141" s="73">
        <f t="shared" si="77"/>
        <v>0</v>
      </c>
      <c r="X141" s="89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>
        <f t="shared" si="67"/>
        <v>0</v>
      </c>
      <c r="AL141" s="73">
        <f t="shared" si="36"/>
        <v>0</v>
      </c>
      <c r="AM141" s="14">
        <f t="shared" si="37"/>
        <v>0</v>
      </c>
      <c r="AN141" s="9"/>
    </row>
    <row r="142" spans="1:40" ht="14.45" customHeight="1" outlineLevel="1">
      <c r="A142" s="12"/>
      <c r="I142" s="228" t="s">
        <v>257</v>
      </c>
      <c r="J142" s="65">
        <v>0</v>
      </c>
      <c r="K142" s="65">
        <v>0</v>
      </c>
      <c r="L142" s="65">
        <v>3000</v>
      </c>
      <c r="M142" s="65">
        <v>0</v>
      </c>
      <c r="N142" s="65">
        <v>0</v>
      </c>
      <c r="O142" s="65">
        <v>3000</v>
      </c>
      <c r="P142" s="65">
        <v>0</v>
      </c>
      <c r="Q142" s="65">
        <v>3000</v>
      </c>
      <c r="R142" s="65">
        <v>0</v>
      </c>
      <c r="S142" s="65">
        <v>0</v>
      </c>
      <c r="T142" s="65">
        <v>1716</v>
      </c>
      <c r="U142" s="65">
        <v>1716</v>
      </c>
      <c r="V142" s="65">
        <f t="shared" si="76"/>
        <v>12432</v>
      </c>
      <c r="W142" s="73">
        <f t="shared" si="77"/>
        <v>5.5479974096056561E-4</v>
      </c>
      <c r="X142" s="89"/>
      <c r="Y142" s="65">
        <f>VLOOKUP($E$1,[7]Resumen!$V$136:$AH$139,Y1,0)</f>
        <v>0</v>
      </c>
      <c r="Z142" s="65">
        <f>VLOOKUP($E$1,[7]Resumen!$V$136:$AH$139,Z1,0)</f>
        <v>3726.3599999999997</v>
      </c>
      <c r="AA142" s="65">
        <f>VLOOKUP($E$1,[7]Resumen!$V$136:$AH$139,AA1,0)</f>
        <v>0</v>
      </c>
      <c r="AB142" s="65">
        <f>VLOOKUP($E$1,[7]Resumen!$V$136:$AH$139,AB1,0)</f>
        <v>0</v>
      </c>
      <c r="AC142" s="65">
        <f>VLOOKUP($E$1,[7]Resumen!$V$136:$AH$139,AC1,0)</f>
        <v>3726.3599999999997</v>
      </c>
      <c r="AD142" s="65">
        <f>VLOOKUP($E$1,[7]Resumen!$V$136:$AH$139,AD1,0)</f>
        <v>0</v>
      </c>
      <c r="AE142" s="65">
        <f>VLOOKUP($E$1,[7]Resumen!$V$136:$AH$139,AE1,0)</f>
        <v>0</v>
      </c>
      <c r="AF142" s="65">
        <f>VLOOKUP($E$1,[7]Resumen!$V$136:$AH$139,AF1,0)</f>
        <v>3726.3599999999997</v>
      </c>
      <c r="AG142" s="65">
        <f>VLOOKUP($E$1,[7]Resumen!$V$136:$AH$139,AG1,0)</f>
        <v>0</v>
      </c>
      <c r="AH142" s="65">
        <f>VLOOKUP($E$1,[7]Resumen!$V$136:$AH$139,AH1,0)</f>
        <v>0</v>
      </c>
      <c r="AI142" s="65">
        <f>VLOOKUP($E$1,[7]Resumen!$V$136:$AH$139,AI1,0)</f>
        <v>3726.3599999999997</v>
      </c>
      <c r="AJ142" s="65">
        <f>VLOOKUP($E$1,[7]Resumen!$V$136:$AH$139,AJ1,0)</f>
        <v>0</v>
      </c>
      <c r="AK142" s="65">
        <f t="shared" si="67"/>
        <v>14905.439999999999</v>
      </c>
      <c r="AL142" s="73">
        <f t="shared" si="36"/>
        <v>6.3166422209728749E-4</v>
      </c>
      <c r="AM142" s="14">
        <f t="shared" si="37"/>
        <v>0.19895752895752894</v>
      </c>
      <c r="AN142" s="9"/>
    </row>
    <row r="143" spans="1:40" ht="14.45" customHeight="1" outlineLevel="1">
      <c r="A143" s="12"/>
      <c r="I143" s="228" t="s">
        <v>258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2600</v>
      </c>
      <c r="V143" s="65">
        <f t="shared" si="76"/>
        <v>2600</v>
      </c>
      <c r="W143" s="73">
        <f t="shared" si="77"/>
        <v>1.1602954685468714E-4</v>
      </c>
      <c r="X143" s="89"/>
      <c r="Y143" s="65">
        <f>VLOOKUP($E$1,[7]Resumen!$V$145:$AH$148,Y1,0)</f>
        <v>0</v>
      </c>
      <c r="Z143" s="65">
        <f>VLOOKUP($E$1,[7]Resumen!$V$145:$AH$148,Z1,0)</f>
        <v>970.92379999999991</v>
      </c>
      <c r="AA143" s="65">
        <f>VLOOKUP($E$1,[7]Resumen!$V$145:$AH$148,AA1,0)</f>
        <v>0</v>
      </c>
      <c r="AB143" s="65">
        <f>VLOOKUP($E$1,[7]Resumen!$V$145:$AH$148,AB1,0)</f>
        <v>0</v>
      </c>
      <c r="AC143" s="65">
        <f>VLOOKUP($E$1,[7]Resumen!$V$145:$AH$148,AC1,0)</f>
        <v>970.92379999999991</v>
      </c>
      <c r="AD143" s="65">
        <f>VLOOKUP($E$1,[7]Resumen!$V$145:$AH$148,AD1,0)</f>
        <v>0</v>
      </c>
      <c r="AE143" s="65">
        <f>VLOOKUP($E$1,[7]Resumen!$V$145:$AH$148,AE1,0)</f>
        <v>0</v>
      </c>
      <c r="AF143" s="65">
        <f>VLOOKUP($E$1,[7]Resumen!$V$145:$AH$148,AF1,0)</f>
        <v>970.92379999999991</v>
      </c>
      <c r="AG143" s="65">
        <f>VLOOKUP($E$1,[7]Resumen!$V$145:$AH$148,AG1,0)</f>
        <v>0</v>
      </c>
      <c r="AH143" s="65">
        <f>VLOOKUP($E$1,[7]Resumen!$V$145:$AH$148,AH1,0)</f>
        <v>0</v>
      </c>
      <c r="AI143" s="65">
        <f>VLOOKUP($E$1,[7]Resumen!$V$145:$AH$148,AI1,0)</f>
        <v>970.92379999999991</v>
      </c>
      <c r="AJ143" s="65">
        <f>VLOOKUP($E$1,[7]Resumen!$V$145:$AH$148,AJ1,0)</f>
        <v>0</v>
      </c>
      <c r="AK143" s="65">
        <f t="shared" si="67"/>
        <v>3883.6951999999997</v>
      </c>
      <c r="AL143" s="73">
        <f t="shared" si="36"/>
        <v>1.6458362231312656E-4</v>
      </c>
      <c r="AM143" s="14">
        <f t="shared" ref="AM143:AM161" si="81">IFERROR(AK143/V143-1,0)</f>
        <v>0.49372892307692284</v>
      </c>
      <c r="AN143" s="9"/>
    </row>
    <row r="144" spans="1:40" ht="14.45" customHeight="1" outlineLevel="1">
      <c r="A144" s="12"/>
      <c r="I144" s="228" t="s">
        <v>259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/>
      <c r="U144" s="65"/>
      <c r="V144" s="65">
        <f t="shared" si="76"/>
        <v>0</v>
      </c>
      <c r="W144" s="73">
        <f t="shared" si="77"/>
        <v>0</v>
      </c>
      <c r="X144" s="89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>
        <f t="shared" si="67"/>
        <v>0</v>
      </c>
      <c r="AL144" s="73">
        <f t="shared" si="36"/>
        <v>0</v>
      </c>
      <c r="AM144" s="14">
        <f t="shared" si="81"/>
        <v>0</v>
      </c>
      <c r="AN144" s="9"/>
    </row>
    <row r="145" spans="1:40" ht="14.45" customHeight="1" outlineLevel="1">
      <c r="A145" s="12"/>
      <c r="I145" s="228" t="s">
        <v>260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/>
      <c r="U145" s="65"/>
      <c r="V145" s="65">
        <f t="shared" si="76"/>
        <v>0</v>
      </c>
      <c r="W145" s="73">
        <f t="shared" si="77"/>
        <v>0</v>
      </c>
      <c r="X145" s="89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>
        <f t="shared" si="67"/>
        <v>0</v>
      </c>
      <c r="AL145" s="73">
        <f t="shared" si="36"/>
        <v>0</v>
      </c>
      <c r="AM145" s="14">
        <f t="shared" si="81"/>
        <v>0</v>
      </c>
      <c r="AN145" s="9"/>
    </row>
    <row r="146" spans="1:40" ht="14.45" customHeight="1" outlineLevel="1">
      <c r="A146" s="12"/>
      <c r="I146" s="228" t="s">
        <v>261</v>
      </c>
      <c r="J146" s="65"/>
      <c r="K146" s="65"/>
      <c r="L146" s="65"/>
      <c r="M146" s="65"/>
      <c r="N146" s="65"/>
      <c r="O146" s="65">
        <v>0</v>
      </c>
      <c r="P146" s="65">
        <v>2374</v>
      </c>
      <c r="Q146" s="65">
        <v>0</v>
      </c>
      <c r="R146" s="65">
        <v>0</v>
      </c>
      <c r="S146" s="65"/>
      <c r="T146" s="65">
        <v>0</v>
      </c>
      <c r="U146" s="65">
        <v>3640</v>
      </c>
      <c r="V146" s="65">
        <f t="shared" si="76"/>
        <v>6014</v>
      </c>
      <c r="W146" s="73">
        <f t="shared" si="77"/>
        <v>2.6838526722464942E-4</v>
      </c>
      <c r="X146" s="89"/>
      <c r="Y146" s="65">
        <f>VLOOKUP($E$1,[7]Resumen!$V$163:$AH$166,Y1,0)</f>
        <v>0</v>
      </c>
      <c r="Z146" s="65">
        <f>VLOOKUP($E$1,[7]Resumen!$V$163:$AH$166,Z1,0)</f>
        <v>0</v>
      </c>
      <c r="AA146" s="65">
        <f>VLOOKUP($E$1,[7]Resumen!$V$163:$AH$166,AA1,0)</f>
        <v>0</v>
      </c>
      <c r="AB146" s="65">
        <f>VLOOKUP($E$1,[7]Resumen!$V$163:$AH$166,AB1,0)</f>
        <v>0</v>
      </c>
      <c r="AC146" s="65">
        <f>VLOOKUP($E$1,[7]Resumen!$V$163:$AH$166,AC1,0)</f>
        <v>0</v>
      </c>
      <c r="AD146" s="65">
        <f>VLOOKUP($E$1,[7]Resumen!$V$163:$AH$166,AD1,0)</f>
        <v>0</v>
      </c>
      <c r="AE146" s="65">
        <f>VLOOKUP($E$1,[7]Resumen!$V$163:$AH$166,AE1,0)</f>
        <v>0</v>
      </c>
      <c r="AF146" s="65">
        <f>VLOOKUP($E$1,[7]Resumen!$V$163:$AH$166,AF1,0)</f>
        <v>0</v>
      </c>
      <c r="AG146" s="65">
        <f>VLOOKUP($E$1,[7]Resumen!$V$163:$AH$166,AG1,0)</f>
        <v>0</v>
      </c>
      <c r="AH146" s="65">
        <f>VLOOKUP($E$1,[7]Resumen!$V$163:$AH$166,AH1,0)</f>
        <v>0</v>
      </c>
      <c r="AI146" s="65">
        <f>VLOOKUP($E$1,[7]Resumen!$V$163:$AH$166,AI1,0)</f>
        <v>0</v>
      </c>
      <c r="AJ146" s="65">
        <f>VLOOKUP($E$1,[7]Resumen!$V$163:$AH$166,AJ1,0)</f>
        <v>3208.8099999999995</v>
      </c>
      <c r="AK146" s="65">
        <f t="shared" si="67"/>
        <v>3208.8099999999995</v>
      </c>
      <c r="AL146" s="73">
        <f t="shared" si="36"/>
        <v>1.3598327003483271E-4</v>
      </c>
      <c r="AM146" s="14">
        <f t="shared" si="81"/>
        <v>-0.46644329896907222</v>
      </c>
      <c r="AN146" s="9"/>
    </row>
    <row r="147" spans="1:40" ht="14.45" customHeight="1" outlineLevel="1">
      <c r="A147" s="12"/>
      <c r="E147" s="7" t="s">
        <v>262</v>
      </c>
      <c r="I147" s="228" t="s">
        <v>471</v>
      </c>
      <c r="J147" s="65">
        <v>0</v>
      </c>
      <c r="K147" s="65">
        <v>28000</v>
      </c>
      <c r="L147" s="65">
        <v>14000</v>
      </c>
      <c r="M147" s="65">
        <v>14000</v>
      </c>
      <c r="N147" s="65">
        <v>0</v>
      </c>
      <c r="O147" s="65">
        <v>0</v>
      </c>
      <c r="P147" s="65">
        <v>42000</v>
      </c>
      <c r="Q147" s="65">
        <v>14000</v>
      </c>
      <c r="R147" s="65">
        <v>14000</v>
      </c>
      <c r="S147" s="65">
        <v>14000</v>
      </c>
      <c r="T147" s="65">
        <v>14000</v>
      </c>
      <c r="U147" s="65">
        <v>14000</v>
      </c>
      <c r="V147" s="65">
        <f t="shared" si="76"/>
        <v>168000</v>
      </c>
      <c r="W147" s="73">
        <f t="shared" si="77"/>
        <v>7.4972937967643996E-3</v>
      </c>
      <c r="X147" s="89"/>
      <c r="Y147" s="65">
        <v>14000</v>
      </c>
      <c r="Z147" s="65">
        <v>14000</v>
      </c>
      <c r="AA147" s="65">
        <v>14000</v>
      </c>
      <c r="AB147" s="65">
        <v>14000</v>
      </c>
      <c r="AC147" s="65">
        <v>14000</v>
      </c>
      <c r="AD147" s="65">
        <v>14000</v>
      </c>
      <c r="AE147" s="65">
        <v>14000</v>
      </c>
      <c r="AF147" s="65">
        <v>14000</v>
      </c>
      <c r="AG147" s="65">
        <v>14000</v>
      </c>
      <c r="AH147" s="65">
        <v>14000</v>
      </c>
      <c r="AI147" s="65">
        <v>14000</v>
      </c>
      <c r="AJ147" s="65">
        <v>14000</v>
      </c>
      <c r="AK147" s="65">
        <f t="shared" si="67"/>
        <v>168000</v>
      </c>
      <c r="AL147" s="73">
        <f t="shared" si="36"/>
        <v>7.1195207462741326E-3</v>
      </c>
      <c r="AM147" s="14">
        <f t="shared" si="81"/>
        <v>0</v>
      </c>
      <c r="AN147" s="9"/>
    </row>
    <row r="148" spans="1:40" ht="14.45" customHeight="1" collapsed="1">
      <c r="A148" s="12" t="s">
        <v>240</v>
      </c>
      <c r="B148" s="8" t="s">
        <v>101</v>
      </c>
      <c r="I148" s="120" t="s">
        <v>263</v>
      </c>
      <c r="J148" s="15">
        <v>148739</v>
      </c>
      <c r="K148" s="15">
        <v>147996</v>
      </c>
      <c r="L148" s="15">
        <v>139908</v>
      </c>
      <c r="M148" s="15">
        <v>139798</v>
      </c>
      <c r="N148" s="15">
        <v>146329</v>
      </c>
      <c r="O148" s="15">
        <v>140161</v>
      </c>
      <c r="P148" s="15">
        <v>144903</v>
      </c>
      <c r="Q148" s="15">
        <v>139930</v>
      </c>
      <c r="R148" s="15">
        <v>139916</v>
      </c>
      <c r="S148" s="15">
        <v>147009</v>
      </c>
      <c r="T148" s="15">
        <f t="shared" ref="K148:V148" si="82">SUM(T149:T155)</f>
        <v>142939.5</v>
      </c>
      <c r="U148" s="15">
        <f t="shared" si="82"/>
        <v>142448.625</v>
      </c>
      <c r="V148" s="15">
        <f t="shared" si="82"/>
        <v>1720077.125</v>
      </c>
      <c r="W148" s="72">
        <f t="shared" si="35"/>
        <v>7.6761449757255018E-2</v>
      </c>
      <c r="X148" s="89"/>
      <c r="Y148" s="15">
        <f>SUM(Y149:Y155)</f>
        <v>147658.92556333332</v>
      </c>
      <c r="Z148" s="15">
        <f t="shared" ref="Z148:AK148" si="83">SUM(Z149:Z155)</f>
        <v>146970.68757333333</v>
      </c>
      <c r="AA148" s="15">
        <f t="shared" si="83"/>
        <v>147658.92556333332</v>
      </c>
      <c r="AB148" s="15">
        <f t="shared" si="83"/>
        <v>147429.5129</v>
      </c>
      <c r="AC148" s="15">
        <f t="shared" si="83"/>
        <v>147658.92556333332</v>
      </c>
      <c r="AD148" s="15">
        <f t="shared" si="83"/>
        <v>147429.5129</v>
      </c>
      <c r="AE148" s="15">
        <f t="shared" si="83"/>
        <v>147658.92556333332</v>
      </c>
      <c r="AF148" s="15">
        <f t="shared" si="83"/>
        <v>147658.92556333332</v>
      </c>
      <c r="AG148" s="15">
        <f t="shared" si="83"/>
        <v>147429.5129</v>
      </c>
      <c r="AH148" s="15">
        <f t="shared" si="83"/>
        <v>153246.44556333334</v>
      </c>
      <c r="AI148" s="15">
        <f t="shared" si="83"/>
        <v>153017.03290000002</v>
      </c>
      <c r="AJ148" s="15">
        <f t="shared" si="83"/>
        <v>153246.44556333334</v>
      </c>
      <c r="AK148" s="15">
        <f t="shared" si="83"/>
        <v>1787063.7781166667</v>
      </c>
      <c r="AL148" s="72">
        <f t="shared" si="36"/>
        <v>7.5732366923908584E-2</v>
      </c>
      <c r="AM148" s="10">
        <f t="shared" si="81"/>
        <v>3.8943982303506708E-2</v>
      </c>
      <c r="AN148" s="9"/>
    </row>
    <row r="149" spans="1:40" ht="14.45" hidden="1" customHeight="1" outlineLevel="1">
      <c r="A149" s="12" t="s">
        <v>240</v>
      </c>
      <c r="B149" s="8" t="s">
        <v>101</v>
      </c>
      <c r="I149" s="228" t="s">
        <v>264</v>
      </c>
      <c r="J149" s="67">
        <v>0</v>
      </c>
      <c r="K149" s="67">
        <v>0</v>
      </c>
      <c r="L149" s="67">
        <v>0</v>
      </c>
      <c r="M149" s="67">
        <v>0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0</v>
      </c>
      <c r="T149" s="67">
        <v>0</v>
      </c>
      <c r="U149" s="67">
        <v>0</v>
      </c>
      <c r="V149" s="65">
        <f t="shared" ref="V149:V155" si="84">SUM(J149:U149)</f>
        <v>0</v>
      </c>
      <c r="W149" s="73">
        <f t="shared" si="35"/>
        <v>0</v>
      </c>
      <c r="X149" s="89"/>
      <c r="Y149" s="67">
        <f>VLOOKUP($E$1,[17]Resumen!$V$8:$AH$11,Y1,0)</f>
        <v>0</v>
      </c>
      <c r="Z149" s="67">
        <f>VLOOKUP($E$1,[17]Resumen!$V$8:$AH$11,Z1,0)</f>
        <v>0</v>
      </c>
      <c r="AA149" s="67">
        <f>VLOOKUP($E$1,[17]Resumen!$V$8:$AH$11,AA1,0)</f>
        <v>0</v>
      </c>
      <c r="AB149" s="67">
        <f>VLOOKUP($E$1,[17]Resumen!$V$8:$AH$11,AB1,0)</f>
        <v>0</v>
      </c>
      <c r="AC149" s="67">
        <f>VLOOKUP($E$1,[17]Resumen!$V$8:$AH$11,AC1,0)</f>
        <v>0</v>
      </c>
      <c r="AD149" s="67">
        <f>VLOOKUP($E$1,[17]Resumen!$V$8:$AH$11,AD1,0)</f>
        <v>0</v>
      </c>
      <c r="AE149" s="67">
        <f>VLOOKUP($E$1,[17]Resumen!$V$8:$AH$11,AE1,0)</f>
        <v>0</v>
      </c>
      <c r="AF149" s="67">
        <f>VLOOKUP($E$1,[17]Resumen!$V$8:$AH$11,AF1,0)</f>
        <v>0</v>
      </c>
      <c r="AG149" s="67">
        <f>VLOOKUP($E$1,[17]Resumen!$V$8:$AH$11,AG1,0)</f>
        <v>0</v>
      </c>
      <c r="AH149" s="67">
        <f>VLOOKUP($E$1,[17]Resumen!$V$8:$AH$11,AH1,0)</f>
        <v>0</v>
      </c>
      <c r="AI149" s="67">
        <f>VLOOKUP($E$1,[17]Resumen!$V$8:$AH$11,AI1,0)</f>
        <v>0</v>
      </c>
      <c r="AJ149" s="67">
        <f>VLOOKUP($E$1,[17]Resumen!$V$8:$AH$11,AJ1,0)</f>
        <v>0</v>
      </c>
      <c r="AK149" s="65">
        <f t="shared" si="67"/>
        <v>0</v>
      </c>
      <c r="AL149" s="73">
        <f t="shared" si="36"/>
        <v>0</v>
      </c>
      <c r="AM149" s="14">
        <f t="shared" si="81"/>
        <v>0</v>
      </c>
      <c r="AN149" s="9"/>
    </row>
    <row r="150" spans="1:40" ht="14.45" hidden="1" customHeight="1" outlineLevel="1">
      <c r="A150" s="12" t="s">
        <v>240</v>
      </c>
      <c r="B150" s="8" t="s">
        <v>101</v>
      </c>
      <c r="I150" s="228" t="s">
        <v>265</v>
      </c>
      <c r="J150" s="67">
        <v>139688</v>
      </c>
      <c r="K150" s="67">
        <v>139688</v>
      </c>
      <c r="L150" s="67">
        <v>139688</v>
      </c>
      <c r="M150" s="67">
        <v>139688</v>
      </c>
      <c r="N150" s="67">
        <v>139688</v>
      </c>
      <c r="O150" s="67">
        <v>139688</v>
      </c>
      <c r="P150" s="67">
        <v>139688</v>
      </c>
      <c r="Q150" s="67">
        <v>139688</v>
      </c>
      <c r="R150" s="67">
        <v>139688</v>
      </c>
      <c r="S150" s="67">
        <v>139688</v>
      </c>
      <c r="T150" s="67">
        <f>+S150</f>
        <v>139688</v>
      </c>
      <c r="U150" s="67">
        <f>+T150</f>
        <v>139688</v>
      </c>
      <c r="V150" s="65">
        <f t="shared" si="84"/>
        <v>1676256</v>
      </c>
      <c r="W150" s="73">
        <f t="shared" si="35"/>
        <v>7.4805855420173248E-2</v>
      </c>
      <c r="X150" s="89"/>
      <c r="Y150" s="67">
        <f>+U150</f>
        <v>139688</v>
      </c>
      <c r="Z150" s="67">
        <f>+Y150</f>
        <v>139688</v>
      </c>
      <c r="AA150" s="67">
        <f t="shared" ref="AA150:AG150" si="85">+Z150</f>
        <v>139688</v>
      </c>
      <c r="AB150" s="67">
        <f t="shared" si="85"/>
        <v>139688</v>
      </c>
      <c r="AC150" s="67">
        <f t="shared" si="85"/>
        <v>139688</v>
      </c>
      <c r="AD150" s="67">
        <f t="shared" si="85"/>
        <v>139688</v>
      </c>
      <c r="AE150" s="67">
        <f t="shared" si="85"/>
        <v>139688</v>
      </c>
      <c r="AF150" s="67">
        <f t="shared" si="85"/>
        <v>139688</v>
      </c>
      <c r="AG150" s="67">
        <f t="shared" si="85"/>
        <v>139688</v>
      </c>
      <c r="AH150" s="67">
        <f>AG150*1.04</f>
        <v>145275.52000000002</v>
      </c>
      <c r="AI150" s="67">
        <f t="shared" ref="AA150:AJ150" si="86">+AH150</f>
        <v>145275.52000000002</v>
      </c>
      <c r="AJ150" s="67">
        <f t="shared" si="86"/>
        <v>145275.52000000002</v>
      </c>
      <c r="AK150" s="65">
        <f t="shared" si="67"/>
        <v>1693018.56</v>
      </c>
      <c r="AL150" s="73">
        <f t="shared" si="36"/>
        <v>7.1746909296114034E-2</v>
      </c>
      <c r="AM150" s="14">
        <f t="shared" si="81"/>
        <v>1.0000000000000009E-2</v>
      </c>
      <c r="AN150" s="9"/>
    </row>
    <row r="151" spans="1:40" ht="14.45" hidden="1" customHeight="1" outlineLevel="1">
      <c r="A151" s="12" t="s">
        <v>240</v>
      </c>
      <c r="B151" s="8" t="s">
        <v>101</v>
      </c>
      <c r="I151" s="228" t="s">
        <v>266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/>
      <c r="U151" s="65"/>
      <c r="V151" s="65">
        <f t="shared" si="84"/>
        <v>0</v>
      </c>
      <c r="W151" s="73">
        <f t="shared" si="35"/>
        <v>0</v>
      </c>
      <c r="X151" s="89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>
        <f t="shared" si="67"/>
        <v>0</v>
      </c>
      <c r="AL151" s="73">
        <f t="shared" si="36"/>
        <v>0</v>
      </c>
      <c r="AM151" s="14">
        <f t="shared" si="81"/>
        <v>0</v>
      </c>
      <c r="AN151" s="9"/>
    </row>
    <row r="152" spans="1:40" ht="14.45" hidden="1" customHeight="1" outlineLevel="1">
      <c r="A152" s="12" t="s">
        <v>240</v>
      </c>
      <c r="B152" s="8" t="s">
        <v>101</v>
      </c>
      <c r="I152" s="228" t="s">
        <v>267</v>
      </c>
      <c r="J152" s="65">
        <v>7848</v>
      </c>
      <c r="K152" s="65">
        <v>6973</v>
      </c>
      <c r="L152" s="65">
        <v>0</v>
      </c>
      <c r="M152" s="65">
        <v>0</v>
      </c>
      <c r="N152" s="65">
        <v>5957</v>
      </c>
      <c r="O152" s="65">
        <v>0</v>
      </c>
      <c r="P152" s="65">
        <v>4781</v>
      </c>
      <c r="Q152" s="65">
        <v>0</v>
      </c>
      <c r="R152" s="65">
        <v>0</v>
      </c>
      <c r="S152" s="65">
        <v>7036</v>
      </c>
      <c r="T152" s="65">
        <f t="shared" ref="T152" si="87">+AVERAGE(P152:S152)</f>
        <v>2954.25</v>
      </c>
      <c r="U152" s="65">
        <f t="shared" ref="U152" si="88">+AVERAGE(Q152:T152)</f>
        <v>2497.5625</v>
      </c>
      <c r="V152" s="65">
        <f t="shared" si="84"/>
        <v>38046.8125</v>
      </c>
      <c r="W152" s="73">
        <f t="shared" si="35"/>
        <v>1.6979055437077871E-3</v>
      </c>
      <c r="X152" s="89"/>
      <c r="Y152" s="65">
        <f>VLOOKUP($E$1,[6]Resumen!$V$80:$AH$83,Y1,0)</f>
        <v>7111.7925633333325</v>
      </c>
      <c r="Z152" s="65">
        <f>VLOOKUP($E$1,[6]Resumen!$V$80:$AH$83,Z1,0)</f>
        <v>6423.5545733333329</v>
      </c>
      <c r="AA152" s="65">
        <f>VLOOKUP($E$1,[6]Resumen!$V$80:$AH$83,AA1,0)</f>
        <v>7111.7925633333325</v>
      </c>
      <c r="AB152" s="65">
        <f>VLOOKUP($E$1,[6]Resumen!$V$80:$AH$83,AB1,0)</f>
        <v>6882.379899999999</v>
      </c>
      <c r="AC152" s="65">
        <f>VLOOKUP($E$1,[6]Resumen!$V$80:$AH$83,AC1,0)</f>
        <v>7111.7925633333325</v>
      </c>
      <c r="AD152" s="65">
        <f>VLOOKUP($E$1,[6]Resumen!$V$80:$AH$83,AD1,0)</f>
        <v>6882.379899999999</v>
      </c>
      <c r="AE152" s="65">
        <f>VLOOKUP($E$1,[6]Resumen!$V$80:$AH$83,AE1,0)</f>
        <v>7111.7925633333325</v>
      </c>
      <c r="AF152" s="65">
        <f>VLOOKUP($E$1,[6]Resumen!$V$80:$AH$83,AF1,0)</f>
        <v>7111.7925633333325</v>
      </c>
      <c r="AG152" s="65">
        <f>VLOOKUP($E$1,[6]Resumen!$V$80:$AH$83,AG1,0)</f>
        <v>6882.379899999999</v>
      </c>
      <c r="AH152" s="65">
        <f>VLOOKUP($E$1,[6]Resumen!$V$80:$AH$83,AH1,0)</f>
        <v>7111.7925633333325</v>
      </c>
      <c r="AI152" s="65">
        <f>VLOOKUP($E$1,[6]Resumen!$V$80:$AH$83,AI1,0)</f>
        <v>6882.379899999999</v>
      </c>
      <c r="AJ152" s="65">
        <f>VLOOKUP($E$1,[6]Resumen!$V$80:$AH$83,AJ1,0)</f>
        <v>7111.7925633333325</v>
      </c>
      <c r="AK152" s="65">
        <f t="shared" si="67"/>
        <v>83735.62211666668</v>
      </c>
      <c r="AL152" s="73">
        <f t="shared" si="36"/>
        <v>3.5485565408439257E-3</v>
      </c>
      <c r="AM152" s="14">
        <f t="shared" si="81"/>
        <v>1.2008577490339483</v>
      </c>
      <c r="AN152" s="9"/>
    </row>
    <row r="153" spans="1:40" ht="14.45" hidden="1" customHeight="1" outlineLevel="1">
      <c r="A153" s="12" t="s">
        <v>240</v>
      </c>
      <c r="B153" s="8" t="s">
        <v>101</v>
      </c>
      <c r="C153" s="19" t="s">
        <v>246</v>
      </c>
      <c r="D153" s="12"/>
      <c r="E153" s="20"/>
      <c r="F153" s="12"/>
      <c r="G153" s="12"/>
      <c r="H153" s="12"/>
      <c r="I153" s="228" t="s">
        <v>268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/>
      <c r="U153" s="65"/>
      <c r="V153" s="65">
        <f t="shared" si="84"/>
        <v>0</v>
      </c>
      <c r="W153" s="73">
        <f t="shared" si="35"/>
        <v>0</v>
      </c>
      <c r="X153" s="89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>
        <f t="shared" si="67"/>
        <v>0</v>
      </c>
      <c r="AL153" s="73">
        <f t="shared" si="36"/>
        <v>0</v>
      </c>
      <c r="AM153" s="14">
        <f t="shared" si="81"/>
        <v>0</v>
      </c>
      <c r="AN153" s="9"/>
    </row>
    <row r="154" spans="1:40" ht="14.45" hidden="1" customHeight="1" outlineLevel="1">
      <c r="A154" s="12" t="s">
        <v>240</v>
      </c>
      <c r="B154" s="8" t="s">
        <v>101</v>
      </c>
      <c r="I154" s="228" t="s">
        <v>269</v>
      </c>
      <c r="J154" s="65">
        <v>0</v>
      </c>
      <c r="K154" s="65">
        <v>596</v>
      </c>
      <c r="L154" s="65">
        <v>220</v>
      </c>
      <c r="M154" s="65">
        <v>110</v>
      </c>
      <c r="N154" s="65">
        <v>220</v>
      </c>
      <c r="O154" s="65">
        <v>0</v>
      </c>
      <c r="P154" s="65">
        <v>434</v>
      </c>
      <c r="Q154" s="65">
        <v>242</v>
      </c>
      <c r="R154" s="65">
        <v>228</v>
      </c>
      <c r="S154" s="65">
        <v>285</v>
      </c>
      <c r="T154" s="65">
        <f t="shared" ref="T154:T155" si="89">+AVERAGE(P154:S154)</f>
        <v>297.25</v>
      </c>
      <c r="U154" s="65">
        <f t="shared" ref="U154:U155" si="90">+AVERAGE(Q154:T154)</f>
        <v>263.0625</v>
      </c>
      <c r="V154" s="65">
        <f t="shared" si="84"/>
        <v>2895.3125</v>
      </c>
      <c r="W154" s="73">
        <f t="shared" si="35"/>
        <v>1.2920838360681207E-4</v>
      </c>
      <c r="X154" s="89"/>
      <c r="Y154" s="65">
        <f>VLOOKUP($E$1,[6]Resumen!$V$89:$AH$92,Y1,0)</f>
        <v>859.13299999999992</v>
      </c>
      <c r="Z154" s="65">
        <f>VLOOKUP($E$1,[6]Resumen!$V$89:$AH$92,Z1,0)</f>
        <v>859.13299999999992</v>
      </c>
      <c r="AA154" s="65">
        <f>VLOOKUP($E$1,[6]Resumen!$V$89:$AH$92,AA1,0)</f>
        <v>859.13299999999992</v>
      </c>
      <c r="AB154" s="65">
        <f>VLOOKUP($E$1,[6]Resumen!$V$89:$AH$92,AB1,0)</f>
        <v>859.13299999999992</v>
      </c>
      <c r="AC154" s="65">
        <f>VLOOKUP($E$1,[6]Resumen!$V$89:$AH$92,AC1,0)</f>
        <v>859.13299999999992</v>
      </c>
      <c r="AD154" s="65">
        <f>VLOOKUP($E$1,[6]Resumen!$V$89:$AH$92,AD1,0)</f>
        <v>859.13299999999992</v>
      </c>
      <c r="AE154" s="65">
        <f>VLOOKUP($E$1,[6]Resumen!$V$89:$AH$92,AE1,0)</f>
        <v>859.13299999999992</v>
      </c>
      <c r="AF154" s="65">
        <f>VLOOKUP($E$1,[6]Resumen!$V$89:$AH$92,AF1,0)</f>
        <v>859.13299999999992</v>
      </c>
      <c r="AG154" s="65">
        <f>VLOOKUP($E$1,[6]Resumen!$V$89:$AH$92,AG1,0)</f>
        <v>859.13299999999992</v>
      </c>
      <c r="AH154" s="65">
        <f>VLOOKUP($E$1,[6]Resumen!$V$89:$AH$92,AH1,0)</f>
        <v>859.13299999999992</v>
      </c>
      <c r="AI154" s="65">
        <f>VLOOKUP($E$1,[6]Resumen!$V$89:$AH$92,AI1,0)</f>
        <v>859.13299999999992</v>
      </c>
      <c r="AJ154" s="65">
        <f>VLOOKUP($E$1,[6]Resumen!$V$89:$AH$92,AJ1,0)</f>
        <v>859.13299999999992</v>
      </c>
      <c r="AK154" s="65">
        <f t="shared" si="67"/>
        <v>10309.596</v>
      </c>
      <c r="AL154" s="73">
        <f t="shared" si="36"/>
        <v>4.3690108695062385E-4</v>
      </c>
      <c r="AM154" s="14">
        <f t="shared" si="81"/>
        <v>2.5607886886130595</v>
      </c>
      <c r="AN154" s="9"/>
    </row>
    <row r="155" spans="1:40" ht="14.45" hidden="1" customHeight="1" outlineLevel="1">
      <c r="A155" s="12"/>
      <c r="I155" s="228" t="s">
        <v>270</v>
      </c>
      <c r="J155" s="67">
        <v>1203</v>
      </c>
      <c r="K155" s="67">
        <v>739</v>
      </c>
      <c r="L155" s="67">
        <v>0</v>
      </c>
      <c r="M155" s="67">
        <v>0</v>
      </c>
      <c r="N155" s="67">
        <v>464</v>
      </c>
      <c r="O155" s="67">
        <v>473</v>
      </c>
      <c r="P155" s="67">
        <v>0</v>
      </c>
      <c r="Q155" s="67">
        <v>0</v>
      </c>
      <c r="R155" s="65">
        <v>0</v>
      </c>
      <c r="S155" s="65">
        <v>0</v>
      </c>
      <c r="T155" s="65">
        <f t="shared" si="89"/>
        <v>0</v>
      </c>
      <c r="U155" s="65">
        <f t="shared" si="90"/>
        <v>0</v>
      </c>
      <c r="V155" s="65">
        <f t="shared" si="84"/>
        <v>2879</v>
      </c>
      <c r="W155" s="73">
        <f>V155/V$6</f>
        <v>1.2848040976717087E-4</v>
      </c>
      <c r="X155" s="89"/>
      <c r="Y155" s="67">
        <f>VLOOKUP($E$1,[18]Resumen!$V$8:$AH$14,Y1,0)</f>
        <v>0</v>
      </c>
      <c r="Z155" s="67">
        <f>VLOOKUP($E$1,[18]Resumen!$V$8:$AH$14,Z1,0)</f>
        <v>0</v>
      </c>
      <c r="AA155" s="67">
        <f>VLOOKUP($E$1,[18]Resumen!$V$8:$AH$14,AA1,0)</f>
        <v>0</v>
      </c>
      <c r="AB155" s="67">
        <f>VLOOKUP($E$1,[18]Resumen!$V$8:$AH$14,AB1,0)</f>
        <v>0</v>
      </c>
      <c r="AC155" s="67">
        <f>VLOOKUP($E$1,[18]Resumen!$V$8:$AH$14,AC1,0)</f>
        <v>0</v>
      </c>
      <c r="AD155" s="67">
        <f>VLOOKUP($E$1,[18]Resumen!$V$8:$AH$14,AD1,0)</f>
        <v>0</v>
      </c>
      <c r="AE155" s="67">
        <f>VLOOKUP($E$1,[18]Resumen!$V$8:$AH$14,AE1,0)</f>
        <v>0</v>
      </c>
      <c r="AF155" s="67">
        <f>VLOOKUP($E$1,[18]Resumen!$V$8:$AH$14,AF1,0)</f>
        <v>0</v>
      </c>
      <c r="AG155" s="67">
        <f>VLOOKUP($E$1,[18]Resumen!$V$8:$AH$14,AG1,0)</f>
        <v>0</v>
      </c>
      <c r="AH155" s="67">
        <f>VLOOKUP($E$1,[18]Resumen!$V$8:$AH$14,AH1,0)</f>
        <v>0</v>
      </c>
      <c r="AI155" s="67">
        <f>VLOOKUP($E$1,[18]Resumen!$V$8:$AH$14,AI1,0)</f>
        <v>0</v>
      </c>
      <c r="AJ155" s="67">
        <f>VLOOKUP($E$1,[18]Resumen!$V$8:$AH$14,AJ1,0)</f>
        <v>0</v>
      </c>
      <c r="AK155" s="65">
        <f t="shared" si="67"/>
        <v>0</v>
      </c>
      <c r="AL155" s="73">
        <f>AK155/AK$6</f>
        <v>0</v>
      </c>
      <c r="AM155" s="14">
        <f>IFERROR(AK155/V155-1,0)</f>
        <v>-1</v>
      </c>
      <c r="AN155" s="9"/>
    </row>
    <row r="156" spans="1:40" ht="14.45" customHeight="1">
      <c r="A156" s="12"/>
      <c r="I156" s="120" t="s">
        <v>462</v>
      </c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15"/>
      <c r="W156" s="72"/>
      <c r="X156" s="89"/>
      <c r="Y156" s="27">
        <f>+'TOTAL ESTACIONES'!Y156*10%</f>
        <v>6661.0612500000007</v>
      </c>
      <c r="Z156" s="27">
        <f>+'TOTAL ESTACIONES'!Z156*10%</f>
        <v>5565.8762500000012</v>
      </c>
      <c r="AA156" s="27">
        <f>+'TOTAL ESTACIONES'!AA156*10%</f>
        <v>8273.44</v>
      </c>
      <c r="AB156" s="27">
        <f>+'TOTAL ESTACIONES'!AB156*10%</f>
        <v>8001.5112500000005</v>
      </c>
      <c r="AC156" s="27">
        <f>+'TOTAL ESTACIONES'!AC156*10%</f>
        <v>9278.0512500000023</v>
      </c>
      <c r="AD156" s="27">
        <f>+'TOTAL ESTACIONES'!AD156*10%</f>
        <v>7449.6650000000009</v>
      </c>
      <c r="AE156" s="27">
        <f>+'TOTAL ESTACIONES'!AE156*10%</f>
        <v>6671.3325000000013</v>
      </c>
      <c r="AF156" s="27">
        <f>+'TOTAL ESTACIONES'!AF156*10%</f>
        <v>7409.9287500000009</v>
      </c>
      <c r="AG156" s="27">
        <f>+'TOTAL ESTACIONES'!AG156*10%</f>
        <v>9163.0962500000005</v>
      </c>
      <c r="AH156" s="27">
        <f>+'TOTAL ESTACIONES'!AH156*10%</f>
        <v>12253.912500000002</v>
      </c>
      <c r="AI156" s="27">
        <f>+'TOTAL ESTACIONES'!AI156*10%</f>
        <v>9608.9791666666697</v>
      </c>
      <c r="AJ156" s="27">
        <f>+'TOTAL ESTACIONES'!AJ156*10%</f>
        <v>10341.995972222225</v>
      </c>
      <c r="AK156" s="27">
        <f t="shared" si="67"/>
        <v>100678.85013888891</v>
      </c>
      <c r="AL156" s="76">
        <f>AK156/AK$6</f>
        <v>4.2665783468740712E-3</v>
      </c>
      <c r="AM156" s="10">
        <f>IFERROR(AK156/V156-1,0)</f>
        <v>0</v>
      </c>
      <c r="AN156" s="9"/>
    </row>
    <row r="157" spans="1:40" ht="14.45" customHeight="1">
      <c r="I157" s="28" t="s">
        <v>271</v>
      </c>
      <c r="J157" s="27">
        <v>391625</v>
      </c>
      <c r="K157" s="27">
        <v>321799</v>
      </c>
      <c r="L157" s="27">
        <v>297965</v>
      </c>
      <c r="M157" s="27">
        <v>311968</v>
      </c>
      <c r="N157" s="27">
        <v>299414</v>
      </c>
      <c r="O157" s="27">
        <v>286726</v>
      </c>
      <c r="P157" s="27">
        <v>337811</v>
      </c>
      <c r="Q157" s="27">
        <v>268164</v>
      </c>
      <c r="R157" s="27">
        <v>285821</v>
      </c>
      <c r="S157" s="27">
        <v>318925</v>
      </c>
      <c r="T157" s="27">
        <f t="shared" ref="T157:U157" si="91">T50+T91+T107+T112+T148</f>
        <v>294669.03178181819</v>
      </c>
      <c r="U157" s="27">
        <f t="shared" si="91"/>
        <v>310597.97860000003</v>
      </c>
      <c r="V157" s="27">
        <f>V50+V91+V107+V112+V148</f>
        <v>3725483.0103818183</v>
      </c>
      <c r="W157" s="76">
        <f t="shared" si="35"/>
        <v>0.16625619442670694</v>
      </c>
      <c r="X157" s="89"/>
      <c r="Y157" s="27">
        <f>Y50+Y91+Y107+Y112+Y148+Y156</f>
        <v>380805.35386629857</v>
      </c>
      <c r="Z157" s="27">
        <f t="shared" ref="Z157:AK157" si="92">Z50+Z91+Z107+Z112+Z148+Z156</f>
        <v>450151.38631363586</v>
      </c>
      <c r="AA157" s="27">
        <f t="shared" si="92"/>
        <v>305503.75269197702</v>
      </c>
      <c r="AB157" s="27">
        <f t="shared" si="92"/>
        <v>403576.59206096816</v>
      </c>
      <c r="AC157" s="27">
        <f t="shared" si="92"/>
        <v>316114.94789005391</v>
      </c>
      <c r="AD157" s="27">
        <f t="shared" si="92"/>
        <v>287279.86381096812</v>
      </c>
      <c r="AE157" s="27">
        <f t="shared" si="92"/>
        <v>302812.29889299482</v>
      </c>
      <c r="AF157" s="27">
        <f t="shared" si="92"/>
        <v>300593.11913499486</v>
      </c>
      <c r="AG157" s="27">
        <f t="shared" si="92"/>
        <v>338219.00334027351</v>
      </c>
      <c r="AH157" s="27">
        <f t="shared" si="92"/>
        <v>292788.35529699479</v>
      </c>
      <c r="AI157" s="27">
        <f t="shared" si="92"/>
        <v>295517.86946094019</v>
      </c>
      <c r="AJ157" s="27">
        <f t="shared" si="92"/>
        <v>310036.71140827617</v>
      </c>
      <c r="AK157" s="27">
        <f t="shared" si="92"/>
        <v>3983399.2541683759</v>
      </c>
      <c r="AL157" s="76">
        <f t="shared" si="36"/>
        <v>0.16880889065919438</v>
      </c>
      <c r="AM157" s="10">
        <f t="shared" si="81"/>
        <v>6.9230283178804308E-2</v>
      </c>
      <c r="AN157" s="9"/>
    </row>
    <row r="158" spans="1:40" ht="14.45" customHeight="1">
      <c r="I158" s="26" t="s">
        <v>272</v>
      </c>
      <c r="J158" s="17">
        <v>5.01</v>
      </c>
      <c r="K158" s="17">
        <v>4.0599999999999996</v>
      </c>
      <c r="L158" s="17">
        <v>3.42</v>
      </c>
      <c r="M158" s="17">
        <v>5.2</v>
      </c>
      <c r="N158" s="17">
        <v>3.37</v>
      </c>
      <c r="O158" s="17">
        <v>3.3</v>
      </c>
      <c r="P158" s="17">
        <v>4.12</v>
      </c>
      <c r="Q158" s="17">
        <v>3.26</v>
      </c>
      <c r="R158" s="17">
        <v>3.08</v>
      </c>
      <c r="S158" s="17">
        <v>3.19</v>
      </c>
      <c r="T158" s="17">
        <v>1.9963904848064056</v>
      </c>
      <c r="U158" s="17">
        <v>2.0526934729888846</v>
      </c>
      <c r="V158" s="17">
        <f>IFERROR(V157/V39,0)</f>
        <v>3.6335151094466149</v>
      </c>
      <c r="W158" s="73">
        <f t="shared" si="35"/>
        <v>1.6215196601490372E-7</v>
      </c>
      <c r="X158" s="89"/>
      <c r="Y158" s="17">
        <f>IFERROR(Y157/Y39,0)</f>
        <v>4.7788837782054161</v>
      </c>
      <c r="Z158" s="17">
        <f>IFERROR(Z157/Z39,0)</f>
        <v>5.5743540420739013</v>
      </c>
      <c r="AA158" s="17">
        <f>IFERROR(AA157/AA39,0)</f>
        <v>3.4189123705135245</v>
      </c>
      <c r="AB158" s="17">
        <f>IFERROR(AB157/AB39,0)</f>
        <v>4.8520798314534019</v>
      </c>
      <c r="AC158" s="17">
        <f>IFERROR(AC157/AC39,0)</f>
        <v>3.4551102598047252</v>
      </c>
      <c r="AD158" s="17">
        <f>IFERROR(AD157/AD39,0)</f>
        <v>3.2089703745472513</v>
      </c>
      <c r="AE158" s="17">
        <f>IFERROR(AE157/AE39,0)</f>
        <v>3.5850199949446502</v>
      </c>
      <c r="AF158" s="17">
        <f>IFERROR(AF157/AF39,0)</f>
        <v>3.5543285421124837</v>
      </c>
      <c r="AG158" s="17">
        <f>IFERROR(AG157/AG39,0)</f>
        <v>3.5375966544319297</v>
      </c>
      <c r="AH158" s="17">
        <f>IFERROR(AH157/AH39,0)</f>
        <v>2.927620067163903</v>
      </c>
      <c r="AI158" s="17">
        <f>IFERROR(AI157/AI39,0)</f>
        <v>3.0358721770760844</v>
      </c>
      <c r="AJ158" s="17">
        <f>IFERROR(AJ157/AJ39,0)</f>
        <v>3.2231363787493232</v>
      </c>
      <c r="AK158" s="17">
        <f>IFERROR(AK157/AK39,0)</f>
        <v>3.7152544775086653</v>
      </c>
      <c r="AL158" s="73">
        <f t="shared" si="36"/>
        <v>1.5744542458518337E-7</v>
      </c>
      <c r="AM158" s="16">
        <f t="shared" si="81"/>
        <v>2.2495948303487223E-2</v>
      </c>
      <c r="AN158" s="9"/>
    </row>
    <row r="159" spans="1:40" ht="14.45" customHeight="1">
      <c r="I159" s="26" t="s">
        <v>273</v>
      </c>
      <c r="J159" s="17">
        <v>5.01</v>
      </c>
      <c r="K159" s="17">
        <v>4.0599999999999996</v>
      </c>
      <c r="L159" s="17">
        <v>3.42</v>
      </c>
      <c r="M159" s="17">
        <v>5.2</v>
      </c>
      <c r="N159" s="17">
        <v>3.37</v>
      </c>
      <c r="O159" s="17">
        <v>3.3</v>
      </c>
      <c r="P159" s="17">
        <v>4.12</v>
      </c>
      <c r="Q159" s="17">
        <v>3.26</v>
      </c>
      <c r="R159" s="17">
        <v>3.08</v>
      </c>
      <c r="S159" s="17">
        <v>3.19</v>
      </c>
      <c r="T159" s="17">
        <v>1.1380385028863027</v>
      </c>
      <c r="U159" s="17">
        <v>1.2073624322759611</v>
      </c>
      <c r="V159" s="17">
        <f>IFERROR((V157-V149)/V39,0)</f>
        <v>3.6335151094466149</v>
      </c>
      <c r="W159" s="73">
        <f t="shared" si="35"/>
        <v>1.6215196601490372E-7</v>
      </c>
      <c r="X159" s="89"/>
      <c r="Y159" s="17">
        <f>(Y157-Y150)/Y39</f>
        <v>3.0258813310698196</v>
      </c>
      <c r="Z159" s="17">
        <f>(Z157-Z150)/Z39</f>
        <v>3.844557375654901</v>
      </c>
      <c r="AA159" s="17">
        <f>(AA157-AA150)/AA39</f>
        <v>1.8556548752977049</v>
      </c>
      <c r="AB159" s="17">
        <f>(AB157-AB150)/AB39</f>
        <v>3.1726530737348293</v>
      </c>
      <c r="AC159" s="17">
        <f>(AC157-AC150)/AC39</f>
        <v>1.9283319622486546</v>
      </c>
      <c r="AD159" s="17">
        <f>(AD157-AD150)/AD39</f>
        <v>1.6486290135714234</v>
      </c>
      <c r="AE159" s="17">
        <f>(AE157-AE150)/AE39</f>
        <v>1.9312421435014659</v>
      </c>
      <c r="AF159" s="17">
        <f>(AF157-AF150)/AF39</f>
        <v>1.9026039556703227</v>
      </c>
      <c r="AG159" s="17">
        <f>(AG157-AG150)/AG39</f>
        <v>2.0765320880298881</v>
      </c>
      <c r="AH159" s="17">
        <f>(AH157-AH150)/AH39</f>
        <v>1.4749956033656448</v>
      </c>
      <c r="AI159" s="17">
        <f>(AI157-AI150)/AI39</f>
        <v>1.5434483518002524</v>
      </c>
      <c r="AJ159" s="17">
        <f>(AJ157-AJ150)/AJ39</f>
        <v>1.7128545436504055</v>
      </c>
      <c r="AK159" s="17">
        <f>(AK157-AK150)/AK39</f>
        <v>2.1362024206596839</v>
      </c>
      <c r="AL159" s="73">
        <f t="shared" si="36"/>
        <v>9.052819911980738E-8</v>
      </c>
      <c r="AM159" s="16">
        <f t="shared" si="81"/>
        <v>-0.4120837931550454</v>
      </c>
      <c r="AN159" s="9"/>
    </row>
    <row r="160" spans="1:40" ht="15.6" customHeight="1">
      <c r="I160" s="25" t="s">
        <v>274</v>
      </c>
      <c r="J160" s="24">
        <v>-298871</v>
      </c>
      <c r="K160" s="24">
        <v>-210455</v>
      </c>
      <c r="L160" s="24">
        <v>-186647</v>
      </c>
      <c r="M160" s="24">
        <v>-210957</v>
      </c>
      <c r="N160" s="24">
        <v>-183120</v>
      </c>
      <c r="O160" s="24">
        <v>-184008</v>
      </c>
      <c r="P160" s="24">
        <v>-239206</v>
      </c>
      <c r="Q160" s="24">
        <v>-149839</v>
      </c>
      <c r="R160" s="24">
        <v>-157767</v>
      </c>
      <c r="S160" s="24">
        <v>-192816</v>
      </c>
      <c r="T160" s="24">
        <f>T34-T157</f>
        <v>-170507.03178181843</v>
      </c>
      <c r="U160" s="24">
        <f>U34-U157</f>
        <v>-184490.31193333352</v>
      </c>
      <c r="V160" s="24">
        <f>V34-V157</f>
        <v>-2368678.7881595958</v>
      </c>
      <c r="W160" s="77">
        <f t="shared" si="35"/>
        <v>-0.10570643324402591</v>
      </c>
      <c r="X160" s="89"/>
      <c r="Y160" s="24">
        <f>Y34-Y157</f>
        <v>-218519.50386629847</v>
      </c>
      <c r="Z160" s="24">
        <f>Z34-Z157</f>
        <v>-284023.20631363569</v>
      </c>
      <c r="AA160" s="24">
        <f>AA34-AA157</f>
        <v>-121956.1226919769</v>
      </c>
      <c r="AB160" s="24">
        <f>AB34-AB157</f>
        <v>-239665.75206096808</v>
      </c>
      <c r="AC160" s="24">
        <f>AC34-AC157</f>
        <v>-120379.42789005389</v>
      </c>
      <c r="AD160" s="24">
        <f>AD34-AD157</f>
        <v>-106740.35381096811</v>
      </c>
      <c r="AE160" s="24">
        <f>AE34-AE157</f>
        <v>-133330.43889299495</v>
      </c>
      <c r="AF160" s="24">
        <f>AF34-AF157</f>
        <v>-128405.56913499482</v>
      </c>
      <c r="AG160" s="24">
        <f>AG34-AG157</f>
        <v>-142883.12334027363</v>
      </c>
      <c r="AH160" s="24">
        <f>AH34-AH157</f>
        <v>-82766.955296994653</v>
      </c>
      <c r="AI160" s="24">
        <f>AI34-AI157</f>
        <v>-98478.299460939888</v>
      </c>
      <c r="AJ160" s="24">
        <f>AJ34-AJ157</f>
        <v>-113526.55140827602</v>
      </c>
      <c r="AK160" s="24">
        <f>AK34-AK157</f>
        <v>-1790675.3041683766</v>
      </c>
      <c r="AL160" s="77">
        <f t="shared" si="36"/>
        <v>-7.5885416534925587E-2</v>
      </c>
      <c r="AM160" s="23">
        <f t="shared" si="81"/>
        <v>-0.24401936086923526</v>
      </c>
      <c r="AN160" s="176">
        <f>+AK160/AK39</f>
        <v>-1.6701349819790225</v>
      </c>
    </row>
    <row r="161" spans="9:40" ht="14.45" customHeight="1">
      <c r="I161" s="26" t="s">
        <v>472</v>
      </c>
      <c r="J161" s="17">
        <f>+J160/J39</f>
        <v>-3.825695706715138</v>
      </c>
      <c r="K161" s="17">
        <f>+K160/K39</f>
        <v>-2.6563880544265772</v>
      </c>
      <c r="L161" s="17">
        <f>+L160/L39</f>
        <v>-2.1441601856425692</v>
      </c>
      <c r="M161" s="17">
        <f>+M160/M39</f>
        <v>-3.516477471620743</v>
      </c>
      <c r="N161" s="17">
        <f>+N160/N39</f>
        <v>-2.0635332033671019</v>
      </c>
      <c r="O161" s="17">
        <f>+O160/O39</f>
        <v>-2.114596979935186</v>
      </c>
      <c r="P161" s="17">
        <f>+P160/P39</f>
        <v>-2.9170040485829958</v>
      </c>
      <c r="Q161" s="17">
        <f>+Q160/Q39</f>
        <v>-1.822238167047721</v>
      </c>
      <c r="R161" s="17">
        <f>+R160/R39</f>
        <v>-1.7013037430041085</v>
      </c>
      <c r="S161" s="17">
        <f>+S160/S39</f>
        <v>-1.931327376898113</v>
      </c>
      <c r="T161" s="17">
        <f>+T160/T39</f>
        <v>-1.8013526150950128</v>
      </c>
      <c r="U161" s="17">
        <f>+U160/U39</f>
        <v>-1.9687786734679378</v>
      </c>
      <c r="V161" s="17">
        <f>+V160/V39</f>
        <v>-2.3102051847289222</v>
      </c>
      <c r="W161" s="73">
        <f t="shared" ref="W161" si="93">V161/V$6</f>
        <v>-1.0309694643286371E-7</v>
      </c>
      <c r="X161" s="89"/>
      <c r="Y161" s="17">
        <f>+Y160/Y39</f>
        <v>-2.7422915713910831</v>
      </c>
      <c r="Z161" s="17">
        <f>+Z160/Z39</f>
        <v>-3.5171410247620636</v>
      </c>
      <c r="AA161" s="17">
        <f>+AA160/AA39</f>
        <v>-1.364818902738195</v>
      </c>
      <c r="AB161" s="17">
        <f>+AB160/AB39</f>
        <v>-2.8814291629913447</v>
      </c>
      <c r="AC161" s="17">
        <f>+AC160/AC39</f>
        <v>-1.315737199865058</v>
      </c>
      <c r="AD161" s="17">
        <f>+AD160/AD39</f>
        <v>-1.192309925952461</v>
      </c>
      <c r="AE161" s="17">
        <f>+AE160/AE39</f>
        <v>-1.5785101566665281</v>
      </c>
      <c r="AF161" s="17">
        <f>+AF160/AF39</f>
        <v>-1.5183167886745434</v>
      </c>
      <c r="AG161" s="17">
        <f>+AG160/AG39</f>
        <v>-1.494483911641131</v>
      </c>
      <c r="AH161" s="17">
        <f>+AH160/AH39</f>
        <v>-0.82759506941369931</v>
      </c>
      <c r="AI161" s="17">
        <f>+AI160/AI39</f>
        <v>-1.0116732701294393</v>
      </c>
      <c r="AJ161" s="17">
        <f>+AJ160/AJ39</f>
        <v>-1.1802200976003578</v>
      </c>
      <c r="AK161" s="17">
        <f>+AK160/AK39</f>
        <v>-1.6701349819790225</v>
      </c>
      <c r="AL161" s="73">
        <f t="shared" ref="AL161" si="94">AK161/AK$6</f>
        <v>-7.0777146745701336E-8</v>
      </c>
      <c r="AM161" s="16">
        <f t="shared" si="81"/>
        <v>-0.27706205794227101</v>
      </c>
      <c r="AN161" s="9"/>
    </row>
    <row r="162" spans="9:40" ht="15"/>
    <row r="163" spans="9:40" ht="15"/>
  </sheetData>
  <mergeCells count="4">
    <mergeCell ref="J2:U2"/>
    <mergeCell ref="V2:W2"/>
    <mergeCell ref="Y2:AJ2"/>
    <mergeCell ref="AK2:AL2"/>
  </mergeCells>
  <conditionalFormatting sqref="AM47:AM49 AM39:AM42 AM1:AM37">
    <cfRule type="cellIs" dxfId="73" priority="39" operator="lessThan">
      <formula>0</formula>
    </cfRule>
  </conditionalFormatting>
  <conditionalFormatting sqref="AM43:AM46">
    <cfRule type="cellIs" dxfId="72" priority="27" operator="lessThan">
      <formula>0</formula>
    </cfRule>
  </conditionalFormatting>
  <conditionalFormatting sqref="AM38">
    <cfRule type="cellIs" dxfId="71" priority="23" operator="lessThan">
      <formula>0</formula>
    </cfRule>
  </conditionalFormatting>
  <conditionalFormatting sqref="AM57:AM69 AM50:AM55 AM160 AM112:AM118 AM79:AM107 AM120:AM158">
    <cfRule type="cellIs" dxfId="70" priority="15" operator="lessThan">
      <formula>0</formula>
    </cfRule>
  </conditionalFormatting>
  <conditionalFormatting sqref="AM108">
    <cfRule type="cellIs" dxfId="69" priority="14" operator="lessThan">
      <formula>0</formula>
    </cfRule>
  </conditionalFormatting>
  <conditionalFormatting sqref="AM109">
    <cfRule type="cellIs" dxfId="68" priority="13" operator="lessThan">
      <formula>0</formula>
    </cfRule>
  </conditionalFormatting>
  <conditionalFormatting sqref="AM110">
    <cfRule type="cellIs" dxfId="67" priority="12" operator="lessThan">
      <formula>0</formula>
    </cfRule>
  </conditionalFormatting>
  <conditionalFormatting sqref="AM111">
    <cfRule type="cellIs" dxfId="66" priority="11" operator="lessThan">
      <formula>0</formula>
    </cfRule>
  </conditionalFormatting>
  <conditionalFormatting sqref="AM56">
    <cfRule type="cellIs" dxfId="65" priority="10" operator="lessThan">
      <formula>0</formula>
    </cfRule>
  </conditionalFormatting>
  <conditionalFormatting sqref="AM70">
    <cfRule type="cellIs" dxfId="64" priority="9" operator="lessThan">
      <formula>0</formula>
    </cfRule>
  </conditionalFormatting>
  <conditionalFormatting sqref="AM78">
    <cfRule type="cellIs" dxfId="63" priority="8" operator="lessThan">
      <formula>0</formula>
    </cfRule>
  </conditionalFormatting>
  <conditionalFormatting sqref="AM71:AM80">
    <cfRule type="cellIs" dxfId="62" priority="7" operator="lessThan">
      <formula>0</formula>
    </cfRule>
  </conditionalFormatting>
  <conditionalFormatting sqref="AM159">
    <cfRule type="cellIs" dxfId="61" priority="6" operator="lessThan">
      <formula>0</formula>
    </cfRule>
  </conditionalFormatting>
  <conditionalFormatting sqref="AM119:AM133">
    <cfRule type="cellIs" dxfId="60" priority="5" operator="lessThan">
      <formula>0</formula>
    </cfRule>
  </conditionalFormatting>
  <conditionalFormatting sqref="AM119:AM133">
    <cfRule type="cellIs" dxfId="59" priority="4" operator="lessThan">
      <formula>0</formula>
    </cfRule>
  </conditionalFormatting>
  <conditionalFormatting sqref="AM161">
    <cfRule type="cellIs" dxfId="58" priority="2" operator="lessThan">
      <formula>0</formula>
    </cfRule>
  </conditionalFormatting>
  <conditionalFormatting sqref="AO43:AO46">
    <cfRule type="cellIs" dxfId="57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4">
    <outlinePr summaryBelow="0" summaryRight="0"/>
  </sheetPr>
  <dimension ref="A1:AO162"/>
  <sheetViews>
    <sheetView showGridLines="0" zoomScale="70" zoomScaleNormal="70" workbookViewId="0">
      <pane xSplit="9" ySplit="3" topLeftCell="V64" activePane="bottomRight" state="frozen"/>
      <selection pane="bottomRight" activeCell="Z76" sqref="Z76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39.85546875" style="5" customWidth="1"/>
    <col min="10" max="10" width="16" style="4" customWidth="1" outlineLevel="1"/>
    <col min="11" max="12" width="16.42578125" style="4" customWidth="1" outlineLevel="1"/>
    <col min="13" max="14" width="16.42578125" style="3" customWidth="1" outlineLevel="1"/>
    <col min="15" max="15" width="16" style="3" customWidth="1" outlineLevel="1"/>
    <col min="16" max="16" width="16.42578125" style="3" customWidth="1" outlineLevel="1"/>
    <col min="17" max="17" width="17.42578125" style="4" customWidth="1" outlineLevel="1"/>
    <col min="18" max="18" width="16" style="3" customWidth="1" outlineLevel="1"/>
    <col min="19" max="19" width="17.42578125" style="3" customWidth="1" outlineLevel="1"/>
    <col min="20" max="20" width="18.28515625" style="3" customWidth="1" outlineLevel="1"/>
    <col min="21" max="21" width="17.42578125" style="4" customWidth="1" outlineLevel="1"/>
    <col min="22" max="22" width="11.42578125" style="4" customWidth="1"/>
    <col min="23" max="23" width="11.42578125" style="83" customWidth="1"/>
    <col min="24" max="24" width="2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3.5703125" style="4" bestFit="1" customWidth="1"/>
    <col min="38" max="38" width="11.42578125" style="83" customWidth="1"/>
    <col min="39" max="39" width="11.42578125" style="2" customWidth="1"/>
    <col min="40" max="42" width="11.42578125" style="1" customWidth="1"/>
    <col min="43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473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284">
        <v>2025</v>
      </c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6"/>
      <c r="V2" s="287" t="s">
        <v>92</v>
      </c>
      <c r="W2" s="288"/>
      <c r="X2" s="85"/>
      <c r="Y2" s="284">
        <v>2026</v>
      </c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6"/>
      <c r="AK2" s="287" t="s">
        <v>92</v>
      </c>
      <c r="AL2" s="289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4" t="s">
        <v>69</v>
      </c>
      <c r="K3" s="64" t="s">
        <v>70</v>
      </c>
      <c r="L3" s="64" t="s">
        <v>71</v>
      </c>
      <c r="M3" s="61" t="s">
        <v>72</v>
      </c>
      <c r="N3" s="61" t="s">
        <v>73</v>
      </c>
      <c r="O3" s="61" t="s">
        <v>74</v>
      </c>
      <c r="P3" s="61" t="s">
        <v>75</v>
      </c>
      <c r="Q3" s="63" t="s">
        <v>76</v>
      </c>
      <c r="R3" s="61" t="s">
        <v>77</v>
      </c>
      <c r="S3" s="61" t="s">
        <v>78</v>
      </c>
      <c r="T3" s="61" t="s">
        <v>79</v>
      </c>
      <c r="U3" s="62" t="s">
        <v>80</v>
      </c>
      <c r="V3" s="46">
        <v>2025</v>
      </c>
      <c r="W3" s="69" t="s">
        <v>95</v>
      </c>
      <c r="X3" s="86"/>
      <c r="Y3" s="134" t="s">
        <v>69</v>
      </c>
      <c r="Z3" s="64" t="s">
        <v>70</v>
      </c>
      <c r="AA3" s="64" t="s">
        <v>71</v>
      </c>
      <c r="AB3" s="61" t="s">
        <v>72</v>
      </c>
      <c r="AC3" s="61" t="s">
        <v>73</v>
      </c>
      <c r="AD3" s="61" t="s">
        <v>74</v>
      </c>
      <c r="AE3" s="61" t="s">
        <v>75</v>
      </c>
      <c r="AF3" s="63" t="s">
        <v>76</v>
      </c>
      <c r="AG3" s="61" t="s">
        <v>77</v>
      </c>
      <c r="AH3" s="61" t="s">
        <v>78</v>
      </c>
      <c r="AI3" s="61" t="s">
        <v>79</v>
      </c>
      <c r="AJ3" s="62" t="s">
        <v>80</v>
      </c>
      <c r="AK3" s="46">
        <v>2026</v>
      </c>
      <c r="AL3" s="69" t="s">
        <v>95</v>
      </c>
      <c r="AM3" s="45" t="s">
        <v>96</v>
      </c>
    </row>
    <row r="4" spans="1:40" ht="14.45" customHeight="1">
      <c r="I4" s="43" t="s">
        <v>97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>
      <c r="A6" s="12" t="s">
        <v>98</v>
      </c>
      <c r="B6" s="19"/>
      <c r="C6" s="19"/>
      <c r="D6" s="12"/>
      <c r="E6" s="7" t="s">
        <v>99</v>
      </c>
      <c r="I6" s="170" t="s">
        <v>100</v>
      </c>
      <c r="J6" s="15">
        <v>5819690</v>
      </c>
      <c r="K6" s="15">
        <v>5562107</v>
      </c>
      <c r="L6" s="15">
        <v>6351627</v>
      </c>
      <c r="M6" s="15">
        <v>6232425</v>
      </c>
      <c r="N6" s="15">
        <v>7014958</v>
      </c>
      <c r="O6" s="15">
        <v>6388531</v>
      </c>
      <c r="P6" s="15">
        <v>6439134</v>
      </c>
      <c r="Q6" s="15">
        <v>6845821</v>
      </c>
      <c r="R6" s="15">
        <v>6669772</v>
      </c>
      <c r="S6" s="15">
        <v>7291156</v>
      </c>
      <c r="T6" s="15">
        <f>SUM(T7:T12)</f>
        <v>6935583</v>
      </c>
      <c r="U6" s="15">
        <f>SUM(U7:U12)</f>
        <v>6965503.666666666</v>
      </c>
      <c r="V6" s="15">
        <f t="shared" ref="V6" si="1">SUM(V7:V12)</f>
        <v>78516306.666666657</v>
      </c>
      <c r="W6" s="72">
        <f t="shared" ref="W6:W34" si="2">V6/V$6</f>
        <v>1</v>
      </c>
      <c r="X6" s="89"/>
      <c r="Y6" s="15">
        <f t="shared" ref="Y6:AJ6" si="3">SUM(Y7:Y12)</f>
        <v>6432286.1582450857</v>
      </c>
      <c r="Z6" s="15">
        <f t="shared" si="3"/>
        <v>6158445.1882450869</v>
      </c>
      <c r="AA6" s="15">
        <f t="shared" si="3"/>
        <v>7075018.3882450871</v>
      </c>
      <c r="AB6" s="15">
        <f t="shared" si="3"/>
        <v>6938337.978245086</v>
      </c>
      <c r="AC6" s="15">
        <f t="shared" si="3"/>
        <v>7884882.1582450867</v>
      </c>
      <c r="AD6" s="15">
        <f t="shared" si="3"/>
        <v>7205885.4082450867</v>
      </c>
      <c r="AE6" s="15">
        <f t="shared" si="3"/>
        <v>7265661.9582450865</v>
      </c>
      <c r="AF6" s="15">
        <f t="shared" si="3"/>
        <v>7717922.4682450863</v>
      </c>
      <c r="AG6" s="15">
        <f t="shared" si="3"/>
        <v>7520101.8182450868</v>
      </c>
      <c r="AH6" s="15">
        <f t="shared" si="3"/>
        <v>8079755.4582450856</v>
      </c>
      <c r="AI6" s="15">
        <f t="shared" si="3"/>
        <v>7874410.558245087</v>
      </c>
      <c r="AJ6" s="15">
        <f t="shared" si="3"/>
        <v>7785007.6582450867</v>
      </c>
      <c r="AK6" s="15">
        <f>SUM(AK7:AK12)</f>
        <v>87937715.198941037</v>
      </c>
      <c r="AL6" s="72">
        <f t="shared" ref="AL6:AL34" si="4">AK6/AK$6</f>
        <v>1</v>
      </c>
      <c r="AM6" s="10">
        <f>IFERROR(AK6/V6-1,0)</f>
        <v>0.11999301714829835</v>
      </c>
      <c r="AN6" s="9"/>
    </row>
    <row r="7" spans="1:40" ht="15" customHeight="1" outlineLevel="1">
      <c r="A7" s="12" t="s">
        <v>98</v>
      </c>
      <c r="B7" s="19" t="s">
        <v>101</v>
      </c>
      <c r="C7" s="19" t="s">
        <v>102</v>
      </c>
      <c r="D7" s="12" t="s">
        <v>103</v>
      </c>
      <c r="E7" s="20"/>
      <c r="F7" s="12"/>
      <c r="G7" s="12"/>
      <c r="H7" s="12"/>
      <c r="I7" s="116" t="s">
        <v>27</v>
      </c>
      <c r="J7" s="65">
        <v>4417077</v>
      </c>
      <c r="K7" s="65">
        <v>4111637</v>
      </c>
      <c r="L7" s="65">
        <v>4695450</v>
      </c>
      <c r="M7" s="65">
        <v>4501417</v>
      </c>
      <c r="N7" s="65">
        <v>5097227</v>
      </c>
      <c r="O7" s="65">
        <v>4763006</v>
      </c>
      <c r="P7" s="65">
        <v>4769399</v>
      </c>
      <c r="Q7" s="65">
        <v>4981073</v>
      </c>
      <c r="R7" s="65">
        <v>4955972</v>
      </c>
      <c r="S7" s="65">
        <v>5371673</v>
      </c>
      <c r="T7" s="65">
        <f>AVERAGE(Q7:S7)</f>
        <v>5102906</v>
      </c>
      <c r="U7" s="65">
        <f>AVERAGE(R7:T7)</f>
        <v>5143517</v>
      </c>
      <c r="V7" s="11">
        <f t="shared" ref="V7:V33" si="5">SUM(J7:U7)</f>
        <v>57910354</v>
      </c>
      <c r="W7" s="73">
        <f t="shared" si="2"/>
        <v>0.73755830423675905</v>
      </c>
      <c r="X7" s="89"/>
      <c r="Y7" s="244">
        <f>IFERROR(Y40*'Parametros AGS'!$M$7,0)</f>
        <v>4943240.1682450864</v>
      </c>
      <c r="Z7" s="244">
        <f>IFERROR(Z40*'Parametros AGS'!$M$7,0)</f>
        <v>4621341.3682450866</v>
      </c>
      <c r="AA7" s="244">
        <f>IFERROR(AA40*'Parametros AGS'!$M$7,0)</f>
        <v>5311405.768245087</v>
      </c>
      <c r="AB7" s="244">
        <f>IFERROR(AB40*'Parametros AGS'!$M$7,0)</f>
        <v>5100679.9682450863</v>
      </c>
      <c r="AC7" s="244">
        <f>IFERROR(AC40*'Parametros AGS'!$M$7,0)</f>
        <v>5831168.9682450863</v>
      </c>
      <c r="AD7" s="244">
        <f>IFERROR(AD40*'Parametros AGS'!$M$7,0)</f>
        <v>5470493.3682450866</v>
      </c>
      <c r="AE7" s="244">
        <f>IFERROR(AE40*'Parametros AGS'!$M$7,0)</f>
        <v>5483397.5682450868</v>
      </c>
      <c r="AF7" s="244">
        <f>IFERROR(AF40*'Parametros AGS'!$M$7,0)</f>
        <v>5726629.9682450863</v>
      </c>
      <c r="AG7" s="244">
        <f>IFERROR(AG40*'Parametros AGS'!$M$7,0)</f>
        <v>5690035.9682450863</v>
      </c>
      <c r="AH7" s="244">
        <f>IFERROR(AH40*'Parametros AGS'!$M$7,0)</f>
        <v>6044633.9682450863</v>
      </c>
      <c r="AI7" s="244">
        <f>IFERROR(AI40*'Parametros AGS'!$M$7,0)</f>
        <v>5892308.768245087</v>
      </c>
      <c r="AJ7" s="244">
        <f>IFERROR(AJ40*'Parametros AGS'!$M$7,0)</f>
        <v>5826503.768245087</v>
      </c>
      <c r="AK7" s="65">
        <f t="shared" ref="AK7:AK33" si="6">SUM(Y7:AJ7)</f>
        <v>65941839.618941039</v>
      </c>
      <c r="AL7" s="73">
        <f t="shared" si="4"/>
        <v>0.74986983082015668</v>
      </c>
      <c r="AM7" s="14">
        <f t="shared" ref="AM7:AM46" si="7">IFERROR(AK7/V7-1,0)</f>
        <v>0.13868824940944124</v>
      </c>
      <c r="AN7" s="9"/>
    </row>
    <row r="8" spans="1:40" ht="15" customHeight="1" outlineLevel="1">
      <c r="A8" s="12" t="s">
        <v>98</v>
      </c>
      <c r="B8" s="19" t="s">
        <v>101</v>
      </c>
      <c r="C8" s="19" t="s">
        <v>104</v>
      </c>
      <c r="D8" s="12" t="s">
        <v>105</v>
      </c>
      <c r="E8" s="20"/>
      <c r="F8" s="12"/>
      <c r="G8" s="12"/>
      <c r="H8" s="12"/>
      <c r="I8" s="116" t="s">
        <v>28</v>
      </c>
      <c r="J8" s="65">
        <v>1282288</v>
      </c>
      <c r="K8" s="65">
        <v>1341584</v>
      </c>
      <c r="L8" s="65">
        <v>1517565</v>
      </c>
      <c r="M8" s="65">
        <v>1564422</v>
      </c>
      <c r="N8" s="65">
        <v>1720674</v>
      </c>
      <c r="O8" s="65">
        <v>1467299</v>
      </c>
      <c r="P8" s="65">
        <v>1500222</v>
      </c>
      <c r="Q8" s="65">
        <v>1725193</v>
      </c>
      <c r="R8" s="65">
        <v>1575276</v>
      </c>
      <c r="S8" s="65">
        <v>1760534</v>
      </c>
      <c r="T8" s="65">
        <f t="shared" ref="T8:U11" si="8">AVERAGE(Q8:S8)</f>
        <v>1687001</v>
      </c>
      <c r="U8" s="65">
        <f t="shared" si="8"/>
        <v>1674270.3333333333</v>
      </c>
      <c r="V8" s="11">
        <f t="shared" si="5"/>
        <v>18816328.333333332</v>
      </c>
      <c r="W8" s="73">
        <f t="shared" si="2"/>
        <v>0.23964866831059978</v>
      </c>
      <c r="X8" s="89"/>
      <c r="Y8" s="244">
        <f>IFERROR(Y41*'Parametros AGS'!$M$8,0)</f>
        <v>1354184.44</v>
      </c>
      <c r="Z8" s="244">
        <f>IFERROR(Z41*'Parametros AGS'!$M$8,0)</f>
        <v>1415205.12</v>
      </c>
      <c r="AA8" s="244">
        <f>IFERROR(AA41*'Parametros AGS'!$M$8,0)</f>
        <v>1610087.92</v>
      </c>
      <c r="AB8" s="244">
        <f>IFERROR(AB41*'Parametros AGS'!$M$8,0)</f>
        <v>1655431.26</v>
      </c>
      <c r="AC8" s="244">
        <f>IFERROR(AC41*'Parametros AGS'!$M$8,0)</f>
        <v>1835800.54</v>
      </c>
      <c r="AD8" s="244">
        <f>IFERROR(AD41*'Parametros AGS'!$M$8,0)</f>
        <v>1560249.04</v>
      </c>
      <c r="AE8" s="244">
        <f>IFERROR(AE41*'Parametros AGS'!$M$8,0)</f>
        <v>1597103.34</v>
      </c>
      <c r="AF8" s="244">
        <f>IFERROR(AF41*'Parametros AGS'!$M$8,0)</f>
        <v>1833929.3</v>
      </c>
      <c r="AG8" s="244">
        <f>IFERROR(AG41*'Parametros AGS'!$M$8,0)</f>
        <v>1678639.2</v>
      </c>
      <c r="AH8" s="244">
        <f>IFERROR(AH41*'Parametros AGS'!$M$8,0)</f>
        <v>1891823.6400000001</v>
      </c>
      <c r="AI8" s="244">
        <f>IFERROR(AI41*'Parametros AGS'!$M$8,0)</f>
        <v>1841391.44</v>
      </c>
      <c r="AJ8" s="244">
        <f>IFERROR(AJ41*'Parametros AGS'!$M$8,0)</f>
        <v>1819598.34</v>
      </c>
      <c r="AK8" s="65">
        <f t="shared" si="6"/>
        <v>20093443.580000002</v>
      </c>
      <c r="AL8" s="73">
        <f t="shared" si="4"/>
        <v>0.22849631167403781</v>
      </c>
      <c r="AM8" s="14">
        <f t="shared" si="7"/>
        <v>6.7872712680307812E-2</v>
      </c>
      <c r="AN8" s="9"/>
    </row>
    <row r="9" spans="1:40" ht="15" customHeight="1" outlineLevel="1">
      <c r="A9" s="12" t="s">
        <v>98</v>
      </c>
      <c r="B9" s="19" t="s">
        <v>101</v>
      </c>
      <c r="C9" s="19" t="s">
        <v>106</v>
      </c>
      <c r="D9" s="12" t="s">
        <v>107</v>
      </c>
      <c r="E9" s="20"/>
      <c r="F9" s="12"/>
      <c r="G9" s="12"/>
      <c r="H9" s="12"/>
      <c r="I9" s="116" t="s">
        <v>5</v>
      </c>
      <c r="J9" s="65">
        <v>119320</v>
      </c>
      <c r="K9" s="65">
        <v>108214</v>
      </c>
      <c r="L9" s="65">
        <v>130827</v>
      </c>
      <c r="M9" s="65">
        <v>157657</v>
      </c>
      <c r="N9" s="65">
        <v>189122</v>
      </c>
      <c r="O9" s="65">
        <v>151966</v>
      </c>
      <c r="P9" s="65">
        <v>162434</v>
      </c>
      <c r="Q9" s="65">
        <v>130655</v>
      </c>
      <c r="R9" s="65">
        <v>131725</v>
      </c>
      <c r="S9" s="65">
        <v>149171</v>
      </c>
      <c r="T9" s="65">
        <f t="shared" si="8"/>
        <v>137183.66666666666</v>
      </c>
      <c r="U9" s="65">
        <f t="shared" si="8"/>
        <v>139359.88888888888</v>
      </c>
      <c r="V9" s="11">
        <f t="shared" si="5"/>
        <v>1707634.5555555555</v>
      </c>
      <c r="W9" s="73">
        <f t="shared" si="2"/>
        <v>2.1748788602667622E-2</v>
      </c>
      <c r="X9" s="89"/>
      <c r="Y9" s="244">
        <f>IFERROR(Y42*'Parametros AGS'!$M$9,0)</f>
        <v>133961.54999999999</v>
      </c>
      <c r="Z9" s="244">
        <f>IFERROR(Z42*'Parametros AGS'!$M$9,0)</f>
        <v>121418.7</v>
      </c>
      <c r="AA9" s="244">
        <f>IFERROR(AA42*'Parametros AGS'!$M$9,0)</f>
        <v>147824.69999999998</v>
      </c>
      <c r="AB9" s="244">
        <f>IFERROR(AB42*'Parametros AGS'!$M$9,0)</f>
        <v>176406.75</v>
      </c>
      <c r="AC9" s="244">
        <f>IFERROR(AC42*'Parametros AGS'!$M$9,0)</f>
        <v>212152.65</v>
      </c>
      <c r="AD9" s="244">
        <f>IFERROR(AD42*'Parametros AGS'!$M$9,0)</f>
        <v>169683</v>
      </c>
      <c r="AE9" s="244">
        <f>IFERROR(AE42*'Parametros AGS'!$M$9,0)</f>
        <v>180661.05</v>
      </c>
      <c r="AF9" s="244">
        <f>IFERROR(AF42*'Parametros AGS'!$M$9,0)</f>
        <v>151003.19999999998</v>
      </c>
      <c r="AG9" s="244">
        <f>IFERROR(AG42*'Parametros AGS'!$M$9,0)</f>
        <v>146626.65</v>
      </c>
      <c r="AH9" s="244">
        <f>IFERROR(AH42*'Parametros AGS'!$M$9,0)</f>
        <v>137237.85</v>
      </c>
      <c r="AI9" s="244">
        <f>IFERROR(AI42*'Parametros AGS'!$M$9,0)</f>
        <v>133570.35</v>
      </c>
      <c r="AJ9" s="244">
        <f>IFERROR(AJ42*'Parametros AGS'!$M$9,0)</f>
        <v>132005.54999999999</v>
      </c>
      <c r="AK9" s="65">
        <f t="shared" si="6"/>
        <v>1842552</v>
      </c>
      <c r="AL9" s="73">
        <f t="shared" si="4"/>
        <v>2.0952921005868805E-2</v>
      </c>
      <c r="AM9" s="14">
        <f t="shared" si="7"/>
        <v>7.9008382680889833E-2</v>
      </c>
      <c r="AN9" s="9"/>
    </row>
    <row r="10" spans="1:40" ht="15" customHeight="1" outlineLevel="1">
      <c r="A10" s="12"/>
      <c r="B10" s="19"/>
      <c r="C10" s="19"/>
      <c r="D10" s="12"/>
      <c r="E10" s="20"/>
      <c r="F10" s="12"/>
      <c r="G10" s="12"/>
      <c r="H10" s="12"/>
      <c r="I10" s="116" t="s">
        <v>108</v>
      </c>
      <c r="J10" s="65">
        <v>1005</v>
      </c>
      <c r="K10" s="65">
        <v>672</v>
      </c>
      <c r="L10" s="65">
        <v>7785</v>
      </c>
      <c r="M10" s="65">
        <v>8928</v>
      </c>
      <c r="N10" s="65">
        <v>7935</v>
      </c>
      <c r="O10" s="65">
        <v>6260</v>
      </c>
      <c r="P10" s="65">
        <v>7079</v>
      </c>
      <c r="Q10" s="65">
        <v>8900</v>
      </c>
      <c r="R10" s="65">
        <v>6799</v>
      </c>
      <c r="S10" s="65">
        <v>9778</v>
      </c>
      <c r="T10" s="65">
        <f t="shared" si="8"/>
        <v>8492.3333333333339</v>
      </c>
      <c r="U10" s="65">
        <f t="shared" si="8"/>
        <v>8356.4444444444453</v>
      </c>
      <c r="V10" s="11">
        <f t="shared" si="5"/>
        <v>81989.777777777781</v>
      </c>
      <c r="W10" s="73">
        <f t="shared" si="2"/>
        <v>1.0442388499736419E-3</v>
      </c>
      <c r="X10" s="89"/>
      <c r="Y10" s="244">
        <f>VLOOKUP($E$1,'[2]Resumen x Tipo Combustible'!$C$45:$P$48,Y1,0)</f>
        <v>900</v>
      </c>
      <c r="Z10" s="244">
        <f>VLOOKUP($E$1,'[2]Resumen x Tipo Combustible'!$C$45:$P$48,Z1,0)</f>
        <v>480</v>
      </c>
      <c r="AA10" s="244">
        <f>VLOOKUP($E$1,'[2]Resumen x Tipo Combustible'!$C$45:$P$48,AA1,0)</f>
        <v>5700</v>
      </c>
      <c r="AB10" s="244">
        <f>VLOOKUP($E$1,'[2]Resumen x Tipo Combustible'!$C$45:$P$48,AB1,0)</f>
        <v>5820</v>
      </c>
      <c r="AC10" s="244">
        <f>VLOOKUP($E$1,'[2]Resumen x Tipo Combustible'!$C$45:$P$48,AC1,0)</f>
        <v>5760</v>
      </c>
      <c r="AD10" s="244">
        <f>VLOOKUP($E$1,'[2]Resumen x Tipo Combustible'!$C$45:$P$48,AD1,0)</f>
        <v>5460</v>
      </c>
      <c r="AE10" s="244">
        <f>VLOOKUP($E$1,'[2]Resumen x Tipo Combustible'!$C$45:$P$48,AE1,0)</f>
        <v>4500</v>
      </c>
      <c r="AF10" s="244">
        <f>VLOOKUP($E$1,'[2]Resumen x Tipo Combustible'!$C$45:$P$48,AF1,0)</f>
        <v>6360</v>
      </c>
      <c r="AG10" s="244">
        <f>VLOOKUP($E$1,'[2]Resumen x Tipo Combustible'!$C$45:$P$48,AG1,0)</f>
        <v>4800</v>
      </c>
      <c r="AH10" s="244">
        <f>VLOOKUP($E$1,'[2]Resumen x Tipo Combustible'!$C$45:$P$48,AH1,0)</f>
        <v>6060</v>
      </c>
      <c r="AI10" s="244">
        <f>VLOOKUP($E$1,'[2]Resumen x Tipo Combustible'!$C$45:$P$48,AI1,0)</f>
        <v>7140</v>
      </c>
      <c r="AJ10" s="244">
        <f>VLOOKUP($E$1,'[2]Resumen x Tipo Combustible'!$C$45:$P$48,AJ1,0)</f>
        <v>6900</v>
      </c>
      <c r="AK10" s="65">
        <f t="shared" si="6"/>
        <v>59880</v>
      </c>
      <c r="AL10" s="73">
        <f t="shared" si="4"/>
        <v>6.8093649993673116E-4</v>
      </c>
      <c r="AM10" s="14">
        <f t="shared" si="7"/>
        <v>-0.26966505309604993</v>
      </c>
      <c r="AN10" s="9"/>
    </row>
    <row r="11" spans="1:40" ht="15" customHeight="1" outlineLevel="1">
      <c r="A11" s="12"/>
      <c r="B11" s="19"/>
      <c r="C11" s="19"/>
      <c r="D11" s="12"/>
      <c r="E11" s="20"/>
      <c r="F11" s="12"/>
      <c r="G11" s="12"/>
      <c r="H11" s="12"/>
      <c r="I11" s="116" t="s">
        <v>467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f t="shared" si="8"/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customHeight="1" outlineLevel="1">
      <c r="A12" s="12"/>
      <c r="B12" s="19"/>
      <c r="C12" s="19"/>
      <c r="D12" s="12"/>
      <c r="E12" s="20"/>
      <c r="F12" s="12"/>
      <c r="G12" s="12"/>
      <c r="H12" s="12"/>
      <c r="I12" s="116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>
        <v>0</v>
      </c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>
      <c r="A13" s="12" t="s">
        <v>110</v>
      </c>
      <c r="B13" s="19"/>
      <c r="E13" s="7" t="s">
        <v>111</v>
      </c>
      <c r="I13" s="170" t="s">
        <v>112</v>
      </c>
      <c r="J13" s="15">
        <v>5436774</v>
      </c>
      <c r="K13" s="15">
        <v>5142202</v>
      </c>
      <c r="L13" s="15">
        <v>5750419</v>
      </c>
      <c r="M13" s="15">
        <v>5580085</v>
      </c>
      <c r="N13" s="15">
        <v>6279601</v>
      </c>
      <c r="O13" s="15">
        <v>5753187</v>
      </c>
      <c r="P13" s="15">
        <v>5839324</v>
      </c>
      <c r="Q13" s="15">
        <v>6285458</v>
      </c>
      <c r="R13" s="15">
        <v>6095525</v>
      </c>
      <c r="S13" s="15">
        <v>6604883</v>
      </c>
      <c r="T13" s="15">
        <f>SUM(T14:T33)</f>
        <v>6328622.333333333</v>
      </c>
      <c r="U13" s="15">
        <f>SUM(U14:U33)</f>
        <v>6343010.444444444</v>
      </c>
      <c r="V13" s="15">
        <f t="shared" ref="V13" si="9">SUM(V14:V33)</f>
        <v>71439090.777777746</v>
      </c>
      <c r="W13" s="72">
        <f t="shared" si="2"/>
        <v>0.9098631075588598</v>
      </c>
      <c r="X13" s="89"/>
      <c r="Y13" s="15">
        <f>SUM(Y14:Y33)</f>
        <v>5890184.6392234042</v>
      </c>
      <c r="Z13" s="15">
        <f t="shared" ref="Z13:AK13" si="10">SUM(Z14:Z33)</f>
        <v>5649933.3064092528</v>
      </c>
      <c r="AA13" s="15">
        <f t="shared" si="10"/>
        <v>6431146.7148517082</v>
      </c>
      <c r="AB13" s="15">
        <f t="shared" si="10"/>
        <v>6356130.3904724605</v>
      </c>
      <c r="AC13" s="15">
        <f t="shared" si="10"/>
        <v>7169475.3448517071</v>
      </c>
      <c r="AD13" s="15">
        <f t="shared" si="10"/>
        <v>6628704.6064092526</v>
      </c>
      <c r="AE13" s="15">
        <f t="shared" si="10"/>
        <v>6646853.6739111412</v>
      </c>
      <c r="AF13" s="15">
        <f t="shared" si="10"/>
        <v>7040656.7826620843</v>
      </c>
      <c r="AG13" s="15">
        <f t="shared" si="10"/>
        <v>6890999.8992234031</v>
      </c>
      <c r="AH13" s="15">
        <f t="shared" si="10"/>
        <v>7365473.8520375555</v>
      </c>
      <c r="AI13" s="15">
        <f t="shared" si="10"/>
        <v>7214040.4498479329</v>
      </c>
      <c r="AJ13" s="15">
        <f t="shared" si="10"/>
        <v>7128540.8945356691</v>
      </c>
      <c r="AK13" s="15">
        <f t="shared" si="10"/>
        <v>80412140.554435551</v>
      </c>
      <c r="AL13" s="72">
        <f t="shared" si="4"/>
        <v>0.91442153543015736</v>
      </c>
      <c r="AM13" s="10">
        <f t="shared" si="7"/>
        <v>0.12560419903116982</v>
      </c>
      <c r="AN13" s="9"/>
    </row>
    <row r="14" spans="1:40" ht="14.45" customHeight="1" outlineLevel="1">
      <c r="A14" s="37" t="s">
        <v>110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174" t="s">
        <v>115</v>
      </c>
      <c r="J14" s="65">
        <v>4197841</v>
      </c>
      <c r="K14" s="65">
        <v>3862120</v>
      </c>
      <c r="L14" s="65">
        <v>4303893</v>
      </c>
      <c r="M14" s="65">
        <v>4109735</v>
      </c>
      <c r="N14" s="65">
        <v>4693979</v>
      </c>
      <c r="O14" s="65">
        <v>4403301</v>
      </c>
      <c r="P14" s="65">
        <v>4409212</v>
      </c>
      <c r="Q14" s="65">
        <v>4623988</v>
      </c>
      <c r="R14" s="65">
        <v>4581762</v>
      </c>
      <c r="S14" s="65">
        <v>4966016</v>
      </c>
      <c r="T14" s="65">
        <f>AVERAGE(Q14:S14)</f>
        <v>4723922</v>
      </c>
      <c r="U14" s="65">
        <f>AVERAGE(R14:T14)</f>
        <v>4757233.333333333</v>
      </c>
      <c r="V14" s="11">
        <f t="shared" si="5"/>
        <v>53633002.333333336</v>
      </c>
      <c r="W14" s="73">
        <f t="shared" si="2"/>
        <v>0.68308106443451333</v>
      </c>
      <c r="X14" s="89"/>
      <c r="Y14" s="244">
        <f>Y7-Y28-Y35</f>
        <v>4543623.0892234044</v>
      </c>
      <c r="Z14" s="244">
        <f t="shared" ref="Z14:AJ15" si="11">Z7-Z28-Z35</f>
        <v>4262863.4864092525</v>
      </c>
      <c r="AA14" s="244">
        <f t="shared" si="11"/>
        <v>4847278.2548517082</v>
      </c>
      <c r="AB14" s="244">
        <f t="shared" si="11"/>
        <v>4697869.2604724606</v>
      </c>
      <c r="AC14" s="244">
        <f t="shared" si="11"/>
        <v>5321622.8948517069</v>
      </c>
      <c r="AD14" s="244">
        <f t="shared" si="11"/>
        <v>5046146.6864092527</v>
      </c>
      <c r="AE14" s="244">
        <f t="shared" si="11"/>
        <v>5037551.2239111401</v>
      </c>
      <c r="AF14" s="244">
        <f t="shared" si="11"/>
        <v>5250302.8026620839</v>
      </c>
      <c r="AG14" s="244">
        <f t="shared" si="11"/>
        <v>5230047.0792234037</v>
      </c>
      <c r="AH14" s="244">
        <f t="shared" si="11"/>
        <v>5536206.8120375555</v>
      </c>
      <c r="AI14" s="244">
        <f t="shared" si="11"/>
        <v>5421474.7498479327</v>
      </c>
      <c r="AJ14" s="244">
        <f t="shared" si="11"/>
        <v>5358205.3345356686</v>
      </c>
      <c r="AK14" s="65">
        <f t="shared" si="6"/>
        <v>60553191.674435563</v>
      </c>
      <c r="AL14" s="73">
        <f t="shared" si="4"/>
        <v>0.68859182362705684</v>
      </c>
      <c r="AM14" s="14">
        <f t="shared" si="7"/>
        <v>0.12902856524967055</v>
      </c>
      <c r="AN14" s="9"/>
    </row>
    <row r="15" spans="1:40" ht="14.45" customHeight="1" outlineLevel="1">
      <c r="A15" s="37" t="s">
        <v>110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175" t="s">
        <v>118</v>
      </c>
      <c r="J15" s="65">
        <v>1180651</v>
      </c>
      <c r="K15" s="65">
        <v>1240542</v>
      </c>
      <c r="L15" s="65">
        <v>1392932</v>
      </c>
      <c r="M15" s="65">
        <v>1427250</v>
      </c>
      <c r="N15" s="65">
        <v>1535211</v>
      </c>
      <c r="O15" s="65">
        <v>1312527</v>
      </c>
      <c r="P15" s="65">
        <v>1375145</v>
      </c>
      <c r="Q15" s="65">
        <v>1606662</v>
      </c>
      <c r="R15" s="65">
        <v>1468715</v>
      </c>
      <c r="S15" s="65">
        <v>1626265</v>
      </c>
      <c r="T15" s="65">
        <f t="shared" ref="T15:U30" si="12">AVERAGE(Q15:S15)</f>
        <v>1567214</v>
      </c>
      <c r="U15" s="65">
        <f t="shared" si="12"/>
        <v>1554064.6666666667</v>
      </c>
      <c r="V15" s="11">
        <f t="shared" si="5"/>
        <v>17287178.666666668</v>
      </c>
      <c r="W15" s="73">
        <f t="shared" si="2"/>
        <v>0.2201731003479023</v>
      </c>
      <c r="X15" s="89"/>
      <c r="Y15" s="244">
        <f>Y8-Y29-Y36</f>
        <v>1221851.78</v>
      </c>
      <c r="Z15" s="244">
        <f t="shared" si="11"/>
        <v>1273808.6400000001</v>
      </c>
      <c r="AA15" s="244">
        <f t="shared" si="11"/>
        <v>1443575.76</v>
      </c>
      <c r="AB15" s="244">
        <f t="shared" si="11"/>
        <v>1491484.08</v>
      </c>
      <c r="AC15" s="244">
        <f t="shared" si="11"/>
        <v>1648359.03</v>
      </c>
      <c r="AD15" s="244">
        <f t="shared" si="11"/>
        <v>1419402.72</v>
      </c>
      <c r="AE15" s="244">
        <f t="shared" si="11"/>
        <v>1438932.7200000002</v>
      </c>
      <c r="AF15" s="244">
        <f t="shared" si="11"/>
        <v>1644267.9000000001</v>
      </c>
      <c r="AG15" s="244">
        <f t="shared" si="11"/>
        <v>1521220.7999999998</v>
      </c>
      <c r="AH15" s="244">
        <f t="shared" si="11"/>
        <v>1697003.9400000002</v>
      </c>
      <c r="AI15" s="244">
        <f t="shared" si="11"/>
        <v>1663062.1199999999</v>
      </c>
      <c r="AJ15" s="244">
        <f t="shared" si="11"/>
        <v>1642582.2000000002</v>
      </c>
      <c r="AK15" s="65">
        <f t="shared" si="6"/>
        <v>18105551.689999998</v>
      </c>
      <c r="AL15" s="73">
        <f t="shared" si="4"/>
        <v>0.20589063121596804</v>
      </c>
      <c r="AM15" s="14">
        <f t="shared" si="7"/>
        <v>4.7339883454280862E-2</v>
      </c>
      <c r="AN15" s="9"/>
    </row>
    <row r="16" spans="1:40" ht="14.45" customHeight="1" outlineLevel="1">
      <c r="A16" s="37" t="s">
        <v>110</v>
      </c>
      <c r="B16" s="39"/>
      <c r="C16" s="39" t="s">
        <v>119</v>
      </c>
      <c r="D16" s="37" t="s">
        <v>120</v>
      </c>
      <c r="E16" s="38"/>
      <c r="F16" s="37"/>
      <c r="G16" s="37"/>
      <c r="H16" s="37"/>
      <c r="I16" s="170" t="s">
        <v>5</v>
      </c>
      <c r="J16" s="65">
        <v>111034</v>
      </c>
      <c r="K16" s="65">
        <v>101129</v>
      </c>
      <c r="L16" s="65">
        <v>122898</v>
      </c>
      <c r="M16" s="65">
        <v>146759</v>
      </c>
      <c r="N16" s="65">
        <v>171893</v>
      </c>
      <c r="O16" s="65">
        <v>138211</v>
      </c>
      <c r="P16" s="65">
        <v>152522</v>
      </c>
      <c r="Q16" s="65">
        <v>127651</v>
      </c>
      <c r="R16" s="65">
        <v>123662</v>
      </c>
      <c r="S16" s="65">
        <v>138375</v>
      </c>
      <c r="T16" s="65">
        <f t="shared" si="12"/>
        <v>129896</v>
      </c>
      <c r="U16" s="65">
        <f t="shared" si="12"/>
        <v>130644.33333333333</v>
      </c>
      <c r="V16" s="11">
        <f t="shared" si="5"/>
        <v>1594674.3333333333</v>
      </c>
      <c r="W16" s="73">
        <f t="shared" si="2"/>
        <v>2.0310103735563724E-2</v>
      </c>
      <c r="X16" s="89"/>
      <c r="Y16" s="244">
        <f>IFERROR(Y9-Y37,0)</f>
        <v>123989.76999999999</v>
      </c>
      <c r="Z16" s="244">
        <f t="shared" ref="Z16:AJ16" si="13">IFERROR(Z9-Z37,0)</f>
        <v>112877.18</v>
      </c>
      <c r="AA16" s="244">
        <f t="shared" si="13"/>
        <v>135732.69999999998</v>
      </c>
      <c r="AB16" s="244">
        <f t="shared" si="13"/>
        <v>162121.04999999999</v>
      </c>
      <c r="AC16" s="244">
        <f t="shared" si="13"/>
        <v>194885.41999999998</v>
      </c>
      <c r="AD16" s="244">
        <f t="shared" si="13"/>
        <v>158787.20000000001</v>
      </c>
      <c r="AE16" s="244">
        <f t="shared" si="13"/>
        <v>166769.72999999998</v>
      </c>
      <c r="AF16" s="244">
        <f t="shared" si="13"/>
        <v>140998.07999999999</v>
      </c>
      <c r="AG16" s="244">
        <f t="shared" si="13"/>
        <v>135892.01999999999</v>
      </c>
      <c r="AH16" s="244">
        <f t="shared" si="13"/>
        <v>127415.1</v>
      </c>
      <c r="AI16" s="244">
        <f t="shared" si="13"/>
        <v>123791.58</v>
      </c>
      <c r="AJ16" s="244">
        <f t="shared" si="13"/>
        <v>122233.35999999999</v>
      </c>
      <c r="AK16" s="65">
        <f t="shared" si="6"/>
        <v>1705493.19</v>
      </c>
      <c r="AL16" s="73">
        <f t="shared" si="4"/>
        <v>1.9394331387183206E-2</v>
      </c>
      <c r="AM16" s="14">
        <f t="shared" si="7"/>
        <v>6.9493096082523076E-2</v>
      </c>
      <c r="AN16" s="9"/>
    </row>
    <row r="17" spans="1:40" ht="14.45" customHeight="1" outlineLevel="1">
      <c r="A17" s="37" t="s">
        <v>110</v>
      </c>
      <c r="B17" s="39"/>
      <c r="C17" s="39" t="s">
        <v>121</v>
      </c>
      <c r="D17" s="37"/>
      <c r="E17" s="38"/>
      <c r="F17" s="37"/>
      <c r="G17" s="37"/>
      <c r="H17" s="37"/>
      <c r="I17" s="174" t="s">
        <v>122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f t="shared" si="12"/>
        <v>0</v>
      </c>
      <c r="U17" s="65">
        <f t="shared" si="12"/>
        <v>0</v>
      </c>
      <c r="V17" s="11">
        <f t="shared" si="5"/>
        <v>0</v>
      </c>
      <c r="W17" s="73">
        <f t="shared" si="2"/>
        <v>0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0</v>
      </c>
      <c r="AN17" s="9"/>
    </row>
    <row r="18" spans="1:40" ht="14.45" customHeight="1" outlineLevel="1">
      <c r="A18" s="37" t="s">
        <v>110</v>
      </c>
      <c r="B18" s="39"/>
      <c r="C18" s="39" t="s">
        <v>123</v>
      </c>
      <c r="D18" s="37"/>
      <c r="E18" s="38"/>
      <c r="F18" s="37"/>
      <c r="G18" s="37"/>
      <c r="H18" s="37"/>
      <c r="I18" s="175" t="s">
        <v>124</v>
      </c>
      <c r="J18" s="65">
        <v>4413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f t="shared" si="12"/>
        <v>0</v>
      </c>
      <c r="U18" s="65">
        <f t="shared" si="12"/>
        <v>0</v>
      </c>
      <c r="V18" s="11">
        <f t="shared" si="5"/>
        <v>4413</v>
      </c>
      <c r="W18" s="73">
        <f t="shared" si="2"/>
        <v>5.6204885167802939E-5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customHeight="1" outlineLevel="1">
      <c r="A19" s="37" t="s">
        <v>110</v>
      </c>
      <c r="B19" s="39"/>
      <c r="C19" s="39" t="s">
        <v>125</v>
      </c>
      <c r="D19" s="37"/>
      <c r="E19" s="38"/>
      <c r="F19" s="37"/>
      <c r="G19" s="37"/>
      <c r="H19" s="37"/>
      <c r="I19" s="170" t="s">
        <v>126</v>
      </c>
      <c r="J19" s="65">
        <v>-2264</v>
      </c>
      <c r="K19" s="65">
        <v>0</v>
      </c>
      <c r="L19" s="65">
        <v>203</v>
      </c>
      <c r="M19" s="65">
        <v>0</v>
      </c>
      <c r="N19" s="65">
        <v>0</v>
      </c>
      <c r="O19" s="65">
        <v>1796</v>
      </c>
      <c r="P19" s="65">
        <v>0</v>
      </c>
      <c r="Q19" s="65">
        <v>0</v>
      </c>
      <c r="R19" s="65">
        <v>4772</v>
      </c>
      <c r="S19" s="65">
        <v>0</v>
      </c>
      <c r="T19" s="65">
        <f t="shared" si="12"/>
        <v>1590.6666666666667</v>
      </c>
      <c r="U19" s="65">
        <f t="shared" si="12"/>
        <v>2120.8888888888891</v>
      </c>
      <c r="V19" s="11">
        <f t="shared" si="5"/>
        <v>8218.5555555555566</v>
      </c>
      <c r="W19" s="73">
        <f t="shared" si="2"/>
        <v>1.046732316440537E-4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-1</v>
      </c>
      <c r="AN19" s="9"/>
    </row>
    <row r="20" spans="1:40" ht="14.45" customHeight="1" outlineLevel="1">
      <c r="A20" s="37" t="s">
        <v>110</v>
      </c>
      <c r="B20" s="39"/>
      <c r="C20" s="39" t="s">
        <v>127</v>
      </c>
      <c r="D20" s="37" t="s">
        <v>128</v>
      </c>
      <c r="E20" s="38"/>
      <c r="F20" s="37"/>
      <c r="G20" s="37"/>
      <c r="H20" s="37"/>
      <c r="I20" s="170" t="s">
        <v>129</v>
      </c>
      <c r="J20" s="65">
        <v>5185</v>
      </c>
      <c r="K20" s="65">
        <v>-3897</v>
      </c>
      <c r="L20" s="65">
        <v>-10186</v>
      </c>
      <c r="M20" s="65">
        <v>-26225</v>
      </c>
      <c r="N20" s="65">
        <v>-31613</v>
      </c>
      <c r="O20" s="65">
        <v>-26734</v>
      </c>
      <c r="P20" s="65">
        <v>-25953</v>
      </c>
      <c r="Q20" s="65">
        <v>-16857</v>
      </c>
      <c r="R20" s="65">
        <v>-19610</v>
      </c>
      <c r="S20" s="65">
        <v>-35170</v>
      </c>
      <c r="T20" s="65">
        <f t="shared" si="12"/>
        <v>-23879</v>
      </c>
      <c r="U20" s="65">
        <f t="shared" si="12"/>
        <v>-26219.666666666668</v>
      </c>
      <c r="V20" s="11">
        <f t="shared" si="5"/>
        <v>-241158.66666666666</v>
      </c>
      <c r="W20" s="73">
        <f t="shared" si="2"/>
        <v>-3.0714468994381297E-3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customHeight="1" outlineLevel="1">
      <c r="A21" s="37" t="s">
        <v>110</v>
      </c>
      <c r="B21" s="39"/>
      <c r="C21" s="39" t="s">
        <v>130</v>
      </c>
      <c r="D21" s="37"/>
      <c r="E21" s="38"/>
      <c r="F21" s="37"/>
      <c r="G21" s="37"/>
      <c r="H21" s="37"/>
      <c r="I21" s="170" t="s">
        <v>131</v>
      </c>
      <c r="J21" s="65">
        <v>0</v>
      </c>
      <c r="K21" s="65">
        <v>4291</v>
      </c>
      <c r="L21" s="65">
        <v>-4238</v>
      </c>
      <c r="M21" s="65">
        <v>-2072</v>
      </c>
      <c r="N21" s="65">
        <v>-12816</v>
      </c>
      <c r="O21" s="65">
        <v>-5023</v>
      </c>
      <c r="P21" s="65">
        <v>-4413</v>
      </c>
      <c r="Q21" s="65">
        <v>-1729</v>
      </c>
      <c r="R21" s="65">
        <v>-3655</v>
      </c>
      <c r="S21" s="65">
        <v>-5879</v>
      </c>
      <c r="T21" s="65">
        <f t="shared" si="12"/>
        <v>-3754.3333333333335</v>
      </c>
      <c r="U21" s="65">
        <f t="shared" si="12"/>
        <v>-4429.4444444444443</v>
      </c>
      <c r="V21" s="11">
        <f t="shared" si="5"/>
        <v>-43717.777777777781</v>
      </c>
      <c r="W21" s="73">
        <f t="shared" si="2"/>
        <v>-5.5679870378235385E-4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-1</v>
      </c>
      <c r="AN21" s="9"/>
    </row>
    <row r="22" spans="1:40" ht="14.45" customHeight="1" outlineLevel="1">
      <c r="A22" s="37" t="s">
        <v>110</v>
      </c>
      <c r="B22" s="39"/>
      <c r="C22" s="39" t="s">
        <v>132</v>
      </c>
      <c r="D22" s="37"/>
      <c r="E22" s="38"/>
      <c r="F22" s="37"/>
      <c r="G22" s="37"/>
      <c r="H22" s="37"/>
      <c r="I22" s="170" t="s">
        <v>133</v>
      </c>
      <c r="J22" s="65">
        <v>0</v>
      </c>
      <c r="K22" s="65">
        <v>-1925</v>
      </c>
      <c r="L22" s="65">
        <v>-2961</v>
      </c>
      <c r="M22" s="65">
        <v>-232</v>
      </c>
      <c r="N22" s="65">
        <v>-4780</v>
      </c>
      <c r="O22" s="65">
        <v>0</v>
      </c>
      <c r="P22" s="65">
        <v>-2453</v>
      </c>
      <c r="Q22" s="65">
        <v>-1311</v>
      </c>
      <c r="R22" s="65">
        <v>0</v>
      </c>
      <c r="S22" s="65">
        <v>-4724</v>
      </c>
      <c r="T22" s="65">
        <f t="shared" si="12"/>
        <v>-2011.6666666666667</v>
      </c>
      <c r="U22" s="65">
        <f t="shared" si="12"/>
        <v>-2245.2222222222222</v>
      </c>
      <c r="V22" s="11">
        <f t="shared" si="5"/>
        <v>-22642.888888888891</v>
      </c>
      <c r="W22" s="73">
        <f t="shared" si="2"/>
        <v>-2.8838453883238641E-4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-1</v>
      </c>
      <c r="AN22" s="9"/>
    </row>
    <row r="23" spans="1:40" ht="14.45" customHeight="1" outlineLevel="1">
      <c r="A23" s="37" t="s">
        <v>110</v>
      </c>
      <c r="B23" s="39"/>
      <c r="C23" s="39" t="s">
        <v>134</v>
      </c>
      <c r="D23" s="37"/>
      <c r="E23" s="38"/>
      <c r="F23" s="37"/>
      <c r="G23" s="37"/>
      <c r="H23" s="37"/>
      <c r="I23" s="174" t="s">
        <v>135</v>
      </c>
      <c r="J23" s="65">
        <v>0</v>
      </c>
      <c r="K23" s="65">
        <v>0</v>
      </c>
      <c r="L23" s="65">
        <v>8699</v>
      </c>
      <c r="M23" s="65">
        <v>-8699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f t="shared" si="12"/>
        <v>0</v>
      </c>
      <c r="U23" s="65">
        <f t="shared" si="12"/>
        <v>0</v>
      </c>
      <c r="V23" s="11">
        <f t="shared" si="5"/>
        <v>0</v>
      </c>
      <c r="W23" s="73">
        <f t="shared" si="2"/>
        <v>0</v>
      </c>
      <c r="X23" s="89"/>
      <c r="Y23" s="65">
        <f>0*Y40</f>
        <v>0</v>
      </c>
      <c r="Z23" s="65">
        <f t="shared" ref="Z23:AJ24" si="14">0*Z40</f>
        <v>0</v>
      </c>
      <c r="AA23" s="65">
        <f t="shared" si="14"/>
        <v>0</v>
      </c>
      <c r="AB23" s="65">
        <f t="shared" si="14"/>
        <v>0</v>
      </c>
      <c r="AC23" s="65">
        <f t="shared" si="14"/>
        <v>0</v>
      </c>
      <c r="AD23" s="65">
        <f t="shared" si="14"/>
        <v>0</v>
      </c>
      <c r="AE23" s="65">
        <f t="shared" si="14"/>
        <v>0</v>
      </c>
      <c r="AF23" s="65">
        <f t="shared" si="14"/>
        <v>0</v>
      </c>
      <c r="AG23" s="65">
        <f t="shared" si="14"/>
        <v>0</v>
      </c>
      <c r="AH23" s="65">
        <f t="shared" si="14"/>
        <v>0</v>
      </c>
      <c r="AI23" s="65">
        <f t="shared" si="14"/>
        <v>0</v>
      </c>
      <c r="AJ23" s="65">
        <f t="shared" si="14"/>
        <v>0</v>
      </c>
      <c r="AK23" s="65">
        <f t="shared" si="6"/>
        <v>0</v>
      </c>
      <c r="AL23" s="73">
        <f t="shared" si="4"/>
        <v>0</v>
      </c>
      <c r="AM23" s="14">
        <f t="shared" si="7"/>
        <v>0</v>
      </c>
      <c r="AN23" s="9"/>
    </row>
    <row r="24" spans="1:40" ht="14.45" customHeight="1" outlineLevel="1">
      <c r="A24" s="37" t="s">
        <v>110</v>
      </c>
      <c r="B24" s="39"/>
      <c r="C24" s="39" t="s">
        <v>136</v>
      </c>
      <c r="D24" s="37"/>
      <c r="E24" s="38"/>
      <c r="F24" s="37"/>
      <c r="G24" s="37"/>
      <c r="H24" s="37"/>
      <c r="I24" s="175" t="s">
        <v>137</v>
      </c>
      <c r="J24" s="65">
        <v>0</v>
      </c>
      <c r="K24" s="65">
        <v>0</v>
      </c>
      <c r="L24" s="65">
        <v>2774</v>
      </c>
      <c r="M24" s="65">
        <v>-2774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f t="shared" si="12"/>
        <v>0</v>
      </c>
      <c r="U24" s="65">
        <f t="shared" si="12"/>
        <v>0</v>
      </c>
      <c r="V24" s="11">
        <f t="shared" si="5"/>
        <v>0</v>
      </c>
      <c r="W24" s="73">
        <f t="shared" si="2"/>
        <v>0</v>
      </c>
      <c r="X24" s="89"/>
      <c r="Y24" s="65">
        <f>0*Y41</f>
        <v>0</v>
      </c>
      <c r="Z24" s="65">
        <f t="shared" si="14"/>
        <v>0</v>
      </c>
      <c r="AA24" s="65">
        <f t="shared" si="14"/>
        <v>0</v>
      </c>
      <c r="AB24" s="65">
        <f t="shared" si="14"/>
        <v>0</v>
      </c>
      <c r="AC24" s="65">
        <f t="shared" si="14"/>
        <v>0</v>
      </c>
      <c r="AD24" s="65">
        <f t="shared" si="14"/>
        <v>0</v>
      </c>
      <c r="AE24" s="65">
        <f t="shared" si="14"/>
        <v>0</v>
      </c>
      <c r="AF24" s="65">
        <f t="shared" si="14"/>
        <v>0</v>
      </c>
      <c r="AG24" s="65">
        <f t="shared" si="14"/>
        <v>0</v>
      </c>
      <c r="AH24" s="65">
        <f t="shared" si="14"/>
        <v>0</v>
      </c>
      <c r="AI24" s="65">
        <f t="shared" si="14"/>
        <v>0</v>
      </c>
      <c r="AJ24" s="65">
        <f t="shared" si="14"/>
        <v>0</v>
      </c>
      <c r="AK24" s="65">
        <f t="shared" si="6"/>
        <v>0</v>
      </c>
      <c r="AL24" s="73">
        <f t="shared" si="4"/>
        <v>0</v>
      </c>
      <c r="AM24" s="14">
        <f t="shared" si="7"/>
        <v>0</v>
      </c>
      <c r="AN24" s="9"/>
    </row>
    <row r="25" spans="1:40" ht="14.45" customHeight="1" outlineLevel="1">
      <c r="A25" s="37" t="s">
        <v>110</v>
      </c>
      <c r="B25" s="39"/>
      <c r="C25" s="39" t="s">
        <v>138</v>
      </c>
      <c r="D25" s="37" t="s">
        <v>103</v>
      </c>
      <c r="E25" s="38"/>
      <c r="F25" s="37"/>
      <c r="G25" s="37"/>
      <c r="H25" s="37"/>
      <c r="I25" s="174" t="s">
        <v>139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2353</v>
      </c>
      <c r="S25" s="65">
        <v>4695</v>
      </c>
      <c r="T25" s="65">
        <f t="shared" si="12"/>
        <v>2349.3333333333335</v>
      </c>
      <c r="U25" s="65">
        <f t="shared" si="12"/>
        <v>3132.4444444444448</v>
      </c>
      <c r="V25" s="11">
        <f t="shared" si="5"/>
        <v>12529.777777777779</v>
      </c>
      <c r="W25" s="73">
        <f t="shared" si="2"/>
        <v>1.5958185388128014E-4</v>
      </c>
      <c r="X25" s="89"/>
      <c r="Y25" s="65">
        <f>(Y40*'Parametros AGS'!$N$48)*'Parametros AGS'!$B$59</f>
        <v>0</v>
      </c>
      <c r="Z25" s="65">
        <f>(Z40*'Parametros AGS'!$N$48)*'Parametros AGS'!$B$59</f>
        <v>0</v>
      </c>
      <c r="AA25" s="65">
        <f>(AA40*'Parametros AGS'!$N$48)*'Parametros AGS'!$B$59</f>
        <v>0</v>
      </c>
      <c r="AB25" s="65">
        <f>(AB40*'Parametros AGS'!$N$48)*'Parametros AGS'!$B$59</f>
        <v>0</v>
      </c>
      <c r="AC25" s="65">
        <f>(AC40*'Parametros AGS'!$N$48)*'Parametros AGS'!$B$59</f>
        <v>0</v>
      </c>
      <c r="AD25" s="65">
        <f>(AD40*'Parametros AGS'!$N$48)*'Parametros AGS'!$B$59</f>
        <v>0</v>
      </c>
      <c r="AE25" s="65">
        <f>(AE40*'Parametros AGS'!$N$48)*'Parametros AGS'!$B$59</f>
        <v>0</v>
      </c>
      <c r="AF25" s="65">
        <f>(AF40*'Parametros AGS'!$N$48)*'Parametros AGS'!$B$59</f>
        <v>0</v>
      </c>
      <c r="AG25" s="65">
        <f>(AG40*'Parametros AGS'!$N$48)*'Parametros AGS'!$B$59</f>
        <v>0</v>
      </c>
      <c r="AH25" s="65">
        <f>(AH40*'Parametros AGS'!$N$48)*'Parametros AGS'!$B$59</f>
        <v>0</v>
      </c>
      <c r="AI25" s="65">
        <f>(AI40*'Parametros AGS'!$N$48)*'Parametros AGS'!$B$59</f>
        <v>0</v>
      </c>
      <c r="AJ25" s="65">
        <f>(AJ40*'Parametros AGS'!$N$48)*'Parametros AGS'!$B$59</f>
        <v>0</v>
      </c>
      <c r="AK25" s="65">
        <f t="shared" si="6"/>
        <v>0</v>
      </c>
      <c r="AL25" s="73">
        <f t="shared" si="4"/>
        <v>0</v>
      </c>
      <c r="AM25" s="14">
        <f t="shared" si="7"/>
        <v>-1</v>
      </c>
      <c r="AN25" s="9"/>
    </row>
    <row r="26" spans="1:40" ht="14.45" customHeight="1" outlineLevel="1">
      <c r="A26" s="37" t="s">
        <v>110</v>
      </c>
      <c r="B26" s="39"/>
      <c r="C26" s="39" t="s">
        <v>399</v>
      </c>
      <c r="D26" s="37" t="s">
        <v>103</v>
      </c>
      <c r="E26" s="38"/>
      <c r="F26" s="37"/>
      <c r="G26" s="37"/>
      <c r="H26" s="37"/>
      <c r="I26" s="175" t="s">
        <v>140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1173</v>
      </c>
      <c r="S26" s="65">
        <v>0</v>
      </c>
      <c r="T26" s="65">
        <f t="shared" si="12"/>
        <v>391</v>
      </c>
      <c r="U26" s="65">
        <f t="shared" si="12"/>
        <v>521.33333333333337</v>
      </c>
      <c r="V26" s="11">
        <f t="shared" si="5"/>
        <v>2085.3333333333335</v>
      </c>
      <c r="W26" s="73">
        <f t="shared" si="2"/>
        <v>2.6559238734781724E-5</v>
      </c>
      <c r="X26" s="89"/>
      <c r="Y26" s="65">
        <f>(Y41*'Parametros AGS'!$N$49)*'Parametros AGS'!$B$60</f>
        <v>0</v>
      </c>
      <c r="Z26" s="65">
        <f>(Z41*'Parametros AGS'!$N$49)*'Parametros AGS'!$B$60</f>
        <v>0</v>
      </c>
      <c r="AA26" s="65">
        <f>(AA41*'Parametros AGS'!$N$49)*'Parametros AGS'!$B$60</f>
        <v>0</v>
      </c>
      <c r="AB26" s="65">
        <f>(AB41*'Parametros AGS'!$N$49)*'Parametros AGS'!$B$60</f>
        <v>0</v>
      </c>
      <c r="AC26" s="65">
        <f>(AC41*'Parametros AGS'!$N$49)*'Parametros AGS'!$B$60</f>
        <v>0</v>
      </c>
      <c r="AD26" s="65">
        <f>(AD41*'Parametros AGS'!$N$49)*'Parametros AGS'!$B$60</f>
        <v>0</v>
      </c>
      <c r="AE26" s="65">
        <f>(AE41*'Parametros AGS'!$N$49)*'Parametros AGS'!$B$60</f>
        <v>0</v>
      </c>
      <c r="AF26" s="65">
        <f>(AF41*'Parametros AGS'!$N$49)*'Parametros AGS'!$B$60</f>
        <v>0</v>
      </c>
      <c r="AG26" s="65">
        <f>(AG41*'Parametros AGS'!$N$49)*'Parametros AGS'!$B$60</f>
        <v>0</v>
      </c>
      <c r="AH26" s="65">
        <f>(AH41*'Parametros AGS'!$N$49)*'Parametros AGS'!$B$60</f>
        <v>0</v>
      </c>
      <c r="AI26" s="65">
        <f>(AI41*'Parametros AGS'!$N$49)*'Parametros AGS'!$B$60</f>
        <v>0</v>
      </c>
      <c r="AJ26" s="65">
        <f>(AJ41*'Parametros AGS'!$N$49)*'Parametros AGS'!$B$60</f>
        <v>0</v>
      </c>
      <c r="AK26" s="65">
        <f t="shared" si="6"/>
        <v>0</v>
      </c>
      <c r="AL26" s="73">
        <f t="shared" si="4"/>
        <v>0</v>
      </c>
      <c r="AM26" s="14">
        <f t="shared" si="7"/>
        <v>-1</v>
      </c>
      <c r="AN26" s="9"/>
    </row>
    <row r="27" spans="1:40" ht="14.45" customHeight="1" outlineLevel="1">
      <c r="A27" s="37"/>
      <c r="B27" s="39"/>
      <c r="C27" s="39"/>
      <c r="D27" s="37"/>
      <c r="E27" s="38"/>
      <c r="F27" s="37"/>
      <c r="G27" s="37"/>
      <c r="H27" s="37"/>
      <c r="I27" s="170" t="s">
        <v>136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f t="shared" si="12"/>
        <v>0</v>
      </c>
      <c r="U27" s="65">
        <f t="shared" si="12"/>
        <v>0</v>
      </c>
      <c r="V27" s="11">
        <f t="shared" si="5"/>
        <v>0</v>
      </c>
      <c r="W27" s="73">
        <f t="shared" si="2"/>
        <v>0</v>
      </c>
      <c r="X27" s="89"/>
      <c r="Y27" s="65">
        <f>(Y42*'Parametros AGS'!$N$50)*'Parametros AGS'!$B$61</f>
        <v>0</v>
      </c>
      <c r="Z27" s="65">
        <f>(Z42*'Parametros AGS'!$N$50)*'Parametros AGS'!$B$61</f>
        <v>0</v>
      </c>
      <c r="AA27" s="65">
        <f>(AA42*'Parametros AGS'!$N$50)*'Parametros AGS'!$B$61</f>
        <v>0</v>
      </c>
      <c r="AB27" s="65">
        <f>(AB42*'Parametros AGS'!$N$50)*'Parametros AGS'!$B$61</f>
        <v>0</v>
      </c>
      <c r="AC27" s="65">
        <f>(AC42*'Parametros AGS'!$N$50)*'Parametros AGS'!$B$61</f>
        <v>0</v>
      </c>
      <c r="AD27" s="65">
        <f>(AD42*'Parametros AGS'!$N$50)*'Parametros AGS'!$B$61</f>
        <v>0</v>
      </c>
      <c r="AE27" s="65">
        <f>(AE42*'Parametros AGS'!$N$50)*'Parametros AGS'!$B$61</f>
        <v>0</v>
      </c>
      <c r="AF27" s="65">
        <f>(AF42*'Parametros AGS'!$N$50)*'Parametros AGS'!$B$61</f>
        <v>0</v>
      </c>
      <c r="AG27" s="65">
        <f>(AG42*'Parametros AGS'!$N$50)*'Parametros AGS'!$B$61</f>
        <v>0</v>
      </c>
      <c r="AH27" s="65">
        <f>(AH42*'Parametros AGS'!$N$50)*'Parametros AGS'!$B$61</f>
        <v>0</v>
      </c>
      <c r="AI27" s="65">
        <f>(AI42*'Parametros AGS'!$N$50)*'Parametros AGS'!$B$61</f>
        <v>0</v>
      </c>
      <c r="AJ27" s="65">
        <f>(AJ42*'Parametros AGS'!$N$50)*'Parametros AGS'!$B$61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hidden="1" customHeight="1">
      <c r="I28" s="174" t="s">
        <v>141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f t="shared" si="12"/>
        <v>0</v>
      </c>
      <c r="U28" s="65">
        <f t="shared" si="12"/>
        <v>0</v>
      </c>
      <c r="V28" s="11">
        <f t="shared" si="5"/>
        <v>0</v>
      </c>
      <c r="W28" s="73">
        <f t="shared" si="2"/>
        <v>0</v>
      </c>
      <c r="X28" s="89"/>
      <c r="Y28" s="66">
        <f>+-Y40*'Parametros AGS'!$B$2</f>
        <v>0</v>
      </c>
      <c r="Z28" s="66">
        <f>+-Z40*'Parametros AGS'!$B$2</f>
        <v>0</v>
      </c>
      <c r="AA28" s="66">
        <f>+-AA40*'Parametros AGS'!$B$2</f>
        <v>0</v>
      </c>
      <c r="AB28" s="66">
        <f>+-AB40*'Parametros AGS'!$B$2</f>
        <v>0</v>
      </c>
      <c r="AC28" s="66">
        <f>+-AC40*'Parametros AGS'!$B$2</f>
        <v>0</v>
      </c>
      <c r="AD28" s="66">
        <f>+-AD40*'Parametros AGS'!$B$2</f>
        <v>0</v>
      </c>
      <c r="AE28" s="66">
        <f>+-AE40*'Parametros AGS'!$B$2</f>
        <v>0</v>
      </c>
      <c r="AF28" s="66">
        <f>+-AF40*'Parametros AGS'!$B$2</f>
        <v>0</v>
      </c>
      <c r="AG28" s="66">
        <f>+-AG40*'Parametros AGS'!$B$2</f>
        <v>0</v>
      </c>
      <c r="AH28" s="66">
        <f>+-AH40*'Parametros AGS'!$B$2</f>
        <v>0</v>
      </c>
      <c r="AI28" s="66">
        <f>+-AI40*'Parametros AGS'!$B$2</f>
        <v>0</v>
      </c>
      <c r="AJ28" s="66">
        <f>+-AJ40*'Parametros AGS'!$B$2</f>
        <v>0</v>
      </c>
      <c r="AK28" s="65">
        <f t="shared" si="6"/>
        <v>0</v>
      </c>
      <c r="AL28" s="73">
        <f t="shared" si="4"/>
        <v>0</v>
      </c>
      <c r="AM28" s="14">
        <f t="shared" si="7"/>
        <v>0</v>
      </c>
      <c r="AN28" s="9"/>
    </row>
    <row r="29" spans="1:40" ht="14.45" customHeight="1" outlineLevel="1">
      <c r="E29" s="7">
        <v>0</v>
      </c>
      <c r="I29" s="175" t="s">
        <v>142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f t="shared" si="12"/>
        <v>0</v>
      </c>
      <c r="U29" s="65">
        <f t="shared" si="12"/>
        <v>0</v>
      </c>
      <c r="V29" s="11">
        <f t="shared" si="5"/>
        <v>0</v>
      </c>
      <c r="W29" s="73">
        <f t="shared" si="2"/>
        <v>0</v>
      </c>
      <c r="X29" s="89"/>
      <c r="Y29" s="66">
        <f>+-Y41*'Parametros AGS'!$B$3</f>
        <v>0</v>
      </c>
      <c r="Z29" s="66">
        <f>+-Z41*'Parametros AGS'!$B$3</f>
        <v>0</v>
      </c>
      <c r="AA29" s="66">
        <f>+-AA41*'Parametros AGS'!$B$3</f>
        <v>0</v>
      </c>
      <c r="AB29" s="66">
        <f>+-AB41*'Parametros AGS'!$B$3</f>
        <v>0</v>
      </c>
      <c r="AC29" s="66">
        <f>+-AC41*'Parametros AGS'!$B$3</f>
        <v>0</v>
      </c>
      <c r="AD29" s="66">
        <f>+-AD41*'Parametros AGS'!$B$3</f>
        <v>0</v>
      </c>
      <c r="AE29" s="66">
        <f>+-AE41*'Parametros AGS'!$B$3</f>
        <v>0</v>
      </c>
      <c r="AF29" s="66">
        <f>+-AF41*'Parametros AGS'!$B$3</f>
        <v>0</v>
      </c>
      <c r="AG29" s="66">
        <f>+-AG41*'Parametros AGS'!$B$3</f>
        <v>0</v>
      </c>
      <c r="AH29" s="66">
        <f>+-AH41*'Parametros AGS'!$B$3</f>
        <v>0</v>
      </c>
      <c r="AI29" s="66">
        <f>+-AI41*'Parametros AGS'!$B$3</f>
        <v>0</v>
      </c>
      <c r="AJ29" s="66">
        <f>+-AJ41*'Parametros AGS'!$B$3</f>
        <v>0</v>
      </c>
      <c r="AK29" s="65">
        <f t="shared" si="6"/>
        <v>0</v>
      </c>
      <c r="AL29" s="73">
        <f t="shared" si="4"/>
        <v>0</v>
      </c>
      <c r="AM29" s="14">
        <f t="shared" si="7"/>
        <v>0</v>
      </c>
      <c r="AN29" s="9"/>
    </row>
    <row r="30" spans="1:40" ht="14.45" customHeight="1" outlineLevel="1">
      <c r="I30" s="175" t="s">
        <v>143</v>
      </c>
      <c r="J30" s="65">
        <v>412</v>
      </c>
      <c r="K30" s="65">
        <v>261</v>
      </c>
      <c r="L30" s="65">
        <v>5795</v>
      </c>
      <c r="M30" s="65">
        <v>5431</v>
      </c>
      <c r="N30" s="65">
        <v>5921</v>
      </c>
      <c r="O30" s="65">
        <v>2913</v>
      </c>
      <c r="P30" s="65">
        <v>9226</v>
      </c>
      <c r="Q30" s="65">
        <v>14112</v>
      </c>
      <c r="R30" s="65">
        <v>5637</v>
      </c>
      <c r="S30" s="65">
        <v>7819</v>
      </c>
      <c r="T30" s="65">
        <f t="shared" si="12"/>
        <v>9189.3333333333339</v>
      </c>
      <c r="U30" s="65">
        <f t="shared" si="12"/>
        <v>7548.4444444444453</v>
      </c>
      <c r="V30" s="11">
        <f t="shared" si="5"/>
        <v>74264.777777777781</v>
      </c>
      <c r="W30" s="73">
        <f t="shared" si="2"/>
        <v>9.4585164446236211E-4</v>
      </c>
      <c r="X30" s="89"/>
      <c r="Y30" s="65">
        <f>+Y10*0.8</f>
        <v>720</v>
      </c>
      <c r="Z30" s="65">
        <f t="shared" ref="Z30:AJ30" si="15">+Z10*0.8</f>
        <v>384</v>
      </c>
      <c r="AA30" s="65">
        <f t="shared" si="15"/>
        <v>4560</v>
      </c>
      <c r="AB30" s="65">
        <f t="shared" si="15"/>
        <v>4656</v>
      </c>
      <c r="AC30" s="65">
        <f t="shared" si="15"/>
        <v>4608</v>
      </c>
      <c r="AD30" s="65">
        <f t="shared" si="15"/>
        <v>4368</v>
      </c>
      <c r="AE30" s="65">
        <f t="shared" si="15"/>
        <v>3600</v>
      </c>
      <c r="AF30" s="65">
        <f t="shared" si="15"/>
        <v>5088</v>
      </c>
      <c r="AG30" s="65">
        <f t="shared" si="15"/>
        <v>3840</v>
      </c>
      <c r="AH30" s="65">
        <f t="shared" si="15"/>
        <v>4848</v>
      </c>
      <c r="AI30" s="65">
        <f t="shared" si="15"/>
        <v>5712</v>
      </c>
      <c r="AJ30" s="65">
        <f t="shared" si="15"/>
        <v>5520</v>
      </c>
      <c r="AK30" s="65">
        <f t="shared" si="6"/>
        <v>47904</v>
      </c>
      <c r="AL30" s="73">
        <f t="shared" si="4"/>
        <v>5.4474919994938493E-4</v>
      </c>
      <c r="AM30" s="14">
        <f t="shared" si="7"/>
        <v>-0.35495666406835602</v>
      </c>
      <c r="AN30" s="9"/>
    </row>
    <row r="31" spans="1:40" ht="14.45" customHeight="1" outlineLevel="1">
      <c r="I31" s="175" t="s">
        <v>144</v>
      </c>
      <c r="J31" s="65">
        <v>-44221</v>
      </c>
      <c r="K31" s="65">
        <v>-46393</v>
      </c>
      <c r="L31" s="65">
        <v>-50860</v>
      </c>
      <c r="M31" s="65">
        <v>-52946</v>
      </c>
      <c r="N31" s="65">
        <v>-57480</v>
      </c>
      <c r="O31" s="65">
        <v>-53012</v>
      </c>
      <c r="P31" s="65">
        <v>-57763</v>
      </c>
      <c r="Q31" s="65">
        <v>-50855</v>
      </c>
      <c r="R31" s="65">
        <v>-53132</v>
      </c>
      <c r="S31" s="65">
        <v>-69387</v>
      </c>
      <c r="T31" s="65">
        <f t="shared" ref="T31:T33" si="16">AVERAGE(Q31:S31)</f>
        <v>-57791.333333333336</v>
      </c>
      <c r="U31" s="65">
        <f t="shared" ref="U31:U33" si="17">AVERAGE(R31:T31)</f>
        <v>-60103.444444444445</v>
      </c>
      <c r="V31" s="11">
        <f t="shared" si="5"/>
        <v>-653943.77777777787</v>
      </c>
      <c r="W31" s="73">
        <f t="shared" si="2"/>
        <v>-8.3287638649896332E-3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-1</v>
      </c>
      <c r="AN31" s="9"/>
    </row>
    <row r="32" spans="1:40" ht="14.25" customHeight="1" outlineLevel="1">
      <c r="I32" s="175" t="s">
        <v>145</v>
      </c>
      <c r="J32" s="65">
        <v>-12793</v>
      </c>
      <c r="K32" s="65">
        <v>-13926</v>
      </c>
      <c r="L32" s="65">
        <v>-16220</v>
      </c>
      <c r="M32" s="65">
        <v>-16141</v>
      </c>
      <c r="N32" s="65">
        <v>-18403</v>
      </c>
      <c r="O32" s="65">
        <v>-16151</v>
      </c>
      <c r="P32" s="65">
        <v>-16200</v>
      </c>
      <c r="Q32" s="65">
        <v>-16203</v>
      </c>
      <c r="R32" s="65">
        <v>-16151</v>
      </c>
      <c r="S32" s="65">
        <v>-18501</v>
      </c>
      <c r="T32" s="65">
        <f t="shared" si="16"/>
        <v>-16951.666666666668</v>
      </c>
      <c r="U32" s="65">
        <f t="shared" si="17"/>
        <v>-17201.222222222223</v>
      </c>
      <c r="V32" s="11">
        <f t="shared" si="5"/>
        <v>-194841.88888888888</v>
      </c>
      <c r="W32" s="73">
        <f t="shared" si="2"/>
        <v>-2.4815467914973532E-3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-1</v>
      </c>
      <c r="AN32" s="9"/>
    </row>
    <row r="33" spans="1:41" ht="14.45" customHeight="1">
      <c r="I33" s="175" t="s">
        <v>146</v>
      </c>
      <c r="J33" s="65">
        <v>-3485</v>
      </c>
      <c r="K33" s="65">
        <v>0</v>
      </c>
      <c r="L33" s="65">
        <v>-2310</v>
      </c>
      <c r="M33" s="65">
        <v>0</v>
      </c>
      <c r="N33" s="65">
        <v>-2310</v>
      </c>
      <c r="O33" s="65">
        <v>-4642</v>
      </c>
      <c r="P33" s="65">
        <v>0</v>
      </c>
      <c r="Q33" s="65">
        <v>0</v>
      </c>
      <c r="R33" s="65">
        <v>0</v>
      </c>
      <c r="S33" s="65">
        <v>-4626</v>
      </c>
      <c r="T33" s="65">
        <f t="shared" si="16"/>
        <v>-1542</v>
      </c>
      <c r="U33" s="65">
        <f t="shared" si="17"/>
        <v>-2056</v>
      </c>
      <c r="V33" s="11">
        <f t="shared" si="5"/>
        <v>-20971</v>
      </c>
      <c r="W33" s="73">
        <f t="shared" si="2"/>
        <v>-2.6709101446952086E-4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-1</v>
      </c>
      <c r="AN33" s="9"/>
    </row>
    <row r="34" spans="1:41" ht="14.45" customHeight="1" outlineLevel="1">
      <c r="E34" s="129"/>
      <c r="I34" s="36" t="s">
        <v>147</v>
      </c>
      <c r="J34" s="35">
        <v>382916</v>
      </c>
      <c r="K34" s="35">
        <v>419905</v>
      </c>
      <c r="L34" s="35">
        <v>601208</v>
      </c>
      <c r="M34" s="35">
        <v>652340</v>
      </c>
      <c r="N34" s="35">
        <v>735357</v>
      </c>
      <c r="O34" s="35">
        <v>635344</v>
      </c>
      <c r="P34" s="35">
        <v>599811</v>
      </c>
      <c r="Q34" s="35">
        <v>560364</v>
      </c>
      <c r="R34" s="35">
        <v>574247</v>
      </c>
      <c r="S34" s="35">
        <v>686273</v>
      </c>
      <c r="T34" s="35">
        <f>+T6-T13</f>
        <v>606960.66666666698</v>
      </c>
      <c r="U34" s="35">
        <f>+U6-U13</f>
        <v>622493.22222222202</v>
      </c>
      <c r="V34" s="35">
        <f t="shared" ref="S34:V34" si="18">SUM(V35:V38)</f>
        <v>7094750.8888888899</v>
      </c>
      <c r="W34" s="73">
        <f t="shared" si="2"/>
        <v>9.0360221845494651E-2</v>
      </c>
      <c r="X34" s="89"/>
      <c r="Y34" s="35">
        <f t="shared" ref="Y34:AJ34" si="19">Y6-Y13</f>
        <v>542101.51902168151</v>
      </c>
      <c r="Z34" s="35">
        <f t="shared" si="19"/>
        <v>508511.88183583412</v>
      </c>
      <c r="AA34" s="35">
        <f t="shared" si="19"/>
        <v>643871.67339337897</v>
      </c>
      <c r="AB34" s="35">
        <f t="shared" si="19"/>
        <v>582207.5877726255</v>
      </c>
      <c r="AC34" s="35">
        <f t="shared" si="19"/>
        <v>715406.81339337956</v>
      </c>
      <c r="AD34" s="35">
        <f t="shared" si="19"/>
        <v>577180.80183583405</v>
      </c>
      <c r="AE34" s="35">
        <f t="shared" si="19"/>
        <v>618808.28433394525</v>
      </c>
      <c r="AF34" s="35">
        <f t="shared" si="19"/>
        <v>677265.68558300193</v>
      </c>
      <c r="AG34" s="35">
        <f t="shared" si="19"/>
        <v>629101.91902168375</v>
      </c>
      <c r="AH34" s="35">
        <f t="shared" si="19"/>
        <v>714281.60620753001</v>
      </c>
      <c r="AI34" s="35">
        <f t="shared" si="19"/>
        <v>660370.10839715414</v>
      </c>
      <c r="AJ34" s="35">
        <f t="shared" si="19"/>
        <v>656466.76370941754</v>
      </c>
      <c r="AK34" s="35">
        <f>AK6-AK13</f>
        <v>7525574.6445054859</v>
      </c>
      <c r="AL34" s="73">
        <f t="shared" si="4"/>
        <v>8.5578464569842611E-2</v>
      </c>
      <c r="AM34" s="34">
        <f t="shared" si="7"/>
        <v>6.0724296365544106E-2</v>
      </c>
      <c r="AN34" s="9">
        <f>+AK34-V34</f>
        <v>430823.75561659597</v>
      </c>
    </row>
    <row r="35" spans="1:41" ht="14.45" customHeight="1" outlineLevel="1">
      <c r="E35" s="129"/>
      <c r="I35" s="227" t="s">
        <v>148</v>
      </c>
      <c r="J35" s="30">
        <v>258272</v>
      </c>
      <c r="K35" s="30">
        <v>299807</v>
      </c>
      <c r="L35" s="30">
        <v>443904</v>
      </c>
      <c r="M35" s="30">
        <v>479552</v>
      </c>
      <c r="N35" s="30">
        <v>492342</v>
      </c>
      <c r="O35" s="30">
        <v>439451</v>
      </c>
      <c r="P35" s="30">
        <v>443903</v>
      </c>
      <c r="Q35" s="30">
        <v>424797</v>
      </c>
      <c r="R35" s="30">
        <v>444599</v>
      </c>
      <c r="S35" s="30">
        <v>505519</v>
      </c>
      <c r="T35" s="30">
        <f>+AVERAGE(R35:S35,P35)</f>
        <v>464673.66666666669</v>
      </c>
      <c r="U35" s="30">
        <f>+AVERAGE(R35:T35)</f>
        <v>471597.22222222225</v>
      </c>
      <c r="V35" s="32">
        <f t="shared" ref="V35:V37" si="20">SUM(J35:U35)</f>
        <v>5168416.888888889</v>
      </c>
      <c r="W35" s="74">
        <f t="shared" ref="W35:W46" si="21">V35/V$39</f>
        <v>1.3766750940964338</v>
      </c>
      <c r="X35" s="90"/>
      <c r="Y35" s="30">
        <f>+Y40*Y44</f>
        <v>399617.07902168226</v>
      </c>
      <c r="Z35" s="30">
        <f t="shared" ref="Z35:AJ35" si="22">+Z40*Z44</f>
        <v>358477.88183583383</v>
      </c>
      <c r="AA35" s="30">
        <f t="shared" si="22"/>
        <v>464127.51339337911</v>
      </c>
      <c r="AB35" s="30">
        <f t="shared" si="22"/>
        <v>402810.70777262602</v>
      </c>
      <c r="AC35" s="30">
        <f t="shared" si="22"/>
        <v>509546.07339337911</v>
      </c>
      <c r="AD35" s="30">
        <f t="shared" si="22"/>
        <v>424346.68183583382</v>
      </c>
      <c r="AE35" s="30">
        <f t="shared" si="22"/>
        <v>445846.3443339463</v>
      </c>
      <c r="AF35" s="30">
        <f t="shared" si="22"/>
        <v>476327.16558300256</v>
      </c>
      <c r="AG35" s="30">
        <f t="shared" si="22"/>
        <v>459988.88902168226</v>
      </c>
      <c r="AH35" s="30">
        <f t="shared" si="22"/>
        <v>508427.1562075307</v>
      </c>
      <c r="AI35" s="30">
        <f t="shared" si="22"/>
        <v>470834.01839715411</v>
      </c>
      <c r="AJ35" s="30">
        <f t="shared" si="22"/>
        <v>468298.43370941817</v>
      </c>
      <c r="AK35" s="30">
        <f t="shared" ref="AK35:AK42" si="23">SUM(Y35:AJ35)</f>
        <v>5388647.944505468</v>
      </c>
      <c r="AL35" s="74">
        <f t="shared" ref="AL35:AL46" si="24">AK35/AK$39</f>
        <v>1.3347245639226417</v>
      </c>
      <c r="AM35" s="29">
        <f>IFERROR(AK35/V35-1,0)</f>
        <v>4.2610931035774957E-2</v>
      </c>
      <c r="AN35" s="9"/>
    </row>
    <row r="36" spans="1:41" ht="14.45" customHeight="1" outlineLevel="1">
      <c r="E36" s="129"/>
      <c r="I36" s="227" t="s">
        <v>149</v>
      </c>
      <c r="J36" s="30">
        <v>110016</v>
      </c>
      <c r="K36" s="30">
        <v>110677</v>
      </c>
      <c r="L36" s="30">
        <v>142317</v>
      </c>
      <c r="M36" s="30">
        <v>158159</v>
      </c>
      <c r="N36" s="30">
        <v>216682</v>
      </c>
      <c r="O36" s="30">
        <v>175946</v>
      </c>
      <c r="P36" s="30">
        <v>145690</v>
      </c>
      <c r="Q36" s="30">
        <v>136464</v>
      </c>
      <c r="R36" s="30">
        <v>125195</v>
      </c>
      <c r="S36" s="30">
        <v>158649</v>
      </c>
      <c r="T36" s="30">
        <f t="shared" ref="T36:T38" si="25">+AVERAGE(R36:S36,P36)</f>
        <v>143178</v>
      </c>
      <c r="U36" s="30">
        <f t="shared" ref="U36:U38" si="26">+AVERAGE(R36:T36)</f>
        <v>142340.66666666666</v>
      </c>
      <c r="V36" s="32">
        <f t="shared" si="20"/>
        <v>1765313.6666666667</v>
      </c>
      <c r="W36" s="74">
        <f t="shared" si="21"/>
        <v>0.47021426684690565</v>
      </c>
      <c r="X36" s="90"/>
      <c r="Y36" s="30">
        <f t="shared" ref="Y36:AJ37" si="27">+Y41*Y45</f>
        <v>132332.66</v>
      </c>
      <c r="Z36" s="30">
        <f t="shared" si="27"/>
        <v>141396.47999999998</v>
      </c>
      <c r="AA36" s="30">
        <f t="shared" si="27"/>
        <v>166512.16</v>
      </c>
      <c r="AB36" s="30">
        <f t="shared" si="27"/>
        <v>163947.18</v>
      </c>
      <c r="AC36" s="30">
        <f t="shared" si="27"/>
        <v>187441.51</v>
      </c>
      <c r="AD36" s="30">
        <f t="shared" si="27"/>
        <v>140846.32</v>
      </c>
      <c r="AE36" s="30">
        <f t="shared" si="27"/>
        <v>158170.62</v>
      </c>
      <c r="AF36" s="30">
        <f t="shared" si="27"/>
        <v>189661.4</v>
      </c>
      <c r="AG36" s="30">
        <f t="shared" si="27"/>
        <v>157418.40000000002</v>
      </c>
      <c r="AH36" s="30">
        <f t="shared" si="27"/>
        <v>194819.7</v>
      </c>
      <c r="AI36" s="30">
        <f t="shared" si="27"/>
        <v>178329.32</v>
      </c>
      <c r="AJ36" s="30">
        <f t="shared" si="27"/>
        <v>177016.14</v>
      </c>
      <c r="AK36" s="30">
        <f t="shared" si="23"/>
        <v>1987891.8900000001</v>
      </c>
      <c r="AL36" s="74">
        <f t="shared" si="24"/>
        <v>0.49238476206467158</v>
      </c>
      <c r="AM36" s="29">
        <f>IFERROR(AK36/V36-1,0)</f>
        <v>0.1260842350773923</v>
      </c>
      <c r="AN36" s="9"/>
    </row>
    <row r="37" spans="1:41" ht="14.45" customHeight="1">
      <c r="I37" s="227" t="s">
        <v>150</v>
      </c>
      <c r="J37" s="30">
        <v>14035</v>
      </c>
      <c r="K37" s="30">
        <v>9009</v>
      </c>
      <c r="L37" s="30">
        <v>12996</v>
      </c>
      <c r="M37" s="30">
        <v>11131</v>
      </c>
      <c r="N37" s="30">
        <v>24319</v>
      </c>
      <c r="O37" s="30">
        <v>16600</v>
      </c>
      <c r="P37" s="30">
        <v>12364</v>
      </c>
      <c r="Q37" s="30">
        <v>4315</v>
      </c>
      <c r="R37" s="30">
        <v>3291</v>
      </c>
      <c r="S37" s="30">
        <v>20147</v>
      </c>
      <c r="T37" s="30">
        <f t="shared" si="25"/>
        <v>11934</v>
      </c>
      <c r="U37" s="30">
        <f t="shared" si="26"/>
        <v>11790.666666666666</v>
      </c>
      <c r="V37" s="32">
        <f t="shared" si="20"/>
        <v>151931.66666666666</v>
      </c>
      <c r="W37" s="74">
        <f t="shared" si="21"/>
        <v>4.0468976477926272E-2</v>
      </c>
      <c r="X37" s="90"/>
      <c r="Y37" s="30">
        <f t="shared" si="27"/>
        <v>9971.7800000000007</v>
      </c>
      <c r="Z37" s="30">
        <f t="shared" si="27"/>
        <v>8541.52</v>
      </c>
      <c r="AA37" s="30">
        <f t="shared" si="27"/>
        <v>12092</v>
      </c>
      <c r="AB37" s="30">
        <f t="shared" si="27"/>
        <v>14285.7</v>
      </c>
      <c r="AC37" s="30">
        <f t="shared" si="27"/>
        <v>17267.23</v>
      </c>
      <c r="AD37" s="30">
        <f t="shared" si="27"/>
        <v>10895.800000000001</v>
      </c>
      <c r="AE37" s="30">
        <f t="shared" si="27"/>
        <v>13891.32</v>
      </c>
      <c r="AF37" s="30">
        <f t="shared" si="27"/>
        <v>10005.120000000001</v>
      </c>
      <c r="AG37" s="30">
        <f t="shared" si="27"/>
        <v>10734.630000000001</v>
      </c>
      <c r="AH37" s="30">
        <f t="shared" si="27"/>
        <v>9822.75</v>
      </c>
      <c r="AI37" s="30">
        <f t="shared" si="27"/>
        <v>9778.77</v>
      </c>
      <c r="AJ37" s="30">
        <f t="shared" si="27"/>
        <v>9772.19</v>
      </c>
      <c r="AK37" s="30">
        <f t="shared" si="23"/>
        <v>137058.81</v>
      </c>
      <c r="AL37" s="74">
        <f t="shared" si="24"/>
        <v>3.3948360014043333E-2</v>
      </c>
      <c r="AM37" s="29">
        <f>IFERROR(AK37/V37-1,0)</f>
        <v>-9.7891749580403475E-2</v>
      </c>
      <c r="AN37" s="9"/>
    </row>
    <row r="38" spans="1:41" ht="14.45" customHeight="1" outlineLevel="1">
      <c r="I38" s="227" t="s">
        <v>151</v>
      </c>
      <c r="J38" s="32">
        <v>593</v>
      </c>
      <c r="K38" s="32">
        <v>411</v>
      </c>
      <c r="L38" s="32">
        <v>1990</v>
      </c>
      <c r="M38" s="32">
        <v>3498</v>
      </c>
      <c r="N38" s="32">
        <v>2014</v>
      </c>
      <c r="O38" s="32">
        <v>3346</v>
      </c>
      <c r="P38" s="32">
        <v>-2146</v>
      </c>
      <c r="Q38" s="32">
        <v>-5212</v>
      </c>
      <c r="R38" s="30">
        <v>1162</v>
      </c>
      <c r="S38" s="30">
        <v>1959</v>
      </c>
      <c r="T38" s="30">
        <f t="shared" si="25"/>
        <v>325</v>
      </c>
      <c r="U38" s="30">
        <f t="shared" si="26"/>
        <v>1148.6666666666667</v>
      </c>
      <c r="V38" s="32">
        <f>SUM(J38:U38)</f>
        <v>9088.6666666666661</v>
      </c>
      <c r="W38" s="74">
        <f t="shared" si="21"/>
        <v>2.4208846359594503E-3</v>
      </c>
      <c r="X38" s="90"/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0">
        <f t="shared" si="23"/>
        <v>0</v>
      </c>
      <c r="AL38" s="74">
        <f t="shared" si="24"/>
        <v>0</v>
      </c>
      <c r="AM38" s="29">
        <f>IFERROR(AK38/V38-1,0)</f>
        <v>-1</v>
      </c>
      <c r="AN38" s="9"/>
    </row>
    <row r="39" spans="1:41" ht="14.45" customHeight="1" outlineLevel="1">
      <c r="I39" s="18" t="s">
        <v>152</v>
      </c>
      <c r="J39" s="33">
        <v>274888</v>
      </c>
      <c r="K39" s="33">
        <v>262442</v>
      </c>
      <c r="L39" s="33">
        <v>301385</v>
      </c>
      <c r="M39" s="33">
        <v>295645</v>
      </c>
      <c r="N39" s="33">
        <v>335774</v>
      </c>
      <c r="O39" s="33">
        <v>306684</v>
      </c>
      <c r="P39" s="33">
        <v>308916</v>
      </c>
      <c r="Q39" s="33">
        <v>329330</v>
      </c>
      <c r="R39" s="33">
        <v>320098</v>
      </c>
      <c r="S39" s="33">
        <v>349453</v>
      </c>
      <c r="T39" s="33">
        <f t="shared" ref="R39:T39" si="28">SUM(T40:T42)</f>
        <v>336512</v>
      </c>
      <c r="U39" s="33">
        <f>SUM(U40:U42)</f>
        <v>333148</v>
      </c>
      <c r="V39" s="33">
        <f>SUM(J39:U39)</f>
        <v>3754275</v>
      </c>
      <c r="W39" s="74">
        <f t="shared" si="21"/>
        <v>1</v>
      </c>
      <c r="X39" s="90"/>
      <c r="Y39" s="33">
        <f t="shared" ref="Y39:AJ39" si="29">SUM(Y40:Y42)</f>
        <v>295813.53122640593</v>
      </c>
      <c r="Z39" s="33">
        <f t="shared" si="29"/>
        <v>282932.53122640593</v>
      </c>
      <c r="AA39" s="33">
        <f t="shared" si="29"/>
        <v>324798.53122640593</v>
      </c>
      <c r="AB39" s="33">
        <f t="shared" si="29"/>
        <v>318107.53122640593</v>
      </c>
      <c r="AC39" s="33">
        <f t="shared" si="29"/>
        <v>361608.53122640593</v>
      </c>
      <c r="AD39" s="33">
        <f t="shared" si="29"/>
        <v>330942.53122640593</v>
      </c>
      <c r="AE39" s="33">
        <f t="shared" si="29"/>
        <v>333609.53122640593</v>
      </c>
      <c r="AF39" s="33">
        <f t="shared" si="29"/>
        <v>354140.53122640593</v>
      </c>
      <c r="AG39" s="33">
        <f t="shared" si="29"/>
        <v>345446.53122640593</v>
      </c>
      <c r="AH39" s="33">
        <f t="shared" si="29"/>
        <v>370974.53122640593</v>
      </c>
      <c r="AI39" s="33">
        <f t="shared" si="29"/>
        <v>361496.53122640593</v>
      </c>
      <c r="AJ39" s="33">
        <f t="shared" si="29"/>
        <v>357402.53122640593</v>
      </c>
      <c r="AK39" s="33">
        <f t="shared" si="23"/>
        <v>4037273.374716871</v>
      </c>
      <c r="AL39" s="74">
        <f t="shared" si="24"/>
        <v>1</v>
      </c>
      <c r="AM39" s="16">
        <f>IFERROR(AK39/V39-1,0)</f>
        <v>7.5380299716155896E-2</v>
      </c>
      <c r="AN39" s="9"/>
    </row>
    <row r="40" spans="1:41" ht="14.45" customHeight="1" outlineLevel="1">
      <c r="I40" s="31" t="s">
        <v>153</v>
      </c>
      <c r="J40" s="32">
        <v>211339</v>
      </c>
      <c r="K40" s="32">
        <v>196727</v>
      </c>
      <c r="L40" s="32">
        <v>226761</v>
      </c>
      <c r="M40" s="32">
        <v>217741</v>
      </c>
      <c r="N40" s="32">
        <v>249329</v>
      </c>
      <c r="O40" s="32">
        <v>233480</v>
      </c>
      <c r="P40" s="32">
        <v>233793</v>
      </c>
      <c r="Q40" s="32">
        <v>245186</v>
      </c>
      <c r="R40" s="32">
        <v>242932</v>
      </c>
      <c r="S40" s="32">
        <v>263125</v>
      </c>
      <c r="T40" s="32">
        <v>252737</v>
      </c>
      <c r="U40" s="32">
        <v>250210</v>
      </c>
      <c r="V40" s="32">
        <f>SUM(J40:U40)</f>
        <v>2823360</v>
      </c>
      <c r="W40" s="74">
        <f t="shared" si="21"/>
        <v>0.75203867590946316</v>
      </c>
      <c r="X40" s="90"/>
      <c r="Y40" s="32">
        <f>VLOOKUP($E$1,'[2]Resumen x Tipo Combustible'!$C$4:$O$10,Y$1,0)</f>
        <v>230992.53122640593</v>
      </c>
      <c r="Z40" s="32">
        <f>VLOOKUP($E$1,'[2]Resumen x Tipo Combustible'!$C$4:$O$10,Z$1,0)</f>
        <v>215950.53122640593</v>
      </c>
      <c r="AA40" s="32">
        <f>VLOOKUP($E$1,'[2]Resumen x Tipo Combustible'!$C$4:$O$10,AA$1,0)</f>
        <v>248196.53122640593</v>
      </c>
      <c r="AB40" s="32">
        <f>VLOOKUP($E$1,'[2]Resumen x Tipo Combustible'!$C$4:$O$10,AB$1,0)</f>
        <v>238349.53122640593</v>
      </c>
      <c r="AC40" s="32">
        <f>VLOOKUP($E$1,'[2]Resumen x Tipo Combustible'!$C$4:$O$10,AC$1,0)</f>
        <v>272484.53122640593</v>
      </c>
      <c r="AD40" s="32">
        <f>VLOOKUP($E$1,'[2]Resumen x Tipo Combustible'!$C$4:$O$10,AD$1,0)</f>
        <v>255630.53122640593</v>
      </c>
      <c r="AE40" s="32">
        <f>VLOOKUP($E$1,'[2]Resumen x Tipo Combustible'!$C$4:$O$10,AE$1,0)</f>
        <v>256233.53122640593</v>
      </c>
      <c r="AF40" s="32">
        <f>VLOOKUP($E$1,'[2]Resumen x Tipo Combustible'!$C$4:$O$10,AF$1,0)</f>
        <v>267599.53122640593</v>
      </c>
      <c r="AG40" s="32">
        <f>VLOOKUP($E$1,'[2]Resumen x Tipo Combustible'!$C$4:$O$10,AG$1,0)</f>
        <v>265889.53122640593</v>
      </c>
      <c r="AH40" s="32">
        <f>VLOOKUP($E$1,'[2]Resumen x Tipo Combustible'!$C$4:$O$10,AH$1,0)</f>
        <v>282459.53122640593</v>
      </c>
      <c r="AI40" s="32">
        <f>VLOOKUP($E$1,'[2]Resumen x Tipo Combustible'!$C$4:$O$10,AI$1,0)</f>
        <v>275341.53122640593</v>
      </c>
      <c r="AJ40" s="32">
        <f>VLOOKUP($E$1,'[2]Resumen x Tipo Combustible'!$C$4:$O$10,AJ$1,0)</f>
        <v>272266.53122640593</v>
      </c>
      <c r="AK40" s="32">
        <f t="shared" si="23"/>
        <v>3081394.374716871</v>
      </c>
      <c r="AL40" s="74">
        <f t="shared" si="24"/>
        <v>0.76323649372219327</v>
      </c>
      <c r="AM40" s="29">
        <f t="shared" si="7"/>
        <v>9.1392657938368149E-2</v>
      </c>
      <c r="AN40" s="9"/>
    </row>
    <row r="41" spans="1:41" ht="14.45" customHeight="1">
      <c r="I41" s="31" t="s">
        <v>154</v>
      </c>
      <c r="J41" s="32">
        <v>58178</v>
      </c>
      <c r="K41" s="32">
        <v>60842</v>
      </c>
      <c r="L41" s="32">
        <v>68735</v>
      </c>
      <c r="M41" s="32">
        <v>70857</v>
      </c>
      <c r="N41" s="32">
        <v>78028</v>
      </c>
      <c r="O41" s="32">
        <v>66458</v>
      </c>
      <c r="P41" s="32">
        <v>67949</v>
      </c>
      <c r="Q41" s="32">
        <v>78139</v>
      </c>
      <c r="R41" s="32">
        <v>71348</v>
      </c>
      <c r="S41" s="32">
        <v>79739</v>
      </c>
      <c r="T41" s="32">
        <v>78463</v>
      </c>
      <c r="U41" s="32">
        <v>77679</v>
      </c>
      <c r="V41" s="32">
        <f>SUM(J41:U41)</f>
        <v>856415</v>
      </c>
      <c r="W41" s="74">
        <f t="shared" si="21"/>
        <v>0.22811727963454995</v>
      </c>
      <c r="X41" s="90"/>
      <c r="Y41" s="32">
        <f>VLOOKUP($E$1,'[2]Resumen x Tipo Combustible'!$C$12:$P$15,Y$1,0)</f>
        <v>59342</v>
      </c>
      <c r="Z41" s="32">
        <f>VLOOKUP($E$1,'[2]Resumen x Tipo Combustible'!$C$12:$P$15,Z$1,0)</f>
        <v>62016</v>
      </c>
      <c r="AA41" s="32">
        <f>VLOOKUP($E$1,'[2]Resumen x Tipo Combustible'!$C$12:$P$15,AA$1,0)</f>
        <v>70556</v>
      </c>
      <c r="AB41" s="32">
        <f>VLOOKUP($E$1,'[2]Resumen x Tipo Combustible'!$C$12:$P$15,AB$1,0)</f>
        <v>72543</v>
      </c>
      <c r="AC41" s="32">
        <f>VLOOKUP($E$1,'[2]Resumen x Tipo Combustible'!$C$12:$P$15,AC$1,0)</f>
        <v>80447</v>
      </c>
      <c r="AD41" s="32">
        <f>VLOOKUP($E$1,'[2]Resumen x Tipo Combustible'!$C$12:$P$15,AD$1,0)</f>
        <v>68372</v>
      </c>
      <c r="AE41" s="32">
        <f>VLOOKUP($E$1,'[2]Resumen x Tipo Combustible'!$C$12:$P$15,AE$1,0)</f>
        <v>69987</v>
      </c>
      <c r="AF41" s="32">
        <f>VLOOKUP($E$1,'[2]Resumen x Tipo Combustible'!$C$12:$P$15,AF$1,0)</f>
        <v>80365</v>
      </c>
      <c r="AG41" s="32">
        <f>VLOOKUP($E$1,'[2]Resumen x Tipo Combustible'!$C$12:$P$15,AG$1,0)</f>
        <v>73560</v>
      </c>
      <c r="AH41" s="32">
        <f>VLOOKUP($E$1,'[2]Resumen x Tipo Combustible'!$C$12:$P$15,AH$1,0)</f>
        <v>82902</v>
      </c>
      <c r="AI41" s="32">
        <f>VLOOKUP($E$1,'[2]Resumen x Tipo Combustible'!$C$12:$P$15,AI$1,0)</f>
        <v>80692</v>
      </c>
      <c r="AJ41" s="32">
        <f>VLOOKUP($E$1,'[2]Resumen x Tipo Combustible'!$C$12:$P$15,AJ$1,0)</f>
        <v>79737</v>
      </c>
      <c r="AK41" s="32">
        <f t="shared" si="23"/>
        <v>880519</v>
      </c>
      <c r="AL41" s="74">
        <f t="shared" si="24"/>
        <v>0.21809744306991591</v>
      </c>
      <c r="AM41" s="29">
        <f t="shared" si="7"/>
        <v>2.8145233327300456E-2</v>
      </c>
      <c r="AN41" s="9"/>
    </row>
    <row r="42" spans="1:41" ht="14.45" customHeight="1">
      <c r="A42" s="21"/>
      <c r="B42" s="21"/>
      <c r="C42" s="21"/>
      <c r="D42" s="21"/>
      <c r="E42" s="7" t="s">
        <v>111</v>
      </c>
      <c r="I42" s="31" t="s">
        <v>155</v>
      </c>
      <c r="J42" s="32">
        <v>5372</v>
      </c>
      <c r="K42" s="32">
        <v>4872</v>
      </c>
      <c r="L42" s="32">
        <v>5890</v>
      </c>
      <c r="M42" s="32">
        <v>7047</v>
      </c>
      <c r="N42" s="32">
        <v>8416</v>
      </c>
      <c r="O42" s="32">
        <v>6746</v>
      </c>
      <c r="P42" s="32">
        <v>7174</v>
      </c>
      <c r="Q42" s="32">
        <v>6006</v>
      </c>
      <c r="R42" s="32">
        <v>5818</v>
      </c>
      <c r="S42" s="32">
        <v>6588</v>
      </c>
      <c r="T42" s="32">
        <v>5312</v>
      </c>
      <c r="U42" s="32">
        <v>5259</v>
      </c>
      <c r="V42" s="32">
        <f>SUM(J42:U42)</f>
        <v>74500</v>
      </c>
      <c r="W42" s="74">
        <f t="shared" si="21"/>
        <v>1.984404445598684E-2</v>
      </c>
      <c r="X42" s="90"/>
      <c r="Y42" s="32">
        <f>VLOOKUP($E$1,'[2]Resumen x Tipo Combustible'!$C$20:$P$23,Y$1,0)</f>
        <v>5479</v>
      </c>
      <c r="Z42" s="32">
        <f>VLOOKUP($E$1,'[2]Resumen x Tipo Combustible'!$C$20:$P$23,Z$1,0)</f>
        <v>4966</v>
      </c>
      <c r="AA42" s="32">
        <f>VLOOKUP($E$1,'[2]Resumen x Tipo Combustible'!$C$20:$P$23,AA$1,0)</f>
        <v>6046</v>
      </c>
      <c r="AB42" s="32">
        <f>VLOOKUP($E$1,'[2]Resumen x Tipo Combustible'!$C$20:$P$23,AB$1,0)</f>
        <v>7215</v>
      </c>
      <c r="AC42" s="32">
        <f>VLOOKUP($E$1,'[2]Resumen x Tipo Combustible'!$C$20:$P$23,AC$1,0)</f>
        <v>8677</v>
      </c>
      <c r="AD42" s="32">
        <f>VLOOKUP($E$1,'[2]Resumen x Tipo Combustible'!$C$20:$P$23,AD$1,0)</f>
        <v>6940</v>
      </c>
      <c r="AE42" s="32">
        <f>VLOOKUP($E$1,'[2]Resumen x Tipo Combustible'!$C$20:$P$23,AE$1,0)</f>
        <v>7389</v>
      </c>
      <c r="AF42" s="32">
        <f>VLOOKUP($E$1,'[2]Resumen x Tipo Combustible'!$C$20:$P$23,AF$1,0)</f>
        <v>6176</v>
      </c>
      <c r="AG42" s="32">
        <f>VLOOKUP($E$1,'[2]Resumen x Tipo Combustible'!$C$20:$P$23,AG$1,0)</f>
        <v>5997</v>
      </c>
      <c r="AH42" s="32">
        <f>VLOOKUP($E$1,'[2]Resumen x Tipo Combustible'!$C$20:$P$23,AH$1,0)</f>
        <v>5613</v>
      </c>
      <c r="AI42" s="32">
        <f>VLOOKUP($E$1,'[2]Resumen x Tipo Combustible'!$C$20:$P$23,AI$1,0)</f>
        <v>5463</v>
      </c>
      <c r="AJ42" s="32">
        <f>VLOOKUP($E$1,'[2]Resumen x Tipo Combustible'!$C$20:$P$23,AJ$1,0)</f>
        <v>5399</v>
      </c>
      <c r="AK42" s="32">
        <f t="shared" si="23"/>
        <v>75360</v>
      </c>
      <c r="AL42" s="74">
        <f t="shared" si="24"/>
        <v>1.8666063207890871E-2</v>
      </c>
      <c r="AM42" s="29">
        <f t="shared" si="7"/>
        <v>1.1543624161073796E-2</v>
      </c>
      <c r="AN42" s="9"/>
    </row>
    <row r="43" spans="1:41" ht="15" customHeight="1">
      <c r="A43" s="21"/>
      <c r="B43" s="21"/>
      <c r="C43" s="21"/>
      <c r="D43" s="21"/>
      <c r="E43" s="22"/>
      <c r="F43" s="21"/>
      <c r="G43" s="21"/>
      <c r="H43" s="21"/>
      <c r="I43" s="18" t="s">
        <v>405</v>
      </c>
      <c r="J43" s="17">
        <v>1.39</v>
      </c>
      <c r="K43" s="17">
        <v>1.6</v>
      </c>
      <c r="L43" s="17">
        <v>1.99</v>
      </c>
      <c r="M43" s="17">
        <v>2.21</v>
      </c>
      <c r="N43" s="17">
        <v>2.19</v>
      </c>
      <c r="O43" s="17">
        <v>2.0699999999999998</v>
      </c>
      <c r="P43" s="17">
        <v>1.94</v>
      </c>
      <c r="Q43" s="17">
        <v>1.7</v>
      </c>
      <c r="R43" s="17">
        <v>1.79</v>
      </c>
      <c r="S43" s="17">
        <v>1.96</v>
      </c>
      <c r="T43" s="17">
        <f t="shared" ref="Q43:V43" si="30">+T34/T39</f>
        <v>1.8036820876125279</v>
      </c>
      <c r="U43" s="17">
        <f t="shared" si="30"/>
        <v>1.8685185629876873</v>
      </c>
      <c r="V43" s="17">
        <f>+V34/V39</f>
        <v>1.8897792220572254</v>
      </c>
      <c r="W43" s="74">
        <f t="shared" si="21"/>
        <v>5.0336728717454781E-7</v>
      </c>
      <c r="X43" s="90"/>
      <c r="Y43" s="17">
        <f>AVERAGE(Y44:Y44)</f>
        <v>1.73</v>
      </c>
      <c r="Z43" s="17">
        <f t="shared" ref="Z43:AJ43" si="31">AVERAGE(Z44:Z44)</f>
        <v>1.66</v>
      </c>
      <c r="AA43" s="17">
        <f t="shared" si="31"/>
        <v>1.87</v>
      </c>
      <c r="AB43" s="17">
        <f t="shared" si="31"/>
        <v>1.69</v>
      </c>
      <c r="AC43" s="17">
        <f t="shared" si="31"/>
        <v>1.87</v>
      </c>
      <c r="AD43" s="17">
        <f t="shared" si="31"/>
        <v>1.66</v>
      </c>
      <c r="AE43" s="17">
        <f t="shared" si="31"/>
        <v>1.74</v>
      </c>
      <c r="AF43" s="17">
        <f t="shared" si="31"/>
        <v>1.78</v>
      </c>
      <c r="AG43" s="17">
        <f t="shared" si="31"/>
        <v>1.73</v>
      </c>
      <c r="AH43" s="17">
        <f t="shared" si="31"/>
        <v>1.8</v>
      </c>
      <c r="AI43" s="17">
        <f t="shared" si="31"/>
        <v>1.71</v>
      </c>
      <c r="AJ43" s="17">
        <f t="shared" si="31"/>
        <v>1.72</v>
      </c>
      <c r="AK43" s="17">
        <f>+AK34/AK39</f>
        <v>1.8640240444538252</v>
      </c>
      <c r="AL43" s="74">
        <f t="shared" si="24"/>
        <v>4.6170369738327344E-7</v>
      </c>
      <c r="AM43" s="16">
        <f t="shared" si="7"/>
        <v>-1.3628670112778019E-2</v>
      </c>
      <c r="AN43" s="176"/>
      <c r="AO43" s="276">
        <f>+AK43-V43</f>
        <v>-2.5755177603400181E-2</v>
      </c>
    </row>
    <row r="44" spans="1:41" ht="14.45" customHeight="1">
      <c r="A44" s="12" t="s">
        <v>157</v>
      </c>
      <c r="B44" s="19" t="s">
        <v>101</v>
      </c>
      <c r="I44" s="31" t="s">
        <v>153</v>
      </c>
      <c r="J44" s="30">
        <v>1.22</v>
      </c>
      <c r="K44" s="30">
        <v>1.52</v>
      </c>
      <c r="L44" s="30">
        <v>1.96</v>
      </c>
      <c r="M44" s="30">
        <v>2.2000000000000002</v>
      </c>
      <c r="N44" s="30">
        <v>1.97</v>
      </c>
      <c r="O44" s="30">
        <v>1.88</v>
      </c>
      <c r="P44" s="30">
        <v>1.9</v>
      </c>
      <c r="Q44" s="30">
        <v>1.73</v>
      </c>
      <c r="R44" s="30">
        <v>1.83</v>
      </c>
      <c r="S44" s="30">
        <v>1.66</v>
      </c>
      <c r="T44" s="30">
        <f t="shared" ref="Q44:V44" si="32">+T35/T40</f>
        <v>1.8385660455994439</v>
      </c>
      <c r="U44" s="30">
        <f t="shared" si="32"/>
        <v>1.8848056521410905</v>
      </c>
      <c r="V44" s="30">
        <f>+V35/V40</f>
        <v>1.8305908169304974</v>
      </c>
      <c r="W44" s="74">
        <f t="shared" si="21"/>
        <v>4.8760168526026927E-7</v>
      </c>
      <c r="X44" s="90"/>
      <c r="Y44" s="248">
        <f>VLOOKUP(Y$3,[2]Margen!$I$25:$O$37,$Y$1,0)</f>
        <v>1.73</v>
      </c>
      <c r="Z44" s="248">
        <f>VLOOKUP(Z$3,[2]Margen!$I$25:$O$37,$Y$1,0)</f>
        <v>1.66</v>
      </c>
      <c r="AA44" s="248">
        <f>VLOOKUP(AA$3,[2]Margen!$I$25:$O$37,$Y$1,0)</f>
        <v>1.87</v>
      </c>
      <c r="AB44" s="248">
        <f>VLOOKUP(AB$3,[2]Margen!$I$25:$O$37,$Y$1,0)</f>
        <v>1.69</v>
      </c>
      <c r="AC44" s="248">
        <f>VLOOKUP(AC$3,[2]Margen!$I$25:$O$37,$Y$1,0)</f>
        <v>1.87</v>
      </c>
      <c r="AD44" s="248">
        <f>VLOOKUP(AD$3,[2]Margen!$I$25:$O$37,$Y$1,0)</f>
        <v>1.66</v>
      </c>
      <c r="AE44" s="248">
        <f>VLOOKUP(AE$3,[2]Margen!$I$25:$O$37,$Y$1,0)</f>
        <v>1.74</v>
      </c>
      <c r="AF44" s="248">
        <f>VLOOKUP(AF$3,[2]Margen!$I$25:$O$37,$Y$1,0)</f>
        <v>1.78</v>
      </c>
      <c r="AG44" s="248">
        <f>VLOOKUP(AG$3,[2]Margen!$I$25:$O$37,$Y$1,0)</f>
        <v>1.73</v>
      </c>
      <c r="AH44" s="248">
        <f>VLOOKUP(AH$3,[2]Margen!$I$25:$O$37,$Y$1,0)</f>
        <v>1.8</v>
      </c>
      <c r="AI44" s="248">
        <f>VLOOKUP(AI$3,[2]Margen!$I$25:$O$37,$Y$1,0)</f>
        <v>1.71</v>
      </c>
      <c r="AJ44" s="248">
        <f>VLOOKUP(AJ$3,[2]Margen!$I$25:$O$37,$Y$1,0)</f>
        <v>1.72</v>
      </c>
      <c r="AK44" s="30">
        <f>+AK35/AK40</f>
        <v>1.7487693197338934</v>
      </c>
      <c r="AL44" s="74">
        <f t="shared" si="24"/>
        <v>4.3315603314985633E-7</v>
      </c>
      <c r="AM44" s="29">
        <f t="shared" si="7"/>
        <v>-4.46967702666623E-2</v>
      </c>
      <c r="AN44" s="9"/>
      <c r="AO44" s="276">
        <f>+AK44-V44</f>
        <v>-8.1821497196604032E-2</v>
      </c>
    </row>
    <row r="45" spans="1:41" ht="14.45" customHeight="1" outlineLevel="1">
      <c r="A45" s="12" t="s">
        <v>157</v>
      </c>
      <c r="B45" s="8" t="s">
        <v>101</v>
      </c>
      <c r="C45" s="19" t="s">
        <v>158</v>
      </c>
      <c r="D45" s="12"/>
      <c r="E45" s="20"/>
      <c r="F45" s="12"/>
      <c r="G45" s="12"/>
      <c r="H45" s="12"/>
      <c r="I45" s="31" t="s">
        <v>154</v>
      </c>
      <c r="J45" s="30">
        <v>1.89</v>
      </c>
      <c r="K45" s="30">
        <v>1.82</v>
      </c>
      <c r="L45" s="30">
        <v>2.0699999999999998</v>
      </c>
      <c r="M45" s="30">
        <v>2.23</v>
      </c>
      <c r="N45" s="30">
        <v>2.78</v>
      </c>
      <c r="O45" s="30">
        <v>2.65</v>
      </c>
      <c r="P45" s="30">
        <v>2.14</v>
      </c>
      <c r="Q45" s="30">
        <v>1.75</v>
      </c>
      <c r="R45" s="30">
        <v>1.75</v>
      </c>
      <c r="S45" s="30">
        <v>1.68</v>
      </c>
      <c r="T45" s="30">
        <f t="shared" ref="Q45:V45" si="33">+T36/T41</f>
        <v>1.8247836559907218</v>
      </c>
      <c r="U45" s="30">
        <f t="shared" si="33"/>
        <v>1.8324214609697171</v>
      </c>
      <c r="V45" s="30">
        <f>+V36/V41</f>
        <v>2.061282983911616</v>
      </c>
      <c r="W45" s="74">
        <f t="shared" si="21"/>
        <v>5.4904954589411167E-7</v>
      </c>
      <c r="X45" s="90"/>
      <c r="Y45" s="248">
        <f>VLOOKUP(Y$3,[2]Margen!$I$25:$O$37,$AA$1,0)</f>
        <v>2.23</v>
      </c>
      <c r="Z45" s="248">
        <f>VLOOKUP(Z$3,[2]Margen!$I$25:$O$37,$AA$1,0)</f>
        <v>2.2799999999999998</v>
      </c>
      <c r="AA45" s="248">
        <f>VLOOKUP(AA$3,[2]Margen!$I$25:$O$37,$AA$1,0)</f>
        <v>2.36</v>
      </c>
      <c r="AB45" s="248">
        <f>VLOOKUP(AB$3,[2]Margen!$I$25:$O$37,$AA$1,0)</f>
        <v>2.2599999999999998</v>
      </c>
      <c r="AC45" s="248">
        <f>VLOOKUP(AC$3,[2]Margen!$I$25:$O$37,$AA$1,0)</f>
        <v>2.33</v>
      </c>
      <c r="AD45" s="248">
        <f>VLOOKUP(AD$3,[2]Margen!$I$25:$O$37,$AA$1,0)</f>
        <v>2.06</v>
      </c>
      <c r="AE45" s="248">
        <f>VLOOKUP(AE$3,[2]Margen!$I$25:$O$37,$AA$1,0)</f>
        <v>2.2599999999999998</v>
      </c>
      <c r="AF45" s="248">
        <f>VLOOKUP(AF$3,[2]Margen!$I$25:$O$37,$AA$1,0)</f>
        <v>2.36</v>
      </c>
      <c r="AG45" s="248">
        <f>VLOOKUP(AG$3,[2]Margen!$I$25:$O$37,$AA$1,0)</f>
        <v>2.14</v>
      </c>
      <c r="AH45" s="248">
        <f>VLOOKUP(AH$3,[2]Margen!$I$25:$O$37,$AA$1,0)</f>
        <v>2.35</v>
      </c>
      <c r="AI45" s="248">
        <f>VLOOKUP(AI$3,[2]Margen!$I$25:$O$37,$AA$1,0)</f>
        <v>2.21</v>
      </c>
      <c r="AJ45" s="248">
        <f>VLOOKUP(AJ$3,[2]Margen!$I$25:$O$37,$AA$1,0)</f>
        <v>2.2200000000000002</v>
      </c>
      <c r="AK45" s="30">
        <f>+AK36/AK41</f>
        <v>2.257636564344438</v>
      </c>
      <c r="AL45" s="74">
        <f t="shared" si="24"/>
        <v>5.5919833878050516E-7</v>
      </c>
      <c r="AM45" s="29">
        <f t="shared" si="7"/>
        <v>9.5257944671046424E-2</v>
      </c>
      <c r="AN45" s="9"/>
      <c r="AO45" s="276">
        <f>+AK45-V45</f>
        <v>0.19635358043282203</v>
      </c>
    </row>
    <row r="46" spans="1:41" ht="14.45" customHeight="1" outlineLevel="1">
      <c r="A46" s="12" t="s">
        <v>157</v>
      </c>
      <c r="B46" s="8" t="s">
        <v>101</v>
      </c>
      <c r="I46" s="31" t="s">
        <v>155</v>
      </c>
      <c r="J46" s="30">
        <v>2.61</v>
      </c>
      <c r="K46" s="30">
        <v>1.85</v>
      </c>
      <c r="L46" s="30">
        <v>2.21</v>
      </c>
      <c r="M46" s="30">
        <v>1.58</v>
      </c>
      <c r="N46" s="30">
        <v>2.89</v>
      </c>
      <c r="O46" s="30">
        <v>2.46</v>
      </c>
      <c r="P46" s="30">
        <v>1.72</v>
      </c>
      <c r="Q46" s="30">
        <v>0.72</v>
      </c>
      <c r="R46" s="30">
        <v>0.56999999999999995</v>
      </c>
      <c r="S46" s="30">
        <v>2.36</v>
      </c>
      <c r="T46" s="30">
        <f t="shared" ref="Q46:V46" si="34">+T37/T42</f>
        <v>2.2466114457831323</v>
      </c>
      <c r="U46" s="30">
        <f t="shared" si="34"/>
        <v>2.2419978449641884</v>
      </c>
      <c r="V46" s="30">
        <f>+V37/V42</f>
        <v>2.0393512304250558</v>
      </c>
      <c r="W46" s="74">
        <f t="shared" si="21"/>
        <v>5.4320773795874193E-7</v>
      </c>
      <c r="X46" s="90"/>
      <c r="Y46" s="248">
        <f>VLOOKUP(Y$3,[2]Margen!$I$25:$O$37,$AC$1,0)</f>
        <v>1.82</v>
      </c>
      <c r="Z46" s="248">
        <f>VLOOKUP(Z$3,[2]Margen!$I$25:$O$37,$AC$1,0)</f>
        <v>1.72</v>
      </c>
      <c r="AA46" s="248">
        <f>VLOOKUP(AA$3,[2]Margen!$I$25:$O$37,$AC$1,0)</f>
        <v>2</v>
      </c>
      <c r="AB46" s="248">
        <f>VLOOKUP(AB$3,[2]Margen!$I$25:$O$37,$AC$1,0)</f>
        <v>1.98</v>
      </c>
      <c r="AC46" s="248">
        <f>VLOOKUP(AC$3,[2]Margen!$I$25:$O$37,$AC$1,0)</f>
        <v>1.99</v>
      </c>
      <c r="AD46" s="248">
        <f>VLOOKUP(AD$3,[2]Margen!$I$25:$O$37,$AC$1,0)</f>
        <v>1.57</v>
      </c>
      <c r="AE46" s="248">
        <f>VLOOKUP(AE$3,[2]Margen!$I$25:$O$37,$AC$1,0)</f>
        <v>1.88</v>
      </c>
      <c r="AF46" s="248">
        <f>VLOOKUP(AF$3,[2]Margen!$I$25:$O$37,$AC$1,0)</f>
        <v>1.62</v>
      </c>
      <c r="AG46" s="248">
        <f>VLOOKUP(AG$3,[2]Margen!$I$25:$O$37,$AC$1,0)</f>
        <v>1.79</v>
      </c>
      <c r="AH46" s="248">
        <f>VLOOKUP(AH$3,[2]Margen!$I$25:$O$37,$AC$1,0)</f>
        <v>1.75</v>
      </c>
      <c r="AI46" s="248">
        <f>VLOOKUP(AI$3,[2]Margen!$I$25:$O$37,$AC$1,0)</f>
        <v>1.79</v>
      </c>
      <c r="AJ46" s="248">
        <f>VLOOKUP(AJ$3,[2]Margen!$I$25:$O$37,$AC$1,0)</f>
        <v>1.81</v>
      </c>
      <c r="AK46" s="30">
        <f>IFERROR(+AK37/AK42,0)</f>
        <v>1.8187209394904458</v>
      </c>
      <c r="AL46" s="74">
        <f t="shared" si="24"/>
        <v>4.5048248426278303E-7</v>
      </c>
      <c r="AM46" s="29">
        <f t="shared" si="7"/>
        <v>-0.10818650933837659</v>
      </c>
      <c r="AN46" s="9"/>
      <c r="AO46" s="276">
        <f>+AK46-V46</f>
        <v>-0.22063029093461006</v>
      </c>
    </row>
    <row r="47" spans="1:41" ht="14.45" customHeight="1" outlineLevel="1">
      <c r="A47" s="12" t="s">
        <v>157</v>
      </c>
      <c r="B47" s="8" t="s">
        <v>101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 outlineLevel="1">
      <c r="A48" s="12" t="s">
        <v>157</v>
      </c>
      <c r="B48" s="8" t="s">
        <v>101</v>
      </c>
      <c r="I48" s="141" t="s">
        <v>159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 outlineLevel="1">
      <c r="A49" s="12" t="s">
        <v>157</v>
      </c>
      <c r="B49" s="8" t="s">
        <v>101</v>
      </c>
      <c r="C49" s="8" t="s">
        <v>160</v>
      </c>
      <c r="I49" s="141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 outlineLevel="1">
      <c r="A50" s="12" t="s">
        <v>157</v>
      </c>
      <c r="B50" s="8" t="s">
        <v>101</v>
      </c>
      <c r="I50" s="169" t="s">
        <v>161</v>
      </c>
      <c r="J50" s="15">
        <v>21157</v>
      </c>
      <c r="K50" s="15">
        <v>35312</v>
      </c>
      <c r="L50" s="15">
        <v>27507</v>
      </c>
      <c r="M50" s="15">
        <v>27545</v>
      </c>
      <c r="N50" s="15">
        <v>59186</v>
      </c>
      <c r="O50" s="15">
        <v>55003</v>
      </c>
      <c r="P50" s="15">
        <v>58199</v>
      </c>
      <c r="Q50" s="15">
        <v>67022</v>
      </c>
      <c r="R50" s="15">
        <v>59822</v>
      </c>
      <c r="S50" s="15">
        <v>33479</v>
      </c>
      <c r="T50" s="15">
        <f t="shared" ref="R50:U50" si="35">SUM(T51:T90)</f>
        <v>79334.025418181816</v>
      </c>
      <c r="U50" s="15">
        <f t="shared" si="35"/>
        <v>97502.386100000003</v>
      </c>
      <c r="V50" s="15">
        <f>SUM(V51:V90)</f>
        <v>621069.41151818179</v>
      </c>
      <c r="W50" s="72">
        <f t="shared" ref="W50:W160" si="36">V50/V$6</f>
        <v>7.9100691039234883E-3</v>
      </c>
      <c r="X50" s="89"/>
      <c r="Y50" s="15">
        <f>SUM(Y51:Y90)</f>
        <v>91519.609208348789</v>
      </c>
      <c r="Z50" s="15">
        <f>SUM(Z51:Z90)</f>
        <v>39101.569315357221</v>
      </c>
      <c r="AA50" s="15">
        <f>SUM(AA51:AA90)</f>
        <v>55473.842577425712</v>
      </c>
      <c r="AB50" s="15">
        <f>SUM(AB51:AB90)</f>
        <v>56327.597496684932</v>
      </c>
      <c r="AC50" s="15">
        <f>SUM(AC51:AC90)</f>
        <v>59452.151491041099</v>
      </c>
      <c r="AD50" s="15">
        <f>SUM(AD51:AD90)</f>
        <v>42778.138496684929</v>
      </c>
      <c r="AE50" s="15">
        <f>SUM(AE51:AE90)</f>
        <v>48759.527087041097</v>
      </c>
      <c r="AF50" s="15">
        <f>SUM(AF51:AF90)</f>
        <v>41617.419895041094</v>
      </c>
      <c r="AG50" s="15">
        <f>SUM(AG51:AG90)</f>
        <v>70653.340092684928</v>
      </c>
      <c r="AH50" s="15">
        <f>SUM(AH51:AH90)</f>
        <v>39805.994895041091</v>
      </c>
      <c r="AI50" s="15">
        <f>SUM(AI51:AI90)</f>
        <v>39062.129496684931</v>
      </c>
      <c r="AJ50" s="15">
        <f>SUM(AJ51:AJ90)</f>
        <v>67598.347087041097</v>
      </c>
      <c r="AK50" s="15">
        <f>SUM(AK51:AK90)</f>
        <v>652149.66713907709</v>
      </c>
      <c r="AL50" s="72">
        <f t="shared" ref="AL50:AL160" si="37">AK50/AK$6</f>
        <v>7.4160406108314536E-3</v>
      </c>
      <c r="AM50" s="10">
        <f t="shared" ref="AM50:AM142" si="38">IFERROR(AK50/V50-1,0)</f>
        <v>5.0043127297028978E-2</v>
      </c>
      <c r="AN50" s="9"/>
    </row>
    <row r="51" spans="1:40" ht="14.45" customHeight="1" outlineLevel="1">
      <c r="A51" s="12" t="s">
        <v>157</v>
      </c>
      <c r="B51" s="8" t="s">
        <v>101</v>
      </c>
      <c r="I51" s="228" t="s">
        <v>162</v>
      </c>
      <c r="J51" s="65">
        <v>14459</v>
      </c>
      <c r="K51" s="65">
        <v>12755</v>
      </c>
      <c r="L51" s="65">
        <v>13117</v>
      </c>
      <c r="M51" s="65">
        <v>13287</v>
      </c>
      <c r="N51" s="65">
        <v>13600</v>
      </c>
      <c r="O51" s="65">
        <v>14807</v>
      </c>
      <c r="P51" s="65">
        <v>14086</v>
      </c>
      <c r="Q51" s="65">
        <v>16360</v>
      </c>
      <c r="R51" s="65">
        <v>12885</v>
      </c>
      <c r="S51" s="65">
        <v>14428</v>
      </c>
      <c r="T51" s="65">
        <f t="shared" ref="S51:U51" si="39">+AVERAGE(P51:S51)</f>
        <v>14439.75</v>
      </c>
      <c r="U51" s="65">
        <f t="shared" si="39"/>
        <v>14528.1875</v>
      </c>
      <c r="V51" s="65">
        <f>SUM(J51:U51)</f>
        <v>168751.9375</v>
      </c>
      <c r="W51" s="73">
        <f t="shared" si="36"/>
        <v>2.1492597482510216E-3</v>
      </c>
      <c r="X51" s="89"/>
      <c r="Y51" s="65">
        <f>VLOOKUP($E$1,[3]Resumen!$C$8:$O$11,Y1,0)</f>
        <v>14747.587249999999</v>
      </c>
      <c r="Z51" s="65">
        <f>VLOOKUP($E$1,[3]Resumen!$C$8:$O$11,Z1,0)</f>
        <v>14747.587249999999</v>
      </c>
      <c r="AA51" s="65">
        <f>VLOOKUP($E$1,[3]Resumen!$C$8:$O$11,AA1,0)</f>
        <v>14747.587249999999</v>
      </c>
      <c r="AB51" s="65">
        <f>VLOOKUP($E$1,[3]Resumen!$C$8:$O$11,AB1,0)</f>
        <v>14747.587249999999</v>
      </c>
      <c r="AC51" s="65">
        <f>VLOOKUP($E$1,[3]Resumen!$C$8:$O$11,AC1,0)</f>
        <v>14747.587249999999</v>
      </c>
      <c r="AD51" s="65">
        <f>VLOOKUP($E$1,[3]Resumen!$C$8:$O$11,AD1,0)</f>
        <v>14747.587249999999</v>
      </c>
      <c r="AE51" s="65">
        <f>VLOOKUP($E$1,[3]Resumen!$C$8:$O$11,AE1,0)</f>
        <v>14747.587249999999</v>
      </c>
      <c r="AF51" s="65">
        <f>VLOOKUP($E$1,[3]Resumen!$C$8:$O$11,AF1,0)</f>
        <v>14747.587249999999</v>
      </c>
      <c r="AG51" s="65">
        <f>VLOOKUP($E$1,[3]Resumen!$C$8:$O$11,AG1,0)</f>
        <v>14747.587249999999</v>
      </c>
      <c r="AH51" s="65">
        <f>VLOOKUP($E$1,[3]Resumen!$C$8:$O$11,AH1,0)</f>
        <v>14747.587249999999</v>
      </c>
      <c r="AI51" s="65">
        <f>VLOOKUP($E$1,[3]Resumen!$C$8:$O$11,AI1,0)</f>
        <v>14747.587249999999</v>
      </c>
      <c r="AJ51" s="65">
        <f>VLOOKUP($E$1,[3]Resumen!$C$8:$O$11,AJ1,0)</f>
        <v>14747.587249999999</v>
      </c>
      <c r="AK51" s="65">
        <f>SUM(Y51:AJ51)</f>
        <v>176971.04700000002</v>
      </c>
      <c r="AL51" s="73">
        <f t="shared" si="37"/>
        <v>2.0124590069191513E-3</v>
      </c>
      <c r="AM51" s="14">
        <f t="shared" si="38"/>
        <v>4.8705274865362691E-2</v>
      </c>
      <c r="AN51" s="9"/>
    </row>
    <row r="52" spans="1:40" ht="14.45" customHeight="1" outlineLevel="1">
      <c r="A52" s="12" t="s">
        <v>157</v>
      </c>
      <c r="B52" s="8" t="s">
        <v>101</v>
      </c>
      <c r="I52" s="228" t="s">
        <v>158</v>
      </c>
      <c r="J52" s="65">
        <v>0</v>
      </c>
      <c r="K52" s="65">
        <v>0</v>
      </c>
      <c r="L52" s="65">
        <v>1840</v>
      </c>
      <c r="M52" s="65">
        <v>1840</v>
      </c>
      <c r="N52" s="65">
        <v>1840</v>
      </c>
      <c r="O52" s="65">
        <v>1840</v>
      </c>
      <c r="P52" s="65">
        <v>1840</v>
      </c>
      <c r="Q52" s="65">
        <v>1840</v>
      </c>
      <c r="R52" s="65">
        <v>1840</v>
      </c>
      <c r="S52" s="65">
        <v>1840</v>
      </c>
      <c r="T52" s="65">
        <f t="shared" ref="T52" si="40">+AVERAGE(P52:S52)</f>
        <v>1840</v>
      </c>
      <c r="U52" s="65">
        <f t="shared" ref="U52" si="41">+AVERAGE(Q52:T52)</f>
        <v>1840</v>
      </c>
      <c r="V52" s="65">
        <f t="shared" ref="V52:V86" si="42">SUM(J52:U52)</f>
        <v>18400</v>
      </c>
      <c r="W52" s="73">
        <f t="shared" si="36"/>
        <v>2.3434622413042694E-4</v>
      </c>
      <c r="X52" s="89"/>
      <c r="Y52" s="65">
        <f>VLOOKUP($E$1,[4]Resumen!$C$9:$O$12,Y1,0)</f>
        <v>1840</v>
      </c>
      <c r="Z52" s="65">
        <f>VLOOKUP($E$1,[4]Resumen!$C$9:$O$12,Z1,0)</f>
        <v>1840</v>
      </c>
      <c r="AA52" s="65">
        <f>VLOOKUP($E$1,[4]Resumen!$C$9:$O$12,AA1,0)</f>
        <v>1840</v>
      </c>
      <c r="AB52" s="65">
        <f>VLOOKUP($E$1,[4]Resumen!$C$9:$O$12,AB1,0)</f>
        <v>1840</v>
      </c>
      <c r="AC52" s="65">
        <f>VLOOKUP($E$1,[4]Resumen!$C$9:$O$12,AC1,0)</f>
        <v>1840</v>
      </c>
      <c r="AD52" s="65">
        <f>VLOOKUP($E$1,[4]Resumen!$C$9:$O$12,AD1,0)</f>
        <v>1840</v>
      </c>
      <c r="AE52" s="65">
        <f>VLOOKUP($E$1,[4]Resumen!$C$9:$O$12,AE1,0)</f>
        <v>1840</v>
      </c>
      <c r="AF52" s="65">
        <f>VLOOKUP($E$1,[4]Resumen!$C$9:$O$12,AF1,0)</f>
        <v>1840</v>
      </c>
      <c r="AG52" s="65">
        <f>VLOOKUP($E$1,[4]Resumen!$C$9:$O$12,AG1,0)</f>
        <v>1840</v>
      </c>
      <c r="AH52" s="65">
        <f>VLOOKUP($E$1,[4]Resumen!$C$9:$O$12,AH1,0)</f>
        <v>1840</v>
      </c>
      <c r="AI52" s="65">
        <f>VLOOKUP($E$1,[4]Resumen!$C$9:$O$12,AI1,0)</f>
        <v>1840</v>
      </c>
      <c r="AJ52" s="65">
        <f>VLOOKUP($E$1,[4]Resumen!$C$9:$O$12,AJ1,0)</f>
        <v>1840</v>
      </c>
      <c r="AK52" s="65">
        <f t="shared" ref="AK52:AK90" si="43">SUM(Y52:AJ52)</f>
        <v>22080</v>
      </c>
      <c r="AL52" s="73">
        <f t="shared" si="37"/>
        <v>2.5108680558789286E-4</v>
      </c>
      <c r="AM52" s="14">
        <f t="shared" si="38"/>
        <v>0.19999999999999996</v>
      </c>
      <c r="AN52" s="9"/>
    </row>
    <row r="53" spans="1:40" ht="14.45" customHeight="1" outlineLevel="1">
      <c r="A53" s="12" t="s">
        <v>157</v>
      </c>
      <c r="B53" s="8" t="s">
        <v>101</v>
      </c>
      <c r="I53" s="228" t="s">
        <v>163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42"/>
        <v>0</v>
      </c>
      <c r="W53" s="73">
        <f t="shared" si="36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43"/>
        <v>0</v>
      </c>
      <c r="AL53" s="73">
        <f t="shared" si="37"/>
        <v>0</v>
      </c>
      <c r="AM53" s="14">
        <f t="shared" si="38"/>
        <v>0</v>
      </c>
      <c r="AN53" s="9"/>
    </row>
    <row r="54" spans="1:40" ht="14.45" customHeight="1" outlineLevel="1">
      <c r="A54" s="12" t="s">
        <v>157</v>
      </c>
      <c r="B54" s="8" t="s">
        <v>101</v>
      </c>
      <c r="I54" s="228" t="s">
        <v>164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47</v>
      </c>
      <c r="S54" s="65">
        <v>1806</v>
      </c>
      <c r="T54" s="65">
        <f t="shared" ref="T54" si="44">+AVERAGE(P54:S54)</f>
        <v>463.25</v>
      </c>
      <c r="U54" s="65">
        <f t="shared" ref="U54" si="45">+AVERAGE(Q54:T54)</f>
        <v>579.0625</v>
      </c>
      <c r="V54" s="65">
        <f t="shared" si="42"/>
        <v>2895.3125</v>
      </c>
      <c r="W54" s="73">
        <f t="shared" si="36"/>
        <v>3.6875301741990587E-5</v>
      </c>
      <c r="X54" s="89"/>
      <c r="Y54" s="65">
        <f>VLOOKUP($E$1,[5]Resumen!$C$9:$O$12,Y1,0)</f>
        <v>0</v>
      </c>
      <c r="Z54" s="65">
        <f>VLOOKUP($E$1,[5]Resumen!$C$9:$O$12,Z1,0)</f>
        <v>0</v>
      </c>
      <c r="AA54" s="65">
        <f>VLOOKUP($E$1,[5]Resumen!$C$9:$O$12,AA1,0)</f>
        <v>0</v>
      </c>
      <c r="AB54" s="65">
        <f>VLOOKUP($E$1,[5]Resumen!$C$9:$O$12,AB1,0)</f>
        <v>0</v>
      </c>
      <c r="AC54" s="65">
        <f>VLOOKUP($E$1,[5]Resumen!$C$9:$O$12,AC1,0)</f>
        <v>0</v>
      </c>
      <c r="AD54" s="65">
        <f>VLOOKUP($E$1,[5]Resumen!$C$9:$O$12,AD1,0)</f>
        <v>0</v>
      </c>
      <c r="AE54" s="65">
        <f>VLOOKUP($E$1,[5]Resumen!$C$9:$O$12,AE1,0)</f>
        <v>0</v>
      </c>
      <c r="AF54" s="65">
        <f>VLOOKUP($E$1,[5]Resumen!$C$9:$O$12,AF1,0)</f>
        <v>0</v>
      </c>
      <c r="AG54" s="65">
        <f>VLOOKUP($E$1,[5]Resumen!$C$9:$O$12,AG1,0)</f>
        <v>0</v>
      </c>
      <c r="AH54" s="65">
        <f>VLOOKUP($E$1,[5]Resumen!$C$9:$O$12,AH1,0)</f>
        <v>0</v>
      </c>
      <c r="AI54" s="65">
        <f>VLOOKUP($E$1,[5]Resumen!$C$9:$O$12,AI1,0)</f>
        <v>0</v>
      </c>
      <c r="AJ54" s="65">
        <f>VLOOKUP($E$1,[5]Resumen!$C$9:$O$12,AJ1,0)</f>
        <v>1242.1199999999999</v>
      </c>
      <c r="AK54" s="65">
        <f t="shared" si="43"/>
        <v>1242.1199999999999</v>
      </c>
      <c r="AL54" s="73">
        <f t="shared" si="37"/>
        <v>1.4124997416523254E-5</v>
      </c>
      <c r="AM54" s="14">
        <f t="shared" si="38"/>
        <v>-0.57098931462493252</v>
      </c>
      <c r="AN54" s="9"/>
    </row>
    <row r="55" spans="1:40" ht="14.45" customHeight="1" outlineLevel="1">
      <c r="A55" s="12" t="s">
        <v>157</v>
      </c>
      <c r="B55" s="8" t="s">
        <v>101</v>
      </c>
      <c r="I55" s="228" t="s">
        <v>165</v>
      </c>
      <c r="J55" s="65">
        <v>0</v>
      </c>
      <c r="K55" s="65">
        <v>0</v>
      </c>
      <c r="L55" s="65">
        <v>479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42"/>
        <v>479</v>
      </c>
      <c r="W55" s="73">
        <f t="shared" si="36"/>
        <v>6.1006435520910062E-6</v>
      </c>
      <c r="X55" s="89"/>
      <c r="Y55" s="65">
        <f>VLOOKUP($E$1,[6]Resumen!$V$107:$AH$110,Y1,0)</f>
        <v>11892.263899999998</v>
      </c>
      <c r="Z55" s="65">
        <f>VLOOKUP($E$1,[6]Resumen!$V$107:$AH$110,Z1,0)</f>
        <v>0</v>
      </c>
      <c r="AA55" s="65">
        <f>VLOOKUP($E$1,[6]Resumen!$V$107:$AH$110,AA1,0)</f>
        <v>0</v>
      </c>
      <c r="AB55" s="65">
        <f>VLOOKUP($E$1,[6]Resumen!$V$107:$AH$110,AB1,0)</f>
        <v>0</v>
      </c>
      <c r="AC55" s="65">
        <f>VLOOKUP($E$1,[6]Resumen!$V$107:$AH$110,AC1,0)</f>
        <v>0</v>
      </c>
      <c r="AD55" s="65">
        <f>VLOOKUP($E$1,[6]Resumen!$V$107:$AH$110,AD1,0)</f>
        <v>0</v>
      </c>
      <c r="AE55" s="65">
        <f>VLOOKUP($E$1,[6]Resumen!$V$107:$AH$110,AE1,0)</f>
        <v>0</v>
      </c>
      <c r="AF55" s="65">
        <f>VLOOKUP($E$1,[6]Resumen!$V$107:$AH$110,AF1,0)</f>
        <v>0</v>
      </c>
      <c r="AG55" s="65">
        <f>VLOOKUP($E$1,[6]Resumen!$V$107:$AH$110,AG1,0)</f>
        <v>0</v>
      </c>
      <c r="AH55" s="65">
        <f>VLOOKUP($E$1,[6]Resumen!$V$107:$AH$110,AH1,0)</f>
        <v>0</v>
      </c>
      <c r="AI55" s="65">
        <f>VLOOKUP($E$1,[6]Resumen!$V$107:$AH$110,AI1,0)</f>
        <v>0</v>
      </c>
      <c r="AJ55" s="65">
        <f>VLOOKUP($E$1,[6]Resumen!$V$107:$AH$110,AJ1,0)</f>
        <v>0</v>
      </c>
      <c r="AK55" s="65">
        <f t="shared" si="43"/>
        <v>11892.263899999998</v>
      </c>
      <c r="AL55" s="73">
        <f t="shared" si="37"/>
        <v>1.3523507943202971E-4</v>
      </c>
      <c r="AM55" s="14">
        <f t="shared" si="38"/>
        <v>23.827273277661792</v>
      </c>
      <c r="AN55" s="9"/>
    </row>
    <row r="56" spans="1:40" ht="14.45" customHeight="1" outlineLevel="1">
      <c r="A56" s="12" t="s">
        <v>157</v>
      </c>
      <c r="B56" s="8" t="s">
        <v>101</v>
      </c>
      <c r="I56" s="228" t="s">
        <v>166</v>
      </c>
      <c r="J56" s="65">
        <v>1858</v>
      </c>
      <c r="K56" s="65">
        <v>2635</v>
      </c>
      <c r="L56" s="65">
        <v>0</v>
      </c>
      <c r="M56" s="65">
        <v>2908</v>
      </c>
      <c r="N56" s="65">
        <v>0</v>
      </c>
      <c r="O56" s="65">
        <v>1940</v>
      </c>
      <c r="P56" s="65">
        <v>1350</v>
      </c>
      <c r="Q56" s="65">
        <v>2230</v>
      </c>
      <c r="R56" s="65">
        <v>1888</v>
      </c>
      <c r="S56" s="65">
        <v>1880</v>
      </c>
      <c r="T56" s="65">
        <f t="shared" ref="T56" si="46">+AVERAGE(P56:S56)</f>
        <v>1837</v>
      </c>
      <c r="U56" s="65">
        <f t="shared" ref="U56" si="47">+AVERAGE(Q56:T56)</f>
        <v>1958.75</v>
      </c>
      <c r="V56" s="65">
        <f t="shared" si="42"/>
        <v>20484.75</v>
      </c>
      <c r="W56" s="73">
        <f t="shared" si="36"/>
        <v>2.6089803341063929E-4</v>
      </c>
      <c r="X56" s="89"/>
      <c r="Y56" s="65">
        <f>VLOOKUP($E$1,[7]Resumen!$V$181:$AH$184,Y1,0)</f>
        <v>1811.4249999999997</v>
      </c>
      <c r="Z56" s="65">
        <f>VLOOKUP($E$1,[7]Resumen!$V$181:$AH$184,Z1,0)</f>
        <v>1811.4249999999997</v>
      </c>
      <c r="AA56" s="65">
        <f>VLOOKUP($E$1,[7]Resumen!$V$181:$AH$184,AA1,0)</f>
        <v>1811.4249999999997</v>
      </c>
      <c r="AB56" s="65">
        <f>VLOOKUP($E$1,[7]Resumen!$V$181:$AH$184,AB1,0)</f>
        <v>1811.4249999999997</v>
      </c>
      <c r="AC56" s="65">
        <f>VLOOKUP($E$1,[7]Resumen!$V$181:$AH$184,AC1,0)</f>
        <v>1811.4249999999997</v>
      </c>
      <c r="AD56" s="65">
        <f>VLOOKUP($E$1,[7]Resumen!$V$181:$AH$184,AD1,0)</f>
        <v>1811.4249999999997</v>
      </c>
      <c r="AE56" s="65">
        <f>VLOOKUP($E$1,[7]Resumen!$V$181:$AH$184,AE1,0)</f>
        <v>1811.4249999999997</v>
      </c>
      <c r="AF56" s="65">
        <f>VLOOKUP($E$1,[7]Resumen!$V$181:$AH$184,AF1,0)</f>
        <v>1811.4249999999997</v>
      </c>
      <c r="AG56" s="65">
        <f>VLOOKUP($E$1,[7]Resumen!$V$181:$AH$184,AG1,0)</f>
        <v>1811.4249999999997</v>
      </c>
      <c r="AH56" s="65">
        <f>VLOOKUP($E$1,[7]Resumen!$V$181:$AH$184,AH1,0)</f>
        <v>1811.4249999999997</v>
      </c>
      <c r="AI56" s="65">
        <f>VLOOKUP($E$1,[7]Resumen!$V$181:$AH$184,AI1,0)</f>
        <v>1811.4249999999997</v>
      </c>
      <c r="AJ56" s="65">
        <f>VLOOKUP($E$1,[7]Resumen!$V$181:$AH$184,AJ1,0)</f>
        <v>1811.4249999999997</v>
      </c>
      <c r="AK56" s="65">
        <f t="shared" si="43"/>
        <v>21737.099999999995</v>
      </c>
      <c r="AL56" s="73">
        <f t="shared" si="37"/>
        <v>2.4718745478915691E-4</v>
      </c>
      <c r="AM56" s="14">
        <f t="shared" si="38"/>
        <v>6.1135722915827362E-2</v>
      </c>
      <c r="AN56" s="9"/>
    </row>
    <row r="57" spans="1:40" ht="14.45" customHeight="1" outlineLevel="1">
      <c r="A57" s="12" t="s">
        <v>157</v>
      </c>
      <c r="B57" s="8" t="s">
        <v>101</v>
      </c>
      <c r="I57" s="228" t="s">
        <v>167</v>
      </c>
      <c r="J57" s="65">
        <v>0</v>
      </c>
      <c r="K57" s="65">
        <v>2400</v>
      </c>
      <c r="L57" s="65">
        <v>7106</v>
      </c>
      <c r="M57" s="65">
        <v>2613</v>
      </c>
      <c r="N57" s="65">
        <v>22643</v>
      </c>
      <c r="O57" s="65">
        <v>9642</v>
      </c>
      <c r="P57" s="65">
        <v>3204</v>
      </c>
      <c r="Q57" s="65">
        <v>-12826</v>
      </c>
      <c r="R57" s="65">
        <v>4079</v>
      </c>
      <c r="S57" s="65">
        <v>0</v>
      </c>
      <c r="T57" s="65">
        <v>20000</v>
      </c>
      <c r="U57" s="65">
        <v>20000</v>
      </c>
      <c r="V57" s="65">
        <f t="shared" si="42"/>
        <v>78861</v>
      </c>
      <c r="W57" s="73">
        <f t="shared" si="36"/>
        <v>1.0043900859320434E-3</v>
      </c>
      <c r="X57" s="89"/>
      <c r="Y57" s="65">
        <f>+VLOOKUP($E$1,[8]Resumen!$V$7:$AH$11,Y1)</f>
        <v>0</v>
      </c>
      <c r="Z57" s="65">
        <f>+VLOOKUP($E$1,[8]Resumen!$V$7:$AH$11,Z1)</f>
        <v>310.52999999999997</v>
      </c>
      <c r="AA57" s="65">
        <f>+VLOOKUP($E$1,[8]Resumen!$V$7:$AH$11,AA1)</f>
        <v>10972.06</v>
      </c>
      <c r="AB57" s="65">
        <f>+VLOOKUP($E$1,[8]Resumen!$V$7:$AH$11,AB1)</f>
        <v>18631.8</v>
      </c>
      <c r="AC57" s="65">
        <f>+VLOOKUP($E$1,[8]Resumen!$V$7:$AH$11,AC1)</f>
        <v>12938.749999999998</v>
      </c>
      <c r="AD57" s="65">
        <f>+VLOOKUP($E$1,[8]Resumen!$V$7:$AH$11,AD1)</f>
        <v>0</v>
      </c>
      <c r="AE57" s="65">
        <f>+VLOOKUP($E$1,[8]Resumen!$V$7:$AH$11,AE1)</f>
        <v>1759.6699999999998</v>
      </c>
      <c r="AF57" s="65">
        <f>+VLOOKUP($E$1,[8]Resumen!$V$7:$AH$11,AF1)</f>
        <v>931.58999999999992</v>
      </c>
      <c r="AG57" s="65">
        <f>+VLOOKUP($E$1,[8]Resumen!$V$7:$AH$11,AG1)</f>
        <v>0</v>
      </c>
      <c r="AH57" s="65">
        <f>+VLOOKUP($E$1,[8]Resumen!$V$7:$AH$11,AH1)</f>
        <v>0</v>
      </c>
      <c r="AI57" s="65">
        <f>+VLOOKUP($E$1,[8]Resumen!$V$7:$AH$11,AI1)</f>
        <v>0</v>
      </c>
      <c r="AJ57" s="65">
        <f>+VLOOKUP($E$1,[8]Resumen!$V$7:$AH$11,AJ1)</f>
        <v>0</v>
      </c>
      <c r="AK57" s="65">
        <f t="shared" si="43"/>
        <v>45544.399999999994</v>
      </c>
      <c r="AL57" s="73">
        <f t="shared" si="37"/>
        <v>5.17916571939186E-4</v>
      </c>
      <c r="AM57" s="14">
        <f t="shared" si="38"/>
        <v>-0.4224724515286391</v>
      </c>
      <c r="AN57" s="9"/>
    </row>
    <row r="58" spans="1:40" ht="14.45" customHeight="1" outlineLevel="1">
      <c r="A58" s="12" t="s">
        <v>157</v>
      </c>
      <c r="B58" s="8" t="s">
        <v>101</v>
      </c>
      <c r="I58" s="228" t="s">
        <v>168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9218.181818181818</v>
      </c>
      <c r="U58" s="65">
        <v>0</v>
      </c>
      <c r="V58" s="65">
        <f t="shared" si="42"/>
        <v>9218.181818181818</v>
      </c>
      <c r="W58" s="73">
        <f t="shared" si="36"/>
        <v>1.1740467948036212E-4</v>
      </c>
      <c r="X58" s="89"/>
      <c r="Y58" s="65">
        <f>VLOOKUP($E$1,[9]Resumen!$V$8:$AH$11,Y1,0)</f>
        <v>684.26081730769215</v>
      </c>
      <c r="Z58" s="65">
        <f>VLOOKUP($E$1,[9]Resumen!$V$8:$AH$11,Z1,0)</f>
        <v>2189.6346153846157</v>
      </c>
      <c r="AA58" s="65">
        <f>VLOOKUP($E$1,[9]Resumen!$V$8:$AH$11,AA1,0)</f>
        <v>410.5564903846153</v>
      </c>
      <c r="AB58" s="65">
        <f>VLOOKUP($E$1,[9]Resumen!$V$8:$AH$11,AB1,0)</f>
        <v>0</v>
      </c>
      <c r="AC58" s="65">
        <f>VLOOKUP($E$1,[9]Resumen!$V$8:$AH$11,AC1,0)</f>
        <v>0</v>
      </c>
      <c r="AD58" s="65">
        <f>VLOOKUP($E$1,[9]Resumen!$V$8:$AH$11,AD1,0)</f>
        <v>0</v>
      </c>
      <c r="AE58" s="65">
        <f>VLOOKUP($E$1,[9]Resumen!$V$8:$AH$11,AE1,0)</f>
        <v>0</v>
      </c>
      <c r="AF58" s="65">
        <f>VLOOKUP($E$1,[9]Resumen!$V$8:$AH$11,AF1,0)</f>
        <v>0</v>
      </c>
      <c r="AG58" s="65">
        <f>VLOOKUP($E$1,[9]Resumen!$V$8:$AH$11,AG1,0)</f>
        <v>0</v>
      </c>
      <c r="AH58" s="65">
        <f>VLOOKUP($E$1,[9]Resumen!$V$8:$AH$11,AH1,0)</f>
        <v>0</v>
      </c>
      <c r="AI58" s="65">
        <f>VLOOKUP($E$1,[9]Resumen!$V$8:$AH$11,AI1,0)</f>
        <v>0</v>
      </c>
      <c r="AJ58" s="65">
        <f>VLOOKUP($E$1,[9]Resumen!$V$8:$AH$11,AJ1,0)</f>
        <v>0</v>
      </c>
      <c r="AK58" s="65">
        <f t="shared" si="43"/>
        <v>3284.4519230769229</v>
      </c>
      <c r="AL58" s="73">
        <f t="shared" si="37"/>
        <v>3.7349752784075917E-5</v>
      </c>
      <c r="AM58" s="14">
        <f t="shared" si="38"/>
        <v>-0.64369850933090578</v>
      </c>
      <c r="AN58" s="9"/>
    </row>
    <row r="59" spans="1:40" ht="14.45" customHeight="1" outlineLevel="1">
      <c r="A59" s="12" t="s">
        <v>157</v>
      </c>
      <c r="B59" s="8" t="s">
        <v>101</v>
      </c>
      <c r="I59" s="228" t="s">
        <v>169</v>
      </c>
      <c r="J59" s="65"/>
      <c r="K59" s="65"/>
      <c r="L59" s="65"/>
      <c r="M59" s="65"/>
      <c r="N59" s="65"/>
      <c r="O59" s="65"/>
      <c r="P59" s="65"/>
      <c r="Q59" s="65"/>
      <c r="R59" s="65"/>
      <c r="S59" s="65">
        <v>0</v>
      </c>
      <c r="T59" s="65"/>
      <c r="U59" s="65"/>
      <c r="V59" s="65">
        <f t="shared" si="42"/>
        <v>0</v>
      </c>
      <c r="W59" s="73">
        <f t="shared" si="36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43"/>
        <v>0</v>
      </c>
      <c r="AL59" s="73">
        <f t="shared" si="37"/>
        <v>0</v>
      </c>
      <c r="AM59" s="14">
        <f t="shared" si="38"/>
        <v>0</v>
      </c>
      <c r="AN59" s="9"/>
    </row>
    <row r="60" spans="1:40" ht="14.45" customHeight="1" outlineLevel="1">
      <c r="A60" s="12" t="s">
        <v>157</v>
      </c>
      <c r="B60" s="8" t="s">
        <v>101</v>
      </c>
      <c r="I60" s="228" t="s">
        <v>170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/>
      <c r="U60" s="65"/>
      <c r="V60" s="65">
        <f t="shared" si="42"/>
        <v>0</v>
      </c>
      <c r="W60" s="73">
        <f t="shared" si="36"/>
        <v>0</v>
      </c>
      <c r="X60" s="89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>
        <f t="shared" si="43"/>
        <v>0</v>
      </c>
      <c r="AL60" s="73">
        <f t="shared" si="37"/>
        <v>0</v>
      </c>
      <c r="AM60" s="14">
        <f t="shared" si="38"/>
        <v>0</v>
      </c>
      <c r="AN60" s="9"/>
    </row>
    <row r="61" spans="1:40" ht="14.45" customHeight="1" outlineLevel="1">
      <c r="A61" s="12" t="s">
        <v>157</v>
      </c>
      <c r="B61" s="8" t="s">
        <v>101</v>
      </c>
      <c r="I61" s="228" t="s">
        <v>171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/>
      <c r="U61" s="65"/>
      <c r="V61" s="65">
        <f t="shared" si="42"/>
        <v>0</v>
      </c>
      <c r="W61" s="73">
        <f t="shared" si="36"/>
        <v>0</v>
      </c>
      <c r="X61" s="89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>
        <f t="shared" si="43"/>
        <v>0</v>
      </c>
      <c r="AL61" s="73">
        <f t="shared" si="37"/>
        <v>0</v>
      </c>
      <c r="AM61" s="14">
        <f t="shared" si="38"/>
        <v>0</v>
      </c>
      <c r="AN61" s="9"/>
    </row>
    <row r="62" spans="1:40" ht="14.45" customHeight="1" outlineLevel="1">
      <c r="A62" s="12" t="s">
        <v>157</v>
      </c>
      <c r="B62" s="8" t="s">
        <v>101</v>
      </c>
      <c r="I62" s="228" t="s">
        <v>172</v>
      </c>
      <c r="J62" s="65">
        <v>934</v>
      </c>
      <c r="K62" s="65">
        <v>3943</v>
      </c>
      <c r="L62" s="65">
        <v>2147</v>
      </c>
      <c r="M62" s="65">
        <v>0</v>
      </c>
      <c r="N62" s="65">
        <v>1647</v>
      </c>
      <c r="O62" s="65">
        <v>2609</v>
      </c>
      <c r="P62" s="65">
        <v>14747</v>
      </c>
      <c r="Q62" s="65">
        <v>15543</v>
      </c>
      <c r="R62" s="65">
        <v>1371</v>
      </c>
      <c r="S62" s="65">
        <v>-27797</v>
      </c>
      <c r="T62" s="65"/>
      <c r="U62" s="65"/>
      <c r="V62" s="65">
        <f t="shared" si="42"/>
        <v>15144</v>
      </c>
      <c r="W62" s="73">
        <f t="shared" si="36"/>
        <v>1.9287713142560791E-4</v>
      </c>
      <c r="X62" s="89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>
        <f t="shared" si="43"/>
        <v>0</v>
      </c>
      <c r="AL62" s="73">
        <f t="shared" si="37"/>
        <v>0</v>
      </c>
      <c r="AM62" s="14">
        <f t="shared" si="38"/>
        <v>-1</v>
      </c>
      <c r="AN62" s="9"/>
    </row>
    <row r="63" spans="1:40" ht="14.45" customHeight="1" outlineLevel="1">
      <c r="A63" s="12" t="s">
        <v>157</v>
      </c>
      <c r="B63" s="8" t="s">
        <v>101</v>
      </c>
      <c r="I63" s="228" t="s">
        <v>173</v>
      </c>
      <c r="J63" s="65">
        <v>1962</v>
      </c>
      <c r="K63" s="65">
        <v>1825</v>
      </c>
      <c r="L63" s="65">
        <v>156</v>
      </c>
      <c r="M63" s="65">
        <v>1320</v>
      </c>
      <c r="N63" s="65">
        <v>1320</v>
      </c>
      <c r="O63" s="65">
        <v>1020</v>
      </c>
      <c r="P63" s="65">
        <v>1405</v>
      </c>
      <c r="Q63" s="65">
        <v>3603</v>
      </c>
      <c r="R63" s="65">
        <v>2036</v>
      </c>
      <c r="S63" s="65">
        <v>1190</v>
      </c>
      <c r="T63" s="65">
        <f t="shared" ref="T63" si="48">+AVERAGE(P63:S63)</f>
        <v>2058.5</v>
      </c>
      <c r="U63" s="65">
        <f t="shared" ref="U63" si="49">+AVERAGE(Q63:T63)</f>
        <v>2221.875</v>
      </c>
      <c r="V63" s="65">
        <f t="shared" si="42"/>
        <v>20117.375</v>
      </c>
      <c r="W63" s="73">
        <f t="shared" si="36"/>
        <v>2.562190690579265E-4</v>
      </c>
      <c r="X63" s="89"/>
      <c r="Y63" s="65">
        <f>VLOOKUP($E$1,[7]Detalle!$C$168:$O$171,Y1,0)</f>
        <v>1250</v>
      </c>
      <c r="Z63" s="65">
        <f>VLOOKUP($E$1,[7]Detalle!$C$168:$O$171,Z1,0)</f>
        <v>1250</v>
      </c>
      <c r="AA63" s="65">
        <f>VLOOKUP($E$1,[7]Detalle!$C$168:$O$171,AA1,0)</f>
        <v>1250</v>
      </c>
      <c r="AB63" s="65">
        <f>VLOOKUP($E$1,[7]Detalle!$C$168:$O$171,AB1,0)</f>
        <v>1250</v>
      </c>
      <c r="AC63" s="65">
        <f>VLOOKUP($E$1,[7]Detalle!$C$168:$O$171,AC1,0)</f>
        <v>1250</v>
      </c>
      <c r="AD63" s="65">
        <f>VLOOKUP($E$1,[7]Detalle!$C$168:$O$171,AD1,0)</f>
        <v>1250</v>
      </c>
      <c r="AE63" s="65">
        <f>VLOOKUP($E$1,[7]Detalle!$C$168:$O$171,AE1,0)</f>
        <v>1250</v>
      </c>
      <c r="AF63" s="65">
        <f>VLOOKUP($E$1,[7]Detalle!$C$168:$O$171,AF1,0)</f>
        <v>1250</v>
      </c>
      <c r="AG63" s="65">
        <f>VLOOKUP($E$1,[7]Detalle!$C$168:$O$171,AG1,0)</f>
        <v>1250</v>
      </c>
      <c r="AH63" s="65">
        <f>VLOOKUP($E$1,[7]Detalle!$C$168:$O$171,AH1,0)</f>
        <v>1250</v>
      </c>
      <c r="AI63" s="65">
        <f>VLOOKUP($E$1,[7]Detalle!$C$168:$O$171,AI1,0)</f>
        <v>1250</v>
      </c>
      <c r="AJ63" s="65">
        <f>VLOOKUP($E$1,[7]Detalle!$C$168:$O$171,AJ1,0)</f>
        <v>1250</v>
      </c>
      <c r="AK63" s="65">
        <f t="shared" si="43"/>
        <v>15000</v>
      </c>
      <c r="AL63" s="73">
        <f t="shared" si="37"/>
        <v>1.7057527553525332E-4</v>
      </c>
      <c r="AM63" s="14">
        <f t="shared" si="38"/>
        <v>-0.25437588154518176</v>
      </c>
      <c r="AN63" s="9"/>
    </row>
    <row r="64" spans="1:40" ht="14.45" customHeight="1" outlineLevel="1">
      <c r="A64" s="12" t="s">
        <v>157</v>
      </c>
      <c r="B64" s="8" t="s">
        <v>101</v>
      </c>
      <c r="I64" s="228" t="s">
        <v>174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/>
      <c r="U64" s="65"/>
      <c r="V64" s="65">
        <f t="shared" si="42"/>
        <v>0</v>
      </c>
      <c r="W64" s="73">
        <f t="shared" si="36"/>
        <v>0</v>
      </c>
      <c r="X64" s="89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>
        <f t="shared" si="43"/>
        <v>0</v>
      </c>
      <c r="AL64" s="73">
        <f t="shared" si="37"/>
        <v>0</v>
      </c>
      <c r="AM64" s="14">
        <f t="shared" si="38"/>
        <v>0</v>
      </c>
      <c r="AN64" s="9"/>
    </row>
    <row r="65" spans="1:40" ht="14.45" customHeight="1" outlineLevel="1">
      <c r="A65" s="12" t="s">
        <v>157</v>
      </c>
      <c r="B65" s="8" t="s">
        <v>101</v>
      </c>
      <c r="I65" s="228" t="s">
        <v>175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f t="shared" si="42"/>
        <v>0</v>
      </c>
      <c r="W65" s="73">
        <f t="shared" si="36"/>
        <v>0</v>
      </c>
      <c r="X65" s="89"/>
      <c r="Y65" s="65">
        <f>VLOOKUP($E$1,[6]Resumen!$V$26:$AH$29,Y1,0)</f>
        <v>35400.42</v>
      </c>
      <c r="Z65" s="65">
        <f>VLOOKUP($E$1,[6]Resumen!$V$26:$AH$29,Z1,0)</f>
        <v>0</v>
      </c>
      <c r="AA65" s="65">
        <f>VLOOKUP($E$1,[6]Resumen!$V$26:$AH$29,AA1,0)</f>
        <v>0</v>
      </c>
      <c r="AB65" s="65">
        <f>VLOOKUP($E$1,[6]Resumen!$V$26:$AH$29,AB1,0)</f>
        <v>0</v>
      </c>
      <c r="AC65" s="65">
        <f>VLOOKUP($E$1,[6]Resumen!$V$26:$AH$29,AC1,0)</f>
        <v>0</v>
      </c>
      <c r="AD65" s="65">
        <f>VLOOKUP($E$1,[6]Resumen!$V$26:$AH$29,AD1,0)</f>
        <v>0</v>
      </c>
      <c r="AE65" s="65">
        <f>VLOOKUP($E$1,[6]Resumen!$V$26:$AH$29,AE1,0)</f>
        <v>0</v>
      </c>
      <c r="AF65" s="65">
        <f>VLOOKUP($E$1,[6]Resumen!$V$26:$AH$29,AF1,0)</f>
        <v>0</v>
      </c>
      <c r="AG65" s="65">
        <f>VLOOKUP($E$1,[6]Resumen!$V$26:$AH$29,AG1,0)</f>
        <v>0</v>
      </c>
      <c r="AH65" s="65">
        <f>VLOOKUP($E$1,[6]Resumen!$V$26:$AH$29,AH1,0)</f>
        <v>0</v>
      </c>
      <c r="AI65" s="65">
        <f>VLOOKUP($E$1,[6]Resumen!$V$26:$AH$29,AI1,0)</f>
        <v>0</v>
      </c>
      <c r="AJ65" s="65">
        <f>VLOOKUP($E$1,[6]Resumen!$V$26:$AH$29,AJ1,0)</f>
        <v>0</v>
      </c>
      <c r="AK65" s="65">
        <f t="shared" si="43"/>
        <v>35400.42</v>
      </c>
      <c r="AL65" s="73">
        <f t="shared" si="37"/>
        <v>4.0256242637091278E-4</v>
      </c>
      <c r="AM65" s="14">
        <f t="shared" si="38"/>
        <v>0</v>
      </c>
      <c r="AN65" s="9"/>
    </row>
    <row r="66" spans="1:40" ht="14.45" customHeight="1" outlineLevel="1">
      <c r="A66" s="12"/>
      <c r="I66" s="228" t="s">
        <v>176</v>
      </c>
      <c r="J66" s="65">
        <v>0</v>
      </c>
      <c r="K66" s="65">
        <v>0</v>
      </c>
      <c r="L66" s="65">
        <v>0</v>
      </c>
      <c r="M66" s="65">
        <v>1790</v>
      </c>
      <c r="N66" s="65">
        <v>13383</v>
      </c>
      <c r="O66" s="65">
        <v>13383</v>
      </c>
      <c r="P66" s="65">
        <v>13383</v>
      </c>
      <c r="Q66" s="65">
        <v>13383</v>
      </c>
      <c r="R66" s="65">
        <v>13383</v>
      </c>
      <c r="S66" s="65">
        <v>13383</v>
      </c>
      <c r="T66" s="65">
        <f t="shared" ref="T66" si="50">+AVERAGE(P66:S66)</f>
        <v>13383</v>
      </c>
      <c r="U66" s="65">
        <f t="shared" ref="U66" si="51">+AVERAGE(Q66:T66)</f>
        <v>13383</v>
      </c>
      <c r="V66" s="65">
        <f t="shared" si="42"/>
        <v>108854</v>
      </c>
      <c r="W66" s="73">
        <f t="shared" si="36"/>
        <v>1.3863871674724725E-3</v>
      </c>
      <c r="X66" s="89"/>
      <c r="Y66" s="65">
        <f>VLOOKUP($E$1,[10]Resumen!$V$8:$AH$11,Y1,0)</f>
        <v>5834.8586999999998</v>
      </c>
      <c r="Z66" s="65">
        <f>VLOOKUP($E$1,[10]Resumen!$V$8:$AH$11,Z1,0)</f>
        <v>5834.8586999999998</v>
      </c>
      <c r="AA66" s="65">
        <f>VLOOKUP($E$1,[10]Resumen!$V$8:$AH$11,AA1,0)</f>
        <v>5834.8586999999998</v>
      </c>
      <c r="AB66" s="65">
        <f>VLOOKUP($E$1,[10]Resumen!$V$8:$AH$11,AB1,0)</f>
        <v>5834.8586999999998</v>
      </c>
      <c r="AC66" s="65">
        <f>VLOOKUP($E$1,[10]Resumen!$V$8:$AH$11,AC1,0)</f>
        <v>7687.6876999999995</v>
      </c>
      <c r="AD66" s="65">
        <f>VLOOKUP($E$1,[10]Resumen!$V$8:$AH$11,AD1,0)</f>
        <v>7687.6876999999995</v>
      </c>
      <c r="AE66" s="65">
        <f>VLOOKUP($E$1,[10]Resumen!$V$8:$AH$11,AE1,0)</f>
        <v>7687.6876999999995</v>
      </c>
      <c r="AF66" s="65">
        <f>VLOOKUP($E$1,[10]Resumen!$V$8:$AH$11,AF1,0)</f>
        <v>7687.6876999999995</v>
      </c>
      <c r="AG66" s="65">
        <f>VLOOKUP($E$1,[10]Resumen!$V$8:$AH$11,AG1,0)</f>
        <v>7687.6876999999995</v>
      </c>
      <c r="AH66" s="65">
        <f>VLOOKUP($E$1,[10]Resumen!$V$8:$AH$11,AH1,0)</f>
        <v>7687.6876999999995</v>
      </c>
      <c r="AI66" s="65">
        <f>VLOOKUP($E$1,[10]Resumen!$V$8:$AH$11,AI1,0)</f>
        <v>7687.6876999999995</v>
      </c>
      <c r="AJ66" s="65">
        <f>VLOOKUP($E$1,[10]Resumen!$V$8:$AH$11,AJ1,0)</f>
        <v>7687.6876999999995</v>
      </c>
      <c r="AK66" s="65">
        <f t="shared" si="43"/>
        <v>84840.936399999991</v>
      </c>
      <c r="AL66" s="73">
        <f t="shared" si="37"/>
        <v>9.6478440687326002E-4</v>
      </c>
      <c r="AM66" s="14">
        <f t="shared" si="38"/>
        <v>-0.22059881676373871</v>
      </c>
      <c r="AN66" s="9"/>
    </row>
    <row r="67" spans="1:40" ht="14.45" customHeight="1" outlineLevel="1">
      <c r="A67" s="12"/>
      <c r="I67" s="228" t="s">
        <v>177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/>
      <c r="U67" s="65"/>
      <c r="V67" s="65">
        <f t="shared" si="42"/>
        <v>0</v>
      </c>
      <c r="W67" s="73">
        <f t="shared" si="36"/>
        <v>0</v>
      </c>
      <c r="X67" s="89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>
        <f t="shared" si="43"/>
        <v>0</v>
      </c>
      <c r="AL67" s="73">
        <f t="shared" si="37"/>
        <v>0</v>
      </c>
      <c r="AM67" s="14">
        <f t="shared" si="38"/>
        <v>0</v>
      </c>
      <c r="AN67" s="9"/>
    </row>
    <row r="68" spans="1:40" ht="14.45" customHeight="1" outlineLevel="1">
      <c r="A68" s="12"/>
      <c r="I68" s="228" t="s">
        <v>178</v>
      </c>
      <c r="J68" s="65">
        <v>0</v>
      </c>
      <c r="K68" s="65">
        <v>0</v>
      </c>
      <c r="L68" s="65">
        <v>0</v>
      </c>
      <c r="M68" s="65">
        <v>592</v>
      </c>
      <c r="N68" s="65">
        <v>1272</v>
      </c>
      <c r="O68" s="65">
        <v>1517</v>
      </c>
      <c r="P68" s="65">
        <v>0</v>
      </c>
      <c r="Q68" s="65">
        <v>1940</v>
      </c>
      <c r="R68" s="65">
        <v>0</v>
      </c>
      <c r="S68" s="65">
        <v>0</v>
      </c>
      <c r="T68" s="65"/>
      <c r="U68" s="65"/>
      <c r="V68" s="65">
        <f t="shared" si="42"/>
        <v>5321</v>
      </c>
      <c r="W68" s="73">
        <f t="shared" si="36"/>
        <v>6.7769361880326182E-5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43"/>
        <v>0</v>
      </c>
      <c r="AL68" s="73">
        <f t="shared" si="37"/>
        <v>0</v>
      </c>
      <c r="AM68" s="14">
        <f t="shared" si="38"/>
        <v>-1</v>
      </c>
      <c r="AN68" s="9"/>
    </row>
    <row r="69" spans="1:40" ht="14.45" customHeight="1" outlineLevel="1">
      <c r="A69" s="12"/>
      <c r="I69" s="228" t="s">
        <v>179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f t="shared" ref="T69" si="52">+AVERAGE(P69:S69)</f>
        <v>0</v>
      </c>
      <c r="U69" s="65">
        <f t="shared" ref="U69" si="53">+AVERAGE(Q69:T69)</f>
        <v>0</v>
      </c>
      <c r="V69" s="65">
        <f t="shared" si="42"/>
        <v>0</v>
      </c>
      <c r="W69" s="73">
        <f t="shared" si="36"/>
        <v>0</v>
      </c>
      <c r="X69" s="89"/>
      <c r="Y69" s="65">
        <f>VLOOKUP($E$1,[6]Resumen!$V$35:$AH$38,Y1,0)</f>
        <v>0</v>
      </c>
      <c r="Z69" s="65">
        <f>VLOOKUP($E$1,[6]Resumen!$V$35:$AH$38,Z1,0)</f>
        <v>0</v>
      </c>
      <c r="AA69" s="65">
        <f>VLOOKUP($E$1,[6]Resumen!$V$35:$AH$38,AA1,0)</f>
        <v>0</v>
      </c>
      <c r="AB69" s="65">
        <f>VLOOKUP($E$1,[6]Resumen!$V$35:$AH$38,AB1,0)</f>
        <v>0</v>
      </c>
      <c r="AC69" s="65">
        <f>VLOOKUP($E$1,[6]Resumen!$V$35:$AH$38,AC1,0)</f>
        <v>0</v>
      </c>
      <c r="AD69" s="65">
        <f>VLOOKUP($E$1,[6]Resumen!$V$35:$AH$38,AD1,0)</f>
        <v>0</v>
      </c>
      <c r="AE69" s="65">
        <f>VLOOKUP($E$1,[6]Resumen!$V$35:$AH$38,AE1,0)</f>
        <v>0</v>
      </c>
      <c r="AF69" s="65">
        <f>VLOOKUP($E$1,[6]Resumen!$V$35:$AH$38,AF1,0)</f>
        <v>0</v>
      </c>
      <c r="AG69" s="65">
        <f>VLOOKUP($E$1,[6]Resumen!$V$35:$AH$38,AG1,0)</f>
        <v>0</v>
      </c>
      <c r="AH69" s="65">
        <f>VLOOKUP($E$1,[6]Resumen!$V$35:$AH$38,AH1,0)</f>
        <v>0</v>
      </c>
      <c r="AI69" s="65">
        <f>VLOOKUP($E$1,[6]Resumen!$V$35:$AH$38,AI1,0)</f>
        <v>0</v>
      </c>
      <c r="AJ69" s="65">
        <f>VLOOKUP($E$1,[6]Resumen!$V$35:$AH$38,AJ1,0)</f>
        <v>0</v>
      </c>
      <c r="AK69" s="65">
        <f t="shared" si="43"/>
        <v>0</v>
      </c>
      <c r="AL69" s="73">
        <f t="shared" si="37"/>
        <v>0</v>
      </c>
      <c r="AM69" s="14">
        <f t="shared" si="38"/>
        <v>0</v>
      </c>
      <c r="AN69" s="9"/>
    </row>
    <row r="70" spans="1:40" ht="14.45" customHeight="1" outlineLevel="1">
      <c r="A70" s="12"/>
      <c r="I70" s="228" t="s">
        <v>180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/>
      <c r="U70" s="65"/>
      <c r="V70" s="65">
        <f t="shared" si="42"/>
        <v>0</v>
      </c>
      <c r="W70" s="73">
        <f t="shared" si="36"/>
        <v>0</v>
      </c>
      <c r="X70" s="89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>
        <f t="shared" si="43"/>
        <v>0</v>
      </c>
      <c r="AL70" s="73">
        <f t="shared" si="37"/>
        <v>0</v>
      </c>
      <c r="AM70" s="14">
        <f t="shared" si="38"/>
        <v>0</v>
      </c>
      <c r="AN70" s="9"/>
    </row>
    <row r="71" spans="1:40" ht="14.45" customHeight="1" outlineLevel="1">
      <c r="A71" s="12"/>
      <c r="I71" s="228" t="s">
        <v>181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f t="shared" ref="T71" si="54">+AVERAGE(P71:S71)</f>
        <v>0</v>
      </c>
      <c r="U71" s="65">
        <f t="shared" ref="U71" si="55">+AVERAGE(Q71:T71)</f>
        <v>0</v>
      </c>
      <c r="V71" s="65">
        <f t="shared" si="42"/>
        <v>0</v>
      </c>
      <c r="W71" s="73">
        <f t="shared" si="36"/>
        <v>0</v>
      </c>
      <c r="X71" s="89"/>
      <c r="Y71" s="65">
        <f>VLOOKUP($E$1,[6]Resumen!$V$98:$AH$101,Y1,0)</f>
        <v>598.15734904109581</v>
      </c>
      <c r="Z71" s="65">
        <f>VLOOKUP($E$1,[6]Resumen!$V$98:$AH$101,Z1,0)</f>
        <v>540.27115397260275</v>
      </c>
      <c r="AA71" s="65">
        <f>VLOOKUP($E$1,[6]Resumen!$V$98:$AH$101,AA1,0)</f>
        <v>598.15734904109581</v>
      </c>
      <c r="AB71" s="65">
        <f>VLOOKUP($E$1,[6]Resumen!$V$98:$AH$101,AB1,0)</f>
        <v>578.86195068493146</v>
      </c>
      <c r="AC71" s="65">
        <f>VLOOKUP($E$1,[6]Resumen!$V$98:$AH$101,AC1,0)</f>
        <v>598.15734904109581</v>
      </c>
      <c r="AD71" s="65">
        <f>VLOOKUP($E$1,[6]Resumen!$V$98:$AH$101,AD1,0)</f>
        <v>578.86195068493146</v>
      </c>
      <c r="AE71" s="65">
        <f>VLOOKUP($E$1,[6]Resumen!$V$98:$AH$101,AE1,0)</f>
        <v>598.15734904109581</v>
      </c>
      <c r="AF71" s="65">
        <f>VLOOKUP($E$1,[6]Resumen!$V$98:$AH$101,AF1,0)</f>
        <v>598.15734904109581</v>
      </c>
      <c r="AG71" s="65">
        <f>VLOOKUP($E$1,[6]Resumen!$V$98:$AH$101,AG1,0)</f>
        <v>578.86195068493146</v>
      </c>
      <c r="AH71" s="65">
        <f>VLOOKUP($E$1,[6]Resumen!$V$98:$AH$101,AH1,0)</f>
        <v>598.15734904109581</v>
      </c>
      <c r="AI71" s="65">
        <f>VLOOKUP($E$1,[6]Resumen!$V$98:$AH$101,AI1,0)</f>
        <v>578.86195068493146</v>
      </c>
      <c r="AJ71" s="65">
        <f>VLOOKUP($E$1,[6]Resumen!$V$98:$AH$101,AJ1,0)</f>
        <v>598.15734904109581</v>
      </c>
      <c r="AK71" s="65">
        <f t="shared" si="43"/>
        <v>7042.8203999999996</v>
      </c>
      <c r="AL71" s="73">
        <f t="shared" si="37"/>
        <v>8.008873535168686E-5</v>
      </c>
      <c r="AM71" s="14">
        <f t="shared" si="38"/>
        <v>0</v>
      </c>
      <c r="AN71" s="9"/>
    </row>
    <row r="72" spans="1:40" ht="14.45" customHeight="1" outlineLevel="1">
      <c r="A72" s="12" t="s">
        <v>157</v>
      </c>
      <c r="B72" s="8" t="s">
        <v>101</v>
      </c>
      <c r="I72" s="228" t="s">
        <v>182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/>
      <c r="U72" s="65"/>
      <c r="V72" s="65">
        <f t="shared" si="42"/>
        <v>0</v>
      </c>
      <c r="W72" s="73">
        <f t="shared" si="36"/>
        <v>0</v>
      </c>
      <c r="X72" s="89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>
        <f t="shared" si="43"/>
        <v>0</v>
      </c>
      <c r="AL72" s="73">
        <f t="shared" si="37"/>
        <v>0</v>
      </c>
      <c r="AM72" s="14">
        <f t="shared" si="38"/>
        <v>0</v>
      </c>
      <c r="AN72" s="9"/>
    </row>
    <row r="73" spans="1:40" ht="14.45" customHeight="1" outlineLevel="1">
      <c r="A73" s="12" t="s">
        <v>157</v>
      </c>
      <c r="B73" s="8" t="s">
        <v>101</v>
      </c>
      <c r="I73" s="228" t="s">
        <v>183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42"/>
        <v>0</v>
      </c>
      <c r="W73" s="73">
        <f t="shared" si="36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43"/>
        <v>0</v>
      </c>
      <c r="AL73" s="73">
        <f t="shared" si="37"/>
        <v>0</v>
      </c>
      <c r="AM73" s="14">
        <f t="shared" si="38"/>
        <v>0</v>
      </c>
      <c r="AN73" s="9"/>
    </row>
    <row r="74" spans="1:40" ht="14.45" customHeight="1" outlineLevel="1">
      <c r="A74" s="12"/>
      <c r="I74" s="228" t="s">
        <v>184</v>
      </c>
      <c r="J74" s="65">
        <v>0</v>
      </c>
      <c r="K74" s="65">
        <v>7779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/>
      <c r="U74" s="65"/>
      <c r="V74" s="65">
        <f t="shared" si="42"/>
        <v>7779</v>
      </c>
      <c r="W74" s="73">
        <f t="shared" si="36"/>
        <v>9.9074960734271266E-5</v>
      </c>
      <c r="X74" s="89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>
        <f t="shared" si="43"/>
        <v>0</v>
      </c>
      <c r="AL74" s="73">
        <f t="shared" si="37"/>
        <v>0</v>
      </c>
      <c r="AM74" s="14">
        <f t="shared" si="38"/>
        <v>-1</v>
      </c>
      <c r="AN74" s="9"/>
    </row>
    <row r="75" spans="1:40" ht="14.45" customHeight="1" outlineLevel="1">
      <c r="A75" s="12" t="s">
        <v>157</v>
      </c>
      <c r="B75" s="8" t="s">
        <v>101</v>
      </c>
      <c r="I75" s="228" t="s">
        <v>185</v>
      </c>
      <c r="J75" s="65">
        <v>0</v>
      </c>
      <c r="K75" s="65">
        <v>1690</v>
      </c>
      <c r="L75" s="65">
        <v>718</v>
      </c>
      <c r="M75" s="65">
        <v>718</v>
      </c>
      <c r="N75" s="65">
        <v>741</v>
      </c>
      <c r="O75" s="65">
        <v>755</v>
      </c>
      <c r="P75" s="65">
        <v>878</v>
      </c>
      <c r="Q75" s="65">
        <v>777</v>
      </c>
      <c r="R75" s="65">
        <v>929</v>
      </c>
      <c r="S75" s="65">
        <v>906</v>
      </c>
      <c r="T75" s="65">
        <f t="shared" ref="T75:T76" si="56">+AVERAGE(P75:S75)</f>
        <v>872.5</v>
      </c>
      <c r="U75" s="65">
        <f t="shared" ref="U75:U76" si="57">+AVERAGE(Q75:T75)</f>
        <v>871.125</v>
      </c>
      <c r="V75" s="65">
        <f t="shared" si="42"/>
        <v>9855.625</v>
      </c>
      <c r="W75" s="73">
        <f t="shared" si="36"/>
        <v>1.2552328832583909E-4</v>
      </c>
      <c r="X75" s="89"/>
      <c r="Y75" s="65">
        <f>VLOOKUP($E$1,[11]Resumen!$V$10:$AH$13,Y1,0)</f>
        <v>1086.855</v>
      </c>
      <c r="Z75" s="65">
        <f>VLOOKUP($E$1,[11]Resumen!$V$10:$AH$13,Z1,0)</f>
        <v>1086.855</v>
      </c>
      <c r="AA75" s="65">
        <f>VLOOKUP($E$1,[11]Resumen!$V$10:$AH$13,AA1,0)</f>
        <v>1086.855</v>
      </c>
      <c r="AB75" s="65">
        <f>VLOOKUP($E$1,[11]Resumen!$V$10:$AH$13,AB1,0)</f>
        <v>1086.855</v>
      </c>
      <c r="AC75" s="65">
        <f>VLOOKUP($E$1,[11]Resumen!$V$10:$AH$13,AC1,0)</f>
        <v>1086.855</v>
      </c>
      <c r="AD75" s="65">
        <f>VLOOKUP($E$1,[11]Resumen!$V$10:$AH$13,AD1,0)</f>
        <v>1086.855</v>
      </c>
      <c r="AE75" s="65">
        <f>VLOOKUP($E$1,[11]Resumen!$V$10:$AH$13,AE1,0)</f>
        <v>1086.855</v>
      </c>
      <c r="AF75" s="65">
        <f>VLOOKUP($E$1,[11]Resumen!$V$10:$AH$13,AF1,0)</f>
        <v>1086.855</v>
      </c>
      <c r="AG75" s="65">
        <f>VLOOKUP($E$1,[11]Resumen!$V$10:$AH$13,AG1,0)</f>
        <v>1086.855</v>
      </c>
      <c r="AH75" s="65">
        <f>VLOOKUP($E$1,[11]Resumen!$V$10:$AH$13,AH1,0)</f>
        <v>1086.855</v>
      </c>
      <c r="AI75" s="65">
        <f>VLOOKUP($E$1,[11]Resumen!$V$10:$AH$13,AI1,0)</f>
        <v>1086.855</v>
      </c>
      <c r="AJ75" s="65">
        <f>VLOOKUP($E$1,[11]Resumen!$V$10:$AH$13,AJ1,0)</f>
        <v>1086.855</v>
      </c>
      <c r="AK75" s="65">
        <f t="shared" si="43"/>
        <v>13042.259999999997</v>
      </c>
      <c r="AL75" s="73">
        <f t="shared" si="37"/>
        <v>1.4831247287349416E-4</v>
      </c>
      <c r="AM75" s="14">
        <f t="shared" si="38"/>
        <v>0.32333159997463334</v>
      </c>
      <c r="AN75" s="9"/>
    </row>
    <row r="76" spans="1:40" ht="14.45" customHeight="1" outlineLevel="1">
      <c r="A76" s="12"/>
      <c r="I76" s="228" t="s">
        <v>186</v>
      </c>
      <c r="J76" s="65">
        <v>0</v>
      </c>
      <c r="K76" s="65">
        <v>0</v>
      </c>
      <c r="L76" s="65">
        <v>0</v>
      </c>
      <c r="M76" s="65">
        <v>534</v>
      </c>
      <c r="N76" s="65">
        <v>614</v>
      </c>
      <c r="O76" s="65">
        <v>5180</v>
      </c>
      <c r="P76" s="65">
        <v>5180</v>
      </c>
      <c r="Q76" s="65">
        <v>16159</v>
      </c>
      <c r="R76" s="65">
        <v>694</v>
      </c>
      <c r="S76" s="65">
        <v>800</v>
      </c>
      <c r="T76" s="65">
        <f t="shared" si="56"/>
        <v>5708.25</v>
      </c>
      <c r="U76" s="65">
        <f t="shared" si="57"/>
        <v>5840.3125</v>
      </c>
      <c r="V76" s="65">
        <f t="shared" si="42"/>
        <v>40709.5625</v>
      </c>
      <c r="W76" s="73">
        <f t="shared" si="36"/>
        <v>5.1848544879764256E-4</v>
      </c>
      <c r="X76" s="89"/>
      <c r="Y76" s="65">
        <f>VLOOKUP($E$1,[21]Resumen!$V$8:$AH$11,Y1,0)</f>
        <v>1248</v>
      </c>
      <c r="Z76" s="65">
        <f>VLOOKUP($E$1,[21]Resumen!$V$8:$AH$11,Z1,0)</f>
        <v>1248</v>
      </c>
      <c r="AA76" s="65">
        <f>VLOOKUP($E$1,[21]Resumen!$V$8:$AH$11,AA1,0)</f>
        <v>1248</v>
      </c>
      <c r="AB76" s="65">
        <f>VLOOKUP($E$1,[21]Resumen!$V$8:$AH$11,AB1,0)</f>
        <v>1248</v>
      </c>
      <c r="AC76" s="65">
        <f>VLOOKUP($E$1,[21]Resumen!$V$8:$AH$11,AC1,0)</f>
        <v>1248</v>
      </c>
      <c r="AD76" s="65">
        <f>VLOOKUP($E$1,[21]Resumen!$V$8:$AH$11,AD1,0)</f>
        <v>1248</v>
      </c>
      <c r="AE76" s="65">
        <f>VLOOKUP($E$1,[21]Resumen!$V$8:$AH$11,AE1,0)</f>
        <v>1248</v>
      </c>
      <c r="AF76" s="65">
        <f>VLOOKUP($E$1,[21]Resumen!$V$8:$AH$11,AF1,0)</f>
        <v>1248</v>
      </c>
      <c r="AG76" s="65">
        <f>VLOOKUP($E$1,[21]Resumen!$V$8:$AH$11,AG1,0)</f>
        <v>1248</v>
      </c>
      <c r="AH76" s="65">
        <f>VLOOKUP($E$1,[21]Resumen!$V$8:$AH$11,AH1,0)</f>
        <v>1248</v>
      </c>
      <c r="AI76" s="65">
        <f>VLOOKUP($E$1,[21]Resumen!$V$8:$AH$11,AI1,0)</f>
        <v>1248</v>
      </c>
      <c r="AJ76" s="65">
        <f>VLOOKUP($E$1,[21]Resumen!$V$8:$AH$11,AJ1,0)</f>
        <v>1248</v>
      </c>
      <c r="AK76" s="65">
        <f t="shared" si="43"/>
        <v>14976</v>
      </c>
      <c r="AL76" s="73">
        <f t="shared" si="37"/>
        <v>1.7030235509439689E-4</v>
      </c>
      <c r="AM76" s="14">
        <f t="shared" si="38"/>
        <v>-0.6321257444120163</v>
      </c>
      <c r="AN76" s="9"/>
    </row>
    <row r="77" spans="1:40" ht="14.45" customHeight="1" outlineLevel="1">
      <c r="A77" s="12"/>
      <c r="I77" s="228" t="s">
        <v>187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/>
      <c r="U77" s="65"/>
      <c r="V77" s="65">
        <f t="shared" si="42"/>
        <v>0</v>
      </c>
      <c r="W77" s="73">
        <f t="shared" si="36"/>
        <v>0</v>
      </c>
      <c r="X77" s="89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>
        <f t="shared" si="43"/>
        <v>0</v>
      </c>
      <c r="AL77" s="73">
        <f t="shared" si="37"/>
        <v>0</v>
      </c>
      <c r="AM77" s="14">
        <f t="shared" si="38"/>
        <v>0</v>
      </c>
      <c r="AN77" s="9"/>
    </row>
    <row r="78" spans="1:40" ht="14.45" customHeight="1" outlineLevel="1">
      <c r="A78" s="12"/>
      <c r="I78" s="228" t="s">
        <v>188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1822</v>
      </c>
      <c r="R78" s="65">
        <v>16184</v>
      </c>
      <c r="S78" s="65">
        <v>1316</v>
      </c>
      <c r="T78" s="65">
        <v>4308.0336000000007</v>
      </c>
      <c r="U78" s="65">
        <v>4308.0336000000007</v>
      </c>
      <c r="V78" s="65">
        <f t="shared" si="42"/>
        <v>27938.067200000005</v>
      </c>
      <c r="W78" s="73">
        <f t="shared" si="36"/>
        <v>3.5582503031642015E-4</v>
      </c>
      <c r="X78" s="89"/>
      <c r="Y78" s="65">
        <f>VLOOKUP($E$1,[12]Resumen!$V$8:$AH$11,Y1,0)</f>
        <v>7431.935191999999</v>
      </c>
      <c r="Z78" s="65">
        <f>VLOOKUP($E$1,[12]Resumen!$V$8:$AH$11,Z1,0)</f>
        <v>3715.9675959999995</v>
      </c>
      <c r="AA78" s="65">
        <f>VLOOKUP($E$1,[12]Resumen!$V$8:$AH$11,AA1,0)</f>
        <v>11147.902787999999</v>
      </c>
      <c r="AB78" s="65">
        <f>VLOOKUP($E$1,[12]Resumen!$V$8:$AH$11,AB1,0)</f>
        <v>3715.9675959999995</v>
      </c>
      <c r="AC78" s="65">
        <f>VLOOKUP($E$1,[12]Resumen!$V$8:$AH$11,AC1,0)</f>
        <v>6759.1201919999994</v>
      </c>
      <c r="AD78" s="65">
        <f>VLOOKUP($E$1,[12]Resumen!$V$8:$AH$11,AD1,0)</f>
        <v>3043.1525959999999</v>
      </c>
      <c r="AE78" s="65">
        <f>VLOOKUP($E$1,[12]Resumen!$V$8:$AH$11,AE1,0)</f>
        <v>11147.902787999999</v>
      </c>
      <c r="AF78" s="65">
        <f>VLOOKUP($E$1,[12]Resumen!$V$8:$AH$11,AF1,0)</f>
        <v>3043.1525959999999</v>
      </c>
      <c r="AG78" s="65">
        <f>VLOOKUP($E$1,[12]Resumen!$V$8:$AH$11,AG1,0)</f>
        <v>7431.935191999999</v>
      </c>
      <c r="AH78" s="65">
        <f>VLOOKUP($E$1,[12]Resumen!$V$8:$AH$11,AH1,0)</f>
        <v>3043.1525959999999</v>
      </c>
      <c r="AI78" s="65">
        <f>VLOOKUP($E$1,[12]Resumen!$V$8:$AH$11,AI1,0)</f>
        <v>3715.9675959999995</v>
      </c>
      <c r="AJ78" s="65">
        <f>VLOOKUP($E$1,[12]Resumen!$V$8:$AH$11,AJ1,0)</f>
        <v>11147.902787999999</v>
      </c>
      <c r="AK78" s="65">
        <f t="shared" si="43"/>
        <v>75344.059515999994</v>
      </c>
      <c r="AL78" s="73">
        <f t="shared" si="37"/>
        <v>8.5678891412574822E-4</v>
      </c>
      <c r="AM78" s="14">
        <f t="shared" si="38"/>
        <v>1.6968243356505344</v>
      </c>
      <c r="AN78" s="9"/>
    </row>
    <row r="79" spans="1:40" ht="14.45" customHeight="1" outlineLevel="1">
      <c r="A79" s="12"/>
      <c r="I79" s="228" t="s">
        <v>189</v>
      </c>
      <c r="J79" s="65">
        <v>0</v>
      </c>
      <c r="K79" s="65">
        <v>0</v>
      </c>
      <c r="L79" s="65">
        <v>0</v>
      </c>
      <c r="M79" s="65">
        <v>0</v>
      </c>
      <c r="N79" s="65">
        <v>183</v>
      </c>
      <c r="O79" s="65">
        <v>365</v>
      </c>
      <c r="P79" s="65">
        <v>183</v>
      </c>
      <c r="Q79" s="65">
        <v>0</v>
      </c>
      <c r="R79" s="65">
        <v>0</v>
      </c>
      <c r="S79" s="65">
        <v>0</v>
      </c>
      <c r="T79" s="65">
        <v>260</v>
      </c>
      <c r="U79" s="65">
        <v>0</v>
      </c>
      <c r="V79" s="65">
        <f t="shared" si="42"/>
        <v>991</v>
      </c>
      <c r="W79" s="73">
        <f t="shared" si="36"/>
        <v>1.26215819626768E-5</v>
      </c>
      <c r="X79" s="89"/>
      <c r="Y79" s="65">
        <f>VLOOKUP($E$1,[13]Resumen!$V$8:$AH$11,Y1,0)</f>
        <v>3167.4059999999999</v>
      </c>
      <c r="Z79" s="65">
        <f>VLOOKUP($E$1,[13]Resumen!$V$8:$AH$11,Z1,0)</f>
        <v>0</v>
      </c>
      <c r="AA79" s="65">
        <f>VLOOKUP($E$1,[13]Resumen!$V$8:$AH$11,AA1,0)</f>
        <v>0</v>
      </c>
      <c r="AB79" s="65">
        <f>VLOOKUP($E$1,[13]Resumen!$V$8:$AH$11,AB1,0)</f>
        <v>1055.8019999999999</v>
      </c>
      <c r="AC79" s="65">
        <f>VLOOKUP($E$1,[13]Resumen!$V$8:$AH$11,AC1,0)</f>
        <v>2111.6039999999998</v>
      </c>
      <c r="AD79" s="65">
        <f>VLOOKUP($E$1,[13]Resumen!$V$8:$AH$11,AD1,0)</f>
        <v>2111.6039999999998</v>
      </c>
      <c r="AE79" s="65">
        <f>VLOOKUP($E$1,[13]Resumen!$V$8:$AH$11,AE1,0)</f>
        <v>1055.8019999999999</v>
      </c>
      <c r="AF79" s="65">
        <f>VLOOKUP($E$1,[13]Resumen!$V$8:$AH$11,AF1,0)</f>
        <v>0</v>
      </c>
      <c r="AG79" s="65">
        <f>VLOOKUP($E$1,[13]Resumen!$V$8:$AH$11,AG1,0)</f>
        <v>4223.2079999999996</v>
      </c>
      <c r="AH79" s="65">
        <f>VLOOKUP($E$1,[13]Resumen!$V$8:$AH$11,AH1,0)</f>
        <v>1055.8019999999999</v>
      </c>
      <c r="AI79" s="65">
        <f>VLOOKUP($E$1,[13]Resumen!$V$8:$AH$11,AI1,0)</f>
        <v>0</v>
      </c>
      <c r="AJ79" s="65">
        <f>VLOOKUP($E$1,[13]Resumen!$V$8:$AH$11,AJ1,0)</f>
        <v>1055.8019999999999</v>
      </c>
      <c r="AK79" s="65">
        <f t="shared" si="43"/>
        <v>15837.029999999999</v>
      </c>
      <c r="AL79" s="73">
        <f t="shared" si="37"/>
        <v>1.8009371706067149E-4</v>
      </c>
      <c r="AM79" s="14">
        <f t="shared" si="38"/>
        <v>14.980857719475276</v>
      </c>
      <c r="AN79" s="9"/>
    </row>
    <row r="80" spans="1:40" ht="14.45" customHeight="1" outlineLevel="1">
      <c r="A80" s="12"/>
      <c r="I80" s="228" t="s">
        <v>190</v>
      </c>
      <c r="J80" s="65">
        <v>0</v>
      </c>
      <c r="K80" s="65">
        <v>341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/>
      <c r="U80" s="65"/>
      <c r="V80" s="65">
        <f t="shared" si="42"/>
        <v>341</v>
      </c>
      <c r="W80" s="73">
        <f t="shared" si="36"/>
        <v>4.3430468711128037E-6</v>
      </c>
      <c r="X80" s="89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>
        <f t="shared" si="43"/>
        <v>0</v>
      </c>
      <c r="AL80" s="73">
        <f t="shared" si="37"/>
        <v>0</v>
      </c>
      <c r="AM80" s="14">
        <f t="shared" si="38"/>
        <v>-1</v>
      </c>
      <c r="AN80" s="9"/>
    </row>
    <row r="81" spans="1:40" ht="14.45" customHeight="1" outlineLevel="1">
      <c r="A81" s="12"/>
      <c r="I81" s="228" t="s">
        <v>192</v>
      </c>
      <c r="J81" s="65">
        <v>895</v>
      </c>
      <c r="K81" s="65">
        <v>895</v>
      </c>
      <c r="L81" s="65">
        <v>895</v>
      </c>
      <c r="M81" s="65">
        <v>895</v>
      </c>
      <c r="N81" s="65">
        <v>895</v>
      </c>
      <c r="O81" s="65">
        <v>895</v>
      </c>
      <c r="P81" s="65">
        <v>895</v>
      </c>
      <c r="Q81" s="65">
        <v>3437</v>
      </c>
      <c r="R81" s="65">
        <v>3437</v>
      </c>
      <c r="S81" s="65">
        <v>3437</v>
      </c>
      <c r="T81" s="65">
        <v>4526.4399999999996</v>
      </c>
      <c r="U81" s="65">
        <v>4526.4399999999996</v>
      </c>
      <c r="V81" s="65">
        <f t="shared" si="42"/>
        <v>25628.879999999997</v>
      </c>
      <c r="W81" s="73">
        <f t="shared" si="36"/>
        <v>3.2641474221151173E-4</v>
      </c>
      <c r="X81" s="89"/>
      <c r="Y81" s="65">
        <v>4526.4399999999996</v>
      </c>
      <c r="Z81" s="65">
        <v>4526.4399999999996</v>
      </c>
      <c r="AA81" s="65">
        <v>4526.4399999999996</v>
      </c>
      <c r="AB81" s="65">
        <v>4526.4399999999996</v>
      </c>
      <c r="AC81" s="65">
        <v>4526.4399999999996</v>
      </c>
      <c r="AD81" s="65">
        <v>4526.4399999999996</v>
      </c>
      <c r="AE81" s="65">
        <v>4526.4399999999996</v>
      </c>
      <c r="AF81" s="65">
        <v>4526.4399999999996</v>
      </c>
      <c r="AG81" s="65">
        <v>4526.4399999999996</v>
      </c>
      <c r="AH81" s="65">
        <v>4526.4399999999996</v>
      </c>
      <c r="AI81" s="65">
        <v>4526.4399999999996</v>
      </c>
      <c r="AJ81" s="65">
        <v>4526.4399999999996</v>
      </c>
      <c r="AK81" s="65">
        <f t="shared" si="43"/>
        <v>54317.280000000006</v>
      </c>
      <c r="AL81" s="73">
        <f t="shared" si="37"/>
        <v>6.1767900015503364E-4</v>
      </c>
      <c r="AM81" s="14">
        <f t="shared" si="38"/>
        <v>1.1193778268890413</v>
      </c>
      <c r="AN81" s="9"/>
    </row>
    <row r="82" spans="1:40" ht="14.45" customHeight="1">
      <c r="A82" s="12" t="s">
        <v>191</v>
      </c>
      <c r="B82" s="8" t="s">
        <v>101</v>
      </c>
      <c r="I82" s="228" t="s">
        <v>193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/>
      <c r="U82" s="65"/>
      <c r="V82" s="65">
        <f t="shared" si="42"/>
        <v>0</v>
      </c>
      <c r="W82" s="73">
        <f t="shared" si="36"/>
        <v>0</v>
      </c>
      <c r="X82" s="89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>
        <f t="shared" si="43"/>
        <v>0</v>
      </c>
      <c r="AL82" s="73">
        <f t="shared" si="37"/>
        <v>0</v>
      </c>
      <c r="AM82" s="14">
        <f t="shared" si="38"/>
        <v>0</v>
      </c>
      <c r="AN82" s="9"/>
    </row>
    <row r="83" spans="1:40" ht="14.45" customHeight="1" outlineLevel="1">
      <c r="A83" s="12" t="s">
        <v>191</v>
      </c>
      <c r="B83" s="8" t="s">
        <v>101</v>
      </c>
      <c r="I83" s="228" t="s">
        <v>194</v>
      </c>
      <c r="J83" s="65">
        <v>1049</v>
      </c>
      <c r="K83" s="65">
        <v>1049</v>
      </c>
      <c r="L83" s="65">
        <v>1049</v>
      </c>
      <c r="M83" s="65">
        <v>1049</v>
      </c>
      <c r="N83" s="65">
        <v>1049</v>
      </c>
      <c r="O83" s="65">
        <v>1049</v>
      </c>
      <c r="P83" s="65">
        <v>1049</v>
      </c>
      <c r="Q83" s="65">
        <v>1311</v>
      </c>
      <c r="R83" s="65">
        <v>1049</v>
      </c>
      <c r="S83" s="65">
        <v>1049</v>
      </c>
      <c r="T83" s="65"/>
      <c r="U83" s="65"/>
      <c r="V83" s="65">
        <f t="shared" si="42"/>
        <v>10752</v>
      </c>
      <c r="W83" s="73">
        <f t="shared" si="36"/>
        <v>1.3693970662230167E-4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43"/>
        <v>0</v>
      </c>
      <c r="AL83" s="73">
        <f t="shared" si="37"/>
        <v>0</v>
      </c>
      <c r="AM83" s="14">
        <f t="shared" si="38"/>
        <v>-1</v>
      </c>
      <c r="AN83" s="9"/>
    </row>
    <row r="84" spans="1:40" ht="14.45" customHeight="1" outlineLevel="1">
      <c r="A84" s="12" t="s">
        <v>191</v>
      </c>
      <c r="B84" s="8" t="s">
        <v>101</v>
      </c>
      <c r="I84" s="228" t="s">
        <v>195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42"/>
        <v>0</v>
      </c>
      <c r="W84" s="73">
        <f t="shared" si="36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43"/>
        <v>0</v>
      </c>
      <c r="AL84" s="73">
        <f t="shared" si="37"/>
        <v>0</v>
      </c>
      <c r="AM84" s="14">
        <f t="shared" si="38"/>
        <v>0</v>
      </c>
      <c r="AN84" s="9"/>
    </row>
    <row r="85" spans="1:40" ht="14.45" customHeight="1" outlineLevel="1">
      <c r="A85" s="12" t="s">
        <v>191</v>
      </c>
      <c r="B85" s="8" t="s">
        <v>101</v>
      </c>
      <c r="I85" s="228" t="s">
        <v>196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f t="shared" si="42"/>
        <v>0</v>
      </c>
      <c r="W85" s="73">
        <f t="shared" si="36"/>
        <v>0</v>
      </c>
      <c r="X85" s="89"/>
      <c r="Y85" s="65">
        <f>VLOOKUP($E$1,[7]Resumen!$V$154:$AH$157,Y1,0)</f>
        <v>0</v>
      </c>
      <c r="Z85" s="65">
        <f>VLOOKUP($E$1,[7]Resumen!$V$154:$AH$157,Z1,0)</f>
        <v>0</v>
      </c>
      <c r="AA85" s="65">
        <f>VLOOKUP($E$1,[7]Resumen!$V$154:$AH$157,AA1,0)</f>
        <v>0</v>
      </c>
      <c r="AB85" s="65">
        <f>VLOOKUP($E$1,[7]Resumen!$V$154:$AH$157,AB1,0)</f>
        <v>0</v>
      </c>
      <c r="AC85" s="65">
        <f>VLOOKUP($E$1,[7]Resumen!$V$154:$AH$157,AC1,0)</f>
        <v>0</v>
      </c>
      <c r="AD85" s="65">
        <f>VLOOKUP($E$1,[7]Resumen!$V$154:$AH$157,AD1,0)</f>
        <v>0</v>
      </c>
      <c r="AE85" s="65">
        <f>VLOOKUP($E$1,[7]Resumen!$V$154:$AH$157,AE1,0)</f>
        <v>0</v>
      </c>
      <c r="AF85" s="65">
        <f>VLOOKUP($E$1,[7]Resumen!$V$154:$AH$157,AF1,0)</f>
        <v>0</v>
      </c>
      <c r="AG85" s="65">
        <f>VLOOKUP($E$1,[7]Resumen!$V$154:$AH$157,AG1,0)</f>
        <v>0</v>
      </c>
      <c r="AH85" s="65">
        <f>VLOOKUP($E$1,[7]Resumen!$V$154:$AH$157,AH1,0)</f>
        <v>0</v>
      </c>
      <c r="AI85" s="65">
        <f>VLOOKUP($E$1,[7]Resumen!$V$154:$AH$157,AI1,0)</f>
        <v>0</v>
      </c>
      <c r="AJ85" s="65">
        <f>VLOOKUP($E$1,[7]Resumen!$V$154:$AH$157,AJ1,0)</f>
        <v>0</v>
      </c>
      <c r="AK85" s="65">
        <f t="shared" si="43"/>
        <v>0</v>
      </c>
      <c r="AL85" s="73">
        <f t="shared" si="37"/>
        <v>0</v>
      </c>
      <c r="AM85" s="14">
        <f t="shared" si="38"/>
        <v>0</v>
      </c>
      <c r="AN85" s="9"/>
    </row>
    <row r="86" spans="1:40" ht="14.45" customHeight="1" outlineLevel="1">
      <c r="A86" s="12" t="s">
        <v>191</v>
      </c>
      <c r="B86" s="8" t="s">
        <v>101</v>
      </c>
      <c r="I86" s="228" t="s">
        <v>197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/>
      <c r="U86" s="65"/>
      <c r="V86" s="65">
        <f t="shared" si="42"/>
        <v>0</v>
      </c>
      <c r="W86" s="73">
        <f t="shared" si="36"/>
        <v>0</v>
      </c>
      <c r="X86" s="89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>
        <f t="shared" si="43"/>
        <v>0</v>
      </c>
      <c r="AL86" s="73">
        <f t="shared" si="37"/>
        <v>0</v>
      </c>
      <c r="AM86" s="14">
        <f t="shared" si="38"/>
        <v>0</v>
      </c>
      <c r="AN86" s="9"/>
    </row>
    <row r="87" spans="1:40" ht="14.45" customHeight="1" outlineLevel="1">
      <c r="A87" s="12" t="s">
        <v>191</v>
      </c>
      <c r="B87" s="8" t="s">
        <v>101</v>
      </c>
      <c r="I87" s="228" t="s">
        <v>198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19240</v>
      </c>
      <c r="T87" s="65">
        <v>0</v>
      </c>
      <c r="U87" s="65">
        <v>0</v>
      </c>
      <c r="V87" s="65">
        <f t="shared" ref="V87:V90" si="58">SUM(J87:U87)</f>
        <v>19240</v>
      </c>
      <c r="W87" s="73">
        <f t="shared" ref="W87:W90" si="59">V87/V$6</f>
        <v>2.4504463871029427E-4</v>
      </c>
      <c r="X87" s="89"/>
      <c r="Y87" s="65">
        <f>VLOOKUP($E$1,[7]Resumen!$V$10:$AH$13,Y1,0)</f>
        <v>0</v>
      </c>
      <c r="Z87" s="65">
        <f>VLOOKUP($E$1,[7]Resumen!$V$10:$AH$13,Z1,0)</f>
        <v>0</v>
      </c>
      <c r="AA87" s="65">
        <f>VLOOKUP($E$1,[7]Resumen!$V$10:$AH$13,AA1,0)</f>
        <v>0</v>
      </c>
      <c r="AB87" s="65">
        <f>VLOOKUP($E$1,[7]Resumen!$V$10:$AH$13,AB1,0)</f>
        <v>0</v>
      </c>
      <c r="AC87" s="65">
        <f>VLOOKUP($E$1,[7]Resumen!$V$10:$AH$13,AC1,0)</f>
        <v>0</v>
      </c>
      <c r="AD87" s="65">
        <f>VLOOKUP($E$1,[7]Resumen!$V$10:$AH$13,AD1,0)</f>
        <v>0</v>
      </c>
      <c r="AE87" s="65">
        <f>VLOOKUP($E$1,[7]Resumen!$V$10:$AH$13,AE1,0)</f>
        <v>0</v>
      </c>
      <c r="AF87" s="65">
        <f>VLOOKUP($E$1,[7]Resumen!$V$10:$AH$13,AF1,0)</f>
        <v>0</v>
      </c>
      <c r="AG87" s="65">
        <f>VLOOKUP($E$1,[7]Resumen!$V$10:$AH$13,AG1,0)</f>
        <v>24221.339999999997</v>
      </c>
      <c r="AH87" s="65">
        <f>VLOOKUP($E$1,[7]Resumen!$V$10:$AH$13,AH1,0)</f>
        <v>0</v>
      </c>
      <c r="AI87" s="65">
        <f>VLOOKUP($E$1,[7]Resumen!$V$10:$AH$13,AI1,0)</f>
        <v>0</v>
      </c>
      <c r="AJ87" s="65">
        <f>VLOOKUP($E$1,[7]Resumen!$V$10:$AH$13,AJ1,0)</f>
        <v>0</v>
      </c>
      <c r="AK87" s="65">
        <f t="shared" si="43"/>
        <v>24221.339999999997</v>
      </c>
      <c r="AL87" s="73">
        <f t="shared" si="37"/>
        <v>2.7543744962220347E-4</v>
      </c>
      <c r="AM87" s="14">
        <f t="shared" si="38"/>
        <v>0.25890540540540519</v>
      </c>
      <c r="AN87" s="9"/>
    </row>
    <row r="88" spans="1:40" ht="14.45" customHeight="1" outlineLevel="1">
      <c r="A88" s="12" t="s">
        <v>191</v>
      </c>
      <c r="B88" s="8" t="s">
        <v>101</v>
      </c>
      <c r="I88" s="228" t="s">
        <v>199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1443</v>
      </c>
      <c r="R88" s="65">
        <v>0</v>
      </c>
      <c r="S88" s="65">
        <v>0</v>
      </c>
      <c r="T88" s="65">
        <v>419.12</v>
      </c>
      <c r="U88" s="65">
        <v>27445.600000000002</v>
      </c>
      <c r="V88" s="65">
        <f t="shared" si="58"/>
        <v>29307.72</v>
      </c>
      <c r="W88" s="73">
        <f t="shared" si="59"/>
        <v>3.7326921303651071E-4</v>
      </c>
      <c r="X88" s="89"/>
      <c r="Y88" s="65">
        <f>VLOOKUP($E$1,[14]Resumen!$V$8:$AH$11,Y1,0)</f>
        <v>0</v>
      </c>
      <c r="Z88" s="65">
        <f>VLOOKUP($E$1,[14]Resumen!$V$8:$AH$11,Z1,0)</f>
        <v>0</v>
      </c>
      <c r="AA88" s="65">
        <f>VLOOKUP($E$1,[14]Resumen!$V$8:$AH$11,AA1,0)</f>
        <v>0</v>
      </c>
      <c r="AB88" s="65">
        <f>VLOOKUP($E$1,[14]Resumen!$V$8:$AH$11,AB1,0)</f>
        <v>0</v>
      </c>
      <c r="AC88" s="65">
        <f>VLOOKUP($E$1,[14]Resumen!$V$8:$AH$11,AC1,0)</f>
        <v>2846.5249999999996</v>
      </c>
      <c r="AD88" s="65">
        <f>VLOOKUP($E$1,[14]Resumen!$V$8:$AH$11,AD1,0)</f>
        <v>2846.5249999999996</v>
      </c>
      <c r="AE88" s="65">
        <f>VLOOKUP($E$1,[14]Resumen!$V$8:$AH$11,AE1,0)</f>
        <v>0</v>
      </c>
      <c r="AF88" s="65">
        <f>VLOOKUP($E$1,[14]Resumen!$V$8:$AH$11,AF1,0)</f>
        <v>2846.5249999999996</v>
      </c>
      <c r="AG88" s="65">
        <f>VLOOKUP($E$1,[14]Resumen!$V$8:$AH$11,AG1,0)</f>
        <v>0</v>
      </c>
      <c r="AH88" s="65">
        <f>VLOOKUP($E$1,[14]Resumen!$V$8:$AH$11,AH1,0)</f>
        <v>910.88799999999992</v>
      </c>
      <c r="AI88" s="65">
        <f>VLOOKUP($E$1,[14]Resumen!$V$8:$AH$11,AI1,0)</f>
        <v>569.30499999999995</v>
      </c>
      <c r="AJ88" s="65">
        <f>VLOOKUP($E$1,[14]Resumen!$V$8:$AH$11,AJ1,0)</f>
        <v>19356.37</v>
      </c>
      <c r="AK88" s="65">
        <f t="shared" si="43"/>
        <v>29376.137999999999</v>
      </c>
      <c r="AL88" s="73">
        <f t="shared" si="37"/>
        <v>3.3405618890077501E-4</v>
      </c>
      <c r="AM88" s="14">
        <f t="shared" si="38"/>
        <v>2.3344702351462132E-3</v>
      </c>
      <c r="AN88" s="9"/>
    </row>
    <row r="89" spans="1:40" ht="14.45" customHeight="1" outlineLevel="1">
      <c r="A89" s="12" t="s">
        <v>191</v>
      </c>
      <c r="B89" s="8" t="s">
        <v>101</v>
      </c>
      <c r="I89" s="228" t="s">
        <v>200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/>
      <c r="U89" s="65"/>
      <c r="V89" s="65">
        <f t="shared" si="58"/>
        <v>0</v>
      </c>
      <c r="W89" s="73">
        <f t="shared" si="59"/>
        <v>0</v>
      </c>
      <c r="X89" s="89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>
        <f t="shared" si="43"/>
        <v>0</v>
      </c>
      <c r="AL89" s="73">
        <f t="shared" si="37"/>
        <v>0</v>
      </c>
      <c r="AM89" s="14">
        <f t="shared" si="38"/>
        <v>0</v>
      </c>
      <c r="AN89" s="9"/>
    </row>
    <row r="90" spans="1:40" ht="14.45" customHeight="1" outlineLevel="1">
      <c r="A90" s="12" t="s">
        <v>191</v>
      </c>
      <c r="B90" s="8" t="s">
        <v>101</v>
      </c>
      <c r="I90" s="228" t="s">
        <v>201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f t="shared" si="58"/>
        <v>0</v>
      </c>
      <c r="W90" s="73">
        <f t="shared" si="59"/>
        <v>0</v>
      </c>
      <c r="X90" s="89"/>
      <c r="Y90" s="65">
        <f>VLOOKUP($E$1,[6]Resumen!$V$44:$AH$47,Y1,0)</f>
        <v>0</v>
      </c>
      <c r="Z90" s="65">
        <f>VLOOKUP($E$1,[6]Resumen!$V$44:$AH$47,Z1,0)</f>
        <v>0</v>
      </c>
      <c r="AA90" s="65">
        <f>VLOOKUP($E$1,[6]Resumen!$V$44:$AH$47,AA1,0)</f>
        <v>0</v>
      </c>
      <c r="AB90" s="65">
        <f>VLOOKUP($E$1,[6]Resumen!$V$44:$AH$47,AB1,0)</f>
        <v>0</v>
      </c>
      <c r="AC90" s="65">
        <f>VLOOKUP($E$1,[6]Resumen!$V$44:$AH$47,AC1,0)</f>
        <v>0</v>
      </c>
      <c r="AD90" s="65">
        <f>VLOOKUP($E$1,[6]Resumen!$V$44:$AH$47,AD1,0)</f>
        <v>0</v>
      </c>
      <c r="AE90" s="65">
        <f>VLOOKUP($E$1,[6]Resumen!$V$44:$AH$47,AE1,0)</f>
        <v>0</v>
      </c>
      <c r="AF90" s="65">
        <f>VLOOKUP($E$1,[6]Resumen!$V$44:$AH$47,AF1,0)</f>
        <v>0</v>
      </c>
      <c r="AG90" s="65">
        <f>VLOOKUP($E$1,[6]Resumen!$V$44:$AH$47,AG1,0)</f>
        <v>0</v>
      </c>
      <c r="AH90" s="65">
        <f>VLOOKUP($E$1,[6]Resumen!$V$44:$AH$47,AH1,0)</f>
        <v>0</v>
      </c>
      <c r="AI90" s="65">
        <f>VLOOKUP($E$1,[6]Resumen!$V$44:$AH$47,AI1,0)</f>
        <v>0</v>
      </c>
      <c r="AJ90" s="65">
        <f>VLOOKUP($E$1,[6]Resumen!$V$44:$AH$47,AJ1,0)</f>
        <v>0</v>
      </c>
      <c r="AK90" s="65">
        <f t="shared" si="43"/>
        <v>0</v>
      </c>
      <c r="AL90" s="73">
        <f t="shared" si="37"/>
        <v>0</v>
      </c>
      <c r="AM90" s="14">
        <f t="shared" si="38"/>
        <v>0</v>
      </c>
      <c r="AN90" s="9"/>
    </row>
    <row r="91" spans="1:40" ht="14.45" customHeight="1" outlineLevel="1">
      <c r="A91" s="12" t="s">
        <v>191</v>
      </c>
      <c r="B91" s="8" t="s">
        <v>101</v>
      </c>
      <c r="I91" s="170" t="s">
        <v>202</v>
      </c>
      <c r="J91" s="15">
        <v>179642</v>
      </c>
      <c r="K91" s="15">
        <v>165755</v>
      </c>
      <c r="L91" s="15">
        <v>164822</v>
      </c>
      <c r="M91" s="15">
        <v>146160</v>
      </c>
      <c r="N91" s="15">
        <v>100411</v>
      </c>
      <c r="O91" s="15">
        <v>160201</v>
      </c>
      <c r="P91" s="15">
        <v>125762</v>
      </c>
      <c r="Q91" s="15">
        <v>130306</v>
      </c>
      <c r="R91" s="15">
        <v>155261</v>
      </c>
      <c r="S91" s="15">
        <v>153778</v>
      </c>
      <c r="T91" s="15">
        <f t="shared" ref="R91:U91" si="60">SUM(T92:T106)</f>
        <v>141277.5</v>
      </c>
      <c r="U91" s="15">
        <f t="shared" si="60"/>
        <v>145156.125</v>
      </c>
      <c r="V91" s="15">
        <f t="shared" ref="V91" si="61">SUM(V92:V106)</f>
        <v>1768532.625</v>
      </c>
      <c r="W91" s="72">
        <f t="shared" si="36"/>
        <v>2.2524399071751213E-2</v>
      </c>
      <c r="X91" s="89"/>
      <c r="Y91" s="15">
        <f t="shared" ref="Y91:AK91" si="62">SUM(Y92:Y106)</f>
        <v>172310.66057017428</v>
      </c>
      <c r="Z91" s="15">
        <f t="shared" si="62"/>
        <v>151243.61077620939</v>
      </c>
      <c r="AA91" s="15">
        <f t="shared" si="62"/>
        <v>165535.50940350734</v>
      </c>
      <c r="AB91" s="15">
        <f t="shared" si="62"/>
        <v>156366.42884440804</v>
      </c>
      <c r="AC91" s="15">
        <f t="shared" si="62"/>
        <v>165535.50940350734</v>
      </c>
      <c r="AD91" s="15">
        <f t="shared" si="62"/>
        <v>156366.42884440804</v>
      </c>
      <c r="AE91" s="15">
        <f t="shared" si="62"/>
        <v>161130.39505350732</v>
      </c>
      <c r="AF91" s="15">
        <f t="shared" si="62"/>
        <v>161130.39505350732</v>
      </c>
      <c r="AG91" s="15">
        <f t="shared" si="62"/>
        <v>160771.54319440803</v>
      </c>
      <c r="AH91" s="15">
        <f t="shared" si="62"/>
        <v>161130.39505350732</v>
      </c>
      <c r="AI91" s="15">
        <f t="shared" si="62"/>
        <v>160771.54319440803</v>
      </c>
      <c r="AJ91" s="15">
        <f t="shared" si="62"/>
        <v>165535.50940350734</v>
      </c>
      <c r="AK91" s="15">
        <f t="shared" si="62"/>
        <v>1937827.9287950599</v>
      </c>
      <c r="AL91" s="72">
        <f t="shared" si="37"/>
        <v>2.2036368859608437E-2</v>
      </c>
      <c r="AM91" s="10">
        <f t="shared" si="38"/>
        <v>9.5726423930154958E-2</v>
      </c>
      <c r="AN91" s="9"/>
    </row>
    <row r="92" spans="1:40" ht="14.45" customHeight="1" outlineLevel="1">
      <c r="A92" s="12" t="s">
        <v>191</v>
      </c>
      <c r="B92" s="8" t="s">
        <v>101</v>
      </c>
      <c r="I92" s="228" t="s">
        <v>203</v>
      </c>
      <c r="J92" s="65">
        <v>4369</v>
      </c>
      <c r="K92" s="65">
        <v>4673</v>
      </c>
      <c r="L92" s="65">
        <v>4435</v>
      </c>
      <c r="M92" s="65">
        <v>5146</v>
      </c>
      <c r="N92" s="65">
        <v>2706</v>
      </c>
      <c r="O92" s="65">
        <v>3981</v>
      </c>
      <c r="P92" s="65">
        <v>4384</v>
      </c>
      <c r="Q92" s="65">
        <v>3465</v>
      </c>
      <c r="R92" s="65">
        <v>3977</v>
      </c>
      <c r="S92" s="65">
        <v>4935</v>
      </c>
      <c r="T92" s="65">
        <f t="shared" ref="T92:T106" si="63">+AVERAGE(P92:S92)</f>
        <v>4190.25</v>
      </c>
      <c r="U92" s="65">
        <f t="shared" ref="U92:U106" si="64">+AVERAGE(Q92:T92)</f>
        <v>4141.8125</v>
      </c>
      <c r="V92" s="65">
        <f t="shared" ref="V92:V106" si="65">SUM(J92:U92)</f>
        <v>50403.0625</v>
      </c>
      <c r="W92" s="73">
        <f t="shared" si="36"/>
        <v>6.4194387942852812E-4</v>
      </c>
      <c r="X92" s="89"/>
      <c r="Y92" s="65">
        <f>VLOOKUP($I92,'[15]Gasto Real Vs Presupuesto 2026'!$A$7:$N$29,Y$1,0)</f>
        <v>4933.7624777671235</v>
      </c>
      <c r="Z92" s="65">
        <f>VLOOKUP($I92,'[15]Gasto Real Vs Presupuesto 2026'!$A$7:$N$29,Z$1,0)</f>
        <v>4224.0822534246581</v>
      </c>
      <c r="AA92" s="65">
        <f>VLOOKUP($I92,'[15]Gasto Real Vs Presupuesto 2026'!$A$7:$N$29,AA$1,0)</f>
        <v>4676.6624948630133</v>
      </c>
      <c r="AB92" s="65">
        <f>VLOOKUP($I92,'[15]Gasto Real Vs Presupuesto 2026'!$A$7:$N$29,AB$1,0)</f>
        <v>4525.802414383561</v>
      </c>
      <c r="AC92" s="65">
        <f>VLOOKUP($I92,'[15]Gasto Real Vs Presupuesto 2026'!$A$7:$N$29,AC$1,0)</f>
        <v>4676.6624948630133</v>
      </c>
      <c r="AD92" s="65">
        <f>VLOOKUP($I92,'[15]Gasto Real Vs Presupuesto 2026'!$A$7:$N$29,AD$1,0)</f>
        <v>4525.802414383561</v>
      </c>
      <c r="AE92" s="65">
        <f>VLOOKUP($I92,'[15]Gasto Real Vs Presupuesto 2026'!$A$7:$N$29,AE$1,0)</f>
        <v>4676.6624948630133</v>
      </c>
      <c r="AF92" s="65">
        <f>VLOOKUP($I92,'[15]Gasto Real Vs Presupuesto 2026'!$A$7:$N$29,AF$1,0)</f>
        <v>4676.6624948630133</v>
      </c>
      <c r="AG92" s="65">
        <f>VLOOKUP($I92,'[15]Gasto Real Vs Presupuesto 2026'!$A$7:$N$29,AG$1,0)</f>
        <v>4525.802414383561</v>
      </c>
      <c r="AH92" s="65">
        <f>VLOOKUP($I92,'[15]Gasto Real Vs Presupuesto 2026'!$A$7:$N$29,AH$1,0)</f>
        <v>4676.6624948630133</v>
      </c>
      <c r="AI92" s="65">
        <f>VLOOKUP($I92,'[15]Gasto Real Vs Presupuesto 2026'!$A$7:$N$29,AI$1,0)</f>
        <v>4525.802414383561</v>
      </c>
      <c r="AJ92" s="65">
        <f>VLOOKUP($I92,'[15]Gasto Real Vs Presupuesto 2026'!$A$7:$N$29,AJ$1,0)</f>
        <v>4676.6624948630133</v>
      </c>
      <c r="AK92" s="65">
        <f t="shared" ref="AK92:AK155" si="66">SUM(Y92:AJ92)</f>
        <v>55321.029357904095</v>
      </c>
      <c r="AL92" s="73">
        <f t="shared" si="37"/>
        <v>6.2909332170788858E-4</v>
      </c>
      <c r="AM92" s="14">
        <f t="shared" si="38"/>
        <v>9.7572778596619836E-2</v>
      </c>
      <c r="AN92" s="9"/>
    </row>
    <row r="93" spans="1:40" ht="14.45" customHeight="1" outlineLevel="1">
      <c r="A93" s="12" t="s">
        <v>191</v>
      </c>
      <c r="B93" s="8" t="s">
        <v>101</v>
      </c>
      <c r="I93" s="228" t="s">
        <v>204</v>
      </c>
      <c r="J93" s="65">
        <v>4250</v>
      </c>
      <c r="K93" s="65">
        <v>9750</v>
      </c>
      <c r="L93" s="65">
        <v>11750</v>
      </c>
      <c r="M93" s="65">
        <v>8867</v>
      </c>
      <c r="N93" s="65">
        <v>8580</v>
      </c>
      <c r="O93" s="65">
        <v>9089</v>
      </c>
      <c r="P93" s="65">
        <v>5733</v>
      </c>
      <c r="Q93" s="65">
        <v>8573</v>
      </c>
      <c r="R93" s="65">
        <v>13819</v>
      </c>
      <c r="S93" s="65">
        <v>8418</v>
      </c>
      <c r="T93" s="65">
        <f t="shared" si="63"/>
        <v>9135.75</v>
      </c>
      <c r="U93" s="65">
        <f t="shared" si="64"/>
        <v>9986.4375</v>
      </c>
      <c r="V93" s="65">
        <f t="shared" si="65"/>
        <v>107951.1875</v>
      </c>
      <c r="W93" s="73">
        <f t="shared" si="36"/>
        <v>1.3748887598380838E-3</v>
      </c>
      <c r="X93" s="89"/>
      <c r="Y93" s="65">
        <f>VLOOKUP($I93,'[15]Gasto Real Vs Presupuesto 2026'!$A$7:$N$29,Y$1,0)</f>
        <v>13447.44257142857</v>
      </c>
      <c r="Z93" s="65">
        <f>VLOOKUP($I93,'[15]Gasto Real Vs Presupuesto 2026'!$A$7:$N$29,Z$1,0)</f>
        <v>13447.44257142857</v>
      </c>
      <c r="AA93" s="65">
        <f>VLOOKUP($I93,'[15]Gasto Real Vs Presupuesto 2026'!$A$7:$N$29,AA$1,0)</f>
        <v>13447.44257142857</v>
      </c>
      <c r="AB93" s="65">
        <f>VLOOKUP($I93,'[15]Gasto Real Vs Presupuesto 2026'!$A$7:$N$29,AB$1,0)</f>
        <v>13447.44257142857</v>
      </c>
      <c r="AC93" s="65">
        <f>VLOOKUP($I93,'[15]Gasto Real Vs Presupuesto 2026'!$A$7:$N$29,AC$1,0)</f>
        <v>13447.44257142857</v>
      </c>
      <c r="AD93" s="65">
        <f>VLOOKUP($I93,'[15]Gasto Real Vs Presupuesto 2026'!$A$7:$N$29,AD$1,0)</f>
        <v>13447.44257142857</v>
      </c>
      <c r="AE93" s="65">
        <f>VLOOKUP($I93,'[15]Gasto Real Vs Presupuesto 2026'!$A$7:$N$29,AE$1,0)</f>
        <v>13447.44257142857</v>
      </c>
      <c r="AF93" s="65">
        <f>VLOOKUP($I93,'[15]Gasto Real Vs Presupuesto 2026'!$A$7:$N$29,AF$1,0)</f>
        <v>13447.44257142857</v>
      </c>
      <c r="AG93" s="65">
        <f>VLOOKUP($I93,'[15]Gasto Real Vs Presupuesto 2026'!$A$7:$N$29,AG$1,0)</f>
        <v>13447.44257142857</v>
      </c>
      <c r="AH93" s="65">
        <f>VLOOKUP($I93,'[15]Gasto Real Vs Presupuesto 2026'!$A$7:$N$29,AH$1,0)</f>
        <v>13447.44257142857</v>
      </c>
      <c r="AI93" s="65">
        <f>VLOOKUP($I93,'[15]Gasto Real Vs Presupuesto 2026'!$A$7:$N$29,AI$1,0)</f>
        <v>13447.44257142857</v>
      </c>
      <c r="AJ93" s="65">
        <f>VLOOKUP($I93,'[15]Gasto Real Vs Presupuesto 2026'!$A$7:$N$29,AJ$1,0)</f>
        <v>13447.44257142857</v>
      </c>
      <c r="AK93" s="65">
        <f t="shared" si="66"/>
        <v>161369.31085714287</v>
      </c>
      <c r="AL93" s="73">
        <f t="shared" si="37"/>
        <v>1.8350409774927393E-3</v>
      </c>
      <c r="AM93" s="14">
        <f t="shared" si="38"/>
        <v>0.49483590309873038</v>
      </c>
      <c r="AN93" s="9"/>
    </row>
    <row r="94" spans="1:40" ht="14.45" customHeight="1" outlineLevel="1">
      <c r="A94" s="12" t="s">
        <v>191</v>
      </c>
      <c r="B94" s="8" t="s">
        <v>101</v>
      </c>
      <c r="I94" s="228" t="s">
        <v>205</v>
      </c>
      <c r="J94" s="65">
        <v>6513</v>
      </c>
      <c r="K94" s="65">
        <v>5810</v>
      </c>
      <c r="L94" s="65">
        <v>5810</v>
      </c>
      <c r="M94" s="65">
        <v>0</v>
      </c>
      <c r="N94" s="65">
        <v>2890</v>
      </c>
      <c r="O94" s="65">
        <v>0</v>
      </c>
      <c r="P94" s="65">
        <v>0</v>
      </c>
      <c r="Q94" s="65">
        <v>0</v>
      </c>
      <c r="R94" s="65">
        <v>4288</v>
      </c>
      <c r="S94" s="65">
        <v>0</v>
      </c>
      <c r="T94" s="65">
        <f t="shared" si="63"/>
        <v>1072</v>
      </c>
      <c r="U94" s="65">
        <f t="shared" si="64"/>
        <v>1340</v>
      </c>
      <c r="V94" s="65">
        <f t="shared" si="65"/>
        <v>27723</v>
      </c>
      <c r="W94" s="73">
        <f t="shared" si="36"/>
        <v>3.5308588975912098E-4</v>
      </c>
      <c r="X94" s="89"/>
      <c r="Y94" s="65">
        <f>VLOOKUP($I94,'[15]Gasto Real Vs Presupuesto 2026'!$A$7:$N$29,Y$1,0)</f>
        <v>4647.2859467999997</v>
      </c>
      <c r="Z94" s="65">
        <f>VLOOKUP($I94,'[15]Gasto Real Vs Presupuesto 2026'!$A$7:$N$29,Z$1,0)</f>
        <v>4405.1143500000007</v>
      </c>
      <c r="AA94" s="65">
        <f>VLOOKUP($I94,'[15]Gasto Real Vs Presupuesto 2026'!$A$7:$N$29,AA$1,0)</f>
        <v>4405.1143500000007</v>
      </c>
      <c r="AB94" s="65">
        <f>VLOOKUP($I94,'[15]Gasto Real Vs Presupuesto 2026'!$A$7:$N$29,AB$1,0)</f>
        <v>0</v>
      </c>
      <c r="AC94" s="65">
        <f>VLOOKUP($I94,'[15]Gasto Real Vs Presupuesto 2026'!$A$7:$N$29,AC$1,0)</f>
        <v>4405.1143500000007</v>
      </c>
      <c r="AD94" s="65">
        <f>VLOOKUP($I94,'[15]Gasto Real Vs Presupuesto 2026'!$A$7:$N$29,AD$1,0)</f>
        <v>0</v>
      </c>
      <c r="AE94" s="65">
        <f>VLOOKUP($I94,'[15]Gasto Real Vs Presupuesto 2026'!$A$7:$N$29,AE$1,0)</f>
        <v>0</v>
      </c>
      <c r="AF94" s="65">
        <f>VLOOKUP($I94,'[15]Gasto Real Vs Presupuesto 2026'!$A$7:$N$29,AF$1,0)</f>
        <v>0</v>
      </c>
      <c r="AG94" s="65">
        <f>VLOOKUP($I94,'[15]Gasto Real Vs Presupuesto 2026'!$A$7:$N$29,AG$1,0)</f>
        <v>4405.1143500000007</v>
      </c>
      <c r="AH94" s="65">
        <f>VLOOKUP($I94,'[15]Gasto Real Vs Presupuesto 2026'!$A$7:$N$29,AH$1,0)</f>
        <v>0</v>
      </c>
      <c r="AI94" s="65">
        <f>VLOOKUP($I94,'[15]Gasto Real Vs Presupuesto 2026'!$A$7:$N$29,AI$1,0)</f>
        <v>4405.1143500000007</v>
      </c>
      <c r="AJ94" s="65">
        <f>VLOOKUP($I94,'[15]Gasto Real Vs Presupuesto 2026'!$A$7:$N$29,AJ$1,0)</f>
        <v>4405.1143500000007</v>
      </c>
      <c r="AK94" s="65">
        <f t="shared" si="66"/>
        <v>31077.972046800001</v>
      </c>
      <c r="AL94" s="73">
        <f t="shared" si="37"/>
        <v>3.5340890966398735E-4</v>
      </c>
      <c r="AM94" s="14">
        <f t="shared" si="38"/>
        <v>0.12101764047181041</v>
      </c>
      <c r="AN94" s="9"/>
    </row>
    <row r="95" spans="1:40" ht="14.45" customHeight="1" outlineLevel="1">
      <c r="A95" s="12" t="s">
        <v>191</v>
      </c>
      <c r="B95" s="8" t="s">
        <v>101</v>
      </c>
      <c r="I95" s="228" t="s">
        <v>206</v>
      </c>
      <c r="J95" s="65">
        <v>6197</v>
      </c>
      <c r="K95" s="65">
        <v>6680</v>
      </c>
      <c r="L95" s="65">
        <v>6053</v>
      </c>
      <c r="M95" s="65">
        <v>7016</v>
      </c>
      <c r="N95" s="65">
        <v>3596</v>
      </c>
      <c r="O95" s="65">
        <v>5804</v>
      </c>
      <c r="P95" s="65">
        <v>6011</v>
      </c>
      <c r="Q95" s="65">
        <v>4927</v>
      </c>
      <c r="R95" s="65">
        <v>5506</v>
      </c>
      <c r="S95" s="65">
        <v>7056</v>
      </c>
      <c r="T95" s="65">
        <f t="shared" si="63"/>
        <v>5875</v>
      </c>
      <c r="U95" s="65">
        <f t="shared" si="64"/>
        <v>5841</v>
      </c>
      <c r="V95" s="65">
        <f t="shared" si="65"/>
        <v>70562</v>
      </c>
      <c r="W95" s="73">
        <f t="shared" si="36"/>
        <v>8.9869229712452104E-4</v>
      </c>
      <c r="X95" s="89"/>
      <c r="Y95" s="65">
        <f>VLOOKUP($I95,'[15]Gasto Real Vs Presupuesto 2026'!$A$7:$N$29,Y$1,0)</f>
        <v>6627.0297601368002</v>
      </c>
      <c r="Z95" s="65">
        <f>VLOOKUP($I95,'[15]Gasto Real Vs Presupuesto 2026'!$A$7:$N$29,Z$1,0)</f>
        <v>6167.1600899999994</v>
      </c>
      <c r="AA95" s="65">
        <f>VLOOKUP($I95,'[15]Gasto Real Vs Presupuesto 2026'!$A$7:$N$29,AA$1,0)</f>
        <v>6827.9272424999999</v>
      </c>
      <c r="AB95" s="65">
        <f>VLOOKUP($I95,'[15]Gasto Real Vs Presupuesto 2026'!$A$7:$N$29,AB$1,0)</f>
        <v>6607.6715249999997</v>
      </c>
      <c r="AC95" s="65">
        <f>VLOOKUP($I95,'[15]Gasto Real Vs Presupuesto 2026'!$A$7:$N$29,AC$1,0)</f>
        <v>6827.9272424999999</v>
      </c>
      <c r="AD95" s="65">
        <f>VLOOKUP($I95,'[15]Gasto Real Vs Presupuesto 2026'!$A$7:$N$29,AD$1,0)</f>
        <v>6607.6715249999997</v>
      </c>
      <c r="AE95" s="65">
        <f>VLOOKUP($I95,'[15]Gasto Real Vs Presupuesto 2026'!$A$7:$N$29,AE$1,0)</f>
        <v>6827.9272424999999</v>
      </c>
      <c r="AF95" s="65">
        <f>VLOOKUP($I95,'[15]Gasto Real Vs Presupuesto 2026'!$A$7:$N$29,AF$1,0)</f>
        <v>6827.9272424999999</v>
      </c>
      <c r="AG95" s="65">
        <f>VLOOKUP($I95,'[15]Gasto Real Vs Presupuesto 2026'!$A$7:$N$29,AG$1,0)</f>
        <v>6607.6715249999997</v>
      </c>
      <c r="AH95" s="65">
        <f>VLOOKUP($I95,'[15]Gasto Real Vs Presupuesto 2026'!$A$7:$N$29,AH$1,0)</f>
        <v>6827.9272424999999</v>
      </c>
      <c r="AI95" s="65">
        <f>VLOOKUP($I95,'[15]Gasto Real Vs Presupuesto 2026'!$A$7:$N$29,AI$1,0)</f>
        <v>6607.6715249999997</v>
      </c>
      <c r="AJ95" s="65">
        <f>VLOOKUP($I95,'[15]Gasto Real Vs Presupuesto 2026'!$A$7:$N$29,AJ$1,0)</f>
        <v>6827.9272424999999</v>
      </c>
      <c r="AK95" s="65">
        <f t="shared" si="66"/>
        <v>80192.439405136785</v>
      </c>
      <c r="AL95" s="73">
        <f t="shared" si="37"/>
        <v>9.1192316315835415E-4</v>
      </c>
      <c r="AM95" s="14">
        <f t="shared" si="38"/>
        <v>0.13648195069778057</v>
      </c>
      <c r="AN95" s="9"/>
    </row>
    <row r="96" spans="1:40" ht="14.45" customHeight="1" outlineLevel="1">
      <c r="A96" s="12" t="s">
        <v>191</v>
      </c>
      <c r="B96" s="8" t="s">
        <v>101</v>
      </c>
      <c r="I96" s="228" t="s">
        <v>207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>
        <v>0</v>
      </c>
      <c r="U96" s="65">
        <f t="shared" si="64"/>
        <v>0</v>
      </c>
      <c r="V96" s="65">
        <f t="shared" si="65"/>
        <v>0</v>
      </c>
      <c r="W96" s="73">
        <f t="shared" si="36"/>
        <v>0</v>
      </c>
      <c r="X96" s="89"/>
      <c r="Y96" s="65">
        <f>VLOOKUP($I96,'[15]Gasto Real Vs Presupuesto 2026'!$A$7:$N$29,Y$1,0)</f>
        <v>0</v>
      </c>
      <c r="Z96" s="65">
        <f>VLOOKUP($I96,'[15]Gasto Real Vs Presupuesto 2026'!$A$7:$N$29,Z$1,0)</f>
        <v>0</v>
      </c>
      <c r="AA96" s="65">
        <f>VLOOKUP($I96,'[15]Gasto Real Vs Presupuesto 2026'!$A$7:$N$29,AA$1,0)</f>
        <v>0</v>
      </c>
      <c r="AB96" s="65">
        <f>VLOOKUP($I96,'[15]Gasto Real Vs Presupuesto 2026'!$A$7:$N$29,AB$1,0)</f>
        <v>0</v>
      </c>
      <c r="AC96" s="65">
        <f>VLOOKUP($I96,'[15]Gasto Real Vs Presupuesto 2026'!$A$7:$N$29,AC$1,0)</f>
        <v>0</v>
      </c>
      <c r="AD96" s="65">
        <f>VLOOKUP($I96,'[15]Gasto Real Vs Presupuesto 2026'!$A$7:$N$29,AD$1,0)</f>
        <v>0</v>
      </c>
      <c r="AE96" s="65">
        <f>VLOOKUP($I96,'[15]Gasto Real Vs Presupuesto 2026'!$A$7:$N$29,AE$1,0)</f>
        <v>0</v>
      </c>
      <c r="AF96" s="65">
        <f>VLOOKUP($I96,'[15]Gasto Real Vs Presupuesto 2026'!$A$7:$N$29,AF$1,0)</f>
        <v>0</v>
      </c>
      <c r="AG96" s="65">
        <f>VLOOKUP($I96,'[15]Gasto Real Vs Presupuesto 2026'!$A$7:$N$29,AG$1,0)</f>
        <v>0</v>
      </c>
      <c r="AH96" s="65">
        <f>VLOOKUP($I96,'[15]Gasto Real Vs Presupuesto 2026'!$A$7:$N$29,AH$1,0)</f>
        <v>0</v>
      </c>
      <c r="AI96" s="65">
        <f>VLOOKUP($I96,'[15]Gasto Real Vs Presupuesto 2026'!$A$7:$N$29,AI$1,0)</f>
        <v>0</v>
      </c>
      <c r="AJ96" s="65">
        <f>VLOOKUP($I96,'[15]Gasto Real Vs Presupuesto 2026'!$A$7:$N$29,AJ$1,0)</f>
        <v>0</v>
      </c>
      <c r="AK96" s="65">
        <f t="shared" si="66"/>
        <v>0</v>
      </c>
      <c r="AL96" s="73">
        <f t="shared" si="37"/>
        <v>0</v>
      </c>
      <c r="AM96" s="14">
        <f t="shared" si="38"/>
        <v>0</v>
      </c>
      <c r="AN96" s="9"/>
    </row>
    <row r="97" spans="1:40" ht="14.45" customHeight="1" outlineLevel="1">
      <c r="A97" s="12" t="s">
        <v>191</v>
      </c>
      <c r="B97" s="8" t="s">
        <v>101</v>
      </c>
      <c r="I97" s="228" t="s">
        <v>209</v>
      </c>
      <c r="J97" s="65">
        <v>12796</v>
      </c>
      <c r="K97" s="65">
        <v>11507</v>
      </c>
      <c r="L97" s="65">
        <v>11018</v>
      </c>
      <c r="M97" s="65">
        <v>9420</v>
      </c>
      <c r="N97" s="65">
        <v>6655</v>
      </c>
      <c r="O97" s="65">
        <v>12402</v>
      </c>
      <c r="P97" s="65">
        <v>9169</v>
      </c>
      <c r="Q97" s="65">
        <v>8710</v>
      </c>
      <c r="R97" s="65">
        <v>10402</v>
      </c>
      <c r="S97" s="65">
        <v>10498</v>
      </c>
      <c r="T97" s="65">
        <f t="shared" si="63"/>
        <v>9694.75</v>
      </c>
      <c r="U97" s="65">
        <f t="shared" si="64"/>
        <v>9826.1875</v>
      </c>
      <c r="V97" s="65">
        <f t="shared" si="65"/>
        <v>122097.9375</v>
      </c>
      <c r="W97" s="73">
        <f t="shared" si="36"/>
        <v>1.5550647080020577E-3</v>
      </c>
      <c r="X97" s="89"/>
      <c r="Y97" s="65">
        <f>VLOOKUP($I97,'[15]Gasto Real Vs Presupuesto 2026'!$A$7:$N$29,Y$1,0)</f>
        <v>10590.293160000001</v>
      </c>
      <c r="Z97" s="65">
        <f>VLOOKUP($I97,'[15]Gasto Real Vs Presupuesto 2026'!$A$7:$N$29,Z$1,0)</f>
        <v>9565.4260799999993</v>
      </c>
      <c r="AA97" s="65">
        <f>VLOOKUP($I97,'[15]Gasto Real Vs Presupuesto 2026'!$A$7:$N$29,AA$1,0)</f>
        <v>10590.293160000001</v>
      </c>
      <c r="AB97" s="65">
        <f>VLOOKUP($I97,'[15]Gasto Real Vs Presupuesto 2026'!$A$7:$N$29,AB$1,0)</f>
        <v>10248.6708</v>
      </c>
      <c r="AC97" s="65">
        <f>VLOOKUP($I97,'[15]Gasto Real Vs Presupuesto 2026'!$A$7:$N$29,AC$1,0)</f>
        <v>10590.293160000001</v>
      </c>
      <c r="AD97" s="65">
        <f>VLOOKUP($I97,'[15]Gasto Real Vs Presupuesto 2026'!$A$7:$N$29,AD$1,0)</f>
        <v>10248.6708</v>
      </c>
      <c r="AE97" s="65">
        <f>VLOOKUP($I97,'[15]Gasto Real Vs Presupuesto 2026'!$A$7:$N$29,AE$1,0)</f>
        <v>10590.293160000001</v>
      </c>
      <c r="AF97" s="65">
        <f>VLOOKUP($I97,'[15]Gasto Real Vs Presupuesto 2026'!$A$7:$N$29,AF$1,0)</f>
        <v>10590.293160000001</v>
      </c>
      <c r="AG97" s="65">
        <f>VLOOKUP($I97,'[15]Gasto Real Vs Presupuesto 2026'!$A$7:$N$29,AG$1,0)</f>
        <v>10248.6708</v>
      </c>
      <c r="AH97" s="65">
        <f>VLOOKUP($I97,'[15]Gasto Real Vs Presupuesto 2026'!$A$7:$N$29,AH$1,0)</f>
        <v>10590.293160000001</v>
      </c>
      <c r="AI97" s="65">
        <f>VLOOKUP($I97,'[15]Gasto Real Vs Presupuesto 2026'!$A$7:$N$29,AI$1,0)</f>
        <v>10248.6708</v>
      </c>
      <c r="AJ97" s="65">
        <f>VLOOKUP($I97,'[15]Gasto Real Vs Presupuesto 2026'!$A$7:$N$29,AJ$1,0)</f>
        <v>10590.293160000001</v>
      </c>
      <c r="AK97" s="65">
        <f t="shared" si="66"/>
        <v>124692.16139999998</v>
      </c>
      <c r="AL97" s="73">
        <f t="shared" si="37"/>
        <v>1.4179599858594183E-3</v>
      </c>
      <c r="AM97" s="14">
        <f t="shared" si="38"/>
        <v>2.1247073890990009E-2</v>
      </c>
      <c r="AN97" s="9"/>
    </row>
    <row r="98" spans="1:40" ht="14.45" customHeight="1">
      <c r="A98" s="12" t="s">
        <v>208</v>
      </c>
      <c r="B98" s="8" t="s">
        <v>101</v>
      </c>
      <c r="I98" s="228" t="s">
        <v>210</v>
      </c>
      <c r="J98" s="65">
        <v>12008</v>
      </c>
      <c r="K98" s="65">
        <v>11051</v>
      </c>
      <c r="L98" s="65">
        <v>10466</v>
      </c>
      <c r="M98" s="65">
        <v>7521</v>
      </c>
      <c r="N98" s="65">
        <v>5194</v>
      </c>
      <c r="O98" s="65">
        <v>10160</v>
      </c>
      <c r="P98" s="65">
        <v>8367</v>
      </c>
      <c r="Q98" s="65">
        <v>7208</v>
      </c>
      <c r="R98" s="65">
        <v>8267</v>
      </c>
      <c r="S98" s="65">
        <v>9874</v>
      </c>
      <c r="T98" s="65">
        <f t="shared" si="63"/>
        <v>8429</v>
      </c>
      <c r="U98" s="65">
        <f t="shared" si="64"/>
        <v>8444.5</v>
      </c>
      <c r="V98" s="65">
        <f t="shared" si="65"/>
        <v>106989.5</v>
      </c>
      <c r="W98" s="73">
        <f t="shared" si="36"/>
        <v>1.362640507967517E-3</v>
      </c>
      <c r="X98" s="89"/>
      <c r="Y98" s="65">
        <f>VLOOKUP($I98,'[15]Gasto Real Vs Presupuesto 2026'!$A$7:$N$29,Y$1,0)</f>
        <v>8243.389799999999</v>
      </c>
      <c r="Z98" s="65">
        <f>VLOOKUP($I98,'[15]Gasto Real Vs Presupuesto 2026'!$A$7:$N$29,Z$1,0)</f>
        <v>7445.6423999999997</v>
      </c>
      <c r="AA98" s="65">
        <f>VLOOKUP($I98,'[15]Gasto Real Vs Presupuesto 2026'!$A$7:$N$29,AA$1,0)</f>
        <v>8243.389799999999</v>
      </c>
      <c r="AB98" s="65">
        <f>VLOOKUP($I98,'[15]Gasto Real Vs Presupuesto 2026'!$A$7:$N$29,AB$1,0)</f>
        <v>7977.4739999999983</v>
      </c>
      <c r="AC98" s="65">
        <f>VLOOKUP($I98,'[15]Gasto Real Vs Presupuesto 2026'!$A$7:$N$29,AC$1,0)</f>
        <v>8243.389799999999</v>
      </c>
      <c r="AD98" s="65">
        <f>VLOOKUP($I98,'[15]Gasto Real Vs Presupuesto 2026'!$A$7:$N$29,AD$1,0)</f>
        <v>7977.4739999999983</v>
      </c>
      <c r="AE98" s="65">
        <f>VLOOKUP($I98,'[15]Gasto Real Vs Presupuesto 2026'!$A$7:$N$29,AE$1,0)</f>
        <v>8243.389799999999</v>
      </c>
      <c r="AF98" s="65">
        <f>VLOOKUP($I98,'[15]Gasto Real Vs Presupuesto 2026'!$A$7:$N$29,AF$1,0)</f>
        <v>8243.389799999999</v>
      </c>
      <c r="AG98" s="65">
        <f>VLOOKUP($I98,'[15]Gasto Real Vs Presupuesto 2026'!$A$7:$N$29,AG$1,0)</f>
        <v>7977.4739999999983</v>
      </c>
      <c r="AH98" s="65">
        <f>VLOOKUP($I98,'[15]Gasto Real Vs Presupuesto 2026'!$A$7:$N$29,AH$1,0)</f>
        <v>8243.389799999999</v>
      </c>
      <c r="AI98" s="65">
        <f>VLOOKUP($I98,'[15]Gasto Real Vs Presupuesto 2026'!$A$7:$N$29,AI$1,0)</f>
        <v>7977.4739999999983</v>
      </c>
      <c r="AJ98" s="65">
        <f>VLOOKUP($I98,'[15]Gasto Real Vs Presupuesto 2026'!$A$7:$N$29,AJ$1,0)</f>
        <v>8243.389799999999</v>
      </c>
      <c r="AK98" s="65">
        <f t="shared" si="66"/>
        <v>97059.267000000007</v>
      </c>
      <c r="AL98" s="73">
        <f t="shared" si="37"/>
        <v>1.1037274141183146E-3</v>
      </c>
      <c r="AM98" s="14">
        <f t="shared" si="38"/>
        <v>-9.2815023904214811E-2</v>
      </c>
      <c r="AN98" s="237"/>
    </row>
    <row r="99" spans="1:40" ht="15" customHeight="1" outlineLevel="1">
      <c r="A99" s="12" t="s">
        <v>208</v>
      </c>
      <c r="B99" s="8" t="s">
        <v>101</v>
      </c>
      <c r="I99" s="231" t="s">
        <v>211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f t="shared" si="63"/>
        <v>0</v>
      </c>
      <c r="U99" s="65">
        <f t="shared" si="64"/>
        <v>0</v>
      </c>
      <c r="V99" s="65">
        <f t="shared" si="65"/>
        <v>0</v>
      </c>
      <c r="W99" s="73">
        <f t="shared" si="36"/>
        <v>0</v>
      </c>
      <c r="X99" s="89"/>
      <c r="Y99" s="65">
        <f>VLOOKUP($I99,'[15]Gasto Real Vs Presupuesto 2026'!$A$7:$N$29,Y$1,0)</f>
        <v>0</v>
      </c>
      <c r="Z99" s="65">
        <f>VLOOKUP($I99,'[15]Gasto Real Vs Presupuesto 2026'!$A$7:$N$29,Z$1,0)</f>
        <v>0</v>
      </c>
      <c r="AA99" s="65">
        <f>VLOOKUP($I99,'[15]Gasto Real Vs Presupuesto 2026'!$A$7:$N$29,AA$1,0)</f>
        <v>0</v>
      </c>
      <c r="AB99" s="65">
        <f>VLOOKUP($I99,'[15]Gasto Real Vs Presupuesto 2026'!$A$7:$N$29,AB$1,0)</f>
        <v>0</v>
      </c>
      <c r="AC99" s="65">
        <f>VLOOKUP($I99,'[15]Gasto Real Vs Presupuesto 2026'!$A$7:$N$29,AC$1,0)</f>
        <v>0</v>
      </c>
      <c r="AD99" s="65">
        <f>VLOOKUP($I99,'[15]Gasto Real Vs Presupuesto 2026'!$A$7:$N$29,AD$1,0)</f>
        <v>0</v>
      </c>
      <c r="AE99" s="65">
        <f>VLOOKUP($I99,'[15]Gasto Real Vs Presupuesto 2026'!$A$7:$N$29,AE$1,0)</f>
        <v>0</v>
      </c>
      <c r="AF99" s="65">
        <f>VLOOKUP($I99,'[15]Gasto Real Vs Presupuesto 2026'!$A$7:$N$29,AF$1,0)</f>
        <v>0</v>
      </c>
      <c r="AG99" s="65">
        <f>VLOOKUP($I99,'[15]Gasto Real Vs Presupuesto 2026'!$A$7:$N$29,AG$1,0)</f>
        <v>0</v>
      </c>
      <c r="AH99" s="65">
        <f>VLOOKUP($I99,'[15]Gasto Real Vs Presupuesto 2026'!$A$7:$N$29,AH$1,0)</f>
        <v>0</v>
      </c>
      <c r="AI99" s="65">
        <f>VLOOKUP($I99,'[15]Gasto Real Vs Presupuesto 2026'!$A$7:$N$29,AI$1,0)</f>
        <v>0</v>
      </c>
      <c r="AJ99" s="65">
        <f>VLOOKUP($I99,'[15]Gasto Real Vs Presupuesto 2026'!$A$7:$N$29,AJ$1,0)</f>
        <v>0</v>
      </c>
      <c r="AK99" s="65">
        <f t="shared" si="66"/>
        <v>0</v>
      </c>
      <c r="AL99" s="73">
        <f t="shared" si="37"/>
        <v>0</v>
      </c>
      <c r="AM99" s="14">
        <f t="shared" si="38"/>
        <v>0</v>
      </c>
      <c r="AN99" s="9"/>
    </row>
    <row r="100" spans="1:40" ht="15" customHeight="1" outlineLevel="1">
      <c r="A100" s="12" t="s">
        <v>208</v>
      </c>
      <c r="B100" s="8" t="s">
        <v>101</v>
      </c>
      <c r="I100" s="228" t="s">
        <v>212</v>
      </c>
      <c r="J100" s="65">
        <v>3396</v>
      </c>
      <c r="K100" s="65">
        <v>2452</v>
      </c>
      <c r="L100" s="65">
        <v>2198</v>
      </c>
      <c r="M100" s="65">
        <v>2206</v>
      </c>
      <c r="N100" s="65">
        <v>1488</v>
      </c>
      <c r="O100" s="65">
        <v>2869</v>
      </c>
      <c r="P100" s="65">
        <v>2725</v>
      </c>
      <c r="Q100" s="65">
        <v>2547</v>
      </c>
      <c r="R100" s="65">
        <v>2654</v>
      </c>
      <c r="S100" s="65">
        <v>3218</v>
      </c>
      <c r="T100" s="65">
        <f t="shared" si="63"/>
        <v>2786</v>
      </c>
      <c r="U100" s="65">
        <f t="shared" si="64"/>
        <v>2801.25</v>
      </c>
      <c r="V100" s="65">
        <f t="shared" si="65"/>
        <v>31340.25</v>
      </c>
      <c r="W100" s="73">
        <f t="shared" si="36"/>
        <v>3.9915593754367464E-4</v>
      </c>
      <c r="X100" s="89"/>
      <c r="Y100" s="65">
        <f>VLOOKUP($I100,'[15]Gasto Real Vs Presupuesto 2026'!$A$7:$N$29,Y$1,0)</f>
        <v>2533.1292756000003</v>
      </c>
      <c r="Z100" s="65">
        <f>VLOOKUP($I100,'[15]Gasto Real Vs Presupuesto 2026'!$A$7:$N$29,Z$1,0)</f>
        <v>2146.7209680000001</v>
      </c>
      <c r="AA100" s="65">
        <f>VLOOKUP($I100,'[15]Gasto Real Vs Presupuesto 2026'!$A$7:$N$29,AA$1,0)</f>
        <v>2376.7267860000002</v>
      </c>
      <c r="AB100" s="65">
        <f>VLOOKUP($I100,'[15]Gasto Real Vs Presupuesto 2026'!$A$7:$N$29,AB$1,0)</f>
        <v>2300.05818</v>
      </c>
      <c r="AC100" s="65">
        <f>VLOOKUP($I100,'[15]Gasto Real Vs Presupuesto 2026'!$A$7:$N$29,AC$1,0)</f>
        <v>2376.7267860000002</v>
      </c>
      <c r="AD100" s="65">
        <f>VLOOKUP($I100,'[15]Gasto Real Vs Presupuesto 2026'!$A$7:$N$29,AD$1,0)</f>
        <v>2300.05818</v>
      </c>
      <c r="AE100" s="65">
        <f>VLOOKUP($I100,'[15]Gasto Real Vs Presupuesto 2026'!$A$7:$N$29,AE$1,0)</f>
        <v>2376.7267860000002</v>
      </c>
      <c r="AF100" s="65">
        <f>VLOOKUP($I100,'[15]Gasto Real Vs Presupuesto 2026'!$A$7:$N$29,AF$1,0)</f>
        <v>2376.7267860000002</v>
      </c>
      <c r="AG100" s="65">
        <f>VLOOKUP($I100,'[15]Gasto Real Vs Presupuesto 2026'!$A$7:$N$29,AG$1,0)</f>
        <v>2300.05818</v>
      </c>
      <c r="AH100" s="65">
        <f>VLOOKUP($I100,'[15]Gasto Real Vs Presupuesto 2026'!$A$7:$N$29,AH$1,0)</f>
        <v>2376.7267860000002</v>
      </c>
      <c r="AI100" s="65">
        <f>VLOOKUP($I100,'[15]Gasto Real Vs Presupuesto 2026'!$A$7:$N$29,AI$1,0)</f>
        <v>2300.05818</v>
      </c>
      <c r="AJ100" s="65">
        <f>VLOOKUP($I100,'[15]Gasto Real Vs Presupuesto 2026'!$A$7:$N$29,AJ$1,0)</f>
        <v>2376.7267860000002</v>
      </c>
      <c r="AK100" s="65">
        <f t="shared" si="66"/>
        <v>28140.443679599997</v>
      </c>
      <c r="AL100" s="73">
        <f t="shared" si="37"/>
        <v>3.2000426228880312E-4</v>
      </c>
      <c r="AM100" s="14">
        <f t="shared" si="38"/>
        <v>-0.10209894051259971</v>
      </c>
      <c r="AN100" s="9"/>
    </row>
    <row r="101" spans="1:40" ht="15" customHeight="1" outlineLevel="1">
      <c r="A101" s="12" t="s">
        <v>208</v>
      </c>
      <c r="B101" s="8" t="s">
        <v>101</v>
      </c>
      <c r="I101" s="228" t="s">
        <v>213</v>
      </c>
      <c r="J101" s="65">
        <v>894</v>
      </c>
      <c r="K101" s="65">
        <v>957</v>
      </c>
      <c r="L101" s="65">
        <v>909</v>
      </c>
      <c r="M101" s="65">
        <v>1067</v>
      </c>
      <c r="N101" s="65">
        <v>558</v>
      </c>
      <c r="O101" s="65">
        <v>808</v>
      </c>
      <c r="P101" s="65">
        <v>902</v>
      </c>
      <c r="Q101" s="65">
        <v>704</v>
      </c>
      <c r="R101" s="65">
        <v>812</v>
      </c>
      <c r="S101" s="65">
        <v>1015</v>
      </c>
      <c r="T101" s="65">
        <f t="shared" si="63"/>
        <v>858.25</v>
      </c>
      <c r="U101" s="65">
        <f t="shared" si="64"/>
        <v>847.3125</v>
      </c>
      <c r="V101" s="65">
        <f t="shared" si="65"/>
        <v>10331.5625</v>
      </c>
      <c r="W101" s="73">
        <f t="shared" si="36"/>
        <v>1.3158492724144098E-4</v>
      </c>
      <c r="X101" s="89"/>
      <c r="Y101" s="65">
        <f>VLOOKUP($I101,'[15]Gasto Real Vs Presupuesto 2026'!$A$7:$N$29,Y$1,0)</f>
        <v>1233.4406194417809</v>
      </c>
      <c r="Z101" s="65">
        <f>VLOOKUP($I101,'[15]Gasto Real Vs Presupuesto 2026'!$A$7:$N$29,Z$1,0)</f>
        <v>1056.0205633561645</v>
      </c>
      <c r="AA101" s="65">
        <f>VLOOKUP($I101,'[15]Gasto Real Vs Presupuesto 2026'!$A$7:$N$29,AA$1,0)</f>
        <v>1169.1656237157533</v>
      </c>
      <c r="AB101" s="65">
        <f>VLOOKUP($I101,'[15]Gasto Real Vs Presupuesto 2026'!$A$7:$N$29,AB$1,0)</f>
        <v>1131.4506035958902</v>
      </c>
      <c r="AC101" s="65">
        <f>VLOOKUP($I101,'[15]Gasto Real Vs Presupuesto 2026'!$A$7:$N$29,AC$1,0)</f>
        <v>1169.1656237157533</v>
      </c>
      <c r="AD101" s="65">
        <f>VLOOKUP($I101,'[15]Gasto Real Vs Presupuesto 2026'!$A$7:$N$29,AD$1,0)</f>
        <v>1131.4506035958902</v>
      </c>
      <c r="AE101" s="65">
        <f>VLOOKUP($I101,'[15]Gasto Real Vs Presupuesto 2026'!$A$7:$N$29,AE$1,0)</f>
        <v>1169.1656237157533</v>
      </c>
      <c r="AF101" s="65">
        <f>VLOOKUP($I101,'[15]Gasto Real Vs Presupuesto 2026'!$A$7:$N$29,AF$1,0)</f>
        <v>1169.1656237157533</v>
      </c>
      <c r="AG101" s="65">
        <f>VLOOKUP($I101,'[15]Gasto Real Vs Presupuesto 2026'!$A$7:$N$29,AG$1,0)</f>
        <v>1131.4506035958902</v>
      </c>
      <c r="AH101" s="65">
        <f>VLOOKUP($I101,'[15]Gasto Real Vs Presupuesto 2026'!$A$7:$N$29,AH$1,0)</f>
        <v>1169.1656237157533</v>
      </c>
      <c r="AI101" s="65">
        <f>VLOOKUP($I101,'[15]Gasto Real Vs Presupuesto 2026'!$A$7:$N$29,AI$1,0)</f>
        <v>1131.4506035958902</v>
      </c>
      <c r="AJ101" s="65">
        <f>VLOOKUP($I101,'[15]Gasto Real Vs Presupuesto 2026'!$A$7:$N$29,AJ$1,0)</f>
        <v>1169.1656237157533</v>
      </c>
      <c r="AK101" s="65">
        <f t="shared" si="66"/>
        <v>13830.257339476024</v>
      </c>
      <c r="AL101" s="73">
        <f t="shared" si="37"/>
        <v>1.5727333042697214E-4</v>
      </c>
      <c r="AM101" s="14">
        <f t="shared" si="38"/>
        <v>0.33864140486746552</v>
      </c>
      <c r="AN101" s="9"/>
    </row>
    <row r="102" spans="1:40" ht="15" customHeight="1" outlineLevel="1">
      <c r="A102" s="12" t="s">
        <v>208</v>
      </c>
      <c r="B102" s="8" t="s">
        <v>101</v>
      </c>
      <c r="I102" s="228" t="s">
        <v>215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f t="shared" si="63"/>
        <v>0</v>
      </c>
      <c r="U102" s="65">
        <f t="shared" si="64"/>
        <v>0</v>
      </c>
      <c r="V102" s="65">
        <f t="shared" si="65"/>
        <v>0</v>
      </c>
      <c r="W102" s="73">
        <f t="shared" si="36"/>
        <v>0</v>
      </c>
      <c r="X102" s="89"/>
      <c r="Y102" s="65">
        <f>VLOOKUP($I102,'[15]Gasto Real Vs Presupuesto 2026'!$A$7:$N$29,Y$1,0)</f>
        <v>0</v>
      </c>
      <c r="Z102" s="65">
        <f>VLOOKUP($I102,'[15]Gasto Real Vs Presupuesto 2026'!$A$7:$N$29,Z$1,0)</f>
        <v>0</v>
      </c>
      <c r="AA102" s="65">
        <f>VLOOKUP($I102,'[15]Gasto Real Vs Presupuesto 2026'!$A$7:$N$29,AA$1,0)</f>
        <v>0</v>
      </c>
      <c r="AB102" s="65">
        <f>VLOOKUP($I102,'[15]Gasto Real Vs Presupuesto 2026'!$A$7:$N$29,AB$1,0)</f>
        <v>0</v>
      </c>
      <c r="AC102" s="65">
        <f>VLOOKUP($I102,'[15]Gasto Real Vs Presupuesto 2026'!$A$7:$N$29,AC$1,0)</f>
        <v>0</v>
      </c>
      <c r="AD102" s="65">
        <f>VLOOKUP($I102,'[15]Gasto Real Vs Presupuesto 2026'!$A$7:$N$29,AD$1,0)</f>
        <v>0</v>
      </c>
      <c r="AE102" s="65">
        <f>VLOOKUP($I102,'[15]Gasto Real Vs Presupuesto 2026'!$A$7:$N$29,AE$1,0)</f>
        <v>0</v>
      </c>
      <c r="AF102" s="65">
        <f>VLOOKUP($I102,'[15]Gasto Real Vs Presupuesto 2026'!$A$7:$N$29,AF$1,0)</f>
        <v>0</v>
      </c>
      <c r="AG102" s="65">
        <f>VLOOKUP($I102,'[15]Gasto Real Vs Presupuesto 2026'!$A$7:$N$29,AG$1,0)</f>
        <v>0</v>
      </c>
      <c r="AH102" s="65">
        <f>VLOOKUP($I102,'[15]Gasto Real Vs Presupuesto 2026'!$A$7:$N$29,AH$1,0)</f>
        <v>0</v>
      </c>
      <c r="AI102" s="65">
        <f>VLOOKUP($I102,'[15]Gasto Real Vs Presupuesto 2026'!$A$7:$N$29,AI$1,0)</f>
        <v>0</v>
      </c>
      <c r="AJ102" s="65">
        <f>VLOOKUP($I102,'[15]Gasto Real Vs Presupuesto 2026'!$A$7:$N$29,AJ$1,0)</f>
        <v>0</v>
      </c>
      <c r="AK102" s="65">
        <f t="shared" si="66"/>
        <v>0</v>
      </c>
      <c r="AL102" s="73">
        <f t="shared" si="37"/>
        <v>0</v>
      </c>
      <c r="AM102" s="14">
        <f t="shared" si="38"/>
        <v>0</v>
      </c>
      <c r="AN102" s="9"/>
    </row>
    <row r="103" spans="1:40" ht="14.45" customHeight="1">
      <c r="A103" s="12" t="s">
        <v>214</v>
      </c>
      <c r="B103" s="8" t="s">
        <v>101</v>
      </c>
      <c r="C103" s="8" t="s">
        <v>91</v>
      </c>
      <c r="I103" s="228" t="s">
        <v>216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/>
      <c r="T103" s="65">
        <f t="shared" si="63"/>
        <v>0</v>
      </c>
      <c r="U103" s="65">
        <f t="shared" si="64"/>
        <v>0</v>
      </c>
      <c r="V103" s="65">
        <f t="shared" si="65"/>
        <v>0</v>
      </c>
      <c r="W103" s="73">
        <f t="shared" si="36"/>
        <v>0</v>
      </c>
      <c r="X103" s="89"/>
      <c r="Y103" s="65">
        <f>VLOOKUP($I103,'[15]Gasto Real Vs Presupuesto 2026'!$A$7:$N$29,Y$1,0)</f>
        <v>0</v>
      </c>
      <c r="Z103" s="65">
        <f>VLOOKUP($I103,'[15]Gasto Real Vs Presupuesto 2026'!$A$7:$N$29,Z$1,0)</f>
        <v>0</v>
      </c>
      <c r="AA103" s="65">
        <f>VLOOKUP($I103,'[15]Gasto Real Vs Presupuesto 2026'!$A$7:$N$29,AA$1,0)</f>
        <v>0</v>
      </c>
      <c r="AB103" s="65">
        <f>VLOOKUP($I103,'[15]Gasto Real Vs Presupuesto 2026'!$A$7:$N$29,AB$1,0)</f>
        <v>0</v>
      </c>
      <c r="AC103" s="65">
        <f>VLOOKUP($I103,'[15]Gasto Real Vs Presupuesto 2026'!$A$7:$N$29,AC$1,0)</f>
        <v>0</v>
      </c>
      <c r="AD103" s="65">
        <f>VLOOKUP($I103,'[15]Gasto Real Vs Presupuesto 2026'!$A$7:$N$29,AD$1,0)</f>
        <v>0</v>
      </c>
      <c r="AE103" s="65">
        <f>VLOOKUP($I103,'[15]Gasto Real Vs Presupuesto 2026'!$A$7:$N$29,AE$1,0)</f>
        <v>0</v>
      </c>
      <c r="AF103" s="65">
        <f>VLOOKUP($I103,'[15]Gasto Real Vs Presupuesto 2026'!$A$7:$N$29,AF$1,0)</f>
        <v>0</v>
      </c>
      <c r="AG103" s="65">
        <f>VLOOKUP($I103,'[15]Gasto Real Vs Presupuesto 2026'!$A$7:$N$29,AG$1,0)</f>
        <v>0</v>
      </c>
      <c r="AH103" s="65">
        <f>VLOOKUP($I103,'[15]Gasto Real Vs Presupuesto 2026'!$A$7:$N$29,AH$1,0)</f>
        <v>0</v>
      </c>
      <c r="AI103" s="65">
        <f>VLOOKUP($I103,'[15]Gasto Real Vs Presupuesto 2026'!$A$7:$N$29,AI$1,0)</f>
        <v>0</v>
      </c>
      <c r="AJ103" s="65">
        <f>VLOOKUP($I103,'[15]Gasto Real Vs Presupuesto 2026'!$A$7:$N$29,AJ$1,0)</f>
        <v>0</v>
      </c>
      <c r="AK103" s="65">
        <f t="shared" si="66"/>
        <v>0</v>
      </c>
      <c r="AL103" s="73">
        <f t="shared" si="37"/>
        <v>0</v>
      </c>
      <c r="AM103" s="14">
        <f t="shared" si="38"/>
        <v>0</v>
      </c>
      <c r="AN103" s="237"/>
    </row>
    <row r="104" spans="1:40" ht="14.45" customHeight="1" outlineLevel="1">
      <c r="A104" s="12" t="s">
        <v>214</v>
      </c>
      <c r="B104" s="8" t="s">
        <v>101</v>
      </c>
      <c r="I104" s="228" t="s">
        <v>217</v>
      </c>
      <c r="J104" s="65">
        <v>124920</v>
      </c>
      <c r="K104" s="65">
        <v>109048</v>
      </c>
      <c r="L104" s="65">
        <v>107389</v>
      </c>
      <c r="M104" s="65">
        <v>100505</v>
      </c>
      <c r="N104" s="65">
        <v>65936</v>
      </c>
      <c r="O104" s="65">
        <v>111857</v>
      </c>
      <c r="P104" s="65">
        <v>84865</v>
      </c>
      <c r="Q104" s="65">
        <v>91356</v>
      </c>
      <c r="R104" s="65">
        <v>101713</v>
      </c>
      <c r="S104" s="65">
        <v>104706</v>
      </c>
      <c r="T104" s="65">
        <f t="shared" si="63"/>
        <v>95660</v>
      </c>
      <c r="U104" s="65">
        <f t="shared" si="64"/>
        <v>98358.75</v>
      </c>
      <c r="V104" s="65">
        <f t="shared" si="65"/>
        <v>1196313.75</v>
      </c>
      <c r="W104" s="73">
        <f t="shared" si="36"/>
        <v>1.523650055368541E-2</v>
      </c>
      <c r="X104" s="89"/>
      <c r="Y104" s="65">
        <f>VLOOKUP($I104,'[15]Gasto Real Vs Presupuesto 2026'!$A$7:$N$29,Y$1,0)</f>
        <v>120054.886959</v>
      </c>
      <c r="Z104" s="65">
        <f>VLOOKUP($I104,'[15]Gasto Real Vs Presupuesto 2026'!$A$7:$N$29,Z$1,0)</f>
        <v>102786.00150000001</v>
      </c>
      <c r="AA104" s="65">
        <f>VLOOKUP($I104,'[15]Gasto Real Vs Presupuesto 2026'!$A$7:$N$29,AA$1,0)</f>
        <v>113798.787375</v>
      </c>
      <c r="AB104" s="65">
        <f>VLOOKUP($I104,'[15]Gasto Real Vs Presupuesto 2026'!$A$7:$N$29,AB$1,0)</f>
        <v>110127.85875000001</v>
      </c>
      <c r="AC104" s="65">
        <f>VLOOKUP($I104,'[15]Gasto Real Vs Presupuesto 2026'!$A$7:$N$29,AC$1,0)</f>
        <v>113798.787375</v>
      </c>
      <c r="AD104" s="65">
        <f>VLOOKUP($I104,'[15]Gasto Real Vs Presupuesto 2026'!$A$7:$N$29,AD$1,0)</f>
        <v>110127.85875000001</v>
      </c>
      <c r="AE104" s="65">
        <f>VLOOKUP($I104,'[15]Gasto Real Vs Presupuesto 2026'!$A$7:$N$29,AE$1,0)</f>
        <v>113798.787375</v>
      </c>
      <c r="AF104" s="65">
        <f>VLOOKUP($I104,'[15]Gasto Real Vs Presupuesto 2026'!$A$7:$N$29,AF$1,0)</f>
        <v>113798.787375</v>
      </c>
      <c r="AG104" s="65">
        <f>VLOOKUP($I104,'[15]Gasto Real Vs Presupuesto 2026'!$A$7:$N$29,AG$1,0)</f>
        <v>110127.85875000001</v>
      </c>
      <c r="AH104" s="65">
        <f>VLOOKUP($I104,'[15]Gasto Real Vs Presupuesto 2026'!$A$7:$N$29,AH$1,0)</f>
        <v>113798.787375</v>
      </c>
      <c r="AI104" s="65">
        <f>VLOOKUP($I104,'[15]Gasto Real Vs Presupuesto 2026'!$A$7:$N$29,AI$1,0)</f>
        <v>110127.85875000001</v>
      </c>
      <c r="AJ104" s="65">
        <f>VLOOKUP($I104,'[15]Gasto Real Vs Presupuesto 2026'!$A$7:$N$29,AJ$1,0)</f>
        <v>113798.787375</v>
      </c>
      <c r="AK104" s="65">
        <f t="shared" si="66"/>
        <v>1346145.0477090001</v>
      </c>
      <c r="AL104" s="73">
        <f t="shared" si="37"/>
        <v>1.530793749489196E-2</v>
      </c>
      <c r="AM104" s="14">
        <f t="shared" si="38"/>
        <v>0.12524414912810289</v>
      </c>
      <c r="AN104" s="9"/>
    </row>
    <row r="105" spans="1:40" ht="14.45" customHeight="1" outlineLevel="1">
      <c r="A105" s="12"/>
      <c r="I105" s="228" t="s">
        <v>218</v>
      </c>
      <c r="J105" s="65">
        <v>722</v>
      </c>
      <c r="K105" s="65">
        <v>0</v>
      </c>
      <c r="L105" s="65">
        <v>1156</v>
      </c>
      <c r="M105" s="65">
        <v>144</v>
      </c>
      <c r="N105" s="65">
        <v>578</v>
      </c>
      <c r="O105" s="65">
        <v>0</v>
      </c>
      <c r="P105" s="65">
        <v>0</v>
      </c>
      <c r="Q105" s="65">
        <v>0</v>
      </c>
      <c r="R105" s="65">
        <v>578</v>
      </c>
      <c r="S105" s="65">
        <v>0</v>
      </c>
      <c r="T105" s="65">
        <f t="shared" si="63"/>
        <v>144.5</v>
      </c>
      <c r="U105" s="65">
        <f t="shared" si="64"/>
        <v>180.625</v>
      </c>
      <c r="V105" s="65">
        <f t="shared" si="65"/>
        <v>3503.125</v>
      </c>
      <c r="W105" s="73">
        <f t="shared" si="36"/>
        <v>4.4616528065592495E-5</v>
      </c>
      <c r="X105" s="89"/>
      <c r="Y105" s="65">
        <f>VLOOKUP($I105,'[15]Gasto Real Vs Presupuesto 2026'!$A$7:$N$29,Y$1,0)</f>
        <v>0</v>
      </c>
      <c r="Z105" s="65">
        <f>VLOOKUP($I105,'[15]Gasto Real Vs Presupuesto 2026'!$A$7:$N$29,Z$1,0)</f>
        <v>0</v>
      </c>
      <c r="AA105" s="65">
        <f>VLOOKUP($I105,'[15]Gasto Real Vs Presupuesto 2026'!$A$7:$N$29,AA$1,0)</f>
        <v>0</v>
      </c>
      <c r="AB105" s="65">
        <f>VLOOKUP($I105,'[15]Gasto Real Vs Presupuesto 2026'!$A$7:$N$29,AB$1,0)</f>
        <v>0</v>
      </c>
      <c r="AC105" s="65">
        <f>VLOOKUP($I105,'[15]Gasto Real Vs Presupuesto 2026'!$A$7:$N$29,AC$1,0)</f>
        <v>0</v>
      </c>
      <c r="AD105" s="65">
        <f>VLOOKUP($I105,'[15]Gasto Real Vs Presupuesto 2026'!$A$7:$N$29,AD$1,0)</f>
        <v>0</v>
      </c>
      <c r="AE105" s="65">
        <f>VLOOKUP($I105,'[15]Gasto Real Vs Presupuesto 2026'!$A$7:$N$29,AE$1,0)</f>
        <v>0</v>
      </c>
      <c r="AF105" s="65">
        <f>VLOOKUP($I105,'[15]Gasto Real Vs Presupuesto 2026'!$A$7:$N$29,AF$1,0)</f>
        <v>0</v>
      </c>
      <c r="AG105" s="65">
        <f>VLOOKUP($I105,'[15]Gasto Real Vs Presupuesto 2026'!$A$7:$N$29,AG$1,0)</f>
        <v>0</v>
      </c>
      <c r="AH105" s="65">
        <f>VLOOKUP($I105,'[15]Gasto Real Vs Presupuesto 2026'!$A$7:$N$29,AH$1,0)</f>
        <v>0</v>
      </c>
      <c r="AI105" s="65">
        <f>VLOOKUP($I105,'[15]Gasto Real Vs Presupuesto 2026'!$A$7:$N$29,AI$1,0)</f>
        <v>0</v>
      </c>
      <c r="AJ105" s="65">
        <f>VLOOKUP($I105,'[15]Gasto Real Vs Presupuesto 2026'!$A$7:$N$29,AJ$1,0)</f>
        <v>0</v>
      </c>
      <c r="AK105" s="65">
        <f t="shared" si="66"/>
        <v>0</v>
      </c>
      <c r="AL105" s="73">
        <f t="shared" si="37"/>
        <v>0</v>
      </c>
      <c r="AM105" s="14">
        <f t="shared" si="38"/>
        <v>-1</v>
      </c>
      <c r="AN105" s="9"/>
    </row>
    <row r="106" spans="1:40" ht="14.45" customHeight="1" outlineLevel="1">
      <c r="A106" s="12"/>
      <c r="I106" s="228" t="s">
        <v>219</v>
      </c>
      <c r="J106" s="65">
        <v>3576</v>
      </c>
      <c r="K106" s="65">
        <v>3827</v>
      </c>
      <c r="L106" s="65">
        <v>3637</v>
      </c>
      <c r="M106" s="65">
        <v>4268</v>
      </c>
      <c r="N106" s="65">
        <v>2231</v>
      </c>
      <c r="O106" s="65">
        <v>3230</v>
      </c>
      <c r="P106" s="65">
        <v>3607</v>
      </c>
      <c r="Q106" s="65">
        <v>2816</v>
      </c>
      <c r="R106" s="65">
        <v>3246</v>
      </c>
      <c r="S106" s="65">
        <v>4059</v>
      </c>
      <c r="T106" s="65">
        <f t="shared" si="63"/>
        <v>3432</v>
      </c>
      <c r="U106" s="65">
        <f t="shared" si="64"/>
        <v>3388.25</v>
      </c>
      <c r="V106" s="65">
        <f t="shared" si="65"/>
        <v>41317.25</v>
      </c>
      <c r="W106" s="73">
        <f t="shared" si="36"/>
        <v>5.2622508309526533E-4</v>
      </c>
      <c r="X106" s="89"/>
      <c r="Y106" s="65">
        <f>VLOOKUP($I106,'[15]Gasto Real Vs Presupuesto 2026'!$A$7:$N$29,Y$1,0)</f>
        <v>0</v>
      </c>
      <c r="Z106" s="65">
        <f>VLOOKUP($I106,'[15]Gasto Real Vs Presupuesto 2026'!$A$7:$N$29,Z$1,0)</f>
        <v>0</v>
      </c>
      <c r="AA106" s="65">
        <f>VLOOKUP($I106,'[15]Gasto Real Vs Presupuesto 2026'!$A$7:$N$29,AA$1,0)</f>
        <v>0</v>
      </c>
      <c r="AB106" s="65">
        <f>VLOOKUP($I106,'[15]Gasto Real Vs Presupuesto 2026'!$A$7:$N$29,AB$1,0)</f>
        <v>0</v>
      </c>
      <c r="AC106" s="65">
        <f>VLOOKUP($I106,'[15]Gasto Real Vs Presupuesto 2026'!$A$7:$N$29,AC$1,0)</f>
        <v>0</v>
      </c>
      <c r="AD106" s="65">
        <f>VLOOKUP($I106,'[15]Gasto Real Vs Presupuesto 2026'!$A$7:$N$29,AD$1,0)</f>
        <v>0</v>
      </c>
      <c r="AE106" s="65">
        <f>VLOOKUP($I106,'[15]Gasto Real Vs Presupuesto 2026'!$A$7:$N$29,AE$1,0)</f>
        <v>0</v>
      </c>
      <c r="AF106" s="65">
        <f>VLOOKUP($I106,'[15]Gasto Real Vs Presupuesto 2026'!$A$7:$N$29,AF$1,0)</f>
        <v>0</v>
      </c>
      <c r="AG106" s="65">
        <f>VLOOKUP($I106,'[15]Gasto Real Vs Presupuesto 2026'!$A$7:$N$29,AG$1,0)</f>
        <v>0</v>
      </c>
      <c r="AH106" s="65">
        <f>VLOOKUP($I106,'[15]Gasto Real Vs Presupuesto 2026'!$A$7:$N$29,AH$1,0)</f>
        <v>0</v>
      </c>
      <c r="AI106" s="65">
        <f>VLOOKUP($I106,'[15]Gasto Real Vs Presupuesto 2026'!$A$7:$N$29,AI$1,0)</f>
        <v>0</v>
      </c>
      <c r="AJ106" s="65">
        <f>VLOOKUP($I106,'[15]Gasto Real Vs Presupuesto 2026'!$A$7:$N$29,AJ$1,0)</f>
        <v>0</v>
      </c>
      <c r="AK106" s="65">
        <f t="shared" si="66"/>
        <v>0</v>
      </c>
      <c r="AL106" s="73">
        <f t="shared" si="37"/>
        <v>0</v>
      </c>
      <c r="AM106" s="14">
        <f t="shared" si="38"/>
        <v>-1</v>
      </c>
      <c r="AN106" s="9"/>
    </row>
    <row r="107" spans="1:40" ht="14.45" customHeight="1" outlineLevel="1">
      <c r="A107" s="12"/>
      <c r="E107" s="7" t="s">
        <v>470</v>
      </c>
      <c r="I107" s="170" t="s">
        <v>220</v>
      </c>
      <c r="J107" s="15">
        <v>32558</v>
      </c>
      <c r="K107" s="15">
        <v>34959</v>
      </c>
      <c r="L107" s="15">
        <v>33753</v>
      </c>
      <c r="M107" s="15">
        <v>38475</v>
      </c>
      <c r="N107" s="15">
        <v>20219</v>
      </c>
      <c r="O107" s="15">
        <v>29834</v>
      </c>
      <c r="P107" s="15">
        <v>32838</v>
      </c>
      <c r="Q107" s="15">
        <v>26651</v>
      </c>
      <c r="R107" s="15">
        <v>30409</v>
      </c>
      <c r="S107" s="15">
        <v>37130</v>
      </c>
      <c r="T107" s="15">
        <f t="shared" ref="R107:V107" si="67">SUM(T108:T111)</f>
        <v>31756.75</v>
      </c>
      <c r="U107" s="15">
        <f t="shared" si="67"/>
        <v>31486.4375</v>
      </c>
      <c r="V107" s="15">
        <f t="shared" si="67"/>
        <v>380066.1875</v>
      </c>
      <c r="W107" s="72">
        <f t="shared" si="36"/>
        <v>4.8406019543626019E-3</v>
      </c>
      <c r="X107" s="89"/>
      <c r="Y107" s="15">
        <f>SUM(Y108:Y111)</f>
        <v>41809.104524957984</v>
      </c>
      <c r="Z107" s="15">
        <f t="shared" ref="Z107:AK107" si="68">SUM(Z108:Z111)</f>
        <v>36680.027127803143</v>
      </c>
      <c r="AA107" s="15">
        <f t="shared" si="68"/>
        <v>40156.857931699204</v>
      </c>
      <c r="AB107" s="15">
        <f t="shared" si="68"/>
        <v>37960.287156125501</v>
      </c>
      <c r="AC107" s="15">
        <f t="shared" si="68"/>
        <v>40156.857931699204</v>
      </c>
      <c r="AD107" s="15">
        <f t="shared" si="68"/>
        <v>37960.287156125501</v>
      </c>
      <c r="AE107" s="15">
        <f t="shared" si="68"/>
        <v>38835.726951394754</v>
      </c>
      <c r="AF107" s="15">
        <f t="shared" si="68"/>
        <v>38835.726951394754</v>
      </c>
      <c r="AG107" s="15">
        <f t="shared" si="68"/>
        <v>38997.914330400512</v>
      </c>
      <c r="AH107" s="15">
        <f t="shared" si="68"/>
        <v>38835.726951394754</v>
      </c>
      <c r="AI107" s="15">
        <f t="shared" si="68"/>
        <v>38997.914330400512</v>
      </c>
      <c r="AJ107" s="15">
        <f t="shared" si="68"/>
        <v>40156.857931699204</v>
      </c>
      <c r="AK107" s="15">
        <f t="shared" si="68"/>
        <v>469383.28927509504</v>
      </c>
      <c r="AL107" s="72">
        <f t="shared" si="37"/>
        <v>5.337678926649523E-3</v>
      </c>
      <c r="AM107" s="10">
        <f t="shared" si="38"/>
        <v>0.23500407221859221</v>
      </c>
      <c r="AN107" s="9"/>
    </row>
    <row r="108" spans="1:40" ht="14.45" customHeight="1" outlineLevel="1">
      <c r="A108" s="12"/>
      <c r="I108" s="218" t="s">
        <v>221</v>
      </c>
      <c r="J108" s="65">
        <v>5867</v>
      </c>
      <c r="K108" s="65">
        <v>6301</v>
      </c>
      <c r="L108" s="65">
        <v>6022</v>
      </c>
      <c r="M108" s="65">
        <v>6878</v>
      </c>
      <c r="N108" s="65">
        <v>3718</v>
      </c>
      <c r="O108" s="65">
        <v>5424</v>
      </c>
      <c r="P108" s="65">
        <v>5835</v>
      </c>
      <c r="Q108" s="65">
        <v>4814</v>
      </c>
      <c r="R108" s="65">
        <v>5459</v>
      </c>
      <c r="S108" s="65">
        <v>6760</v>
      </c>
      <c r="T108" s="65">
        <f t="shared" ref="T108:T111" si="69">+AVERAGE(P108:S108)</f>
        <v>5717</v>
      </c>
      <c r="U108" s="65">
        <f t="shared" ref="U108:U111" si="70">+AVERAGE(Q108:T108)</f>
        <v>5687.5</v>
      </c>
      <c r="V108" s="65">
        <f t="shared" ref="V108:V111" si="71">SUM(J108:U108)</f>
        <v>68482.5</v>
      </c>
      <c r="W108" s="73">
        <f t="shared" si="36"/>
        <v>8.7220735293543278E-4</v>
      </c>
      <c r="X108" s="89"/>
      <c r="Y108" s="65">
        <f>VLOOKUP($I108,'[15]Gasto Real Vs Presupuesto 2026'!$A$7:$N$29,Y$1,0)</f>
        <v>7342.4973925018739</v>
      </c>
      <c r="Z108" s="65">
        <f>VLOOKUP($I108,'[15]Gasto Real Vs Presupuesto 2026'!$A$7:$N$29,Z$1,0)</f>
        <v>6403.2691103104708</v>
      </c>
      <c r="AA108" s="65">
        <f>VLOOKUP($I108,'[15]Gasto Real Vs Presupuesto 2026'!$A$7:$N$29,AA$1,0)</f>
        <v>6993.6949600503685</v>
      </c>
      <c r="AB108" s="65">
        <f>VLOOKUP($I108,'[15]Gasto Real Vs Presupuesto 2026'!$A$7:$N$29,AB$1,0)</f>
        <v>6576.6306259704024</v>
      </c>
      <c r="AC108" s="65">
        <f>VLOOKUP($I108,'[15]Gasto Real Vs Presupuesto 2026'!$A$7:$N$29,AC$1,0)</f>
        <v>6993.6949600503685</v>
      </c>
      <c r="AD108" s="65">
        <f>VLOOKUP($I108,'[15]Gasto Real Vs Presupuesto 2026'!$A$7:$N$29,AD$1,0)</f>
        <v>6576.6306259704024</v>
      </c>
      <c r="AE108" s="65">
        <f>VLOOKUP($I108,'[15]Gasto Real Vs Presupuesto 2026'!$A$7:$N$29,AE$1,0)</f>
        <v>6773.4392425503665</v>
      </c>
      <c r="AF108" s="65">
        <f>VLOOKUP($I108,'[15]Gasto Real Vs Presupuesto 2026'!$A$7:$N$29,AF$1,0)</f>
        <v>6773.4392425503665</v>
      </c>
      <c r="AG108" s="65">
        <f>VLOOKUP($I108,'[15]Gasto Real Vs Presupuesto 2026'!$A$7:$N$29,AG$1,0)</f>
        <v>6796.8863434704017</v>
      </c>
      <c r="AH108" s="65">
        <f>VLOOKUP($I108,'[15]Gasto Real Vs Presupuesto 2026'!$A$7:$N$29,AH$1,0)</f>
        <v>6773.4392425503665</v>
      </c>
      <c r="AI108" s="65">
        <f>VLOOKUP($I108,'[15]Gasto Real Vs Presupuesto 2026'!$A$7:$N$29,AI$1,0)</f>
        <v>6796.8863434704017</v>
      </c>
      <c r="AJ108" s="65">
        <f>VLOOKUP($I108,'[15]Gasto Real Vs Presupuesto 2026'!$A$7:$N$29,AJ$1,0)</f>
        <v>6993.6949600503685</v>
      </c>
      <c r="AK108" s="65">
        <f t="shared" si="66"/>
        <v>81794.203049496165</v>
      </c>
      <c r="AL108" s="73">
        <f t="shared" si="37"/>
        <v>9.3013791482361762E-4</v>
      </c>
      <c r="AM108" s="14">
        <f t="shared" si="38"/>
        <v>0.19438109078226073</v>
      </c>
      <c r="AN108" s="9"/>
    </row>
    <row r="109" spans="1:40" ht="14.45" customHeight="1" outlineLevel="1">
      <c r="A109" s="12"/>
      <c r="I109" s="218" t="s">
        <v>222</v>
      </c>
      <c r="J109" s="65">
        <v>9035</v>
      </c>
      <c r="K109" s="65">
        <v>9429</v>
      </c>
      <c r="L109" s="65">
        <v>9173</v>
      </c>
      <c r="M109" s="65">
        <v>10640</v>
      </c>
      <c r="N109" s="65">
        <v>5518</v>
      </c>
      <c r="O109" s="65">
        <v>8250</v>
      </c>
      <c r="P109" s="65">
        <v>8780</v>
      </c>
      <c r="Q109" s="65">
        <v>7210</v>
      </c>
      <c r="R109" s="65">
        <v>8349</v>
      </c>
      <c r="S109" s="65">
        <v>10381</v>
      </c>
      <c r="T109" s="65">
        <f t="shared" si="69"/>
        <v>8680</v>
      </c>
      <c r="U109" s="65">
        <f t="shared" si="70"/>
        <v>8655</v>
      </c>
      <c r="V109" s="65">
        <f t="shared" si="71"/>
        <v>104100</v>
      </c>
      <c r="W109" s="73">
        <f t="shared" si="36"/>
        <v>1.3258392354335569E-3</v>
      </c>
      <c r="X109" s="89"/>
      <c r="Y109" s="65">
        <f>VLOOKUP($I109,'[15]Gasto Real Vs Presupuesto 2026'!$A$7:$N$29,Y$1,0)</f>
        <v>12778.752938867936</v>
      </c>
      <c r="Z109" s="65">
        <f>VLOOKUP($I109,'[15]Gasto Real Vs Presupuesto 2026'!$A$7:$N$29,Z$1,0)</f>
        <v>11139.261199203442</v>
      </c>
      <c r="AA109" s="65">
        <f>VLOOKUP($I109,'[15]Gasto Real Vs Presupuesto 2026'!$A$7:$N$29,AA$1,0)</f>
        <v>12164.073594115614</v>
      </c>
      <c r="AB109" s="65">
        <f>VLOOKUP($I109,'[15]Gasto Real Vs Presupuesto 2026'!$A$7:$N$29,AB$1,0)</f>
        <v>11440.027279798884</v>
      </c>
      <c r="AC109" s="65">
        <f>VLOOKUP($I109,'[15]Gasto Real Vs Presupuesto 2026'!$A$7:$N$29,AC$1,0)</f>
        <v>12164.073594115614</v>
      </c>
      <c r="AD109" s="65">
        <f>VLOOKUP($I109,'[15]Gasto Real Vs Presupuesto 2026'!$A$7:$N$29,AD$1,0)</f>
        <v>11440.027279798884</v>
      </c>
      <c r="AE109" s="65">
        <f>VLOOKUP($I109,'[15]Gasto Real Vs Presupuesto 2026'!$A$7:$N$29,AE$1,0)</f>
        <v>11498.127605406853</v>
      </c>
      <c r="AF109" s="65">
        <f>VLOOKUP($I109,'[15]Gasto Real Vs Presupuesto 2026'!$A$7:$N$29,AF$1,0)</f>
        <v>11498.127605406853</v>
      </c>
      <c r="AG109" s="65">
        <f>VLOOKUP($I109,'[15]Gasto Real Vs Presupuesto 2026'!$A$7:$N$29,AG$1,0)</f>
        <v>11822.469462478224</v>
      </c>
      <c r="AH109" s="65">
        <f>VLOOKUP($I109,'[15]Gasto Real Vs Presupuesto 2026'!$A$7:$N$29,AH$1,0)</f>
        <v>11498.127605406853</v>
      </c>
      <c r="AI109" s="65">
        <f>VLOOKUP($I109,'[15]Gasto Real Vs Presupuesto 2026'!$A$7:$N$29,AI$1,0)</f>
        <v>11822.469462478224</v>
      </c>
      <c r="AJ109" s="65">
        <f>VLOOKUP($I109,'[15]Gasto Real Vs Presupuesto 2026'!$A$7:$N$29,AJ$1,0)</f>
        <v>12164.073594115614</v>
      </c>
      <c r="AK109" s="65">
        <f t="shared" si="66"/>
        <v>141429.61122119302</v>
      </c>
      <c r="AL109" s="73">
        <f t="shared" si="37"/>
        <v>1.6082929935265834E-3</v>
      </c>
      <c r="AM109" s="14">
        <f t="shared" si="38"/>
        <v>0.35859376773480323</v>
      </c>
      <c r="AN109" s="9"/>
    </row>
    <row r="110" spans="1:40" ht="14.45" customHeight="1" outlineLevel="1">
      <c r="A110" s="12"/>
      <c r="I110" s="218" t="s">
        <v>223</v>
      </c>
      <c r="J110" s="65">
        <v>13427</v>
      </c>
      <c r="K110" s="65">
        <v>14658</v>
      </c>
      <c r="L110" s="65">
        <v>14235</v>
      </c>
      <c r="M110" s="65">
        <v>15854</v>
      </c>
      <c r="N110" s="65">
        <v>8142</v>
      </c>
      <c r="O110" s="65">
        <v>12343</v>
      </c>
      <c r="P110" s="65">
        <v>14003</v>
      </c>
      <c r="Q110" s="65">
        <v>11376</v>
      </c>
      <c r="R110" s="65">
        <v>12592</v>
      </c>
      <c r="S110" s="65">
        <v>15341</v>
      </c>
      <c r="T110" s="65">
        <f t="shared" si="69"/>
        <v>13328</v>
      </c>
      <c r="U110" s="65">
        <f t="shared" si="70"/>
        <v>13159.25</v>
      </c>
      <c r="V110" s="65">
        <f t="shared" si="71"/>
        <v>158458.25</v>
      </c>
      <c r="W110" s="73">
        <f t="shared" si="36"/>
        <v>2.0181572048812622E-3</v>
      </c>
      <c r="X110" s="89"/>
      <c r="Y110" s="65">
        <f>VLOOKUP($I110,'[15]Gasto Real Vs Presupuesto 2026'!$A$7:$N$29,Y$1,0)</f>
        <v>16717.345269287052</v>
      </c>
      <c r="Z110" s="65">
        <f>VLOOKUP($I110,'[15]Gasto Real Vs Presupuesto 2026'!$A$7:$N$29,Z$1,0)</f>
        <v>14785.203297702947</v>
      </c>
      <c r="AA110" s="65">
        <f>VLOOKUP($I110,'[15]Gasto Real Vs Presupuesto 2026'!$A$7:$N$29,AA$1,0)</f>
        <v>16237.861912703</v>
      </c>
      <c r="AB110" s="65">
        <f>VLOOKUP($I110,'[15]Gasto Real Vs Presupuesto 2026'!$A$7:$N$29,AB$1,0)</f>
        <v>15450.86653077397</v>
      </c>
      <c r="AC110" s="65">
        <f>VLOOKUP($I110,'[15]Gasto Real Vs Presupuesto 2026'!$A$7:$N$29,AC$1,0)</f>
        <v>16237.861912703</v>
      </c>
      <c r="AD110" s="65">
        <f>VLOOKUP($I110,'[15]Gasto Real Vs Presupuesto 2026'!$A$7:$N$29,AD$1,0)</f>
        <v>15450.86653077397</v>
      </c>
      <c r="AE110" s="65">
        <f>VLOOKUP($I110,'[15]Gasto Real Vs Presupuesto 2026'!$A$7:$N$29,AE$1,0)</f>
        <v>15935.086069107316</v>
      </c>
      <c r="AF110" s="65">
        <f>VLOOKUP($I110,'[15]Gasto Real Vs Presupuesto 2026'!$A$7:$N$29,AF$1,0)</f>
        <v>15935.086069107316</v>
      </c>
      <c r="AG110" s="65">
        <f>VLOOKUP($I110,'[15]Gasto Real Vs Presupuesto 2026'!$A$7:$N$29,AG$1,0)</f>
        <v>15753.64237436965</v>
      </c>
      <c r="AH110" s="65">
        <f>VLOOKUP($I110,'[15]Gasto Real Vs Presupuesto 2026'!$A$7:$N$29,AH$1,0)</f>
        <v>15935.086069107316</v>
      </c>
      <c r="AI110" s="65">
        <f>VLOOKUP($I110,'[15]Gasto Real Vs Presupuesto 2026'!$A$7:$N$29,AI$1,0)</f>
        <v>15753.64237436965</v>
      </c>
      <c r="AJ110" s="65">
        <f>VLOOKUP($I110,'[15]Gasto Real Vs Presupuesto 2026'!$A$7:$N$29,AJ$1,0)</f>
        <v>16237.861912703</v>
      </c>
      <c r="AK110" s="65">
        <f t="shared" si="66"/>
        <v>190430.41032270817</v>
      </c>
      <c r="AL110" s="73">
        <f t="shared" si="37"/>
        <v>2.1655146474058194E-3</v>
      </c>
      <c r="AM110" s="14">
        <f t="shared" si="38"/>
        <v>0.20177024751130457</v>
      </c>
      <c r="AN110" s="9"/>
    </row>
    <row r="111" spans="1:40" ht="14.45" customHeight="1" outlineLevel="1">
      <c r="A111" s="12"/>
      <c r="I111" t="s">
        <v>406</v>
      </c>
      <c r="J111" s="65">
        <v>4229</v>
      </c>
      <c r="K111" s="65">
        <v>4571</v>
      </c>
      <c r="L111" s="65">
        <v>4323</v>
      </c>
      <c r="M111" s="65">
        <v>5102</v>
      </c>
      <c r="N111" s="65">
        <v>2841</v>
      </c>
      <c r="O111" s="65">
        <v>3816</v>
      </c>
      <c r="P111" s="65">
        <v>4220</v>
      </c>
      <c r="Q111" s="65">
        <v>3250</v>
      </c>
      <c r="R111" s="65">
        <v>4009</v>
      </c>
      <c r="S111" s="65">
        <v>4648</v>
      </c>
      <c r="T111" s="65">
        <f t="shared" si="69"/>
        <v>4031.75</v>
      </c>
      <c r="U111" s="65">
        <f t="shared" si="70"/>
        <v>3984.6875</v>
      </c>
      <c r="V111" s="65">
        <f t="shared" si="71"/>
        <v>49025.4375</v>
      </c>
      <c r="W111" s="73">
        <f t="shared" si="36"/>
        <v>6.2439816111234988E-4</v>
      </c>
      <c r="X111" s="89"/>
      <c r="Y111" s="65">
        <f>VLOOKUP($I111,'[15]Gasto Real Vs Presupuesto 2026'!$A$7:$N$29,Y$1,0)</f>
        <v>4970.5089243011253</v>
      </c>
      <c r="Z111" s="65">
        <f>VLOOKUP($I111,'[15]Gasto Real Vs Presupuesto 2026'!$A$7:$N$29,Z$1,0)</f>
        <v>4352.2935205862823</v>
      </c>
      <c r="AA111" s="65">
        <f>VLOOKUP($I111,'[15]Gasto Real Vs Presupuesto 2026'!$A$7:$N$29,AA$1,0)</f>
        <v>4761.2274648302209</v>
      </c>
      <c r="AB111" s="65">
        <f>VLOOKUP($I111,'[15]Gasto Real Vs Presupuesto 2026'!$A$7:$N$29,AB$1,0)</f>
        <v>4492.7627195822406</v>
      </c>
      <c r="AC111" s="65">
        <f>VLOOKUP($I111,'[15]Gasto Real Vs Presupuesto 2026'!$A$7:$N$29,AC$1,0)</f>
        <v>4761.2274648302209</v>
      </c>
      <c r="AD111" s="65">
        <f>VLOOKUP($I111,'[15]Gasto Real Vs Presupuesto 2026'!$A$7:$N$29,AD$1,0)</f>
        <v>4492.7627195822406</v>
      </c>
      <c r="AE111" s="65">
        <f>VLOOKUP($I111,'[15]Gasto Real Vs Presupuesto 2026'!$A$7:$N$29,AE$1,0)</f>
        <v>4629.0740343302205</v>
      </c>
      <c r="AF111" s="65">
        <f>VLOOKUP($I111,'[15]Gasto Real Vs Presupuesto 2026'!$A$7:$N$29,AF$1,0)</f>
        <v>4629.0740343302205</v>
      </c>
      <c r="AG111" s="65">
        <f>VLOOKUP($I111,'[15]Gasto Real Vs Presupuesto 2026'!$A$7:$N$29,AG$1,0)</f>
        <v>4624.9161500822411</v>
      </c>
      <c r="AH111" s="65">
        <f>VLOOKUP($I111,'[15]Gasto Real Vs Presupuesto 2026'!$A$7:$N$29,AH$1,0)</f>
        <v>4629.0740343302205</v>
      </c>
      <c r="AI111" s="65">
        <f>VLOOKUP($I111,'[15]Gasto Real Vs Presupuesto 2026'!$A$7:$N$29,AI$1,0)</f>
        <v>4624.9161500822411</v>
      </c>
      <c r="AJ111" s="65">
        <f>VLOOKUP($I111,'[15]Gasto Real Vs Presupuesto 2026'!$A$7:$N$29,AJ$1,0)</f>
        <v>4761.2274648302209</v>
      </c>
      <c r="AK111" s="65">
        <f t="shared" si="66"/>
        <v>55729.064681697688</v>
      </c>
      <c r="AL111" s="73">
        <f t="shared" si="37"/>
        <v>6.3373337089350247E-4</v>
      </c>
      <c r="AM111" s="14">
        <f t="shared" si="38"/>
        <v>0.13673773297173919</v>
      </c>
      <c r="AN111" s="9"/>
    </row>
    <row r="112" spans="1:40" ht="14.45" customHeight="1" outlineLevel="1">
      <c r="A112" s="12"/>
      <c r="I112" s="170" t="s">
        <v>225</v>
      </c>
      <c r="J112" s="15">
        <v>45988</v>
      </c>
      <c r="K112" s="15">
        <v>50162</v>
      </c>
      <c r="L112" s="15">
        <v>44937</v>
      </c>
      <c r="M112" s="15">
        <v>69259</v>
      </c>
      <c r="N112" s="15">
        <v>19041</v>
      </c>
      <c r="O112" s="15">
        <v>5250</v>
      </c>
      <c r="P112" s="15">
        <v>49012</v>
      </c>
      <c r="Q112" s="15">
        <v>-58546</v>
      </c>
      <c r="R112" s="15">
        <v>61728</v>
      </c>
      <c r="S112" s="15">
        <v>51477</v>
      </c>
      <c r="T112" s="15">
        <f t="shared" ref="R112:U112" si="72">SUM(T113:T147)</f>
        <v>35949.800000000003</v>
      </c>
      <c r="U112" s="15">
        <f t="shared" si="72"/>
        <v>43239.8</v>
      </c>
      <c r="V112" s="15">
        <f t="shared" ref="V112" si="73">SUM(V113:V147)</f>
        <v>417497.59999999998</v>
      </c>
      <c r="W112" s="72">
        <f t="shared" si="36"/>
        <v>5.31733620345192E-3</v>
      </c>
      <c r="X112" s="89"/>
      <c r="Y112" s="15">
        <f>SUM(Y113:Y147)</f>
        <v>64053.472299999994</v>
      </c>
      <c r="Z112" s="15">
        <f t="shared" ref="Z112:AK112" si="74">SUM(Z113:Z147)</f>
        <v>38637.128799999999</v>
      </c>
      <c r="AA112" s="15">
        <f t="shared" si="74"/>
        <v>36888.844899999996</v>
      </c>
      <c r="AB112" s="15">
        <f t="shared" si="74"/>
        <v>135741.93</v>
      </c>
      <c r="AC112" s="15">
        <f t="shared" si="74"/>
        <v>38637.128799999999</v>
      </c>
      <c r="AD112" s="15">
        <f t="shared" si="74"/>
        <v>25814.309999999998</v>
      </c>
      <c r="AE112" s="15">
        <f t="shared" si="74"/>
        <v>43540.81</v>
      </c>
      <c r="AF112" s="15">
        <f t="shared" si="74"/>
        <v>38274.843800000002</v>
      </c>
      <c r="AG112" s="15">
        <f t="shared" si="74"/>
        <v>53917.274999999994</v>
      </c>
      <c r="AH112" s="15">
        <f t="shared" si="74"/>
        <v>25814.309999999998</v>
      </c>
      <c r="AI112" s="15">
        <f t="shared" si="74"/>
        <v>30511.593799999999</v>
      </c>
      <c r="AJ112" s="15">
        <f t="shared" si="74"/>
        <v>29023.119999999999</v>
      </c>
      <c r="AK112" s="15">
        <f t="shared" si="74"/>
        <v>560854.76740000001</v>
      </c>
      <c r="AL112" s="72">
        <f t="shared" si="37"/>
        <v>6.3778637656343607E-3</v>
      </c>
      <c r="AM112" s="10">
        <f t="shared" si="38"/>
        <v>0.34337243471579248</v>
      </c>
      <c r="AN112" s="9"/>
    </row>
    <row r="113" spans="1:40" ht="14.45" customHeight="1" outlineLevel="1">
      <c r="A113" s="12"/>
      <c r="I113" s="229" t="s">
        <v>226</v>
      </c>
      <c r="J113" s="65">
        <v>0</v>
      </c>
      <c r="K113" s="65">
        <v>7286</v>
      </c>
      <c r="L113" s="65">
        <v>9233</v>
      </c>
      <c r="M113" s="65">
        <v>23859</v>
      </c>
      <c r="N113" s="65">
        <v>4000</v>
      </c>
      <c r="O113" s="65">
        <v>2250</v>
      </c>
      <c r="P113" s="65">
        <v>0</v>
      </c>
      <c r="Q113" s="65">
        <v>0</v>
      </c>
      <c r="R113" s="65">
        <v>32210</v>
      </c>
      <c r="S113" s="65">
        <v>0</v>
      </c>
      <c r="T113" s="65">
        <v>796.12</v>
      </c>
      <c r="U113" s="65">
        <v>796.12</v>
      </c>
      <c r="V113" s="65">
        <f t="shared" ref="V113:V122" si="75">SUM(J113:U113)</f>
        <v>80430.239999999991</v>
      </c>
      <c r="W113" s="73">
        <f t="shared" si="36"/>
        <v>1.0243762527121754E-3</v>
      </c>
      <c r="X113" s="89"/>
      <c r="Y113" s="65">
        <f>VLOOKUP($E$1,[4]Resumen!$C$27:$O$30,Y1,0)+VLOOKUP($E$1,[16]Resumen!$V$8:$AH$11,Y1,0)</f>
        <v>2233.5100000000002</v>
      </c>
      <c r="Z113" s="65">
        <f>VLOOKUP($E$1,[4]Resumen!$C$27:$O$30,Z1,0)+VLOOKUP($E$1,[16]Resumen!$V$8:$AH$11,Z1,0)</f>
        <v>3533.51</v>
      </c>
      <c r="AA113" s="65">
        <f>VLOOKUP($E$1,[4]Resumen!$C$27:$O$30,AA1,0)+VLOOKUP($E$1,[16]Resumen!$V$8:$AH$11,AA1,0)</f>
        <v>3533.51</v>
      </c>
      <c r="AB113" s="65">
        <f>VLOOKUP($E$1,[4]Resumen!$C$27:$O$30,AB1,0)+VLOOKUP($E$1,[16]Resumen!$V$8:$AH$11,AB1,0)</f>
        <v>3533.51</v>
      </c>
      <c r="AC113" s="65">
        <f>VLOOKUP($E$1,[4]Resumen!$C$27:$O$30,AC1,0)+VLOOKUP($E$1,[16]Resumen!$V$8:$AH$11,AC1,0)</f>
        <v>3533.51</v>
      </c>
      <c r="AD113" s="65">
        <f>VLOOKUP($E$1,[4]Resumen!$C$27:$O$30,AD1,0)+VLOOKUP($E$1,[16]Resumen!$V$8:$AH$11,AD1,0)</f>
        <v>3533.51</v>
      </c>
      <c r="AE113" s="65">
        <f>VLOOKUP($E$1,[4]Resumen!$C$27:$O$30,AE1,0)+VLOOKUP($E$1,[16]Resumen!$V$8:$AH$11,AE1,0)</f>
        <v>3533.51</v>
      </c>
      <c r="AF113" s="65">
        <f>VLOOKUP($E$1,[4]Resumen!$C$27:$O$30,AF1,0)+VLOOKUP($E$1,[16]Resumen!$V$8:$AH$11,AF1,0)</f>
        <v>3533.51</v>
      </c>
      <c r="AG113" s="65">
        <f>VLOOKUP($E$1,[4]Resumen!$C$27:$O$30,AG1,0)+VLOOKUP($E$1,[16]Resumen!$V$8:$AH$11,AG1,0)</f>
        <v>3533.51</v>
      </c>
      <c r="AH113" s="65">
        <f>VLOOKUP($E$1,[4]Resumen!$C$27:$O$30,AH1,0)+VLOOKUP($E$1,[16]Resumen!$V$8:$AH$11,AH1,0)</f>
        <v>3533.51</v>
      </c>
      <c r="AI113" s="65">
        <f>VLOOKUP($E$1,[4]Resumen!$C$27:$O$30,AI1,0)+VLOOKUP($E$1,[16]Resumen!$V$8:$AH$11,AI1,0)</f>
        <v>3533.51</v>
      </c>
      <c r="AJ113" s="65">
        <f>VLOOKUP($E$1,[4]Resumen!$C$27:$O$30,AJ1,0)+VLOOKUP($E$1,[16]Resumen!$V$8:$AH$11,AJ1,0)</f>
        <v>3533.51</v>
      </c>
      <c r="AK113" s="65">
        <f t="shared" si="66"/>
        <v>41102.12000000001</v>
      </c>
      <c r="AL113" s="73">
        <f t="shared" si="37"/>
        <v>4.674003629388698E-4</v>
      </c>
      <c r="AM113" s="14">
        <f t="shared" si="38"/>
        <v>-0.48897180960792841</v>
      </c>
      <c r="AN113" s="9"/>
    </row>
    <row r="114" spans="1:40" ht="14.45" customHeight="1" outlineLevel="1">
      <c r="A114" s="12"/>
      <c r="I114" s="228" t="s">
        <v>227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/>
      <c r="U114" s="65"/>
      <c r="V114" s="65">
        <f t="shared" si="75"/>
        <v>0</v>
      </c>
      <c r="W114" s="73">
        <f t="shared" si="36"/>
        <v>0</v>
      </c>
      <c r="X114" s="89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>
        <f t="shared" si="66"/>
        <v>0</v>
      </c>
      <c r="AL114" s="73">
        <f t="shared" si="37"/>
        <v>0</v>
      </c>
      <c r="AM114" s="14">
        <f t="shared" si="38"/>
        <v>0</v>
      </c>
      <c r="AN114" s="9"/>
    </row>
    <row r="115" spans="1:40" ht="14.45" customHeight="1" outlineLevel="1">
      <c r="A115" s="12"/>
      <c r="I115" s="228" t="s">
        <v>228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/>
      <c r="U115" s="65"/>
      <c r="V115" s="65">
        <f t="shared" si="75"/>
        <v>0</v>
      </c>
      <c r="W115" s="73">
        <f t="shared" si="36"/>
        <v>0</v>
      </c>
      <c r="X115" s="89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>
        <f t="shared" si="66"/>
        <v>0</v>
      </c>
      <c r="AL115" s="73">
        <f t="shared" si="37"/>
        <v>0</v>
      </c>
      <c r="AM115" s="14">
        <f t="shared" si="38"/>
        <v>0</v>
      </c>
      <c r="AN115" s="9"/>
    </row>
    <row r="116" spans="1:40" ht="14.45" customHeight="1" outlineLevel="1">
      <c r="A116" s="12"/>
      <c r="I116" s="228" t="s">
        <v>229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f t="shared" si="75"/>
        <v>0</v>
      </c>
      <c r="W116" s="73">
        <f t="shared" si="36"/>
        <v>0</v>
      </c>
      <c r="X116" s="89"/>
      <c r="Y116" s="65">
        <f>VLOOKUP($E$1,[7]Resumen!$V$19:$AH$22,Y1,0)</f>
        <v>0</v>
      </c>
      <c r="Z116" s="65">
        <f>VLOOKUP($E$1,[7]Resumen!$V$19:$AH$22,Z1,0)</f>
        <v>0</v>
      </c>
      <c r="AA116" s="65">
        <f>VLOOKUP($E$1,[7]Resumen!$V$19:$AH$22,AA1,0)</f>
        <v>0</v>
      </c>
      <c r="AB116" s="65">
        <f>VLOOKUP($E$1,[7]Resumen!$V$19:$AH$22,AB1,0)</f>
        <v>109927.62</v>
      </c>
      <c r="AC116" s="65">
        <f>VLOOKUP($E$1,[7]Resumen!$V$19:$AH$22,AC1,0)</f>
        <v>0</v>
      </c>
      <c r="AD116" s="65">
        <f>VLOOKUP($E$1,[7]Resumen!$V$19:$AH$22,AD1,0)</f>
        <v>0</v>
      </c>
      <c r="AE116" s="65">
        <f>VLOOKUP($E$1,[7]Resumen!$V$19:$AH$22,AE1,0)</f>
        <v>0</v>
      </c>
      <c r="AF116" s="65">
        <f>VLOOKUP($E$1,[7]Resumen!$V$19:$AH$22,AF1,0)</f>
        <v>0</v>
      </c>
      <c r="AG116" s="65">
        <f>VLOOKUP($E$1,[7]Resumen!$V$19:$AH$22,AG1,0)</f>
        <v>0</v>
      </c>
      <c r="AH116" s="65">
        <f>VLOOKUP($E$1,[7]Resumen!$V$19:$AH$22,AH1,0)</f>
        <v>0</v>
      </c>
      <c r="AI116" s="65">
        <f>VLOOKUP($E$1,[7]Resumen!$V$19:$AH$22,AI1,0)</f>
        <v>0</v>
      </c>
      <c r="AJ116" s="65">
        <f>VLOOKUP($E$1,[7]Resumen!$V$19:$AH$22,AJ1,0)</f>
        <v>0</v>
      </c>
      <c r="AK116" s="65">
        <f t="shared" si="66"/>
        <v>109927.62</v>
      </c>
      <c r="AL116" s="73">
        <f t="shared" si="37"/>
        <v>1.2500622713623082E-3</v>
      </c>
      <c r="AM116" s="14">
        <f t="shared" si="38"/>
        <v>0</v>
      </c>
      <c r="AN116" s="9"/>
    </row>
    <row r="117" spans="1:40" ht="14.45" customHeight="1" outlineLevel="1">
      <c r="A117" s="12"/>
      <c r="I117" s="228" t="s">
        <v>230</v>
      </c>
      <c r="J117" s="65">
        <v>0</v>
      </c>
      <c r="K117" s="65">
        <v>2250</v>
      </c>
      <c r="L117" s="65">
        <v>0</v>
      </c>
      <c r="M117" s="65">
        <v>15000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9400</v>
      </c>
      <c r="T117" s="65">
        <v>0</v>
      </c>
      <c r="U117" s="65">
        <v>0</v>
      </c>
      <c r="V117" s="65">
        <f t="shared" si="75"/>
        <v>26650</v>
      </c>
      <c r="W117" s="73">
        <f t="shared" si="36"/>
        <v>3.3941993875412379E-4</v>
      </c>
      <c r="X117" s="89"/>
      <c r="Y117" s="65">
        <f>VLOOKUP($E$1,[7]Resumen!$V$28:$AH$31,Y1,0)</f>
        <v>0</v>
      </c>
      <c r="Z117" s="65">
        <f>VLOOKUP($E$1,[7]Resumen!$V$28:$AH$31,Z1,0)</f>
        <v>0</v>
      </c>
      <c r="AA117" s="65">
        <f>VLOOKUP($E$1,[7]Resumen!$V$28:$AH$31,AA1,0)</f>
        <v>0</v>
      </c>
      <c r="AB117" s="65">
        <f>VLOOKUP($E$1,[7]Resumen!$V$28:$AH$31,AB1,0)</f>
        <v>0</v>
      </c>
      <c r="AC117" s="65">
        <f>VLOOKUP($E$1,[7]Resumen!$V$28:$AH$31,AC1,0)</f>
        <v>0</v>
      </c>
      <c r="AD117" s="65">
        <f>VLOOKUP($E$1,[7]Resumen!$V$28:$AH$31,AD1,0)</f>
        <v>0</v>
      </c>
      <c r="AE117" s="65">
        <f>VLOOKUP($E$1,[7]Resumen!$V$28:$AH$31,AE1,0)</f>
        <v>0</v>
      </c>
      <c r="AF117" s="65">
        <f>VLOOKUP($E$1,[7]Resumen!$V$28:$AH$31,AF1,0)</f>
        <v>0</v>
      </c>
      <c r="AG117" s="65">
        <f>VLOOKUP($E$1,[7]Resumen!$V$28:$AH$31,AG1,0)</f>
        <v>24842.399999999998</v>
      </c>
      <c r="AH117" s="65">
        <f>VLOOKUP($E$1,[7]Resumen!$V$28:$AH$31,AH1,0)</f>
        <v>0</v>
      </c>
      <c r="AI117" s="65">
        <f>VLOOKUP($E$1,[7]Resumen!$V$28:$AH$31,AI1,0)</f>
        <v>0</v>
      </c>
      <c r="AJ117" s="65">
        <f>VLOOKUP($E$1,[7]Resumen!$V$28:$AH$31,AJ1,0)</f>
        <v>0</v>
      </c>
      <c r="AK117" s="65">
        <f t="shared" si="66"/>
        <v>24842.399999999998</v>
      </c>
      <c r="AL117" s="73">
        <f t="shared" si="37"/>
        <v>2.8249994833046507E-4</v>
      </c>
      <c r="AM117" s="14">
        <f t="shared" si="38"/>
        <v>-6.7827392120075158E-2</v>
      </c>
      <c r="AN117" s="9"/>
    </row>
    <row r="118" spans="1:40" ht="14.45" customHeight="1" outlineLevel="1">
      <c r="A118" s="12"/>
      <c r="I118" s="228" t="s">
        <v>231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/>
      <c r="U118" s="65"/>
      <c r="V118" s="65">
        <f t="shared" si="75"/>
        <v>0</v>
      </c>
      <c r="W118" s="73">
        <f t="shared" si="36"/>
        <v>0</v>
      </c>
      <c r="X118" s="89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>
        <f t="shared" si="66"/>
        <v>0</v>
      </c>
      <c r="AL118" s="73">
        <f t="shared" si="37"/>
        <v>0</v>
      </c>
      <c r="AM118" s="14">
        <f t="shared" si="38"/>
        <v>0</v>
      </c>
      <c r="AN118" s="9"/>
    </row>
    <row r="119" spans="1:40" ht="14.45" customHeight="1" outlineLevel="1">
      <c r="A119" s="12"/>
      <c r="E119" s="7" t="s">
        <v>254</v>
      </c>
      <c r="I119" s="228" t="s">
        <v>232</v>
      </c>
      <c r="J119" s="65">
        <v>37688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5"/>
        <v>37688</v>
      </c>
      <c r="W119" s="73">
        <f>V119/V$6</f>
        <v>4.8000220081671362E-4</v>
      </c>
      <c r="X119" s="89"/>
      <c r="Y119" s="65">
        <f>VLOOKUP($E$1,[6]Resumen!$V$53:$AH$56,Y1,0)</f>
        <v>37339.162299999996</v>
      </c>
      <c r="Z119" s="65">
        <f>VLOOKUP($E$1,[6]Resumen!$V$53:$AH$56,Z1,0)</f>
        <v>0</v>
      </c>
      <c r="AA119" s="65">
        <f>VLOOKUP($E$1,[6]Resumen!$V$53:$AH$56,AA1,0)</f>
        <v>0</v>
      </c>
      <c r="AB119" s="65">
        <f>VLOOKUP($E$1,[6]Resumen!$V$53:$AH$56,AB1,0)</f>
        <v>0</v>
      </c>
      <c r="AC119" s="65">
        <f>VLOOKUP($E$1,[6]Resumen!$V$53:$AH$56,AC1,0)</f>
        <v>0</v>
      </c>
      <c r="AD119" s="65">
        <f>VLOOKUP($E$1,[6]Resumen!$V$53:$AH$56,AD1,0)</f>
        <v>0</v>
      </c>
      <c r="AE119" s="65">
        <f>VLOOKUP($E$1,[6]Resumen!$V$53:$AH$56,AE1,0)</f>
        <v>0</v>
      </c>
      <c r="AF119" s="65">
        <f>VLOOKUP($E$1,[6]Resumen!$V$53:$AH$56,AF1,0)</f>
        <v>0</v>
      </c>
      <c r="AG119" s="65">
        <f>VLOOKUP($E$1,[6]Resumen!$V$53:$AH$56,AG1,0)</f>
        <v>0</v>
      </c>
      <c r="AH119" s="65">
        <f>VLOOKUP($E$1,[6]Resumen!$V$53:$AH$56,AH1,0)</f>
        <v>0</v>
      </c>
      <c r="AI119" s="65">
        <f>VLOOKUP($E$1,[6]Resumen!$V$53:$AH$56,AI1,0)</f>
        <v>0</v>
      </c>
      <c r="AJ119" s="65">
        <f>VLOOKUP($E$1,[6]Resumen!$V$53:$AH$56,AJ1,0)</f>
        <v>0</v>
      </c>
      <c r="AK119" s="65">
        <f t="shared" si="66"/>
        <v>37339.162299999996</v>
      </c>
      <c r="AL119" s="73">
        <f>AK119/AK$6</f>
        <v>4.2460919317186945E-4</v>
      </c>
      <c r="AM119" s="14">
        <f>IFERROR(AK119/V119-1,0)</f>
        <v>-9.2559355763108808E-3</v>
      </c>
      <c r="AN119" s="9"/>
    </row>
    <row r="120" spans="1:40" ht="14.45" customHeight="1" outlineLevel="1">
      <c r="A120" s="12"/>
      <c r="I120" s="228" t="s">
        <v>233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75"/>
        <v>0</v>
      </c>
      <c r="W120" s="73">
        <f>V120/V$6</f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6"/>
        <v>0</v>
      </c>
      <c r="AL120" s="73">
        <f>AK120/AK$6</f>
        <v>0</v>
      </c>
      <c r="AM120" s="14">
        <f>IFERROR(AK120/V120-1,0)</f>
        <v>0</v>
      </c>
      <c r="AN120" s="9"/>
    </row>
    <row r="121" spans="1:40" ht="14.45" customHeight="1" outlineLevel="1">
      <c r="A121" s="12"/>
      <c r="I121" s="228" t="s">
        <v>234</v>
      </c>
      <c r="J121" s="65">
        <v>8300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/>
      <c r="T121" s="65">
        <v>0</v>
      </c>
      <c r="U121" s="65">
        <v>0</v>
      </c>
      <c r="V121" s="65">
        <f t="shared" si="75"/>
        <v>8300</v>
      </c>
      <c r="W121" s="73">
        <f>V121/V$6</f>
        <v>1.0571052501535563E-4</v>
      </c>
      <c r="X121" s="89"/>
      <c r="Y121" s="65">
        <f>VLOOKUP($E$1,[7]Resumen!$V$37:$AH$40,Y1,0)</f>
        <v>0</v>
      </c>
      <c r="Z121" s="65">
        <f>VLOOKUP($E$1,[7]Resumen!$V$37:$AH$40,Z1,0)</f>
        <v>0</v>
      </c>
      <c r="AA121" s="65">
        <f>VLOOKUP($E$1,[7]Resumen!$V$37:$AH$40,AA1,0)</f>
        <v>0</v>
      </c>
      <c r="AB121" s="65">
        <f>VLOOKUP($E$1,[7]Resumen!$V$37:$AH$40,AB1,0)</f>
        <v>0</v>
      </c>
      <c r="AC121" s="65">
        <f>VLOOKUP($E$1,[7]Resumen!$V$37:$AH$40,AC1,0)</f>
        <v>7763.2499999999991</v>
      </c>
      <c r="AD121" s="65">
        <f>VLOOKUP($E$1,[7]Resumen!$V$37:$AH$40,AD1,0)</f>
        <v>0</v>
      </c>
      <c r="AE121" s="65">
        <f>VLOOKUP($E$1,[7]Resumen!$V$37:$AH$40,AE1,0)</f>
        <v>0</v>
      </c>
      <c r="AF121" s="65">
        <f>VLOOKUP($E$1,[7]Resumen!$V$37:$AH$40,AF1,0)</f>
        <v>0</v>
      </c>
      <c r="AG121" s="65">
        <f>VLOOKUP($E$1,[7]Resumen!$V$37:$AH$40,AG1,0)</f>
        <v>0</v>
      </c>
      <c r="AH121" s="65">
        <f>VLOOKUP($E$1,[7]Resumen!$V$37:$AH$40,AH1,0)</f>
        <v>0</v>
      </c>
      <c r="AI121" s="65">
        <f>VLOOKUP($E$1,[7]Resumen!$V$37:$AH$40,AI1,0)</f>
        <v>0</v>
      </c>
      <c r="AJ121" s="65">
        <f>VLOOKUP($E$1,[7]Resumen!$V$37:$AH$40,AJ1,0)</f>
        <v>0</v>
      </c>
      <c r="AK121" s="65">
        <f t="shared" si="66"/>
        <v>7763.2499999999991</v>
      </c>
      <c r="AL121" s="73">
        <f>AK121/AK$6</f>
        <v>8.8281233853270343E-5</v>
      </c>
      <c r="AM121" s="14">
        <f>IFERROR(AK121/V121-1,0)</f>
        <v>-6.4668674698795336E-2</v>
      </c>
      <c r="AN121" s="9"/>
    </row>
    <row r="122" spans="1:40" ht="14.45" customHeight="1" outlineLevel="1">
      <c r="A122" s="12"/>
      <c r="I122" s="228" t="s">
        <v>235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7100</v>
      </c>
      <c r="T122" s="65"/>
      <c r="U122" s="65"/>
      <c r="V122" s="65">
        <f t="shared" si="75"/>
        <v>7100</v>
      </c>
      <c r="W122" s="73">
        <f>V122/V$6</f>
        <v>9.0427075615545177E-5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6"/>
        <v>0</v>
      </c>
      <c r="AL122" s="73">
        <f>AK122/AK$6</f>
        <v>0</v>
      </c>
      <c r="AM122" s="14">
        <f>IFERROR(AK122/V122-1,0)</f>
        <v>-1</v>
      </c>
      <c r="AN122" s="9"/>
    </row>
    <row r="123" spans="1:40" ht="14.45" customHeight="1" outlineLevel="1">
      <c r="A123" s="12"/>
      <c r="I123" s="228" t="s">
        <v>236</v>
      </c>
      <c r="J123" s="65">
        <v>0</v>
      </c>
      <c r="K123" s="65">
        <v>12625</v>
      </c>
      <c r="L123" s="65">
        <v>14563</v>
      </c>
      <c r="M123" s="65">
        <v>3200</v>
      </c>
      <c r="N123" s="65">
        <v>15041</v>
      </c>
      <c r="O123" s="65">
        <v>0</v>
      </c>
      <c r="P123" s="65">
        <v>2871</v>
      </c>
      <c r="Q123" s="65">
        <v>-81046</v>
      </c>
      <c r="R123" s="65">
        <v>15518</v>
      </c>
      <c r="S123" s="65">
        <v>11587</v>
      </c>
      <c r="T123" s="65">
        <v>7973.68</v>
      </c>
      <c r="U123" s="65">
        <v>7973.68</v>
      </c>
      <c r="V123" s="65">
        <f t="shared" ref="V123:V147" si="76">SUM(J123:U123)</f>
        <v>10306.36</v>
      </c>
      <c r="W123" s="73">
        <f t="shared" ref="W123:W147" si="77">V123/V$6</f>
        <v>1.3126394296352539E-4</v>
      </c>
      <c r="X123" s="89"/>
      <c r="Y123" s="65">
        <f>VLOOKUP($E$1,[7]Resumen!$V$46:$AH$49,Y1,0)</f>
        <v>8280.7999999999993</v>
      </c>
      <c r="Z123" s="65">
        <f>VLOOKUP($E$1,[7]Resumen!$V$46:$AH$49,Z1,0)</f>
        <v>8280.7999999999993</v>
      </c>
      <c r="AA123" s="65">
        <f>VLOOKUP($E$1,[7]Resumen!$V$46:$AH$49,AA1,0)</f>
        <v>8280.7999999999993</v>
      </c>
      <c r="AB123" s="65">
        <f>VLOOKUP($E$1,[7]Resumen!$V$46:$AH$49,AB1,0)</f>
        <v>8280.7999999999993</v>
      </c>
      <c r="AC123" s="65">
        <f>VLOOKUP($E$1,[7]Resumen!$V$46:$AH$49,AC1,0)</f>
        <v>8280.7999999999993</v>
      </c>
      <c r="AD123" s="65">
        <f>VLOOKUP($E$1,[7]Resumen!$V$46:$AH$49,AD1,0)</f>
        <v>8280.7999999999993</v>
      </c>
      <c r="AE123" s="65">
        <f>VLOOKUP($E$1,[7]Resumen!$V$46:$AH$49,AE1,0)</f>
        <v>8280.7999999999993</v>
      </c>
      <c r="AF123" s="65">
        <f>VLOOKUP($E$1,[7]Resumen!$V$46:$AH$49,AF1,0)</f>
        <v>8280.7999999999993</v>
      </c>
      <c r="AG123" s="65">
        <f>VLOOKUP($E$1,[7]Resumen!$V$46:$AH$49,AG1,0)</f>
        <v>8280.7999999999993</v>
      </c>
      <c r="AH123" s="65">
        <f>VLOOKUP($E$1,[7]Resumen!$V$46:$AH$49,AH1,0)</f>
        <v>8280.7999999999993</v>
      </c>
      <c r="AI123" s="65">
        <f>VLOOKUP($E$1,[7]Resumen!$V$46:$AH$49,AI1,0)</f>
        <v>8280.7999999999993</v>
      </c>
      <c r="AJ123" s="65">
        <f>VLOOKUP($E$1,[7]Resumen!$V$46:$AH$49,AJ1,0)</f>
        <v>8280.7999999999993</v>
      </c>
      <c r="AK123" s="65">
        <f t="shared" si="66"/>
        <v>99369.60000000002</v>
      </c>
      <c r="AL123" s="73">
        <f t="shared" ref="AL123:AL133" si="78">AK123/AK$6</f>
        <v>1.1299997933218607E-3</v>
      </c>
      <c r="AM123" s="14">
        <f t="shared" ref="AM123:AM133" si="79">IFERROR(AK123/V123-1,0)</f>
        <v>8.6415805386188733</v>
      </c>
      <c r="AN123" s="9"/>
    </row>
    <row r="124" spans="1:40" ht="14.45" customHeight="1" outlineLevel="1">
      <c r="A124" s="12"/>
      <c r="I124" s="228" t="s">
        <v>237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2450</v>
      </c>
      <c r="R124" s="65">
        <v>0</v>
      </c>
      <c r="S124" s="65">
        <v>3300</v>
      </c>
      <c r="T124" s="65">
        <v>0</v>
      </c>
      <c r="U124" s="65">
        <v>0</v>
      </c>
      <c r="V124" s="65">
        <f t="shared" si="76"/>
        <v>5750</v>
      </c>
      <c r="W124" s="73">
        <f t="shared" si="77"/>
        <v>7.3233195040758428E-5</v>
      </c>
      <c r="X124" s="89"/>
      <c r="Y124" s="65">
        <f>VLOOKUP($E$1,[7]Resumen!$V$55:$AH$58,Y1,0)</f>
        <v>0</v>
      </c>
      <c r="Z124" s="65">
        <f>VLOOKUP($E$1,[7]Resumen!$V$55:$AH$58,Z1,0)</f>
        <v>362.28499999999997</v>
      </c>
      <c r="AA124" s="65">
        <f>VLOOKUP($E$1,[7]Resumen!$V$55:$AH$58,AA1,0)</f>
        <v>0</v>
      </c>
      <c r="AB124" s="65">
        <f>VLOOKUP($E$1,[7]Resumen!$V$55:$AH$58,AB1,0)</f>
        <v>0</v>
      </c>
      <c r="AC124" s="65">
        <f>VLOOKUP($E$1,[7]Resumen!$V$55:$AH$58,AC1,0)</f>
        <v>362.28499999999997</v>
      </c>
      <c r="AD124" s="65">
        <f>VLOOKUP($E$1,[7]Resumen!$V$55:$AH$58,AD1,0)</f>
        <v>0</v>
      </c>
      <c r="AE124" s="65">
        <f>VLOOKUP($E$1,[7]Resumen!$V$55:$AH$58,AE1,0)</f>
        <v>0</v>
      </c>
      <c r="AF124" s="65">
        <f>VLOOKUP($E$1,[7]Resumen!$V$55:$AH$58,AF1,0)</f>
        <v>0</v>
      </c>
      <c r="AG124" s="65">
        <f>VLOOKUP($E$1,[7]Resumen!$V$55:$AH$58,AG1,0)</f>
        <v>3260.5649999999996</v>
      </c>
      <c r="AH124" s="65">
        <f>VLOOKUP($E$1,[7]Resumen!$V$55:$AH$58,AH1,0)</f>
        <v>0</v>
      </c>
      <c r="AI124" s="65">
        <f>VLOOKUP($E$1,[7]Resumen!$V$55:$AH$58,AI1,0)</f>
        <v>0</v>
      </c>
      <c r="AJ124" s="65">
        <f>VLOOKUP($E$1,[7]Resumen!$V$55:$AH$58,AJ1,0)</f>
        <v>0</v>
      </c>
      <c r="AK124" s="65">
        <f t="shared" si="66"/>
        <v>3985.1349999999993</v>
      </c>
      <c r="AL124" s="73">
        <f t="shared" si="78"/>
        <v>4.5317700044678774E-5</v>
      </c>
      <c r="AM124" s="14">
        <f t="shared" si="79"/>
        <v>-0.306933043478261</v>
      </c>
      <c r="AN124" s="9"/>
    </row>
    <row r="125" spans="1:40" ht="14.45" customHeight="1" outlineLevel="1">
      <c r="A125" s="12"/>
      <c r="I125" s="228" t="s">
        <v>238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f t="shared" si="76"/>
        <v>0</v>
      </c>
      <c r="W125" s="73">
        <f t="shared" si="77"/>
        <v>0</v>
      </c>
      <c r="X125" s="89"/>
      <c r="Y125" s="65">
        <f>VLOOKUP($E$1,[6]Resumen!$V$62:$AH$65,Y1,0)</f>
        <v>0</v>
      </c>
      <c r="Z125" s="65">
        <f>VLOOKUP($E$1,[6]Resumen!$V$62:$AH$65,Z1,0)</f>
        <v>0</v>
      </c>
      <c r="AA125" s="65">
        <f>VLOOKUP($E$1,[6]Resumen!$V$62:$AH$65,AA1,0)</f>
        <v>3621.8148999999999</v>
      </c>
      <c r="AB125" s="65">
        <f>VLOOKUP($E$1,[6]Resumen!$V$62:$AH$65,AB1,0)</f>
        <v>0</v>
      </c>
      <c r="AC125" s="65">
        <f>VLOOKUP($E$1,[6]Resumen!$V$62:$AH$65,AC1,0)</f>
        <v>0</v>
      </c>
      <c r="AD125" s="65">
        <f>VLOOKUP($E$1,[6]Resumen!$V$62:$AH$65,AD1,0)</f>
        <v>0</v>
      </c>
      <c r="AE125" s="65">
        <f>VLOOKUP($E$1,[6]Resumen!$V$62:$AH$65,AE1,0)</f>
        <v>0</v>
      </c>
      <c r="AF125" s="65">
        <f>VLOOKUP($E$1,[6]Resumen!$V$62:$AH$65,AF1,0)</f>
        <v>0</v>
      </c>
      <c r="AG125" s="65">
        <f>VLOOKUP($E$1,[6]Resumen!$V$62:$AH$65,AG1,0)</f>
        <v>0</v>
      </c>
      <c r="AH125" s="65">
        <f>VLOOKUP($E$1,[6]Resumen!$V$62:$AH$65,AH1,0)</f>
        <v>0</v>
      </c>
      <c r="AI125" s="65">
        <f>VLOOKUP($E$1,[6]Resumen!$V$62:$AH$65,AI1,0)</f>
        <v>0</v>
      </c>
      <c r="AJ125" s="65">
        <f>VLOOKUP($E$1,[6]Resumen!$V$62:$AH$65,AJ1,0)</f>
        <v>0</v>
      </c>
      <c r="AK125" s="65">
        <f t="shared" si="66"/>
        <v>3621.8148999999999</v>
      </c>
      <c r="AL125" s="73">
        <f t="shared" si="78"/>
        <v>4.1186138300345726E-5</v>
      </c>
      <c r="AM125" s="14">
        <f t="shared" si="79"/>
        <v>0</v>
      </c>
      <c r="AN125" s="9"/>
    </row>
    <row r="126" spans="1:40" ht="14.45" customHeight="1" outlineLevel="1">
      <c r="A126" s="12"/>
      <c r="I126" s="228" t="s">
        <v>239</v>
      </c>
      <c r="J126" s="65">
        <v>0</v>
      </c>
      <c r="K126" s="65">
        <v>0</v>
      </c>
      <c r="L126" s="65">
        <v>0</v>
      </c>
      <c r="M126" s="65">
        <v>7200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8250</v>
      </c>
      <c r="U126" s="65">
        <v>8250</v>
      </c>
      <c r="V126" s="65">
        <f t="shared" si="76"/>
        <v>23700</v>
      </c>
      <c r="W126" s="73">
        <f t="shared" si="77"/>
        <v>3.0184812564625643E-4</v>
      </c>
      <c r="X126" s="89"/>
      <c r="Y126" s="65">
        <f>VLOOKUP($E$1,[4]Resumen!$C$36:$O$39,Y1,0)+VLOOKUP($E$1,[7]Resumen!$V$64:$AH$67,Y1,0)</f>
        <v>0</v>
      </c>
      <c r="Z126" s="65">
        <f>VLOOKUP($E$1,[4]Resumen!$C$36:$O$39,Z1,0)+VLOOKUP($E$1,[7]Resumen!$V$64:$AH$67,Z1,0)</f>
        <v>7763.2499999999991</v>
      </c>
      <c r="AA126" s="65">
        <f>VLOOKUP($E$1,[4]Resumen!$C$36:$O$39,AA1,0)+VLOOKUP($E$1,[7]Resumen!$V$64:$AH$67,AA1,0)</f>
        <v>0</v>
      </c>
      <c r="AB126" s="65">
        <f>VLOOKUP($E$1,[4]Resumen!$C$36:$O$39,AB1,0)+VLOOKUP($E$1,[7]Resumen!$V$64:$AH$67,AB1,0)</f>
        <v>0</v>
      </c>
      <c r="AC126" s="65">
        <f>VLOOKUP($E$1,[4]Resumen!$C$36:$O$39,AC1,0)+VLOOKUP($E$1,[7]Resumen!$V$64:$AH$67,AC1,0)</f>
        <v>0</v>
      </c>
      <c r="AD126" s="65">
        <f>VLOOKUP($E$1,[4]Resumen!$C$36:$O$39,AD1,0)+VLOOKUP($E$1,[7]Resumen!$V$64:$AH$67,AD1,0)</f>
        <v>0</v>
      </c>
      <c r="AE126" s="65">
        <f>VLOOKUP($E$1,[4]Resumen!$C$36:$O$39,AE1,0)+VLOOKUP($E$1,[7]Resumen!$V$64:$AH$67,AE1,0)</f>
        <v>0</v>
      </c>
      <c r="AF126" s="65">
        <f>VLOOKUP($E$1,[4]Resumen!$C$36:$O$39,AF1,0)+VLOOKUP($E$1,[7]Resumen!$V$64:$AH$67,AF1,0)</f>
        <v>7763.2499999999991</v>
      </c>
      <c r="AG126" s="65">
        <f>VLOOKUP($E$1,[4]Resumen!$C$36:$O$39,AG1,0)+VLOOKUP($E$1,[7]Resumen!$V$64:$AH$67,AG1,0)</f>
        <v>0</v>
      </c>
      <c r="AH126" s="65">
        <f>VLOOKUP($E$1,[4]Resumen!$C$36:$O$39,AH1,0)+VLOOKUP($E$1,[7]Resumen!$V$64:$AH$67,AH1,0)</f>
        <v>0</v>
      </c>
      <c r="AI126" s="65">
        <f>VLOOKUP($E$1,[4]Resumen!$C$36:$O$39,AI1,0)+VLOOKUP($E$1,[7]Resumen!$V$64:$AH$67,AI1,0)</f>
        <v>0</v>
      </c>
      <c r="AJ126" s="65">
        <f>VLOOKUP($E$1,[4]Resumen!$C$36:$O$39,AJ1,0)+VLOOKUP($E$1,[7]Resumen!$V$64:$AH$67,AJ1,0)</f>
        <v>0</v>
      </c>
      <c r="AK126" s="65">
        <f t="shared" si="66"/>
        <v>15526.499999999998</v>
      </c>
      <c r="AL126" s="73">
        <f t="shared" si="78"/>
        <v>1.7656246770654069E-4</v>
      </c>
      <c r="AM126" s="14">
        <f t="shared" si="79"/>
        <v>-0.34487341772151903</v>
      </c>
      <c r="AN126" s="9"/>
    </row>
    <row r="127" spans="1:40" ht="14.45" customHeight="1" outlineLevel="1">
      <c r="A127" s="12"/>
      <c r="I127" s="228" t="s">
        <v>241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2080</v>
      </c>
      <c r="V127" s="65">
        <f t="shared" si="76"/>
        <v>2080</v>
      </c>
      <c r="W127" s="73">
        <f t="shared" si="77"/>
        <v>2.6491312293004784E-5</v>
      </c>
      <c r="X127" s="89"/>
      <c r="Y127" s="65">
        <f>VLOOKUP($E$1,[7]Resumen!$V$73:$AH$76,Y1,0)</f>
        <v>0</v>
      </c>
      <c r="Z127" s="65">
        <f>VLOOKUP($E$1,[7]Resumen!$V$73:$AH$76,Z1,0)</f>
        <v>0</v>
      </c>
      <c r="AA127" s="65">
        <f>VLOOKUP($E$1,[7]Resumen!$V$73:$AH$76,AA1,0)</f>
        <v>0</v>
      </c>
      <c r="AB127" s="65">
        <f>VLOOKUP($E$1,[7]Resumen!$V$73:$AH$76,AB1,0)</f>
        <v>0</v>
      </c>
      <c r="AC127" s="65">
        <f>VLOOKUP($E$1,[7]Resumen!$V$73:$AH$76,AC1,0)</f>
        <v>0</v>
      </c>
      <c r="AD127" s="65">
        <f>VLOOKUP($E$1,[7]Resumen!$V$73:$AH$76,AD1,0)</f>
        <v>0</v>
      </c>
      <c r="AE127" s="65">
        <f>VLOOKUP($E$1,[7]Resumen!$V$73:$AH$76,AE1,0)</f>
        <v>0</v>
      </c>
      <c r="AF127" s="65">
        <f>VLOOKUP($E$1,[7]Resumen!$V$73:$AH$76,AF1,0)</f>
        <v>0</v>
      </c>
      <c r="AG127" s="65">
        <f>VLOOKUP($E$1,[7]Resumen!$V$73:$AH$76,AG1,0)</f>
        <v>0</v>
      </c>
      <c r="AH127" s="65">
        <f>VLOOKUP($E$1,[7]Resumen!$V$73:$AH$76,AH1,0)</f>
        <v>0</v>
      </c>
      <c r="AI127" s="65">
        <f>VLOOKUP($E$1,[7]Resumen!$V$73:$AH$76,AI1,0)</f>
        <v>0</v>
      </c>
      <c r="AJ127" s="65">
        <f>VLOOKUP($E$1,[7]Resumen!$V$73:$AH$76,AJ1,0)</f>
        <v>0</v>
      </c>
      <c r="AK127" s="65">
        <f t="shared" si="66"/>
        <v>0</v>
      </c>
      <c r="AL127" s="73">
        <f t="shared" si="78"/>
        <v>0</v>
      </c>
      <c r="AM127" s="14">
        <f t="shared" si="79"/>
        <v>-1</v>
      </c>
      <c r="AN127" s="9"/>
    </row>
    <row r="128" spans="1:40" ht="14.45" customHeight="1">
      <c r="A128" s="12" t="s">
        <v>240</v>
      </c>
      <c r="B128" s="8" t="s">
        <v>101</v>
      </c>
      <c r="I128" s="228" t="s">
        <v>242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/>
      <c r="U128" s="65"/>
      <c r="V128" s="65">
        <f t="shared" si="76"/>
        <v>0</v>
      </c>
      <c r="W128" s="73">
        <f t="shared" si="77"/>
        <v>0</v>
      </c>
      <c r="X128" s="89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>
        <f t="shared" si="66"/>
        <v>0</v>
      </c>
      <c r="AL128" s="73">
        <f t="shared" si="78"/>
        <v>0</v>
      </c>
      <c r="AM128" s="14">
        <f t="shared" si="79"/>
        <v>0</v>
      </c>
      <c r="AN128" s="9"/>
    </row>
    <row r="129" spans="1:40" ht="14.45" customHeight="1" outlineLevel="1">
      <c r="A129" s="12" t="s">
        <v>240</v>
      </c>
      <c r="B129" s="8" t="s">
        <v>101</v>
      </c>
      <c r="I129" s="228" t="s">
        <v>243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76"/>
        <v>0</v>
      </c>
      <c r="W129" s="73">
        <f t="shared" si="77"/>
        <v>0</v>
      </c>
      <c r="X129" s="89"/>
      <c r="Y129" s="65">
        <f>VLOOKUP($E$1,[7]Resumen!$V$82:$AH$85,Y1,0)</f>
        <v>0</v>
      </c>
      <c r="Z129" s="65">
        <f>VLOOKUP($E$1,[7]Resumen!$V$82:$AH$85,Z1,0)</f>
        <v>0</v>
      </c>
      <c r="AA129" s="65">
        <f>VLOOKUP($E$1,[7]Resumen!$V$82:$AH$85,AA1,0)</f>
        <v>0</v>
      </c>
      <c r="AB129" s="65">
        <f>VLOOKUP($E$1,[7]Resumen!$V$82:$AH$85,AB1,0)</f>
        <v>0</v>
      </c>
      <c r="AC129" s="65">
        <f>VLOOKUP($E$1,[7]Resumen!$V$82:$AH$85,AC1,0)</f>
        <v>0</v>
      </c>
      <c r="AD129" s="65">
        <f>VLOOKUP($E$1,[7]Resumen!$V$82:$AH$85,AD1,0)</f>
        <v>0</v>
      </c>
      <c r="AE129" s="65">
        <f>VLOOKUP($E$1,[7]Resumen!$V$82:$AH$85,AE1,0)</f>
        <v>0</v>
      </c>
      <c r="AF129" s="65">
        <f>VLOOKUP($E$1,[7]Resumen!$V$82:$AH$85,AF1,0)</f>
        <v>0</v>
      </c>
      <c r="AG129" s="65">
        <f>VLOOKUP($E$1,[7]Resumen!$V$82:$AH$85,AG1,0)</f>
        <v>0</v>
      </c>
      <c r="AH129" s="65">
        <f>VLOOKUP($E$1,[7]Resumen!$V$82:$AH$85,AH1,0)</f>
        <v>0</v>
      </c>
      <c r="AI129" s="65">
        <f>VLOOKUP($E$1,[7]Resumen!$V$82:$AH$85,AI1,0)</f>
        <v>0</v>
      </c>
      <c r="AJ129" s="65">
        <f>VLOOKUP($E$1,[7]Resumen!$V$82:$AH$85,AJ1,0)</f>
        <v>0</v>
      </c>
      <c r="AK129" s="65">
        <f t="shared" si="66"/>
        <v>0</v>
      </c>
      <c r="AL129" s="73">
        <f t="shared" si="78"/>
        <v>0</v>
      </c>
      <c r="AM129" s="14">
        <f t="shared" si="79"/>
        <v>0</v>
      </c>
      <c r="AN129" s="9"/>
    </row>
    <row r="130" spans="1:40" ht="14.45" customHeight="1" outlineLevel="1">
      <c r="A130" s="12" t="s">
        <v>240</v>
      </c>
      <c r="B130" s="8" t="s">
        <v>101</v>
      </c>
      <c r="I130" s="228" t="s">
        <v>244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76"/>
        <v>0</v>
      </c>
      <c r="W130" s="73">
        <f t="shared" si="77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66"/>
        <v>0</v>
      </c>
      <c r="AL130" s="73">
        <f t="shared" si="78"/>
        <v>0</v>
      </c>
      <c r="AM130" s="14">
        <f t="shared" si="79"/>
        <v>0</v>
      </c>
      <c r="AN130" s="9"/>
    </row>
    <row r="131" spans="1:40" ht="14.45" customHeight="1" outlineLevel="1">
      <c r="A131" s="12" t="s">
        <v>240</v>
      </c>
      <c r="B131" s="8" t="s">
        <v>101</v>
      </c>
      <c r="I131" s="228" t="s">
        <v>245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/>
      <c r="U131" s="65"/>
      <c r="V131" s="65">
        <f t="shared" si="76"/>
        <v>0</v>
      </c>
      <c r="W131" s="73">
        <f t="shared" si="77"/>
        <v>0</v>
      </c>
      <c r="X131" s="89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>
        <f t="shared" si="66"/>
        <v>0</v>
      </c>
      <c r="AL131" s="73">
        <f t="shared" si="78"/>
        <v>0</v>
      </c>
      <c r="AM131" s="14">
        <f t="shared" si="79"/>
        <v>0</v>
      </c>
      <c r="AN131" s="9"/>
    </row>
    <row r="132" spans="1:40" ht="14.45" customHeight="1" outlineLevel="1">
      <c r="A132" s="12" t="s">
        <v>240</v>
      </c>
      <c r="B132" s="8" t="s">
        <v>101</v>
      </c>
      <c r="I132" s="228" t="s">
        <v>247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76"/>
        <v>0</v>
      </c>
      <c r="W132" s="73">
        <f t="shared" si="77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66"/>
        <v>0</v>
      </c>
      <c r="AL132" s="73">
        <f t="shared" si="78"/>
        <v>0</v>
      </c>
      <c r="AM132" s="14">
        <f t="shared" si="79"/>
        <v>0</v>
      </c>
      <c r="AN132" s="9"/>
    </row>
    <row r="133" spans="1:40" ht="14.45" customHeight="1" outlineLevel="1">
      <c r="A133" s="12" t="s">
        <v>240</v>
      </c>
      <c r="B133" s="8" t="s">
        <v>101</v>
      </c>
      <c r="C133" s="19" t="s">
        <v>246</v>
      </c>
      <c r="D133" s="12"/>
      <c r="E133" s="20"/>
      <c r="F133" s="12"/>
      <c r="G133" s="12"/>
      <c r="H133" s="12"/>
      <c r="I133" s="228" t="s">
        <v>248</v>
      </c>
      <c r="J133" s="65">
        <v>0</v>
      </c>
      <c r="K133" s="65">
        <v>0</v>
      </c>
      <c r="L133" s="65">
        <v>4141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2590</v>
      </c>
      <c r="U133" s="65">
        <v>0</v>
      </c>
      <c r="V133" s="65">
        <f t="shared" si="76"/>
        <v>6731</v>
      </c>
      <c r="W133" s="73">
        <f t="shared" si="77"/>
        <v>8.5727414925103473E-5</v>
      </c>
      <c r="X133" s="89"/>
      <c r="Y133" s="65">
        <f>VLOOKUP($E$1,[4]Resumen!$C$18:$O$21,Y1,0)+VLOOKUP($E$1,[7]Resumen!$V$91:$AH$94,Y1,0)</f>
        <v>2200</v>
      </c>
      <c r="Z133" s="65">
        <f>VLOOKUP($E$1,[4]Resumen!$C$18:$O$21,Z1,0)+VLOOKUP($E$1,[7]Resumen!$V$91:$AH$94,Z1,0)</f>
        <v>0</v>
      </c>
      <c r="AA133" s="65">
        <f>VLOOKUP($E$1,[4]Resumen!$C$18:$O$21,AA1,0)+VLOOKUP($E$1,[7]Resumen!$V$91:$AH$94,AA1,0)</f>
        <v>0</v>
      </c>
      <c r="AB133" s="65">
        <f>VLOOKUP($E$1,[4]Resumen!$C$18:$O$21,AB1,0)+VLOOKUP($E$1,[7]Resumen!$V$91:$AH$94,AB1,0)</f>
        <v>0</v>
      </c>
      <c r="AC133" s="65">
        <f>VLOOKUP($E$1,[4]Resumen!$C$18:$O$21,AC1,0)+VLOOKUP($E$1,[7]Resumen!$V$91:$AH$94,AC1,0)</f>
        <v>0</v>
      </c>
      <c r="AD133" s="65">
        <f>VLOOKUP($E$1,[4]Resumen!$C$18:$O$21,AD1,0)+VLOOKUP($E$1,[7]Resumen!$V$91:$AH$94,AD1,0)</f>
        <v>0</v>
      </c>
      <c r="AE133" s="65">
        <f>VLOOKUP($E$1,[4]Resumen!$C$18:$O$21,AE1,0)+VLOOKUP($E$1,[7]Resumen!$V$91:$AH$94,AE1,0)</f>
        <v>2200</v>
      </c>
      <c r="AF133" s="65">
        <f>VLOOKUP($E$1,[4]Resumen!$C$18:$O$21,AF1,0)+VLOOKUP($E$1,[7]Resumen!$V$91:$AH$94,AF1,0)</f>
        <v>0</v>
      </c>
      <c r="AG133" s="65">
        <f>VLOOKUP($E$1,[4]Resumen!$C$18:$O$21,AG1,0)+VLOOKUP($E$1,[7]Resumen!$V$91:$AH$94,AG1,0)</f>
        <v>0</v>
      </c>
      <c r="AH133" s="65">
        <f>VLOOKUP($E$1,[4]Resumen!$C$18:$O$21,AH1,0)+VLOOKUP($E$1,[7]Resumen!$V$91:$AH$94,AH1,0)</f>
        <v>0</v>
      </c>
      <c r="AI133" s="65">
        <f>VLOOKUP($E$1,[4]Resumen!$C$18:$O$21,AI1,0)+VLOOKUP($E$1,[7]Resumen!$V$91:$AH$94,AI1,0)</f>
        <v>0</v>
      </c>
      <c r="AJ133" s="65">
        <f>VLOOKUP($E$1,[4]Resumen!$C$18:$O$21,AJ1,0)+VLOOKUP($E$1,[7]Resumen!$V$91:$AH$94,AJ1,0)</f>
        <v>0</v>
      </c>
      <c r="AK133" s="65">
        <f t="shared" si="66"/>
        <v>4400</v>
      </c>
      <c r="AL133" s="73">
        <f t="shared" si="78"/>
        <v>5.0035414157007637E-5</v>
      </c>
      <c r="AM133" s="14">
        <f t="shared" si="79"/>
        <v>-0.34630812657851728</v>
      </c>
      <c r="AN133" s="9"/>
    </row>
    <row r="134" spans="1:40" ht="14.45" customHeight="1" outlineLevel="1">
      <c r="A134" s="12" t="s">
        <v>240</v>
      </c>
      <c r="B134" s="8" t="s">
        <v>101</v>
      </c>
      <c r="I134" s="228" t="s">
        <v>249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76"/>
        <v>0</v>
      </c>
      <c r="W134" s="73">
        <f t="shared" si="77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6"/>
        <v>0</v>
      </c>
      <c r="AL134" s="73">
        <f t="shared" si="37"/>
        <v>0</v>
      </c>
      <c r="AM134" s="14">
        <f t="shared" si="38"/>
        <v>0</v>
      </c>
      <c r="AN134" s="9"/>
    </row>
    <row r="135" spans="1:40" ht="14.45" customHeight="1" outlineLevel="1">
      <c r="A135" s="12"/>
      <c r="I135" s="228" t="s">
        <v>250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3050</v>
      </c>
      <c r="R135" s="65">
        <v>0</v>
      </c>
      <c r="S135" s="65">
        <v>6091</v>
      </c>
      <c r="T135" s="65">
        <v>0</v>
      </c>
      <c r="U135" s="65">
        <v>0</v>
      </c>
      <c r="V135" s="65">
        <f t="shared" si="76"/>
        <v>9141</v>
      </c>
      <c r="W135" s="73">
        <f t="shared" si="77"/>
        <v>1.1642167580305612E-4</v>
      </c>
      <c r="X135" s="89"/>
      <c r="Y135" s="65">
        <f>VLOOKUP($E$1,[7]Resumen!$V$100:$AH$103,Y1,0)</f>
        <v>0</v>
      </c>
      <c r="Z135" s="65">
        <f>VLOOKUP($E$1,[7]Resumen!$V$100:$AH$103,Z1,0)</f>
        <v>0</v>
      </c>
      <c r="AA135" s="65">
        <f>VLOOKUP($E$1,[7]Resumen!$V$100:$AH$103,AA1,0)</f>
        <v>0</v>
      </c>
      <c r="AB135" s="65">
        <f>VLOOKUP($E$1,[7]Resumen!$V$100:$AH$103,AB1,0)</f>
        <v>0</v>
      </c>
      <c r="AC135" s="65">
        <f>VLOOKUP($E$1,[7]Resumen!$V$100:$AH$103,AC1,0)</f>
        <v>0</v>
      </c>
      <c r="AD135" s="65">
        <f>VLOOKUP($E$1,[7]Resumen!$V$100:$AH$103,AD1,0)</f>
        <v>0</v>
      </c>
      <c r="AE135" s="65">
        <f>VLOOKUP($E$1,[7]Resumen!$V$100:$AH$103,AE1,0)</f>
        <v>15526.499999999998</v>
      </c>
      <c r="AF135" s="65">
        <f>VLOOKUP($E$1,[7]Resumen!$V$100:$AH$103,AF1,0)</f>
        <v>0</v>
      </c>
      <c r="AG135" s="65">
        <f>VLOOKUP($E$1,[7]Resumen!$V$100:$AH$103,AG1,0)</f>
        <v>0</v>
      </c>
      <c r="AH135" s="65">
        <f>VLOOKUP($E$1,[7]Resumen!$V$100:$AH$103,AH1,0)</f>
        <v>0</v>
      </c>
      <c r="AI135" s="65">
        <f>VLOOKUP($E$1,[7]Resumen!$V$100:$AH$103,AI1,0)</f>
        <v>0</v>
      </c>
      <c r="AJ135" s="65">
        <f>VLOOKUP($E$1,[7]Resumen!$V$100:$AH$103,AJ1,0)</f>
        <v>0</v>
      </c>
      <c r="AK135" s="65">
        <f t="shared" si="66"/>
        <v>15526.499999999998</v>
      </c>
      <c r="AL135" s="73">
        <f t="shared" si="37"/>
        <v>1.7656246770654069E-4</v>
      </c>
      <c r="AM135" s="14">
        <f t="shared" si="38"/>
        <v>0.69855595667870007</v>
      </c>
      <c r="AN135" s="9"/>
    </row>
    <row r="136" spans="1:40" ht="14.45" customHeight="1">
      <c r="I136" s="228" t="s">
        <v>251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76"/>
        <v>0</v>
      </c>
      <c r="W136" s="73">
        <f t="shared" si="77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6"/>
        <v>0</v>
      </c>
      <c r="AL136" s="73">
        <f t="shared" si="37"/>
        <v>0</v>
      </c>
      <c r="AM136" s="14">
        <f t="shared" si="38"/>
        <v>0</v>
      </c>
      <c r="AN136" s="9"/>
    </row>
    <row r="137" spans="1:40" ht="14.45" customHeight="1">
      <c r="I137" s="228" t="s">
        <v>252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/>
      <c r="U137" s="65"/>
      <c r="V137" s="65">
        <f t="shared" si="76"/>
        <v>0</v>
      </c>
      <c r="W137" s="73">
        <f t="shared" si="77"/>
        <v>0</v>
      </c>
      <c r="X137" s="89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>
        <f t="shared" si="66"/>
        <v>0</v>
      </c>
      <c r="AL137" s="73">
        <f t="shared" si="37"/>
        <v>0</v>
      </c>
      <c r="AM137" s="14">
        <f t="shared" si="38"/>
        <v>0</v>
      </c>
      <c r="AN137" s="9"/>
    </row>
    <row r="138" spans="1:40" ht="14.45" customHeight="1">
      <c r="I138" s="228" t="s">
        <v>253</v>
      </c>
      <c r="J138" s="65">
        <v>0</v>
      </c>
      <c r="K138" s="65">
        <v>0</v>
      </c>
      <c r="L138" s="65">
        <v>0</v>
      </c>
      <c r="M138" s="65">
        <v>6000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f t="shared" si="76"/>
        <v>6000</v>
      </c>
      <c r="W138" s="73">
        <f t="shared" si="77"/>
        <v>7.6417246999052271E-5</v>
      </c>
      <c r="X138" s="89"/>
      <c r="Y138" s="65">
        <f>VLOOKUP($E$1,[7]Resumen!$V$109:$AH$112,Y1,0)</f>
        <v>0</v>
      </c>
      <c r="Z138" s="65">
        <f>VLOOKUP($E$1,[7]Resumen!$V$109:$AH$112,Z1,0)</f>
        <v>0</v>
      </c>
      <c r="AA138" s="65">
        <f>VLOOKUP($E$1,[7]Resumen!$V$109:$AH$112,AA1,0)</f>
        <v>7452.7199999999993</v>
      </c>
      <c r="AB138" s="65">
        <f>VLOOKUP($E$1,[7]Resumen!$V$109:$AH$112,AB1,0)</f>
        <v>0</v>
      </c>
      <c r="AC138" s="65">
        <f>VLOOKUP($E$1,[7]Resumen!$V$109:$AH$112,AC1,0)</f>
        <v>0</v>
      </c>
      <c r="AD138" s="65">
        <f>VLOOKUP($E$1,[7]Resumen!$V$109:$AH$112,AD1,0)</f>
        <v>0</v>
      </c>
      <c r="AE138" s="65">
        <f>VLOOKUP($E$1,[7]Resumen!$V$109:$AH$112,AE1,0)</f>
        <v>0</v>
      </c>
      <c r="AF138" s="65">
        <f>VLOOKUP($E$1,[7]Resumen!$V$109:$AH$112,AF1,0)</f>
        <v>0</v>
      </c>
      <c r="AG138" s="65">
        <f>VLOOKUP($E$1,[7]Resumen!$V$109:$AH$112,AG1,0)</f>
        <v>0</v>
      </c>
      <c r="AH138" s="65">
        <f>VLOOKUP($E$1,[7]Resumen!$V$109:$AH$112,AH1,0)</f>
        <v>0</v>
      </c>
      <c r="AI138" s="65">
        <f>VLOOKUP($E$1,[7]Resumen!$V$109:$AH$112,AI1,0)</f>
        <v>0</v>
      </c>
      <c r="AJ138" s="65">
        <f>VLOOKUP($E$1,[7]Resumen!$V$109:$AH$112,AJ1,0)</f>
        <v>0</v>
      </c>
      <c r="AK138" s="65">
        <f t="shared" si="66"/>
        <v>7452.7199999999993</v>
      </c>
      <c r="AL138" s="73">
        <f t="shared" si="37"/>
        <v>8.4749984499139531E-5</v>
      </c>
      <c r="AM138" s="14">
        <f t="shared" si="38"/>
        <v>0.24211999999999989</v>
      </c>
      <c r="AN138" s="9"/>
    </row>
    <row r="139" spans="1:40" ht="15.6" customHeight="1">
      <c r="I139" s="228" t="s">
        <v>254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f t="shared" si="76"/>
        <v>0</v>
      </c>
      <c r="W139" s="73">
        <f t="shared" si="77"/>
        <v>0</v>
      </c>
      <c r="X139" s="89"/>
      <c r="Y139" s="65">
        <f>VLOOKUP($E$1,[7]Resumen!$V$118:$AH$121,Y1,0)</f>
        <v>0</v>
      </c>
      <c r="Z139" s="65">
        <f>VLOOKUP($E$1,[7]Resumen!$V$118:$AH$121,Z1,0)</f>
        <v>0</v>
      </c>
      <c r="AA139" s="65">
        <f>VLOOKUP($E$1,[7]Resumen!$V$118:$AH$121,AA1,0)</f>
        <v>0</v>
      </c>
      <c r="AB139" s="65">
        <f>VLOOKUP($E$1,[7]Resumen!$V$118:$AH$121,AB1,0)</f>
        <v>0</v>
      </c>
      <c r="AC139" s="65">
        <f>VLOOKUP($E$1,[7]Resumen!$V$118:$AH$121,AC1,0)</f>
        <v>0</v>
      </c>
      <c r="AD139" s="65">
        <f>VLOOKUP($E$1,[7]Resumen!$V$118:$AH$121,AD1,0)</f>
        <v>0</v>
      </c>
      <c r="AE139" s="65">
        <f>VLOOKUP($E$1,[7]Resumen!$V$118:$AH$121,AE1,0)</f>
        <v>0</v>
      </c>
      <c r="AF139" s="65">
        <f>VLOOKUP($E$1,[7]Resumen!$V$118:$AH$121,AF1,0)</f>
        <v>0</v>
      </c>
      <c r="AG139" s="65">
        <f>VLOOKUP($E$1,[7]Resumen!$V$118:$AH$121,AG1,0)</f>
        <v>0</v>
      </c>
      <c r="AH139" s="65">
        <f>VLOOKUP($E$1,[7]Resumen!$V$118:$AH$121,AH1,0)</f>
        <v>0</v>
      </c>
      <c r="AI139" s="65">
        <f>VLOOKUP($E$1,[7]Resumen!$V$118:$AH$121,AI1,0)</f>
        <v>0</v>
      </c>
      <c r="AJ139" s="65">
        <f>VLOOKUP($E$1,[7]Resumen!$V$118:$AH$121,AJ1,0)</f>
        <v>0</v>
      </c>
      <c r="AK139" s="65">
        <f t="shared" si="66"/>
        <v>0</v>
      </c>
      <c r="AL139" s="73">
        <f t="shared" si="37"/>
        <v>0</v>
      </c>
      <c r="AM139" s="14">
        <f t="shared" si="38"/>
        <v>0</v>
      </c>
      <c r="AN139" s="9"/>
    </row>
    <row r="140" spans="1:40" ht="14.45" customHeight="1">
      <c r="I140" s="228" t="s">
        <v>255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6"/>
        <v>0</v>
      </c>
      <c r="W140" s="73">
        <f t="shared" si="77"/>
        <v>0</v>
      </c>
      <c r="X140" s="89"/>
      <c r="Y140" s="65">
        <f>VLOOKUP($E$1,[7]Resumen!$V$127:$AH$130,Y1,0)</f>
        <v>0</v>
      </c>
      <c r="Z140" s="65">
        <f>VLOOKUP($E$1,[7]Resumen!$V$127:$AH$130,Z1,0)</f>
        <v>0</v>
      </c>
      <c r="AA140" s="65">
        <f>VLOOKUP($E$1,[7]Resumen!$V$127:$AH$130,AA1,0)</f>
        <v>0</v>
      </c>
      <c r="AB140" s="65">
        <f>VLOOKUP($E$1,[7]Resumen!$V$127:$AH$130,AB1,0)</f>
        <v>0</v>
      </c>
      <c r="AC140" s="65">
        <f>VLOOKUP($E$1,[7]Resumen!$V$127:$AH$130,AC1,0)</f>
        <v>0</v>
      </c>
      <c r="AD140" s="65">
        <f>VLOOKUP($E$1,[7]Resumen!$V$127:$AH$130,AD1,0)</f>
        <v>0</v>
      </c>
      <c r="AE140" s="65">
        <f>VLOOKUP($E$1,[7]Resumen!$V$127:$AH$130,AE1,0)</f>
        <v>0</v>
      </c>
      <c r="AF140" s="65">
        <f>VLOOKUP($E$1,[7]Resumen!$V$127:$AH$130,AF1,0)</f>
        <v>0</v>
      </c>
      <c r="AG140" s="65">
        <f>VLOOKUP($E$1,[7]Resumen!$V$127:$AH$130,AG1,0)</f>
        <v>0</v>
      </c>
      <c r="AH140" s="65">
        <f>VLOOKUP($E$1,[7]Resumen!$V$127:$AH$130,AH1,0)</f>
        <v>0</v>
      </c>
      <c r="AI140" s="65">
        <f>VLOOKUP($E$1,[7]Resumen!$V$127:$AH$130,AI1,0)</f>
        <v>0</v>
      </c>
      <c r="AJ140" s="65">
        <f>VLOOKUP($E$1,[7]Resumen!$V$127:$AH$130,AJ1,0)</f>
        <v>0</v>
      </c>
      <c r="AK140" s="65">
        <f t="shared" si="66"/>
        <v>0</v>
      </c>
      <c r="AL140" s="73">
        <f t="shared" si="37"/>
        <v>0</v>
      </c>
      <c r="AM140" s="14">
        <f t="shared" si="38"/>
        <v>0</v>
      </c>
      <c r="AN140" s="9"/>
    </row>
    <row r="141" spans="1:40" ht="15">
      <c r="I141" s="228" t="s">
        <v>256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/>
      <c r="U141" s="65"/>
      <c r="V141" s="65">
        <f t="shared" si="76"/>
        <v>0</v>
      </c>
      <c r="W141" s="73">
        <f t="shared" si="77"/>
        <v>0</v>
      </c>
      <c r="X141" s="89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>
        <f t="shared" si="66"/>
        <v>0</v>
      </c>
      <c r="AL141" s="73">
        <f t="shared" si="37"/>
        <v>0</v>
      </c>
      <c r="AM141" s="14">
        <f t="shared" si="38"/>
        <v>0</v>
      </c>
    </row>
    <row r="142" spans="1:40" ht="15">
      <c r="I142" s="228" t="s">
        <v>257</v>
      </c>
      <c r="J142" s="65">
        <v>0</v>
      </c>
      <c r="K142" s="65">
        <v>0</v>
      </c>
      <c r="L142" s="65">
        <v>3000</v>
      </c>
      <c r="M142" s="65">
        <v>0</v>
      </c>
      <c r="N142" s="65">
        <v>0</v>
      </c>
      <c r="O142" s="65">
        <v>3000</v>
      </c>
      <c r="P142" s="65">
        <v>0</v>
      </c>
      <c r="Q142" s="65">
        <v>3000</v>
      </c>
      <c r="R142" s="65">
        <v>0</v>
      </c>
      <c r="S142" s="65">
        <v>0</v>
      </c>
      <c r="T142" s="65">
        <v>2340</v>
      </c>
      <c r="U142" s="65">
        <v>2340</v>
      </c>
      <c r="V142" s="65">
        <f t="shared" si="76"/>
        <v>13680</v>
      </c>
      <c r="W142" s="73">
        <f t="shared" si="77"/>
        <v>1.7423132315783917E-4</v>
      </c>
      <c r="X142" s="89"/>
      <c r="Y142" s="65">
        <f>VLOOKUP($E$1,[7]Resumen!$V$136:$AH$139,Y1,0)</f>
        <v>0</v>
      </c>
      <c r="Z142" s="65">
        <f>VLOOKUP($E$1,[7]Resumen!$V$136:$AH$139,Z1,0)</f>
        <v>3726.3599999999997</v>
      </c>
      <c r="AA142" s="65">
        <f>VLOOKUP($E$1,[7]Resumen!$V$136:$AH$139,AA1,0)</f>
        <v>0</v>
      </c>
      <c r="AB142" s="65">
        <f>VLOOKUP($E$1,[7]Resumen!$V$136:$AH$139,AB1,0)</f>
        <v>0</v>
      </c>
      <c r="AC142" s="65">
        <f>VLOOKUP($E$1,[7]Resumen!$V$136:$AH$139,AC1,0)</f>
        <v>3726.3599999999997</v>
      </c>
      <c r="AD142" s="65">
        <f>VLOOKUP($E$1,[7]Resumen!$V$136:$AH$139,AD1,0)</f>
        <v>0</v>
      </c>
      <c r="AE142" s="65">
        <f>VLOOKUP($E$1,[7]Resumen!$V$136:$AH$139,AE1,0)</f>
        <v>0</v>
      </c>
      <c r="AF142" s="65">
        <f>VLOOKUP($E$1,[7]Resumen!$V$136:$AH$139,AF1,0)</f>
        <v>3726.3599999999997</v>
      </c>
      <c r="AG142" s="65">
        <f>VLOOKUP($E$1,[7]Resumen!$V$136:$AH$139,AG1,0)</f>
        <v>0</v>
      </c>
      <c r="AH142" s="65">
        <f>VLOOKUP($E$1,[7]Resumen!$V$136:$AH$139,AH1,0)</f>
        <v>0</v>
      </c>
      <c r="AI142" s="65">
        <f>VLOOKUP($E$1,[7]Resumen!$V$136:$AH$139,AI1,0)</f>
        <v>3726.3599999999997</v>
      </c>
      <c r="AJ142" s="65">
        <f>VLOOKUP($E$1,[7]Resumen!$V$136:$AH$139,AJ1,0)</f>
        <v>0</v>
      </c>
      <c r="AK142" s="65">
        <f t="shared" si="66"/>
        <v>14905.439999999999</v>
      </c>
      <c r="AL142" s="73">
        <f t="shared" si="37"/>
        <v>1.6949996899827906E-4</v>
      </c>
      <c r="AM142" s="14">
        <f t="shared" si="38"/>
        <v>8.957894736842098E-2</v>
      </c>
    </row>
    <row r="143" spans="1:40" ht="15">
      <c r="I143" s="228" t="s">
        <v>258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4160</v>
      </c>
      <c r="V143" s="65">
        <f t="shared" si="76"/>
        <v>4160</v>
      </c>
      <c r="W143" s="73">
        <f t="shared" si="77"/>
        <v>5.2982624586009569E-5</v>
      </c>
      <c r="X143" s="89"/>
      <c r="Y143" s="65">
        <f>VLOOKUP($E$1,[7]Resumen!$V$145:$AH$148,Y1,0)</f>
        <v>0</v>
      </c>
      <c r="Z143" s="65">
        <f>VLOOKUP($E$1,[7]Resumen!$V$145:$AH$148,Z1,0)</f>
        <v>970.92379999999991</v>
      </c>
      <c r="AA143" s="65">
        <f>VLOOKUP($E$1,[7]Resumen!$V$145:$AH$148,AA1,0)</f>
        <v>0</v>
      </c>
      <c r="AB143" s="65">
        <f>VLOOKUP($E$1,[7]Resumen!$V$145:$AH$148,AB1,0)</f>
        <v>0</v>
      </c>
      <c r="AC143" s="65">
        <f>VLOOKUP($E$1,[7]Resumen!$V$145:$AH$148,AC1,0)</f>
        <v>970.92379999999991</v>
      </c>
      <c r="AD143" s="65">
        <f>VLOOKUP($E$1,[7]Resumen!$V$145:$AH$148,AD1,0)</f>
        <v>0</v>
      </c>
      <c r="AE143" s="65">
        <f>VLOOKUP($E$1,[7]Resumen!$V$145:$AH$148,AE1,0)</f>
        <v>0</v>
      </c>
      <c r="AF143" s="65">
        <f>VLOOKUP($E$1,[7]Resumen!$V$145:$AH$148,AF1,0)</f>
        <v>970.92379999999991</v>
      </c>
      <c r="AG143" s="65">
        <f>VLOOKUP($E$1,[7]Resumen!$V$145:$AH$148,AG1,0)</f>
        <v>0</v>
      </c>
      <c r="AH143" s="65">
        <f>VLOOKUP($E$1,[7]Resumen!$V$145:$AH$148,AH1,0)</f>
        <v>0</v>
      </c>
      <c r="AI143" s="65">
        <f>VLOOKUP($E$1,[7]Resumen!$V$145:$AH$148,AI1,0)</f>
        <v>970.92379999999991</v>
      </c>
      <c r="AJ143" s="65">
        <f>VLOOKUP($E$1,[7]Resumen!$V$145:$AH$148,AJ1,0)</f>
        <v>0</v>
      </c>
      <c r="AK143" s="65">
        <f t="shared" si="66"/>
        <v>3883.6951999999997</v>
      </c>
      <c r="AL143" s="73">
        <f t="shared" si="37"/>
        <v>4.416415858899604E-5</v>
      </c>
      <c r="AM143" s="14">
        <f t="shared" ref="AM143:AM161" si="80">IFERROR(AK143/V143-1,0)</f>
        <v>-6.6419423076923167E-2</v>
      </c>
    </row>
    <row r="144" spans="1:40" ht="15">
      <c r="I144" s="228" t="s">
        <v>259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/>
      <c r="U144" s="65"/>
      <c r="V144" s="65">
        <f t="shared" si="76"/>
        <v>0</v>
      </c>
      <c r="W144" s="73">
        <f t="shared" si="77"/>
        <v>0</v>
      </c>
      <c r="X144" s="89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>
        <f t="shared" si="66"/>
        <v>0</v>
      </c>
      <c r="AL144" s="73">
        <f t="shared" si="37"/>
        <v>0</v>
      </c>
      <c r="AM144" s="14">
        <f t="shared" si="80"/>
        <v>0</v>
      </c>
    </row>
    <row r="145" spans="1:40" ht="15">
      <c r="I145" s="228" t="s">
        <v>260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/>
      <c r="U145" s="65"/>
      <c r="V145" s="65">
        <f t="shared" si="76"/>
        <v>0</v>
      </c>
      <c r="W145" s="73">
        <f t="shared" si="77"/>
        <v>0</v>
      </c>
      <c r="X145" s="89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>
        <f t="shared" si="66"/>
        <v>0</v>
      </c>
      <c r="AL145" s="73">
        <f t="shared" si="37"/>
        <v>0</v>
      </c>
      <c r="AM145" s="14">
        <f t="shared" si="80"/>
        <v>0</v>
      </c>
    </row>
    <row r="146" spans="1:40" ht="15">
      <c r="I146" s="228" t="s">
        <v>261</v>
      </c>
      <c r="J146" s="65"/>
      <c r="K146" s="65"/>
      <c r="L146" s="65"/>
      <c r="M146" s="65"/>
      <c r="N146" s="65"/>
      <c r="O146" s="65">
        <v>0</v>
      </c>
      <c r="P146" s="65">
        <v>4141</v>
      </c>
      <c r="Q146" s="65">
        <v>0</v>
      </c>
      <c r="R146" s="65">
        <v>0</v>
      </c>
      <c r="S146" s="65"/>
      <c r="T146" s="65">
        <v>0</v>
      </c>
      <c r="U146" s="65">
        <v>3640</v>
      </c>
      <c r="V146" s="65">
        <f t="shared" si="76"/>
        <v>7781</v>
      </c>
      <c r="W146" s="73">
        <f t="shared" si="77"/>
        <v>9.9100433149937613E-5</v>
      </c>
      <c r="X146" s="89"/>
      <c r="Y146" s="65">
        <f>VLOOKUP($E$1,[7]Resumen!$V$163:$AH$166,Y1,0)</f>
        <v>0</v>
      </c>
      <c r="Z146" s="65">
        <f>VLOOKUP($E$1,[7]Resumen!$V$163:$AH$166,Z1,0)</f>
        <v>0</v>
      </c>
      <c r="AA146" s="65">
        <f>VLOOKUP($E$1,[7]Resumen!$V$163:$AH$166,AA1,0)</f>
        <v>0</v>
      </c>
      <c r="AB146" s="65">
        <f>VLOOKUP($E$1,[7]Resumen!$V$163:$AH$166,AB1,0)</f>
        <v>0</v>
      </c>
      <c r="AC146" s="65">
        <f>VLOOKUP($E$1,[7]Resumen!$V$163:$AH$166,AC1,0)</f>
        <v>0</v>
      </c>
      <c r="AD146" s="65">
        <f>VLOOKUP($E$1,[7]Resumen!$V$163:$AH$166,AD1,0)</f>
        <v>0</v>
      </c>
      <c r="AE146" s="65">
        <f>VLOOKUP($E$1,[7]Resumen!$V$163:$AH$166,AE1,0)</f>
        <v>0</v>
      </c>
      <c r="AF146" s="65">
        <f>VLOOKUP($E$1,[7]Resumen!$V$163:$AH$166,AF1,0)</f>
        <v>0</v>
      </c>
      <c r="AG146" s="65">
        <f>VLOOKUP($E$1,[7]Resumen!$V$163:$AH$166,AG1,0)</f>
        <v>0</v>
      </c>
      <c r="AH146" s="65">
        <f>VLOOKUP($E$1,[7]Resumen!$V$163:$AH$166,AH1,0)</f>
        <v>0</v>
      </c>
      <c r="AI146" s="65">
        <f>VLOOKUP($E$1,[7]Resumen!$V$163:$AH$166,AI1,0)</f>
        <v>0</v>
      </c>
      <c r="AJ146" s="65">
        <f>VLOOKUP($E$1,[7]Resumen!$V$163:$AH$166,AJ1,0)</f>
        <v>3208.8099999999995</v>
      </c>
      <c r="AK146" s="65">
        <f t="shared" si="66"/>
        <v>3208.8099999999995</v>
      </c>
      <c r="AL146" s="73">
        <f t="shared" si="37"/>
        <v>3.6489576659351735E-5</v>
      </c>
      <c r="AM146" s="14">
        <f t="shared" si="80"/>
        <v>-0.58760956175298817</v>
      </c>
    </row>
    <row r="147" spans="1:40" ht="15">
      <c r="I147" s="228" t="s">
        <v>471</v>
      </c>
      <c r="J147" s="65">
        <v>0</v>
      </c>
      <c r="K147" s="65">
        <v>28000</v>
      </c>
      <c r="L147" s="65">
        <v>14000</v>
      </c>
      <c r="M147" s="65">
        <v>14000</v>
      </c>
      <c r="N147" s="65">
        <v>0</v>
      </c>
      <c r="O147" s="65">
        <v>0</v>
      </c>
      <c r="P147" s="65">
        <v>42000</v>
      </c>
      <c r="Q147" s="65">
        <v>14000</v>
      </c>
      <c r="R147" s="65">
        <v>14000</v>
      </c>
      <c r="S147" s="65">
        <v>14000</v>
      </c>
      <c r="T147" s="65">
        <v>14000</v>
      </c>
      <c r="U147" s="65">
        <v>14000</v>
      </c>
      <c r="V147" s="65">
        <f t="shared" si="76"/>
        <v>168000</v>
      </c>
      <c r="W147" s="73">
        <f t="shared" si="77"/>
        <v>2.1396829159734633E-3</v>
      </c>
      <c r="X147" s="89"/>
      <c r="Y147" s="65">
        <v>14000</v>
      </c>
      <c r="Z147" s="65">
        <v>14000</v>
      </c>
      <c r="AA147" s="65">
        <v>14000</v>
      </c>
      <c r="AB147" s="65">
        <v>14000</v>
      </c>
      <c r="AC147" s="65">
        <v>14000</v>
      </c>
      <c r="AD147" s="65">
        <v>14000</v>
      </c>
      <c r="AE147" s="65">
        <v>14000</v>
      </c>
      <c r="AF147" s="65">
        <v>14000</v>
      </c>
      <c r="AG147" s="65">
        <v>14000</v>
      </c>
      <c r="AH147" s="65">
        <v>14000</v>
      </c>
      <c r="AI147" s="65">
        <v>14000</v>
      </c>
      <c r="AJ147" s="65">
        <v>14000</v>
      </c>
      <c r="AK147" s="65">
        <f t="shared" si="66"/>
        <v>168000</v>
      </c>
      <c r="AL147" s="73">
        <f t="shared" si="37"/>
        <v>1.9104430859948371E-3</v>
      </c>
      <c r="AM147" s="14">
        <f t="shared" si="80"/>
        <v>0</v>
      </c>
    </row>
    <row r="148" spans="1:40" ht="15">
      <c r="I148" s="120" t="s">
        <v>263</v>
      </c>
      <c r="J148" s="273">
        <v>208896</v>
      </c>
      <c r="K148" s="15">
        <v>196725</v>
      </c>
      <c r="L148" s="15">
        <v>207100</v>
      </c>
      <c r="M148" s="15">
        <v>194968</v>
      </c>
      <c r="N148" s="15">
        <v>199676</v>
      </c>
      <c r="O148" s="15">
        <v>205761</v>
      </c>
      <c r="P148" s="15">
        <v>208021</v>
      </c>
      <c r="Q148" s="15">
        <v>197521</v>
      </c>
      <c r="R148" s="15">
        <v>203555</v>
      </c>
      <c r="S148" s="15">
        <v>194157</v>
      </c>
      <c r="T148" s="15">
        <f t="shared" ref="R148:U148" si="81">SUM(T149:T155)</f>
        <v>198411</v>
      </c>
      <c r="U148" s="15">
        <f t="shared" si="81"/>
        <v>198707.66666666669</v>
      </c>
      <c r="V148" s="15">
        <f t="shared" ref="V148" si="82">SUM(V149:V155)</f>
        <v>2413497.6666666665</v>
      </c>
      <c r="W148" s="72">
        <f t="shared" si="36"/>
        <v>3.0738807887550495E-2</v>
      </c>
      <c r="X148" s="89"/>
      <c r="Y148" s="15">
        <f>SUM(Y149:Y155)</f>
        <v>193287.64490000001</v>
      </c>
      <c r="Z148" s="15">
        <f t="shared" ref="Z148:AJ148" si="83">SUM(Z149:Z155)</f>
        <v>194019.46059999999</v>
      </c>
      <c r="AA148" s="15">
        <f t="shared" si="83"/>
        <v>194152.98850000001</v>
      </c>
      <c r="AB148" s="15">
        <f t="shared" si="83"/>
        <v>194138.49710000001</v>
      </c>
      <c r="AC148" s="15">
        <f t="shared" si="83"/>
        <v>195377.51180000001</v>
      </c>
      <c r="AD148" s="15">
        <f t="shared" si="83"/>
        <v>196654.82519999999</v>
      </c>
      <c r="AE148" s="15">
        <f t="shared" si="83"/>
        <v>195651.8248011111</v>
      </c>
      <c r="AF148" s="15">
        <f t="shared" si="83"/>
        <v>195894.72060037038</v>
      </c>
      <c r="AG148" s="15">
        <f t="shared" si="83"/>
        <v>195792.18003273595</v>
      </c>
      <c r="AH148" s="15">
        <f t="shared" si="83"/>
        <v>203504.09848289713</v>
      </c>
      <c r="AI148" s="15">
        <f t="shared" si="83"/>
        <v>203093.67310193658</v>
      </c>
      <c r="AJ148" s="15">
        <f t="shared" si="83"/>
        <v>203556.18750160735</v>
      </c>
      <c r="AK148" s="15">
        <f t="shared" ref="Z148:AK148" si="84">SUM(AK149:AK155)</f>
        <v>2365123.6126206582</v>
      </c>
      <c r="AL148" s="72">
        <f t="shared" si="37"/>
        <v>2.6895440793180167E-2</v>
      </c>
      <c r="AM148" s="10">
        <f t="shared" si="80"/>
        <v>-2.0043132717347367E-2</v>
      </c>
    </row>
    <row r="149" spans="1:40" ht="15">
      <c r="I149" s="228" t="s">
        <v>264</v>
      </c>
      <c r="J149" s="67">
        <v>0</v>
      </c>
      <c r="K149" s="67">
        <v>0</v>
      </c>
      <c r="L149" s="67">
        <v>0</v>
      </c>
      <c r="M149" s="67">
        <v>0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0</v>
      </c>
      <c r="T149" s="67">
        <v>0</v>
      </c>
      <c r="U149" s="67">
        <v>0</v>
      </c>
      <c r="V149" s="65">
        <f>SUM(J149:U149)</f>
        <v>0</v>
      </c>
      <c r="W149" s="73">
        <f t="shared" si="36"/>
        <v>0</v>
      </c>
      <c r="X149" s="89"/>
      <c r="Y149" s="67">
        <f>VLOOKUP($E$1,[17]Resumen!$V$8:$AH$11,Y1,0)</f>
        <v>0</v>
      </c>
      <c r="Z149" s="67">
        <f>VLOOKUP($E$1,[17]Resumen!$V$8:$AH$11,Z1,0)</f>
        <v>0</v>
      </c>
      <c r="AA149" s="67">
        <f>VLOOKUP($E$1,[17]Resumen!$V$8:$AH$11,AA1,0)</f>
        <v>0</v>
      </c>
      <c r="AB149" s="67">
        <f>VLOOKUP($E$1,[17]Resumen!$V$8:$AH$11,AB1,0)</f>
        <v>0</v>
      </c>
      <c r="AC149" s="67">
        <f>VLOOKUP($E$1,[17]Resumen!$V$8:$AH$11,AC1,0)</f>
        <v>0</v>
      </c>
      <c r="AD149" s="67">
        <f>VLOOKUP($E$1,[17]Resumen!$V$8:$AH$11,AD1,0)</f>
        <v>0</v>
      </c>
      <c r="AE149" s="67">
        <f>VLOOKUP($E$1,[17]Resumen!$V$8:$AH$11,AE1,0)</f>
        <v>0</v>
      </c>
      <c r="AF149" s="67">
        <f>VLOOKUP($E$1,[17]Resumen!$V$8:$AH$11,AF1,0)</f>
        <v>0</v>
      </c>
      <c r="AG149" s="67">
        <f>VLOOKUP($E$1,[17]Resumen!$V$8:$AH$11,AG1,0)</f>
        <v>0</v>
      </c>
      <c r="AH149" s="67">
        <f>VLOOKUP($E$1,[17]Resumen!$V$8:$AH$11,AH1,0)</f>
        <v>0</v>
      </c>
      <c r="AI149" s="67">
        <f>VLOOKUP($E$1,[17]Resumen!$V$8:$AH$11,AI1,0)</f>
        <v>0</v>
      </c>
      <c r="AJ149" s="67">
        <f>VLOOKUP($E$1,[17]Resumen!$V$8:$AH$11,AJ1,0)</f>
        <v>0</v>
      </c>
      <c r="AK149" s="65">
        <f t="shared" si="66"/>
        <v>0</v>
      </c>
      <c r="AL149" s="73">
        <f t="shared" si="37"/>
        <v>0</v>
      </c>
      <c r="AM149" s="14">
        <f t="shared" si="80"/>
        <v>0</v>
      </c>
    </row>
    <row r="150" spans="1:40" ht="15">
      <c r="I150" s="228" t="s">
        <v>265</v>
      </c>
      <c r="J150" s="67">
        <v>186250</v>
      </c>
      <c r="K150" s="67">
        <v>186250</v>
      </c>
      <c r="L150" s="67">
        <v>186250</v>
      </c>
      <c r="M150" s="67">
        <v>186250</v>
      </c>
      <c r="N150" s="67">
        <v>186250</v>
      </c>
      <c r="O150" s="67">
        <v>186250</v>
      </c>
      <c r="P150" s="67">
        <v>186250</v>
      </c>
      <c r="Q150" s="67">
        <v>186250</v>
      </c>
      <c r="R150" s="67">
        <v>186250</v>
      </c>
      <c r="S150" s="67">
        <v>186250</v>
      </c>
      <c r="T150" s="67">
        <f>+S150</f>
        <v>186250</v>
      </c>
      <c r="U150" s="67">
        <f>+T150</f>
        <v>186250</v>
      </c>
      <c r="V150" s="65">
        <f t="shared" ref="V150:V155" si="85">SUM(J150:U150)</f>
        <v>2235000</v>
      </c>
      <c r="W150" s="73">
        <f t="shared" si="36"/>
        <v>2.846542450714697E-2</v>
      </c>
      <c r="X150" s="89"/>
      <c r="Y150" s="67">
        <f>+U150</f>
        <v>186250</v>
      </c>
      <c r="Z150" s="67">
        <f>+Y150</f>
        <v>186250</v>
      </c>
      <c r="AA150" s="67">
        <f t="shared" ref="AA150:AG150" si="86">+Z150</f>
        <v>186250</v>
      </c>
      <c r="AB150" s="67">
        <f t="shared" si="86"/>
        <v>186250</v>
      </c>
      <c r="AC150" s="67">
        <f t="shared" si="86"/>
        <v>186250</v>
      </c>
      <c r="AD150" s="67">
        <f t="shared" si="86"/>
        <v>186250</v>
      </c>
      <c r="AE150" s="67">
        <f t="shared" si="86"/>
        <v>186250</v>
      </c>
      <c r="AF150" s="67">
        <f t="shared" si="86"/>
        <v>186250</v>
      </c>
      <c r="AG150" s="67">
        <f t="shared" si="86"/>
        <v>186250</v>
      </c>
      <c r="AH150" s="67">
        <f>AG150*1.04</f>
        <v>193700</v>
      </c>
      <c r="AI150" s="67">
        <f t="shared" ref="AI150:AJ150" si="87">+AH150</f>
        <v>193700</v>
      </c>
      <c r="AJ150" s="67">
        <f t="shared" si="87"/>
        <v>193700</v>
      </c>
      <c r="AK150" s="65">
        <f t="shared" si="66"/>
        <v>2257350</v>
      </c>
      <c r="AL150" s="73">
        <f t="shared" si="37"/>
        <v>2.566987321530027E-2</v>
      </c>
      <c r="AM150" s="14">
        <f t="shared" si="80"/>
        <v>1.0000000000000009E-2</v>
      </c>
    </row>
    <row r="151" spans="1:40" ht="15">
      <c r="I151" s="228" t="s">
        <v>266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/>
      <c r="U151" s="65"/>
      <c r="V151" s="65">
        <f t="shared" si="85"/>
        <v>0</v>
      </c>
      <c r="W151" s="73">
        <f t="shared" si="36"/>
        <v>0</v>
      </c>
      <c r="X151" s="89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>
        <f t="shared" si="66"/>
        <v>0</v>
      </c>
      <c r="AL151" s="73">
        <f t="shared" si="37"/>
        <v>0</v>
      </c>
      <c r="AM151" s="14">
        <f t="shared" si="80"/>
        <v>0</v>
      </c>
    </row>
    <row r="152" spans="1:40" ht="15">
      <c r="I152" s="228" t="s">
        <v>267</v>
      </c>
      <c r="J152" s="65">
        <v>21122</v>
      </c>
      <c r="K152" s="65">
        <v>9338</v>
      </c>
      <c r="L152" s="65">
        <v>20029</v>
      </c>
      <c r="M152" s="65">
        <v>8009</v>
      </c>
      <c r="N152" s="65">
        <v>12128</v>
      </c>
      <c r="O152" s="65">
        <v>19038</v>
      </c>
      <c r="P152" s="65">
        <v>21336</v>
      </c>
      <c r="Q152" s="65">
        <v>12233</v>
      </c>
      <c r="R152" s="65">
        <v>17077</v>
      </c>
      <c r="S152" s="65">
        <v>7622</v>
      </c>
      <c r="T152" s="65">
        <f t="shared" ref="S152:U152" si="88">+AVERAGE(Q152:S152)</f>
        <v>12310.666666666666</v>
      </c>
      <c r="U152" s="65">
        <f t="shared" si="88"/>
        <v>12336.555555555555</v>
      </c>
      <c r="V152" s="65">
        <f>SUM(J152:U152)</f>
        <v>172579.22222222222</v>
      </c>
      <c r="W152" s="73">
        <f t="shared" si="36"/>
        <v>2.1980048419099809E-3</v>
      </c>
      <c r="X152" s="89"/>
      <c r="Y152" s="65">
        <f>VLOOKUP($E$1,[6]Resumen!$V$80:$AH$83,Y1,0)</f>
        <v>5743.7698999999993</v>
      </c>
      <c r="Z152" s="65">
        <f>VLOOKUP($E$1,[6]Resumen!$V$80:$AH$83,Z1,0)</f>
        <v>6475.5855999999994</v>
      </c>
      <c r="AA152" s="65">
        <f>VLOOKUP($E$1,[6]Resumen!$V$80:$AH$83,AA1,0)</f>
        <v>6609.1134999999995</v>
      </c>
      <c r="AB152" s="65">
        <f>VLOOKUP($E$1,[6]Resumen!$V$80:$AH$83,AB1,0)</f>
        <v>6594.6220999999996</v>
      </c>
      <c r="AC152" s="65">
        <f>VLOOKUP($E$1,[6]Resumen!$V$80:$AH$83,AC1,0)</f>
        <v>7833.6367999999993</v>
      </c>
      <c r="AD152" s="65">
        <f>VLOOKUP($E$1,[6]Resumen!$V$80:$AH$83,AD1,0)</f>
        <v>9110.9501999999993</v>
      </c>
      <c r="AE152" s="65">
        <f>VLOOKUP($E$1,[6]Resumen!$V$80:$AH$83,AE1,0)</f>
        <v>8107.94980111111</v>
      </c>
      <c r="AF152" s="65">
        <f>VLOOKUP($E$1,[6]Resumen!$V$80:$AH$83,AF1,0)</f>
        <v>8350.8456003703686</v>
      </c>
      <c r="AG152" s="65">
        <f>VLOOKUP($E$1,[6]Resumen!$V$80:$AH$83,AG1,0)</f>
        <v>8248.3050327359615</v>
      </c>
      <c r="AH152" s="65">
        <f>VLOOKUP($E$1,[6]Resumen!$V$80:$AH$83,AH1,0)</f>
        <v>8510.2234828971177</v>
      </c>
      <c r="AI152" s="65">
        <f>VLOOKUP($E$1,[6]Resumen!$V$80:$AH$83,AI1,0)</f>
        <v>8099.7981019365943</v>
      </c>
      <c r="AJ152" s="65">
        <f>VLOOKUP($E$1,[6]Resumen!$V$80:$AH$83,AJ1,0)</f>
        <v>8562.3125016073318</v>
      </c>
      <c r="AK152" s="65">
        <f t="shared" si="66"/>
        <v>92247.112620658474</v>
      </c>
      <c r="AL152" s="73">
        <f t="shared" si="37"/>
        <v>1.0490051101733574E-3</v>
      </c>
      <c r="AM152" s="14">
        <f t="shared" si="80"/>
        <v>-0.46547961317222664</v>
      </c>
    </row>
    <row r="153" spans="1:40" ht="15">
      <c r="I153" s="228" t="s">
        <v>268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/>
      <c r="U153" s="65"/>
      <c r="V153" s="65">
        <f t="shared" si="85"/>
        <v>0</v>
      </c>
      <c r="W153" s="73">
        <f t="shared" si="36"/>
        <v>0</v>
      </c>
      <c r="X153" s="89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>
        <f t="shared" si="66"/>
        <v>0</v>
      </c>
      <c r="AL153" s="73">
        <f t="shared" si="37"/>
        <v>0</v>
      </c>
      <c r="AM153" s="14">
        <f t="shared" si="80"/>
        <v>0</v>
      </c>
    </row>
    <row r="154" spans="1:40" ht="15">
      <c r="I154" s="228" t="s">
        <v>269</v>
      </c>
      <c r="J154" s="65">
        <v>597</v>
      </c>
      <c r="K154" s="65">
        <v>1137</v>
      </c>
      <c r="L154" s="65">
        <v>821</v>
      </c>
      <c r="M154" s="65">
        <v>709</v>
      </c>
      <c r="N154" s="65">
        <v>825</v>
      </c>
      <c r="O154" s="65">
        <v>0</v>
      </c>
      <c r="P154" s="65">
        <v>434</v>
      </c>
      <c r="Q154" s="65">
        <v>-962</v>
      </c>
      <c r="R154" s="65">
        <v>228</v>
      </c>
      <c r="S154" s="65">
        <v>285</v>
      </c>
      <c r="T154" s="65">
        <f t="shared" ref="T154:T155" si="89">+AVERAGE(Q154:S154)</f>
        <v>-149.66666666666666</v>
      </c>
      <c r="U154" s="65">
        <f t="shared" ref="U154:U155" si="90">+AVERAGE(R154:T154)</f>
        <v>121.11111111111113</v>
      </c>
      <c r="V154" s="65">
        <f t="shared" si="85"/>
        <v>4045.4444444444448</v>
      </c>
      <c r="W154" s="73">
        <f t="shared" si="36"/>
        <v>5.1523621222009151E-5</v>
      </c>
      <c r="X154" s="89"/>
      <c r="Y154" s="65">
        <f>VLOOKUP($E$1,[6]Resumen!$V$89:$AH$92,Y1,0)</f>
        <v>1293.875</v>
      </c>
      <c r="Z154" s="65">
        <f>VLOOKUP($E$1,[6]Resumen!$V$89:$AH$92,Z1,0)</f>
        <v>1293.875</v>
      </c>
      <c r="AA154" s="65">
        <f>VLOOKUP($E$1,[6]Resumen!$V$89:$AH$92,AA1,0)</f>
        <v>1293.875</v>
      </c>
      <c r="AB154" s="65">
        <f>VLOOKUP($E$1,[6]Resumen!$V$89:$AH$92,AB1,0)</f>
        <v>1293.875</v>
      </c>
      <c r="AC154" s="65">
        <f>VLOOKUP($E$1,[6]Resumen!$V$89:$AH$92,AC1,0)</f>
        <v>1293.875</v>
      </c>
      <c r="AD154" s="65">
        <f>VLOOKUP($E$1,[6]Resumen!$V$89:$AH$92,AD1,0)</f>
        <v>1293.875</v>
      </c>
      <c r="AE154" s="65">
        <f>VLOOKUP($E$1,[6]Resumen!$V$89:$AH$92,AE1,0)</f>
        <v>1293.875</v>
      </c>
      <c r="AF154" s="65">
        <f>VLOOKUP($E$1,[6]Resumen!$V$89:$AH$92,AF1,0)</f>
        <v>1293.875</v>
      </c>
      <c r="AG154" s="65">
        <f>VLOOKUP($E$1,[6]Resumen!$V$89:$AH$92,AG1,0)</f>
        <v>1293.875</v>
      </c>
      <c r="AH154" s="65">
        <f>VLOOKUP($E$1,[6]Resumen!$V$89:$AH$92,AH1,0)</f>
        <v>1293.875</v>
      </c>
      <c r="AI154" s="65">
        <f>VLOOKUP($E$1,[6]Resumen!$V$89:$AH$92,AI1,0)</f>
        <v>1293.875</v>
      </c>
      <c r="AJ154" s="65">
        <f>VLOOKUP($E$1,[6]Resumen!$V$89:$AH$92,AJ1,0)</f>
        <v>1293.875</v>
      </c>
      <c r="AK154" s="65">
        <f t="shared" si="66"/>
        <v>15526.5</v>
      </c>
      <c r="AL154" s="73">
        <f t="shared" si="37"/>
        <v>1.7656246770654069E-4</v>
      </c>
      <c r="AM154" s="14">
        <f t="shared" si="80"/>
        <v>2.8380208190282619</v>
      </c>
    </row>
    <row r="155" spans="1:40" ht="15">
      <c r="I155" s="228" t="s">
        <v>270</v>
      </c>
      <c r="J155" s="67">
        <v>927</v>
      </c>
      <c r="K155" s="67">
        <v>0</v>
      </c>
      <c r="L155" s="67">
        <v>0</v>
      </c>
      <c r="M155" s="67">
        <v>0</v>
      </c>
      <c r="N155" s="67">
        <v>473</v>
      </c>
      <c r="O155" s="67">
        <v>473</v>
      </c>
      <c r="P155" s="67">
        <v>0</v>
      </c>
      <c r="Q155" s="67">
        <v>0</v>
      </c>
      <c r="R155" s="65">
        <v>0</v>
      </c>
      <c r="S155" s="65">
        <v>0</v>
      </c>
      <c r="T155" s="65">
        <f t="shared" si="89"/>
        <v>0</v>
      </c>
      <c r="U155" s="65">
        <f t="shared" si="90"/>
        <v>0</v>
      </c>
      <c r="V155" s="65">
        <f t="shared" si="85"/>
        <v>1873</v>
      </c>
      <c r="W155" s="73">
        <f>V155/V$6</f>
        <v>2.3854917271537483E-5</v>
      </c>
      <c r="X155" s="89"/>
      <c r="Y155" s="67">
        <f>VLOOKUP($E$1,[18]Resumen!$V$8:$AH$14,Y1,0)</f>
        <v>0</v>
      </c>
      <c r="Z155" s="67">
        <f>VLOOKUP($E$1,[18]Resumen!$V$8:$AH$14,Z1,0)</f>
        <v>0</v>
      </c>
      <c r="AA155" s="67">
        <f>VLOOKUP($E$1,[18]Resumen!$V$8:$AH$14,AA1,0)</f>
        <v>0</v>
      </c>
      <c r="AB155" s="67">
        <f>VLOOKUP($E$1,[18]Resumen!$V$8:$AH$14,AB1,0)</f>
        <v>0</v>
      </c>
      <c r="AC155" s="67">
        <f>VLOOKUP($E$1,[18]Resumen!$V$8:$AH$14,AC1,0)</f>
        <v>0</v>
      </c>
      <c r="AD155" s="67">
        <f>VLOOKUP($E$1,[18]Resumen!$V$8:$AH$14,AD1,0)</f>
        <v>0</v>
      </c>
      <c r="AE155" s="67">
        <f>VLOOKUP($E$1,[18]Resumen!$V$8:$AH$14,AE1,0)</f>
        <v>0</v>
      </c>
      <c r="AF155" s="67">
        <f>VLOOKUP($E$1,[18]Resumen!$V$8:$AH$14,AF1,0)</f>
        <v>0</v>
      </c>
      <c r="AG155" s="67">
        <f>VLOOKUP($E$1,[18]Resumen!$V$8:$AH$14,AG1,0)</f>
        <v>0</v>
      </c>
      <c r="AH155" s="67">
        <f>VLOOKUP($E$1,[18]Resumen!$V$8:$AH$14,AH1,0)</f>
        <v>0</v>
      </c>
      <c r="AI155" s="67">
        <f>VLOOKUP($E$1,[18]Resumen!$V$8:$AH$14,AI1,0)</f>
        <v>0</v>
      </c>
      <c r="AJ155" s="67">
        <f>VLOOKUP($E$1,[18]Resumen!$V$8:$AH$14,AJ1,0)</f>
        <v>0</v>
      </c>
      <c r="AK155" s="65">
        <f t="shared" si="66"/>
        <v>0</v>
      </c>
      <c r="AL155" s="73">
        <f>AK155/AK$6</f>
        <v>0</v>
      </c>
      <c r="AM155" s="14">
        <f>IFERROR(AK155/V155-1,0)</f>
        <v>-1</v>
      </c>
    </row>
    <row r="156" spans="1:40" ht="15">
      <c r="A156" s="12"/>
      <c r="I156" s="120" t="s">
        <v>462</v>
      </c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15"/>
      <c r="W156" s="72"/>
      <c r="X156" s="89"/>
      <c r="Y156" s="27">
        <f>+'TOTAL ESTACIONES'!Y156*35%</f>
        <v>23313.714375</v>
      </c>
      <c r="Z156" s="27">
        <f>+'TOTAL ESTACIONES'!Z156*35%</f>
        <v>19480.566875</v>
      </c>
      <c r="AA156" s="27">
        <f>+'TOTAL ESTACIONES'!AA156*35%</f>
        <v>28957.040000000001</v>
      </c>
      <c r="AB156" s="27">
        <f>+'TOTAL ESTACIONES'!AB156*35%</f>
        <v>28005.289375</v>
      </c>
      <c r="AC156" s="27">
        <f>+'TOTAL ESTACIONES'!AC156*35%</f>
        <v>32473.179375000003</v>
      </c>
      <c r="AD156" s="27">
        <f>+'TOTAL ESTACIONES'!AD156*35%</f>
        <v>26073.827500000003</v>
      </c>
      <c r="AE156" s="27">
        <f>+'TOTAL ESTACIONES'!AE156*35%</f>
        <v>23349.663750000003</v>
      </c>
      <c r="AF156" s="27">
        <f>+'TOTAL ESTACIONES'!AF156*35%</f>
        <v>25934.750625000001</v>
      </c>
      <c r="AG156" s="27">
        <f>+'TOTAL ESTACIONES'!AG156*35%</f>
        <v>32070.836875000001</v>
      </c>
      <c r="AH156" s="27">
        <f>+'TOTAL ESTACIONES'!AH156*35%</f>
        <v>42888.693750000006</v>
      </c>
      <c r="AI156" s="27">
        <f>+'TOTAL ESTACIONES'!AI156*35%</f>
        <v>33631.427083333336</v>
      </c>
      <c r="AJ156" s="27">
        <f>+'TOTAL ESTACIONES'!AJ156*35%</f>
        <v>36196.985902777778</v>
      </c>
      <c r="AK156" s="27">
        <f t="shared" ref="AK156" si="91">SUM(Y156:AJ156)</f>
        <v>352375.97548611113</v>
      </c>
      <c r="AL156" s="76">
        <f>AK156/AK$6</f>
        <v>4.0071086073698043E-3</v>
      </c>
      <c r="AM156" s="10">
        <f>IFERROR(AK156/V156-1,0)</f>
        <v>0</v>
      </c>
      <c r="AN156" s="9"/>
    </row>
    <row r="157" spans="1:40" ht="15">
      <c r="I157" s="28" t="s">
        <v>271</v>
      </c>
      <c r="J157" s="27">
        <v>488241</v>
      </c>
      <c r="K157" s="27">
        <v>482912</v>
      </c>
      <c r="L157" s="27">
        <v>478119</v>
      </c>
      <c r="M157" s="27">
        <v>476407</v>
      </c>
      <c r="N157" s="27">
        <v>398534</v>
      </c>
      <c r="O157" s="27">
        <v>456048</v>
      </c>
      <c r="P157" s="27">
        <v>473832</v>
      </c>
      <c r="Q157" s="27">
        <v>362953</v>
      </c>
      <c r="R157" s="27">
        <v>510775</v>
      </c>
      <c r="S157" s="27">
        <v>470021</v>
      </c>
      <c r="T157" s="27">
        <f t="shared" ref="R157:U157" si="92">T50+T91+T107+T112+T148</f>
        <v>486729.07541818183</v>
      </c>
      <c r="U157" s="27">
        <f t="shared" si="92"/>
        <v>516092.41526666668</v>
      </c>
      <c r="V157" s="27">
        <f>V50+V91+V107+V112+V148</f>
        <v>5600663.4906848483</v>
      </c>
      <c r="W157" s="76">
        <f t="shared" si="36"/>
        <v>7.1331214221039718E-2</v>
      </c>
      <c r="X157" s="89"/>
      <c r="Y157" s="27">
        <f t="shared" ref="Y157:AJ157" si="93">Y50+Y91+Y107+Y112+Y148+Y156</f>
        <v>586294.20587848104</v>
      </c>
      <c r="Z157" s="27">
        <f t="shared" si="93"/>
        <v>479162.36349436978</v>
      </c>
      <c r="AA157" s="27">
        <f t="shared" si="93"/>
        <v>521165.08331263222</v>
      </c>
      <c r="AB157" s="27">
        <f t="shared" si="93"/>
        <v>608540.02997221856</v>
      </c>
      <c r="AC157" s="27">
        <f t="shared" si="93"/>
        <v>531632.33880124765</v>
      </c>
      <c r="AD157" s="27">
        <f t="shared" si="93"/>
        <v>485647.81719721842</v>
      </c>
      <c r="AE157" s="27">
        <f t="shared" si="93"/>
        <v>511267.94764305424</v>
      </c>
      <c r="AF157" s="27">
        <f t="shared" si="93"/>
        <v>501687.85692531354</v>
      </c>
      <c r="AG157" s="27">
        <f t="shared" si="93"/>
        <v>552203.08952522941</v>
      </c>
      <c r="AH157" s="27">
        <f t="shared" si="93"/>
        <v>511979.21913284028</v>
      </c>
      <c r="AI157" s="27">
        <f t="shared" si="93"/>
        <v>506068.28100676334</v>
      </c>
      <c r="AJ157" s="27">
        <f t="shared" si="93"/>
        <v>542067.00782663282</v>
      </c>
      <c r="AK157" s="27">
        <f>AK50+AK91+AK107+AK112+AK148+AK156</f>
        <v>6337715.240716001</v>
      </c>
      <c r="AL157" s="76">
        <f t="shared" si="37"/>
        <v>7.2070501563273742E-2</v>
      </c>
      <c r="AM157" s="10">
        <f t="shared" si="80"/>
        <v>0.13160079180922657</v>
      </c>
    </row>
    <row r="158" spans="1:40" ht="15">
      <c r="I158" s="26" t="s">
        <v>272</v>
      </c>
      <c r="J158" s="17">
        <v>1.78</v>
      </c>
      <c r="K158" s="17">
        <v>1.84</v>
      </c>
      <c r="L158" s="17">
        <v>1.59</v>
      </c>
      <c r="M158" s="17">
        <v>1.61</v>
      </c>
      <c r="N158" s="17">
        <v>1.19</v>
      </c>
      <c r="O158" s="17">
        <v>1.49</v>
      </c>
      <c r="P158" s="17">
        <v>1.53</v>
      </c>
      <c r="Q158" s="17">
        <v>1.1000000000000001</v>
      </c>
      <c r="R158" s="17">
        <v>1.6</v>
      </c>
      <c r="S158" s="17">
        <v>1.35</v>
      </c>
      <c r="T158" s="17">
        <v>1.1375771771721133</v>
      </c>
      <c r="U158" s="17">
        <v>1.1731636315641654</v>
      </c>
      <c r="V158" s="17">
        <f>IFERROR(V157/V39,0)</f>
        <v>1.4918096012372157</v>
      </c>
      <c r="W158" s="73">
        <f t="shared" si="36"/>
        <v>1.8999997128883663E-8</v>
      </c>
      <c r="X158" s="89"/>
      <c r="Y158" s="17">
        <f>IFERROR(Y157/Y39,0)</f>
        <v>1.981972235846611</v>
      </c>
      <c r="Z158" s="17">
        <f>IFERROR(Z157/Z39,0)</f>
        <v>1.6935569812965001</v>
      </c>
      <c r="AA158" s="17">
        <f>IFERROR(AA157/AA39,0)</f>
        <v>1.6045795568864376</v>
      </c>
      <c r="AB158" s="17">
        <f>IFERROR(AB157/AB39,0)</f>
        <v>1.9130010145503402</v>
      </c>
      <c r="AC158" s="17">
        <f>IFERROR(AC157/AC39,0)</f>
        <v>1.4701874897646938</v>
      </c>
      <c r="AD158" s="17">
        <f>IFERROR(AD157/AD39,0)</f>
        <v>1.4674687336121655</v>
      </c>
      <c r="AE158" s="17">
        <f>IFERROR(AE157/AE39,0)</f>
        <v>1.5325339949477625</v>
      </c>
      <c r="AF158" s="17">
        <f>IFERROR(AF157/AF39,0)</f>
        <v>1.4166349589750262</v>
      </c>
      <c r="AG158" s="17">
        <f>IFERROR(AG157/AG39,0)</f>
        <v>1.5985197117620356</v>
      </c>
      <c r="AH158" s="17">
        <f>IFERROR(AH157/AH39,0)</f>
        <v>1.3800926371961075</v>
      </c>
      <c r="AI158" s="17">
        <f>IFERROR(AI157/AI39,0)</f>
        <v>1.3999256902684132</v>
      </c>
      <c r="AJ158" s="17">
        <f>IFERROR(AJ157/AJ39,0)</f>
        <v>1.5166848594120514</v>
      </c>
      <c r="AK158" s="17">
        <f>IFERROR(AK157/AK39,0)</f>
        <v>1.5698008661998166</v>
      </c>
      <c r="AL158" s="73">
        <f t="shared" si="37"/>
        <v>1.7851281019167534E-8</v>
      </c>
      <c r="AM158" s="16">
        <f t="shared" si="80"/>
        <v>5.227963735983443E-2</v>
      </c>
    </row>
    <row r="159" spans="1:40" ht="15">
      <c r="I159" s="26" t="s">
        <v>273</v>
      </c>
      <c r="J159" s="17">
        <v>1.78</v>
      </c>
      <c r="K159" s="17">
        <v>1.84</v>
      </c>
      <c r="L159" s="17">
        <v>1.59</v>
      </c>
      <c r="M159" s="17">
        <v>1.61</v>
      </c>
      <c r="N159" s="17">
        <v>1.19</v>
      </c>
      <c r="O159" s="17">
        <v>1.49</v>
      </c>
      <c r="P159" s="17">
        <v>1.53</v>
      </c>
      <c r="Q159" s="17">
        <v>1.1000000000000001</v>
      </c>
      <c r="R159" s="17">
        <v>1.6</v>
      </c>
      <c r="S159" s="17">
        <v>1.35</v>
      </c>
      <c r="T159" s="17">
        <v>0.74444371881543947</v>
      </c>
      <c r="U159" s="17">
        <v>0.7864542944402686</v>
      </c>
      <c r="V159" s="17">
        <f>IFERROR((V157-V149)/V39,0)</f>
        <v>1.4918096012372157</v>
      </c>
      <c r="W159" s="73">
        <f t="shared" si="36"/>
        <v>1.8999997128883663E-8</v>
      </c>
      <c r="X159" s="89"/>
      <c r="Y159" s="17">
        <f>(Y157-Y150)/Y39</f>
        <v>1.3523526263992987</v>
      </c>
      <c r="Z159" s="17">
        <f>(Z157-Z150)/Z39</f>
        <v>1.0352728342149453</v>
      </c>
      <c r="AA159" s="17">
        <f>(AA157-AA150)/AA39</f>
        <v>1.0311471608200542</v>
      </c>
      <c r="AB159" s="17">
        <f>(AB157-AB150)/AB39</f>
        <v>1.3275071745210052</v>
      </c>
      <c r="AC159" s="17">
        <f>(AC157-AC150)/AC39</f>
        <v>0.95512773891111835</v>
      </c>
      <c r="AD159" s="17">
        <f>(AD157-AD150)/AD39</f>
        <v>0.90468219992066534</v>
      </c>
      <c r="AE159" s="17">
        <f>(AE157-AE150)/AE39</f>
        <v>0.97424658836404476</v>
      </c>
      <c r="AF159" s="17">
        <f>(AF157-AF150)/AF39</f>
        <v>0.89071379611064805</v>
      </c>
      <c r="AG159" s="17">
        <f>(AG157-AG150)/AG39</f>
        <v>1.0593624669670905</v>
      </c>
      <c r="AH159" s="17">
        <f>(AH157-AH150)/AH39</f>
        <v>0.8579543670575982</v>
      </c>
      <c r="AI159" s="17">
        <f>(AI157-AI150)/AI39</f>
        <v>0.86409758884000609</v>
      </c>
      <c r="AJ159" s="17">
        <f>(AJ157-AJ150)/AJ39</f>
        <v>0.97471891603909955</v>
      </c>
      <c r="AK159" s="17">
        <f>(AK157-AK150)/AK39</f>
        <v>1.0106735070924326</v>
      </c>
      <c r="AL159" s="73">
        <f t="shared" si="37"/>
        <v>1.1493060796564832E-8</v>
      </c>
      <c r="AM159" s="16">
        <f t="shared" si="80"/>
        <v>-0.32251843247674383</v>
      </c>
    </row>
    <row r="160" spans="1:40" ht="15.75">
      <c r="I160" s="25" t="s">
        <v>274</v>
      </c>
      <c r="J160" s="24">
        <v>-105325</v>
      </c>
      <c r="K160" s="24">
        <v>-63008</v>
      </c>
      <c r="L160" s="24">
        <v>123088</v>
      </c>
      <c r="M160" s="24">
        <v>175933</v>
      </c>
      <c r="N160" s="24">
        <v>336823</v>
      </c>
      <c r="O160" s="24">
        <v>179296</v>
      </c>
      <c r="P160" s="24">
        <v>125979</v>
      </c>
      <c r="Q160" s="24">
        <v>197410</v>
      </c>
      <c r="R160" s="24">
        <v>63472</v>
      </c>
      <c r="S160" s="24">
        <v>216253</v>
      </c>
      <c r="T160" s="24">
        <f t="shared" ref="K160:U160" si="94">T34-T157</f>
        <v>120231.59124848514</v>
      </c>
      <c r="U160" s="24">
        <f t="shared" si="94"/>
        <v>106400.80695555534</v>
      </c>
      <c r="V160" s="24">
        <f>V34-V157</f>
        <v>1494087.3982040416</v>
      </c>
      <c r="W160" s="77">
        <f t="shared" si="36"/>
        <v>1.9029007624454936E-2</v>
      </c>
      <c r="X160" s="89"/>
      <c r="Y160" s="24">
        <f>Y34-Y157</f>
        <v>-44192.686856799526</v>
      </c>
      <c r="Z160" s="24">
        <f>Z34-Z157</f>
        <v>29349.51834146434</v>
      </c>
      <c r="AA160" s="24">
        <f>AA34-AA157</f>
        <v>122706.59008074674</v>
      </c>
      <c r="AB160" s="24">
        <f>AB34-AB157</f>
        <v>-26332.442199593061</v>
      </c>
      <c r="AC160" s="24">
        <f>AC34-AC157</f>
        <v>183774.47459213191</v>
      </c>
      <c r="AD160" s="24">
        <f>AD34-AD157</f>
        <v>91532.984638615628</v>
      </c>
      <c r="AE160" s="24">
        <f>AE34-AE157</f>
        <v>107540.33669089101</v>
      </c>
      <c r="AF160" s="24">
        <f>AF34-AF157</f>
        <v>175577.8286576884</v>
      </c>
      <c r="AG160" s="24">
        <f>AG34-AG157</f>
        <v>76898.829496454331</v>
      </c>
      <c r="AH160" s="24">
        <f>AH34-AH157</f>
        <v>202302.38707468973</v>
      </c>
      <c r="AI160" s="24">
        <f>AI34-AI157</f>
        <v>154301.8273903908</v>
      </c>
      <c r="AJ160" s="24">
        <f>AJ34-AJ157</f>
        <v>114399.75588278472</v>
      </c>
      <c r="AK160" s="24">
        <f>AK34-AK157</f>
        <v>1187859.4037894849</v>
      </c>
      <c r="AL160" s="77">
        <f t="shared" si="37"/>
        <v>1.3507963006568873E-2</v>
      </c>
      <c r="AM160" s="23">
        <f t="shared" si="80"/>
        <v>-0.20495989376702872</v>
      </c>
      <c r="AN160" s="131">
        <f>+AK160/AK39</f>
        <v>0.29422317825400862</v>
      </c>
    </row>
    <row r="161" spans="9:39" ht="15">
      <c r="I161" s="26" t="s">
        <v>472</v>
      </c>
      <c r="J161" s="17">
        <f t="shared" ref="J161:U161" si="95">+J160/J39</f>
        <v>-0.38315604900905098</v>
      </c>
      <c r="K161" s="17">
        <f t="shared" si="95"/>
        <v>-0.24008352321655832</v>
      </c>
      <c r="L161" s="17">
        <f t="shared" si="95"/>
        <v>0.40840785042387645</v>
      </c>
      <c r="M161" s="17">
        <f t="shared" si="95"/>
        <v>0.59508193948823762</v>
      </c>
      <c r="N161" s="17">
        <f t="shared" si="95"/>
        <v>1.0031241251556107</v>
      </c>
      <c r="O161" s="17">
        <f t="shared" si="95"/>
        <v>0.58462782538378266</v>
      </c>
      <c r="P161" s="17">
        <f t="shared" si="95"/>
        <v>0.40780989006720275</v>
      </c>
      <c r="Q161" s="17">
        <f t="shared" si="95"/>
        <v>0.59942914401967629</v>
      </c>
      <c r="R161" s="17">
        <f t="shared" si="95"/>
        <v>0.19828927390986512</v>
      </c>
      <c r="S161" s="17">
        <f t="shared" si="95"/>
        <v>0.61883286164376894</v>
      </c>
      <c r="T161" s="17">
        <f t="shared" si="95"/>
        <v>0.3572876784438152</v>
      </c>
      <c r="U161" s="17">
        <f t="shared" si="95"/>
        <v>0.31937999614452239</v>
      </c>
      <c r="V161" s="17">
        <f>+V160/V39</f>
        <v>0.39796962082000964</v>
      </c>
      <c r="W161" s="73">
        <f t="shared" ref="W161" si="96">V161/V$6</f>
        <v>5.0686238020536419E-9</v>
      </c>
      <c r="X161" s="89"/>
      <c r="Y161" s="17">
        <f t="shared" ref="Y161:AJ161" si="97">+Y160/Y39</f>
        <v>-0.14939373014338517</v>
      </c>
      <c r="Z161" s="17">
        <f t="shared" si="97"/>
        <v>0.10373327596598819</v>
      </c>
      <c r="AA161" s="17">
        <f t="shared" si="97"/>
        <v>0.37779293403027175</v>
      </c>
      <c r="AB161" s="17">
        <f t="shared" si="97"/>
        <v>-8.2778430608269796E-2</v>
      </c>
      <c r="AC161" s="17">
        <f t="shared" si="97"/>
        <v>0.5082138797136655</v>
      </c>
      <c r="AD161" s="17">
        <f t="shared" si="97"/>
        <v>0.27658271754740299</v>
      </c>
      <c r="AE161" s="17">
        <f t="shared" si="97"/>
        <v>0.32235390966065708</v>
      </c>
      <c r="AF161" s="17">
        <f t="shared" si="97"/>
        <v>0.49578574937371278</v>
      </c>
      <c r="AG161" s="17">
        <f t="shared" si="97"/>
        <v>0.22260703913699101</v>
      </c>
      <c r="AH161" s="17">
        <f t="shared" si="97"/>
        <v>0.54532688916917715</v>
      </c>
      <c r="AI161" s="17">
        <f t="shared" si="97"/>
        <v>0.42684179255305577</v>
      </c>
      <c r="AJ161" s="17">
        <f t="shared" si="97"/>
        <v>0.3200865855376811</v>
      </c>
      <c r="AK161" s="17">
        <f>+AK160/AK39</f>
        <v>0.29422317825400862</v>
      </c>
      <c r="AL161" s="73">
        <f t="shared" ref="AL161" si="98">AK161/AK$6</f>
        <v>3.3458133133023649E-9</v>
      </c>
      <c r="AM161" s="16">
        <f t="shared" si="80"/>
        <v>-0.2606893519968515</v>
      </c>
    </row>
    <row r="162" spans="9:39" ht="15"/>
  </sheetData>
  <mergeCells count="4">
    <mergeCell ref="J2:U2"/>
    <mergeCell ref="V2:W2"/>
    <mergeCell ref="Y2:AJ2"/>
    <mergeCell ref="AK2:AL2"/>
  </mergeCells>
  <conditionalFormatting sqref="AM1:AM5">
    <cfRule type="cellIs" dxfId="56" priority="58" operator="lessThan">
      <formula>0</formula>
    </cfRule>
  </conditionalFormatting>
  <conditionalFormatting sqref="AM47:AM49 AM39:AM42 AM6:AM37">
    <cfRule type="cellIs" dxfId="55" priority="18" operator="lessThan">
      <formula>0</formula>
    </cfRule>
  </conditionalFormatting>
  <conditionalFormatting sqref="AM43:AM46">
    <cfRule type="cellIs" dxfId="54" priority="17" operator="lessThan">
      <formula>0</formula>
    </cfRule>
  </conditionalFormatting>
  <conditionalFormatting sqref="AM38">
    <cfRule type="cellIs" dxfId="53" priority="16" operator="lessThan">
      <formula>0</formula>
    </cfRule>
  </conditionalFormatting>
  <conditionalFormatting sqref="AM57:AM69 AM50:AM55 AM160 AM112:AM118 AM79:AM107 AM120:AM155 AM157:AM158">
    <cfRule type="cellIs" dxfId="52" priority="15" operator="lessThan">
      <formula>0</formula>
    </cfRule>
  </conditionalFormatting>
  <conditionalFormatting sqref="AM108">
    <cfRule type="cellIs" dxfId="51" priority="14" operator="lessThan">
      <formula>0</formula>
    </cfRule>
  </conditionalFormatting>
  <conditionalFormatting sqref="AM109">
    <cfRule type="cellIs" dxfId="50" priority="13" operator="lessThan">
      <formula>0</formula>
    </cfRule>
  </conditionalFormatting>
  <conditionalFormatting sqref="AM110">
    <cfRule type="cellIs" dxfId="49" priority="12" operator="lessThan">
      <formula>0</formula>
    </cfRule>
  </conditionalFormatting>
  <conditionalFormatting sqref="AM111">
    <cfRule type="cellIs" dxfId="48" priority="11" operator="lessThan">
      <formula>0</formula>
    </cfRule>
  </conditionalFormatting>
  <conditionalFormatting sqref="AM56">
    <cfRule type="cellIs" dxfId="47" priority="10" operator="lessThan">
      <formula>0</formula>
    </cfRule>
  </conditionalFormatting>
  <conditionalFormatting sqref="AM70">
    <cfRule type="cellIs" dxfId="46" priority="9" operator="lessThan">
      <formula>0</formula>
    </cfRule>
  </conditionalFormatting>
  <conditionalFormatting sqref="AM78">
    <cfRule type="cellIs" dxfId="45" priority="8" operator="lessThan">
      <formula>0</formula>
    </cfRule>
  </conditionalFormatting>
  <conditionalFormatting sqref="AM71:AM80">
    <cfRule type="cellIs" dxfId="44" priority="7" operator="lessThan">
      <formula>0</formula>
    </cfRule>
  </conditionalFormatting>
  <conditionalFormatting sqref="AM159">
    <cfRule type="cellIs" dxfId="43" priority="6" operator="lessThan">
      <formula>0</formula>
    </cfRule>
  </conditionalFormatting>
  <conditionalFormatting sqref="AM119:AM133">
    <cfRule type="cellIs" dxfId="42" priority="5" operator="lessThan">
      <formula>0</formula>
    </cfRule>
  </conditionalFormatting>
  <conditionalFormatting sqref="AM119:AM133">
    <cfRule type="cellIs" dxfId="41" priority="4" operator="lessThan">
      <formula>0</formula>
    </cfRule>
  </conditionalFormatting>
  <conditionalFormatting sqref="AM161">
    <cfRule type="cellIs" dxfId="40" priority="3" operator="lessThan">
      <formula>0</formula>
    </cfRule>
  </conditionalFormatting>
  <conditionalFormatting sqref="AO43:AO46">
    <cfRule type="cellIs" dxfId="39" priority="2" operator="lessThan">
      <formula>0</formula>
    </cfRule>
  </conditionalFormatting>
  <conditionalFormatting sqref="AM156">
    <cfRule type="cellIs" dxfId="38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5">
    <outlinePr summaryBelow="0" summaryRight="0"/>
  </sheetPr>
  <dimension ref="A1:AO162"/>
  <sheetViews>
    <sheetView showGridLines="0" zoomScale="70" zoomScaleNormal="70" workbookViewId="0">
      <pane xSplit="9" ySplit="3" topLeftCell="AA4" activePane="bottomRight" state="frozen"/>
      <selection pane="bottomRight" activeCell="AK6" sqref="AK6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35.28515625" style="5" customWidth="1" collapsed="1"/>
    <col min="10" max="10" width="16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7.85546875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8" width="17.85546875" style="3" hidden="1" customWidth="1" outlineLevel="1"/>
    <col min="19" max="19" width="17.4257812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8" style="4" bestFit="1" customWidth="1"/>
    <col min="23" max="23" width="6.7109375" style="83" bestFit="1" customWidth="1"/>
    <col min="24" max="24" width="1.1406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8" style="4" bestFit="1" customWidth="1"/>
    <col min="38" max="38" width="6.710937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474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284">
        <v>2025</v>
      </c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6"/>
      <c r="V2" s="287" t="s">
        <v>92</v>
      </c>
      <c r="W2" s="288"/>
      <c r="X2" s="85"/>
      <c r="Y2" s="284">
        <v>2026</v>
      </c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6"/>
      <c r="AK2" s="287" t="s">
        <v>92</v>
      </c>
      <c r="AL2" s="289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4" t="s">
        <v>69</v>
      </c>
      <c r="K3" s="64" t="s">
        <v>70</v>
      </c>
      <c r="L3" s="64" t="s">
        <v>71</v>
      </c>
      <c r="M3" s="61" t="s">
        <v>72</v>
      </c>
      <c r="N3" s="61" t="s">
        <v>73</v>
      </c>
      <c r="O3" s="61" t="s">
        <v>74</v>
      </c>
      <c r="P3" s="61" t="s">
        <v>75</v>
      </c>
      <c r="Q3" s="63" t="s">
        <v>76</v>
      </c>
      <c r="R3" s="61" t="s">
        <v>77</v>
      </c>
      <c r="S3" s="61" t="s">
        <v>78</v>
      </c>
      <c r="T3" s="61" t="s">
        <v>79</v>
      </c>
      <c r="U3" s="62" t="s">
        <v>80</v>
      </c>
      <c r="V3" s="46">
        <v>2025</v>
      </c>
      <c r="W3" s="69" t="s">
        <v>95</v>
      </c>
      <c r="X3" s="86"/>
      <c r="Y3" s="134" t="s">
        <v>69</v>
      </c>
      <c r="Z3" s="64" t="s">
        <v>70</v>
      </c>
      <c r="AA3" s="64" t="s">
        <v>71</v>
      </c>
      <c r="AB3" s="61" t="s">
        <v>72</v>
      </c>
      <c r="AC3" s="61" t="s">
        <v>73</v>
      </c>
      <c r="AD3" s="61" t="s">
        <v>74</v>
      </c>
      <c r="AE3" s="61" t="s">
        <v>75</v>
      </c>
      <c r="AF3" s="63" t="s">
        <v>76</v>
      </c>
      <c r="AG3" s="61" t="s">
        <v>77</v>
      </c>
      <c r="AH3" s="61" t="s">
        <v>78</v>
      </c>
      <c r="AI3" s="61" t="s">
        <v>79</v>
      </c>
      <c r="AJ3" s="62" t="s">
        <v>80</v>
      </c>
      <c r="AK3" s="46">
        <v>2026</v>
      </c>
      <c r="AL3" s="69" t="s">
        <v>95</v>
      </c>
      <c r="AM3" s="45" t="s">
        <v>96</v>
      </c>
    </row>
    <row r="4" spans="1:40" ht="14.45" customHeight="1">
      <c r="I4" s="43" t="s">
        <v>97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>
      <c r="A6" s="12" t="s">
        <v>98</v>
      </c>
      <c r="B6" s="19"/>
      <c r="C6" s="19"/>
      <c r="D6" s="12"/>
      <c r="E6" s="7" t="s">
        <v>99</v>
      </c>
      <c r="I6" s="170" t="s">
        <v>100</v>
      </c>
      <c r="J6" s="15">
        <v>5804273</v>
      </c>
      <c r="K6" s="15">
        <v>5035673</v>
      </c>
      <c r="L6" s="15">
        <v>5861107</v>
      </c>
      <c r="M6" s="15">
        <v>5534366</v>
      </c>
      <c r="N6" s="15">
        <v>6125004</v>
      </c>
      <c r="O6" s="15">
        <v>6039750</v>
      </c>
      <c r="P6" s="15">
        <v>5901820</v>
      </c>
      <c r="Q6" s="15">
        <v>5687602</v>
      </c>
      <c r="R6" s="15">
        <v>5999228</v>
      </c>
      <c r="S6" s="15">
        <v>6308214</v>
      </c>
      <c r="T6" s="15">
        <f>SUM(T7:T12)</f>
        <v>5998348.333333333</v>
      </c>
      <c r="U6" s="15">
        <f>SUM(U7:U12)</f>
        <v>6101930.444444444</v>
      </c>
      <c r="V6" s="15">
        <f t="shared" ref="J6:V6" si="1">SUM(V7:V12)</f>
        <v>70397317.777777776</v>
      </c>
      <c r="W6" s="72">
        <f t="shared" ref="W6:W34" si="2">V6/V$6</f>
        <v>1</v>
      </c>
      <c r="X6" s="89"/>
      <c r="Y6" s="15">
        <f t="shared" ref="Y6:AJ6" si="3">SUM(Y7:Y12)</f>
        <v>6348383.994280736</v>
      </c>
      <c r="Z6" s="15">
        <f t="shared" si="3"/>
        <v>5487821.4142807359</v>
      </c>
      <c r="AA6" s="15">
        <f t="shared" si="3"/>
        <v>6549818.4142807368</v>
      </c>
      <c r="AB6" s="15">
        <f t="shared" si="3"/>
        <v>6208793.4342807354</v>
      </c>
      <c r="AC6" s="15">
        <f t="shared" si="3"/>
        <v>6895050.6142807361</v>
      </c>
      <c r="AD6" s="15">
        <f t="shared" si="3"/>
        <v>6774415.0542807365</v>
      </c>
      <c r="AE6" s="15">
        <f t="shared" si="3"/>
        <v>6636739.6142807361</v>
      </c>
      <c r="AF6" s="15">
        <f t="shared" si="3"/>
        <v>6398366.4542807359</v>
      </c>
      <c r="AG6" s="15">
        <f t="shared" si="3"/>
        <v>6739791.2942807358</v>
      </c>
      <c r="AH6" s="15">
        <f t="shared" si="3"/>
        <v>7035598.2542807357</v>
      </c>
      <c r="AI6" s="15">
        <f t="shared" si="3"/>
        <v>6857155.8942807363</v>
      </c>
      <c r="AJ6" s="15">
        <f t="shared" si="3"/>
        <v>6789018.1342807366</v>
      </c>
      <c r="AK6" s="15">
        <f>SUM(AK7:AK12)</f>
        <v>78720952.571368828</v>
      </c>
      <c r="AL6" s="72">
        <f t="shared" ref="AL6:AL34" si="4">AK6/AK$6</f>
        <v>1</v>
      </c>
      <c r="AM6" s="10">
        <f>IFERROR(AK6/V6-1,0)</f>
        <v>0.11823795360877454</v>
      </c>
      <c r="AN6" s="9"/>
    </row>
    <row r="7" spans="1:40" ht="15" customHeight="1" outlineLevel="1">
      <c r="A7" s="12" t="s">
        <v>98</v>
      </c>
      <c r="B7" s="19" t="s">
        <v>101</v>
      </c>
      <c r="C7" s="19" t="s">
        <v>102</v>
      </c>
      <c r="D7" s="12" t="s">
        <v>103</v>
      </c>
      <c r="E7" s="20"/>
      <c r="F7" s="12"/>
      <c r="G7" s="12"/>
      <c r="H7" s="12"/>
      <c r="I7" s="116" t="s">
        <v>27</v>
      </c>
      <c r="J7" s="65">
        <v>5098499</v>
      </c>
      <c r="K7" s="65">
        <v>4477892</v>
      </c>
      <c r="L7" s="65">
        <v>5250805</v>
      </c>
      <c r="M7" s="65">
        <v>4953201</v>
      </c>
      <c r="N7" s="65">
        <v>5504039</v>
      </c>
      <c r="O7" s="65">
        <v>5397799</v>
      </c>
      <c r="P7" s="65">
        <v>5295601</v>
      </c>
      <c r="Q7" s="65">
        <v>5045602</v>
      </c>
      <c r="R7" s="65">
        <v>5068463</v>
      </c>
      <c r="S7" s="65">
        <v>5550384</v>
      </c>
      <c r="T7" s="65">
        <f>AVERAGE(Q7:S7)</f>
        <v>5221483</v>
      </c>
      <c r="U7" s="65">
        <f>AVERAGE(R7:T7)</f>
        <v>5280110</v>
      </c>
      <c r="V7" s="11">
        <f t="shared" ref="V7:V33" si="5">SUM(J7:U7)</f>
        <v>62143878</v>
      </c>
      <c r="W7" s="73">
        <f t="shared" si="2"/>
        <v>0.88275917267428716</v>
      </c>
      <c r="X7" s="89"/>
      <c r="Y7" s="244">
        <f>IFERROR(Y40*'Parametros AGS'!$N$7,0)</f>
        <v>5608930.0542807356</v>
      </c>
      <c r="Z7" s="244">
        <f>IFERROR(Z40*'Parametros AGS'!$N$7,0)</f>
        <v>4913815.2542807357</v>
      </c>
      <c r="AA7" s="244">
        <f>IFERROR(AA40*'Parametros AGS'!$N$7,0)</f>
        <v>5917346.8542807363</v>
      </c>
      <c r="AB7" s="244">
        <f>IFERROR(AB40*'Parametros AGS'!$N$7,0)</f>
        <v>5609315.2542807357</v>
      </c>
      <c r="AC7" s="244">
        <f>IFERROR(AC40*'Parametros AGS'!$N$7,0)</f>
        <v>6249260.8542807363</v>
      </c>
      <c r="AD7" s="244">
        <f>IFERROR(AD40*'Parametros AGS'!$N$7,0)</f>
        <v>6108448.8542807363</v>
      </c>
      <c r="AE7" s="244">
        <f>IFERROR(AE40*'Parametros AGS'!$N$7,0)</f>
        <v>6006178.2542807357</v>
      </c>
      <c r="AF7" s="244">
        <f>IFERROR(AF40*'Parametros AGS'!$N$7,0)</f>
        <v>5731787.4542807359</v>
      </c>
      <c r="AG7" s="244">
        <f>IFERROR(AG40*'Parametros AGS'!$N$7,0)</f>
        <v>5769216.0542807356</v>
      </c>
      <c r="AH7" s="244">
        <f>IFERROR(AH40*'Parametros AGS'!$N$7,0)</f>
        <v>6259832.4542807359</v>
      </c>
      <c r="AI7" s="244">
        <f>IFERROR(AI40*'Parametros AGS'!$N$7,0)</f>
        <v>6102542.4542807359</v>
      </c>
      <c r="AJ7" s="244">
        <f>IFERROR(AJ40*'Parametros AGS'!$N$7,0)</f>
        <v>6034618.8542807363</v>
      </c>
      <c r="AK7" s="65">
        <f t="shared" ref="AK7:AK33" si="6">SUM(Y7:AJ7)</f>
        <v>70311292.651368827</v>
      </c>
      <c r="AL7" s="73">
        <f t="shared" si="4"/>
        <v>0.8931712632367379</v>
      </c>
      <c r="AM7" s="14">
        <f t="shared" ref="AM7:AM46" si="7">IFERROR(AK7/V7-1,0)</f>
        <v>0.13142750201989051</v>
      </c>
      <c r="AN7" s="9"/>
    </row>
    <row r="8" spans="1:40" ht="15" customHeight="1" outlineLevel="1">
      <c r="A8" s="12" t="s">
        <v>98</v>
      </c>
      <c r="B8" s="19" t="s">
        <v>101</v>
      </c>
      <c r="C8" s="19" t="s">
        <v>104</v>
      </c>
      <c r="D8" s="12" t="s">
        <v>105</v>
      </c>
      <c r="E8" s="20"/>
      <c r="F8" s="12"/>
      <c r="G8" s="12"/>
      <c r="H8" s="12"/>
      <c r="I8" s="116" t="s">
        <v>28</v>
      </c>
      <c r="J8" s="65">
        <v>703338</v>
      </c>
      <c r="K8" s="65">
        <v>552681</v>
      </c>
      <c r="L8" s="65">
        <v>602015</v>
      </c>
      <c r="M8" s="65">
        <v>572485</v>
      </c>
      <c r="N8" s="65">
        <v>610378</v>
      </c>
      <c r="O8" s="65">
        <v>632313</v>
      </c>
      <c r="P8" s="65">
        <v>597432</v>
      </c>
      <c r="Q8" s="65">
        <v>633372</v>
      </c>
      <c r="R8" s="65">
        <v>922805</v>
      </c>
      <c r="S8" s="65">
        <v>749396</v>
      </c>
      <c r="T8" s="65">
        <f t="shared" ref="T8:U11" si="8">AVERAGE(Q8:S8)</f>
        <v>768524.33333333337</v>
      </c>
      <c r="U8" s="65">
        <f t="shared" si="8"/>
        <v>813575.11111111112</v>
      </c>
      <c r="V8" s="11">
        <f t="shared" si="5"/>
        <v>8158314.444444444</v>
      </c>
      <c r="W8" s="73">
        <f t="shared" si="2"/>
        <v>0.1158895637216986</v>
      </c>
      <c r="X8" s="89"/>
      <c r="Y8" s="244">
        <f>IFERROR(Y41*'Parametros AGS'!$N$8,0)</f>
        <v>737473.94000000006</v>
      </c>
      <c r="Z8" s="244">
        <f>IFERROR(Z41*'Parametros AGS'!$N$8,0)</f>
        <v>570226.16</v>
      </c>
      <c r="AA8" s="244">
        <f>IFERROR(AA41*'Parametros AGS'!$N$8,0)</f>
        <v>626591.56000000006</v>
      </c>
      <c r="AB8" s="244">
        <f>IFERROR(AB41*'Parametros AGS'!$N$8,0)</f>
        <v>594438.18000000005</v>
      </c>
      <c r="AC8" s="244">
        <f>IFERROR(AC41*'Parametros AGS'!$N$8,0)</f>
        <v>638229.76000000001</v>
      </c>
      <c r="AD8" s="244">
        <f>IFERROR(AD41*'Parametros AGS'!$N$8,0)</f>
        <v>659726.19999999995</v>
      </c>
      <c r="AE8" s="244">
        <f>IFERROR(AE41*'Parametros AGS'!$N$8,0)</f>
        <v>624081.36</v>
      </c>
      <c r="AF8" s="244">
        <f>IFERROR(AF41*'Parametros AGS'!$N$8,0)</f>
        <v>660639</v>
      </c>
      <c r="AG8" s="244">
        <f>IFERROR(AG41*'Parametros AGS'!$N$8,0)</f>
        <v>964875.24</v>
      </c>
      <c r="AH8" s="244">
        <f>IFERROR(AH41*'Parametros AGS'!$N$8,0)</f>
        <v>768805.8</v>
      </c>
      <c r="AI8" s="244">
        <f>IFERROR(AI41*'Parametros AGS'!$N$8,0)</f>
        <v>748313.44000000006</v>
      </c>
      <c r="AJ8" s="244">
        <f>IFERROR(AJ41*'Parametros AGS'!$N$8,0)</f>
        <v>739459.28</v>
      </c>
      <c r="AK8" s="65">
        <f t="shared" si="6"/>
        <v>8332859.9200000018</v>
      </c>
      <c r="AL8" s="73">
        <f t="shared" si="4"/>
        <v>0.10585313881263553</v>
      </c>
      <c r="AM8" s="14">
        <f t="shared" si="7"/>
        <v>2.1394796283491946E-2</v>
      </c>
      <c r="AN8" s="9"/>
    </row>
    <row r="9" spans="1:40" ht="15" customHeight="1" outlineLevel="1">
      <c r="A9" s="12" t="s">
        <v>98</v>
      </c>
      <c r="B9" s="19" t="s">
        <v>101</v>
      </c>
      <c r="C9" s="19" t="s">
        <v>106</v>
      </c>
      <c r="D9" s="12" t="s">
        <v>107</v>
      </c>
      <c r="E9" s="20"/>
      <c r="F9" s="12"/>
      <c r="G9" s="12"/>
      <c r="H9" s="12"/>
      <c r="I9" s="116" t="s">
        <v>5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f t="shared" si="8"/>
        <v>0</v>
      </c>
      <c r="U9" s="65">
        <f t="shared" si="8"/>
        <v>0</v>
      </c>
      <c r="V9" s="11">
        <f t="shared" si="5"/>
        <v>0</v>
      </c>
      <c r="W9" s="73">
        <f t="shared" si="2"/>
        <v>0</v>
      </c>
      <c r="X9" s="89"/>
      <c r="Y9" s="244">
        <f>IFERROR(Y42*'Parametros AGS'!$N$9,0)</f>
        <v>0</v>
      </c>
      <c r="Z9" s="244">
        <f>IFERROR(Z42*'Parametros AGS'!$N$9,0)</f>
        <v>0</v>
      </c>
      <c r="AA9" s="244">
        <f>IFERROR(AA42*'Parametros AGS'!$N$9,0)</f>
        <v>0</v>
      </c>
      <c r="AB9" s="244">
        <f>IFERROR(AB42*'Parametros AGS'!$N$9,0)</f>
        <v>0</v>
      </c>
      <c r="AC9" s="244">
        <f>IFERROR(AC42*'Parametros AGS'!$N$9,0)</f>
        <v>0</v>
      </c>
      <c r="AD9" s="244">
        <f>IFERROR(AD42*'Parametros AGS'!$N$9,0)</f>
        <v>0</v>
      </c>
      <c r="AE9" s="244">
        <f>IFERROR(AE42*'Parametros AGS'!$N$9,0)</f>
        <v>0</v>
      </c>
      <c r="AF9" s="244">
        <f>IFERROR(AF42*'Parametros AGS'!$N$9,0)</f>
        <v>0</v>
      </c>
      <c r="AG9" s="244">
        <f>IFERROR(AG42*'Parametros AGS'!$N$9,0)</f>
        <v>0</v>
      </c>
      <c r="AH9" s="244">
        <f>IFERROR(AH42*'Parametros AGS'!$N$9,0)</f>
        <v>0</v>
      </c>
      <c r="AI9" s="244">
        <f>IFERROR(AI42*'Parametros AGS'!$N$9,0)</f>
        <v>0</v>
      </c>
      <c r="AJ9" s="244">
        <f>IFERROR(AJ42*'Parametros AGS'!$N$9,0)</f>
        <v>0</v>
      </c>
      <c r="AK9" s="65">
        <f t="shared" si="6"/>
        <v>0</v>
      </c>
      <c r="AL9" s="73">
        <f t="shared" si="4"/>
        <v>0</v>
      </c>
      <c r="AM9" s="14">
        <f t="shared" si="7"/>
        <v>0</v>
      </c>
      <c r="AN9" s="9"/>
    </row>
    <row r="10" spans="1:40" ht="15" customHeight="1" outlineLevel="1">
      <c r="A10" s="12"/>
      <c r="B10" s="19"/>
      <c r="C10" s="19"/>
      <c r="D10" s="12"/>
      <c r="E10" s="20"/>
      <c r="F10" s="12"/>
      <c r="G10" s="12"/>
      <c r="H10" s="12"/>
      <c r="I10" s="116" t="s">
        <v>108</v>
      </c>
      <c r="J10" s="65">
        <v>2436</v>
      </c>
      <c r="K10" s="65">
        <v>5100</v>
      </c>
      <c r="L10" s="65">
        <v>8287</v>
      </c>
      <c r="M10" s="65">
        <v>8681</v>
      </c>
      <c r="N10" s="65">
        <v>10587</v>
      </c>
      <c r="O10" s="65">
        <v>9638</v>
      </c>
      <c r="P10" s="65">
        <v>8787</v>
      </c>
      <c r="Q10" s="65">
        <v>8628</v>
      </c>
      <c r="R10" s="65">
        <v>7961</v>
      </c>
      <c r="S10" s="65">
        <v>8434</v>
      </c>
      <c r="T10" s="65">
        <f t="shared" si="8"/>
        <v>8341</v>
      </c>
      <c r="U10" s="65">
        <f t="shared" si="8"/>
        <v>8245.3333333333339</v>
      </c>
      <c r="V10" s="11">
        <f t="shared" si="5"/>
        <v>95125.333333333328</v>
      </c>
      <c r="W10" s="73">
        <f t="shared" si="2"/>
        <v>1.351263604014206E-3</v>
      </c>
      <c r="X10" s="89"/>
      <c r="Y10" s="244">
        <f>VLOOKUP($E$1,'[2]Resumen x Tipo Combustible'!$C$45:$P$48,Y1,0)</f>
        <v>1980</v>
      </c>
      <c r="Z10" s="244">
        <f>VLOOKUP($E$1,'[2]Resumen x Tipo Combustible'!$C$45:$P$48,Z1,0)</f>
        <v>3780</v>
      </c>
      <c r="AA10" s="244">
        <f>VLOOKUP($E$1,'[2]Resumen x Tipo Combustible'!$C$45:$P$48,AA1,0)</f>
        <v>5880</v>
      </c>
      <c r="AB10" s="244">
        <f>VLOOKUP($E$1,'[2]Resumen x Tipo Combustible'!$C$45:$P$48,AB1,0)</f>
        <v>5040</v>
      </c>
      <c r="AC10" s="244">
        <f>VLOOKUP($E$1,'[2]Resumen x Tipo Combustible'!$C$45:$P$48,AC1,0)</f>
        <v>7560</v>
      </c>
      <c r="AD10" s="244">
        <f>VLOOKUP($E$1,'[2]Resumen x Tipo Combustible'!$C$45:$P$48,AD1,0)</f>
        <v>6240</v>
      </c>
      <c r="AE10" s="244">
        <f>VLOOKUP($E$1,'[2]Resumen x Tipo Combustible'!$C$45:$P$48,AE1,0)</f>
        <v>6480</v>
      </c>
      <c r="AF10" s="244">
        <f>VLOOKUP($E$1,'[2]Resumen x Tipo Combustible'!$C$45:$P$48,AF1,0)</f>
        <v>5940</v>
      </c>
      <c r="AG10" s="244">
        <f>VLOOKUP($E$1,'[2]Resumen x Tipo Combustible'!$C$45:$P$48,AG1,0)</f>
        <v>5700</v>
      </c>
      <c r="AH10" s="244">
        <f>VLOOKUP($E$1,'[2]Resumen x Tipo Combustible'!$C$45:$P$48,AH1,0)</f>
        <v>6960</v>
      </c>
      <c r="AI10" s="244">
        <f>VLOOKUP($E$1,'[2]Resumen x Tipo Combustible'!$C$45:$P$48,AI1,0)</f>
        <v>6300</v>
      </c>
      <c r="AJ10" s="244">
        <f>VLOOKUP($E$1,'[2]Resumen x Tipo Combustible'!$C$45:$P$48,AJ1,0)</f>
        <v>14940</v>
      </c>
      <c r="AK10" s="65">
        <f t="shared" si="6"/>
        <v>76800</v>
      </c>
      <c r="AL10" s="73">
        <f t="shared" si="4"/>
        <v>9.7559795062658464E-4</v>
      </c>
      <c r="AM10" s="14">
        <f t="shared" si="7"/>
        <v>-0.19264409060327425</v>
      </c>
      <c r="AN10" s="9"/>
    </row>
    <row r="11" spans="1:40" ht="15" customHeight="1" outlineLevel="1">
      <c r="A11" s="12"/>
      <c r="B11" s="19"/>
      <c r="C11" s="19"/>
      <c r="D11" s="12"/>
      <c r="E11" s="20"/>
      <c r="F11" s="12"/>
      <c r="G11" s="12"/>
      <c r="H11" s="12"/>
      <c r="I11" s="116" t="s">
        <v>467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f t="shared" si="8"/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customHeight="1" outlineLevel="1">
      <c r="A12" s="12"/>
      <c r="B12" s="19"/>
      <c r="C12" s="19"/>
      <c r="D12" s="12"/>
      <c r="E12" s="20"/>
      <c r="F12" s="12"/>
      <c r="G12" s="12"/>
      <c r="H12" s="12"/>
      <c r="I12" s="116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>
        <v>0</v>
      </c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>
      <c r="A13" s="12" t="s">
        <v>110</v>
      </c>
      <c r="B13" s="19"/>
      <c r="E13" s="7" t="s">
        <v>111</v>
      </c>
      <c r="I13" s="170" t="s">
        <v>112</v>
      </c>
      <c r="J13" s="15">
        <v>5337911</v>
      </c>
      <c r="K13" s="15">
        <v>4527234</v>
      </c>
      <c r="L13" s="15">
        <v>5256772</v>
      </c>
      <c r="M13" s="15">
        <v>4899265</v>
      </c>
      <c r="N13" s="15">
        <v>5451332</v>
      </c>
      <c r="O13" s="15">
        <v>5373523</v>
      </c>
      <c r="P13" s="15">
        <v>5245099</v>
      </c>
      <c r="Q13" s="15">
        <v>5071210</v>
      </c>
      <c r="R13" s="15">
        <v>5362510</v>
      </c>
      <c r="S13" s="15">
        <v>5639349</v>
      </c>
      <c r="T13" s="15">
        <f>SUM(T14:T33)</f>
        <v>5357688.9999999991</v>
      </c>
      <c r="U13" s="15">
        <f>SUM(U14:U33)</f>
        <v>5453181.9999999991</v>
      </c>
      <c r="V13" s="15">
        <f t="shared" ref="K13:V13" si="9">SUM(V14:V33)</f>
        <v>62975069</v>
      </c>
      <c r="W13" s="72">
        <f t="shared" si="2"/>
        <v>0.89456631286425592</v>
      </c>
      <c r="X13" s="89"/>
      <c r="Y13" s="15">
        <f>SUM(Y14:Y33)</f>
        <v>5741093.0391396768</v>
      </c>
      <c r="Z13" s="15">
        <f t="shared" ref="Z13:AK13" si="10">SUM(Z14:Z33)</f>
        <v>5005847.3494266914</v>
      </c>
      <c r="AA13" s="15">
        <f t="shared" si="10"/>
        <v>5873652.0427952595</v>
      </c>
      <c r="AB13" s="15">
        <f t="shared" si="10"/>
        <v>5634431.6812544819</v>
      </c>
      <c r="AC13" s="15">
        <f t="shared" si="10"/>
        <v>6204500.1102625336</v>
      </c>
      <c r="AD13" s="15">
        <f t="shared" si="10"/>
        <v>6133657.5298446128</v>
      </c>
      <c r="AE13" s="15">
        <f t="shared" si="10"/>
        <v>6011980.5798446126</v>
      </c>
      <c r="AF13" s="15">
        <f t="shared" si="10"/>
        <v>5799692.3159020152</v>
      </c>
      <c r="AG13" s="15">
        <f t="shared" si="10"/>
        <v>6074740.3237872086</v>
      </c>
      <c r="AH13" s="15">
        <f t="shared" si="10"/>
        <v>6345591.7409674674</v>
      </c>
      <c r="AI13" s="15">
        <f t="shared" si="10"/>
        <v>6208532.6698446125</v>
      </c>
      <c r="AJ13" s="15">
        <f t="shared" si="10"/>
        <v>6142464.3744921442</v>
      </c>
      <c r="AK13" s="15">
        <f t="shared" si="10"/>
        <v>71176183.757561326</v>
      </c>
      <c r="AL13" s="72">
        <f t="shared" si="4"/>
        <v>0.90415805999085985</v>
      </c>
      <c r="AM13" s="10">
        <f t="shared" si="7"/>
        <v>0.13022795985442004</v>
      </c>
      <c r="AN13" s="9"/>
    </row>
    <row r="14" spans="1:40" ht="14.45" customHeight="1" outlineLevel="1">
      <c r="A14" s="37" t="s">
        <v>110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174" t="s">
        <v>115</v>
      </c>
      <c r="J14" s="65">
        <v>4781697</v>
      </c>
      <c r="K14" s="65">
        <v>4110962</v>
      </c>
      <c r="L14" s="65">
        <v>4803407</v>
      </c>
      <c r="M14" s="65">
        <v>4522907</v>
      </c>
      <c r="N14" s="65">
        <v>5038773</v>
      </c>
      <c r="O14" s="65">
        <v>4928801</v>
      </c>
      <c r="P14" s="65">
        <v>4835485</v>
      </c>
      <c r="Q14" s="65">
        <v>4607231</v>
      </c>
      <c r="R14" s="65">
        <v>4628085</v>
      </c>
      <c r="S14" s="65">
        <v>5068120</v>
      </c>
      <c r="T14" s="65">
        <f>AVERAGE(Q14:S14)</f>
        <v>4767812</v>
      </c>
      <c r="U14" s="65">
        <f>AVERAGE(R14:T14)</f>
        <v>4821339</v>
      </c>
      <c r="V14" s="11">
        <f t="shared" si="5"/>
        <v>56914619</v>
      </c>
      <c r="W14" s="73">
        <f t="shared" si="2"/>
        <v>0.80847709538680979</v>
      </c>
      <c r="X14" s="89"/>
      <c r="Y14" s="244">
        <f>Y7-Y28-Y35</f>
        <v>5087351.9791396763</v>
      </c>
      <c r="Z14" s="244">
        <f t="shared" ref="Z14:AJ15" si="11">Z7-Z28-Z35</f>
        <v>4491318.9894266911</v>
      </c>
      <c r="AA14" s="244">
        <f t="shared" si="11"/>
        <v>5317316.8227952598</v>
      </c>
      <c r="AB14" s="244">
        <f t="shared" si="11"/>
        <v>5103428.4112544823</v>
      </c>
      <c r="AC14" s="244">
        <f t="shared" si="11"/>
        <v>5636015.6302625332</v>
      </c>
      <c r="AD14" s="244">
        <f t="shared" si="11"/>
        <v>5546129.0298446128</v>
      </c>
      <c r="AE14" s="244">
        <f t="shared" si="11"/>
        <v>5453273.0598446121</v>
      </c>
      <c r="AF14" s="244">
        <f t="shared" si="11"/>
        <v>5212176.8159020152</v>
      </c>
      <c r="AG14" s="244">
        <f t="shared" si="11"/>
        <v>5230036.9837872088</v>
      </c>
      <c r="AH14" s="244">
        <f t="shared" si="11"/>
        <v>5651400.1409674678</v>
      </c>
      <c r="AI14" s="244">
        <f t="shared" si="11"/>
        <v>5540766.3498446122</v>
      </c>
      <c r="AJ14" s="244">
        <f t="shared" si="11"/>
        <v>5476275.6144921444</v>
      </c>
      <c r="AK14" s="65">
        <f t="shared" si="6"/>
        <v>63745489.827561319</v>
      </c>
      <c r="AL14" s="73">
        <f t="shared" si="4"/>
        <v>0.80976522444604981</v>
      </c>
      <c r="AM14" s="14">
        <f t="shared" si="7"/>
        <v>0.12001961793965998</v>
      </c>
      <c r="AN14" s="9"/>
    </row>
    <row r="15" spans="1:40" ht="14.45" customHeight="1" outlineLevel="1">
      <c r="A15" s="37" t="s">
        <v>110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175" t="s">
        <v>118</v>
      </c>
      <c r="J15" s="65">
        <v>637149</v>
      </c>
      <c r="K15" s="65">
        <v>498348</v>
      </c>
      <c r="L15" s="65">
        <v>538304</v>
      </c>
      <c r="M15" s="65">
        <v>512686</v>
      </c>
      <c r="N15" s="65">
        <v>538126</v>
      </c>
      <c r="O15" s="65">
        <v>555630</v>
      </c>
      <c r="P15" s="65">
        <v>532803</v>
      </c>
      <c r="Q15" s="65">
        <v>574498</v>
      </c>
      <c r="R15" s="65">
        <v>843059</v>
      </c>
      <c r="S15" s="65">
        <v>681643</v>
      </c>
      <c r="T15" s="65">
        <f t="shared" ref="T15:U30" si="12">AVERAGE(Q15:S15)</f>
        <v>699733.33333333337</v>
      </c>
      <c r="U15" s="65">
        <f t="shared" si="12"/>
        <v>741478.4444444445</v>
      </c>
      <c r="V15" s="11">
        <f t="shared" si="5"/>
        <v>7353457.777777778</v>
      </c>
      <c r="W15" s="73">
        <f t="shared" si="2"/>
        <v>0.10445650501898858</v>
      </c>
      <c r="X15" s="89"/>
      <c r="Y15" s="244">
        <f>Y8-Y29-Y36</f>
        <v>652157.06000000006</v>
      </c>
      <c r="Z15" s="244">
        <f t="shared" si="11"/>
        <v>511504.36000000004</v>
      </c>
      <c r="AA15" s="244">
        <f t="shared" si="11"/>
        <v>551631.22000000009</v>
      </c>
      <c r="AB15" s="244">
        <f t="shared" si="11"/>
        <v>526971.27</v>
      </c>
      <c r="AC15" s="244">
        <f t="shared" si="11"/>
        <v>562436.48</v>
      </c>
      <c r="AD15" s="244">
        <f t="shared" si="11"/>
        <v>582536.5</v>
      </c>
      <c r="AE15" s="244">
        <f t="shared" si="11"/>
        <v>553523.52</v>
      </c>
      <c r="AF15" s="244">
        <f t="shared" si="11"/>
        <v>582763.5</v>
      </c>
      <c r="AG15" s="244">
        <f t="shared" si="11"/>
        <v>840143.34</v>
      </c>
      <c r="AH15" s="244">
        <f t="shared" si="11"/>
        <v>688623.60000000009</v>
      </c>
      <c r="AI15" s="244">
        <f t="shared" si="11"/>
        <v>662726.32000000007</v>
      </c>
      <c r="AJ15" s="244">
        <f t="shared" si="11"/>
        <v>654236.76</v>
      </c>
      <c r="AK15" s="65">
        <f t="shared" si="6"/>
        <v>7369253.9299999997</v>
      </c>
      <c r="AL15" s="73">
        <f t="shared" si="4"/>
        <v>9.3612357184308659E-2</v>
      </c>
      <c r="AM15" s="14">
        <f t="shared" si="7"/>
        <v>2.1481257796784892E-3</v>
      </c>
      <c r="AN15" s="9"/>
    </row>
    <row r="16" spans="1:40" ht="14.45" customHeight="1" outlineLevel="1">
      <c r="A16" s="37" t="s">
        <v>110</v>
      </c>
      <c r="B16" s="39"/>
      <c r="C16" s="39" t="s">
        <v>119</v>
      </c>
      <c r="D16" s="37" t="s">
        <v>120</v>
      </c>
      <c r="E16" s="38"/>
      <c r="F16" s="37"/>
      <c r="G16" s="37"/>
      <c r="H16" s="37"/>
      <c r="I16" s="170" t="s">
        <v>5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f t="shared" si="12"/>
        <v>0</v>
      </c>
      <c r="U16" s="65">
        <f t="shared" si="12"/>
        <v>0</v>
      </c>
      <c r="V16" s="11">
        <f t="shared" si="5"/>
        <v>0</v>
      </c>
      <c r="W16" s="73">
        <f t="shared" si="2"/>
        <v>0</v>
      </c>
      <c r="X16" s="89"/>
      <c r="Y16" s="244">
        <f>IFERROR(Y9-Y37,0)</f>
        <v>0</v>
      </c>
      <c r="Z16" s="244">
        <f t="shared" ref="Z16:AJ16" si="13">IFERROR(Z9-Z37,0)</f>
        <v>0</v>
      </c>
      <c r="AA16" s="244">
        <f t="shared" si="13"/>
        <v>0</v>
      </c>
      <c r="AB16" s="244">
        <f t="shared" si="13"/>
        <v>0</v>
      </c>
      <c r="AC16" s="244">
        <f t="shared" si="13"/>
        <v>0</v>
      </c>
      <c r="AD16" s="244">
        <f t="shared" si="13"/>
        <v>0</v>
      </c>
      <c r="AE16" s="244">
        <f t="shared" si="13"/>
        <v>0</v>
      </c>
      <c r="AF16" s="244">
        <f t="shared" si="13"/>
        <v>0</v>
      </c>
      <c r="AG16" s="244">
        <f t="shared" si="13"/>
        <v>0</v>
      </c>
      <c r="AH16" s="244">
        <f t="shared" si="13"/>
        <v>0</v>
      </c>
      <c r="AI16" s="244">
        <f t="shared" si="13"/>
        <v>0</v>
      </c>
      <c r="AJ16" s="244">
        <f t="shared" si="13"/>
        <v>0</v>
      </c>
      <c r="AK16" s="65">
        <f t="shared" si="6"/>
        <v>0</v>
      </c>
      <c r="AL16" s="73">
        <f t="shared" si="4"/>
        <v>0</v>
      </c>
      <c r="AM16" s="14">
        <f t="shared" si="7"/>
        <v>0</v>
      </c>
      <c r="AN16" s="9"/>
    </row>
    <row r="17" spans="1:40" ht="14.45" customHeight="1" outlineLevel="1">
      <c r="A17" s="37" t="s">
        <v>110</v>
      </c>
      <c r="B17" s="39"/>
      <c r="C17" s="39" t="s">
        <v>121</v>
      </c>
      <c r="D17" s="37"/>
      <c r="E17" s="38"/>
      <c r="F17" s="37"/>
      <c r="G17" s="37"/>
      <c r="H17" s="37"/>
      <c r="I17" s="174" t="s">
        <v>122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f t="shared" si="12"/>
        <v>0</v>
      </c>
      <c r="U17" s="65">
        <f t="shared" si="12"/>
        <v>0</v>
      </c>
      <c r="V17" s="11">
        <f t="shared" si="5"/>
        <v>0</v>
      </c>
      <c r="W17" s="73">
        <f t="shared" si="2"/>
        <v>0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0</v>
      </c>
      <c r="AN17" s="9"/>
    </row>
    <row r="18" spans="1:40" ht="14.45" customHeight="1" outlineLevel="1">
      <c r="A18" s="37" t="s">
        <v>110</v>
      </c>
      <c r="B18" s="39"/>
      <c r="C18" s="39" t="s">
        <v>123</v>
      </c>
      <c r="D18" s="37"/>
      <c r="E18" s="38"/>
      <c r="F18" s="37"/>
      <c r="G18" s="37"/>
      <c r="H18" s="37"/>
      <c r="I18" s="175" t="s">
        <v>124</v>
      </c>
      <c r="J18" s="65">
        <v>0</v>
      </c>
      <c r="K18" s="65">
        <v>6108</v>
      </c>
      <c r="L18" s="65">
        <v>2887</v>
      </c>
      <c r="M18" s="65">
        <v>0</v>
      </c>
      <c r="N18" s="65">
        <v>5571</v>
      </c>
      <c r="O18" s="65">
        <v>362</v>
      </c>
      <c r="P18" s="65">
        <v>0</v>
      </c>
      <c r="Q18" s="65">
        <v>0</v>
      </c>
      <c r="R18" s="65">
        <v>0</v>
      </c>
      <c r="S18" s="65">
        <v>14509</v>
      </c>
      <c r="T18" s="65">
        <f t="shared" si="12"/>
        <v>4836.333333333333</v>
      </c>
      <c r="U18" s="65">
        <f t="shared" si="12"/>
        <v>6448.4444444444443</v>
      </c>
      <c r="V18" s="11">
        <f t="shared" si="5"/>
        <v>40721.777777777781</v>
      </c>
      <c r="W18" s="73">
        <f t="shared" si="2"/>
        <v>5.7845638247644101E-4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customHeight="1" outlineLevel="1">
      <c r="A19" s="37" t="s">
        <v>110</v>
      </c>
      <c r="B19" s="39"/>
      <c r="C19" s="39" t="s">
        <v>125</v>
      </c>
      <c r="D19" s="37"/>
      <c r="E19" s="38"/>
      <c r="F19" s="37"/>
      <c r="G19" s="37"/>
      <c r="H19" s="37"/>
      <c r="I19" s="170" t="s">
        <v>126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f t="shared" si="12"/>
        <v>0</v>
      </c>
      <c r="U19" s="65">
        <f t="shared" si="12"/>
        <v>0</v>
      </c>
      <c r="V19" s="11">
        <f t="shared" si="5"/>
        <v>0</v>
      </c>
      <c r="W19" s="73">
        <f t="shared" si="2"/>
        <v>0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0</v>
      </c>
      <c r="AN19" s="9"/>
    </row>
    <row r="20" spans="1:40" ht="14.45" customHeight="1" outlineLevel="1">
      <c r="A20" s="37" t="s">
        <v>110</v>
      </c>
      <c r="B20" s="39"/>
      <c r="C20" s="39" t="s">
        <v>127</v>
      </c>
      <c r="D20" s="37" t="s">
        <v>128</v>
      </c>
      <c r="E20" s="38"/>
      <c r="F20" s="37"/>
      <c r="G20" s="37"/>
      <c r="H20" s="37"/>
      <c r="I20" s="170" t="s">
        <v>129</v>
      </c>
      <c r="J20" s="65">
        <v>-3448</v>
      </c>
      <c r="K20" s="65">
        <v>-8596</v>
      </c>
      <c r="L20" s="65">
        <v>-17079</v>
      </c>
      <c r="M20" s="65">
        <v>-31714</v>
      </c>
      <c r="N20" s="65">
        <v>-36179</v>
      </c>
      <c r="O20" s="65">
        <v>-27872</v>
      </c>
      <c r="P20" s="65">
        <v>-23541</v>
      </c>
      <c r="Q20" s="65">
        <v>-22877</v>
      </c>
      <c r="R20" s="65">
        <v>-22430</v>
      </c>
      <c r="S20" s="65">
        <v>-19608</v>
      </c>
      <c r="T20" s="65">
        <f t="shared" si="12"/>
        <v>-21638.333333333332</v>
      </c>
      <c r="U20" s="65">
        <f t="shared" si="12"/>
        <v>-21225.444444444442</v>
      </c>
      <c r="V20" s="11">
        <f t="shared" si="5"/>
        <v>-256207.77777777778</v>
      </c>
      <c r="W20" s="73">
        <f t="shared" si="2"/>
        <v>-3.6394536875189658E-3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customHeight="1" outlineLevel="1">
      <c r="A21" s="37" t="s">
        <v>110</v>
      </c>
      <c r="B21" s="39"/>
      <c r="C21" s="39" t="s">
        <v>130</v>
      </c>
      <c r="D21" s="37"/>
      <c r="E21" s="38"/>
      <c r="F21" s="37"/>
      <c r="G21" s="37"/>
      <c r="H21" s="37"/>
      <c r="I21" s="170" t="s">
        <v>131</v>
      </c>
      <c r="J21" s="65">
        <v>12295</v>
      </c>
      <c r="K21" s="65">
        <v>0</v>
      </c>
      <c r="L21" s="65">
        <v>0</v>
      </c>
      <c r="M21" s="65">
        <v>-4638</v>
      </c>
      <c r="N21" s="65">
        <v>0</v>
      </c>
      <c r="O21" s="65">
        <v>0</v>
      </c>
      <c r="P21" s="65">
        <v>-3950</v>
      </c>
      <c r="Q21" s="65">
        <v>-1575</v>
      </c>
      <c r="R21" s="65">
        <v>-9407</v>
      </c>
      <c r="S21" s="65">
        <v>0</v>
      </c>
      <c r="T21" s="65">
        <f t="shared" si="12"/>
        <v>-3660.6666666666665</v>
      </c>
      <c r="U21" s="65">
        <f t="shared" si="12"/>
        <v>-4355.8888888888887</v>
      </c>
      <c r="V21" s="11">
        <f t="shared" si="5"/>
        <v>-15291.555555555555</v>
      </c>
      <c r="W21" s="73">
        <f t="shared" si="2"/>
        <v>-2.1721787190566257E-4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-1</v>
      </c>
      <c r="AN21" s="9"/>
    </row>
    <row r="22" spans="1:40" ht="14.45" customHeight="1" outlineLevel="1">
      <c r="A22" s="37" t="s">
        <v>110</v>
      </c>
      <c r="B22" s="39"/>
      <c r="C22" s="39" t="s">
        <v>132</v>
      </c>
      <c r="D22" s="37"/>
      <c r="E22" s="38"/>
      <c r="F22" s="37"/>
      <c r="G22" s="37"/>
      <c r="H22" s="37"/>
      <c r="I22" s="170" t="s">
        <v>133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f t="shared" si="12"/>
        <v>0</v>
      </c>
      <c r="U22" s="65">
        <f t="shared" si="12"/>
        <v>0</v>
      </c>
      <c r="V22" s="11">
        <f t="shared" si="5"/>
        <v>0</v>
      </c>
      <c r="W22" s="73">
        <f t="shared" si="2"/>
        <v>0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0</v>
      </c>
      <c r="AN22" s="9"/>
    </row>
    <row r="23" spans="1:40" ht="14.45" customHeight="1" outlineLevel="1">
      <c r="A23" s="37" t="s">
        <v>110</v>
      </c>
      <c r="B23" s="39"/>
      <c r="C23" s="39" t="s">
        <v>134</v>
      </c>
      <c r="D23" s="37"/>
      <c r="E23" s="38"/>
      <c r="F23" s="37"/>
      <c r="G23" s="37"/>
      <c r="H23" s="37"/>
      <c r="I23" s="174" t="s">
        <v>135</v>
      </c>
      <c r="J23" s="65">
        <v>0</v>
      </c>
      <c r="K23" s="65">
        <v>0</v>
      </c>
      <c r="L23" s="65">
        <v>9092</v>
      </c>
      <c r="M23" s="65">
        <v>-9092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f t="shared" si="12"/>
        <v>0</v>
      </c>
      <c r="U23" s="65">
        <f t="shared" si="12"/>
        <v>0</v>
      </c>
      <c r="V23" s="11">
        <f t="shared" si="5"/>
        <v>0</v>
      </c>
      <c r="W23" s="73">
        <f t="shared" si="2"/>
        <v>0</v>
      </c>
      <c r="X23" s="89"/>
      <c r="Y23" s="65">
        <f>0*Y40</f>
        <v>0</v>
      </c>
      <c r="Z23" s="65">
        <f t="shared" ref="Z23:AJ24" si="14">0*Z40</f>
        <v>0</v>
      </c>
      <c r="AA23" s="65">
        <f t="shared" si="14"/>
        <v>0</v>
      </c>
      <c r="AB23" s="65">
        <f t="shared" si="14"/>
        <v>0</v>
      </c>
      <c r="AC23" s="65">
        <f t="shared" si="14"/>
        <v>0</v>
      </c>
      <c r="AD23" s="65">
        <f t="shared" si="14"/>
        <v>0</v>
      </c>
      <c r="AE23" s="65">
        <f t="shared" si="14"/>
        <v>0</v>
      </c>
      <c r="AF23" s="65">
        <f t="shared" si="14"/>
        <v>0</v>
      </c>
      <c r="AG23" s="65">
        <f t="shared" si="14"/>
        <v>0</v>
      </c>
      <c r="AH23" s="65">
        <f t="shared" si="14"/>
        <v>0</v>
      </c>
      <c r="AI23" s="65">
        <f t="shared" si="14"/>
        <v>0</v>
      </c>
      <c r="AJ23" s="65">
        <f t="shared" si="14"/>
        <v>0</v>
      </c>
      <c r="AK23" s="65">
        <f t="shared" si="6"/>
        <v>0</v>
      </c>
      <c r="AL23" s="73">
        <f t="shared" si="4"/>
        <v>0</v>
      </c>
      <c r="AM23" s="14">
        <f t="shared" si="7"/>
        <v>0</v>
      </c>
      <c r="AN23" s="9"/>
    </row>
    <row r="24" spans="1:40" ht="14.45" customHeight="1" outlineLevel="1">
      <c r="A24" s="37" t="s">
        <v>110</v>
      </c>
      <c r="B24" s="39"/>
      <c r="C24" s="39" t="s">
        <v>136</v>
      </c>
      <c r="D24" s="37"/>
      <c r="E24" s="38"/>
      <c r="F24" s="37"/>
      <c r="G24" s="37"/>
      <c r="H24" s="37"/>
      <c r="I24" s="175" t="s">
        <v>137</v>
      </c>
      <c r="J24" s="65">
        <v>0</v>
      </c>
      <c r="K24" s="65">
        <v>0</v>
      </c>
      <c r="L24" s="65">
        <v>790</v>
      </c>
      <c r="M24" s="65">
        <v>-790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f t="shared" si="12"/>
        <v>0</v>
      </c>
      <c r="U24" s="65">
        <f t="shared" si="12"/>
        <v>0</v>
      </c>
      <c r="V24" s="11">
        <f t="shared" si="5"/>
        <v>0</v>
      </c>
      <c r="W24" s="73">
        <f t="shared" si="2"/>
        <v>0</v>
      </c>
      <c r="X24" s="89"/>
      <c r="Y24" s="65">
        <f>0*Y41</f>
        <v>0</v>
      </c>
      <c r="Z24" s="65">
        <f t="shared" si="14"/>
        <v>0</v>
      </c>
      <c r="AA24" s="65">
        <f t="shared" si="14"/>
        <v>0</v>
      </c>
      <c r="AB24" s="65">
        <f t="shared" si="14"/>
        <v>0</v>
      </c>
      <c r="AC24" s="65">
        <f t="shared" si="14"/>
        <v>0</v>
      </c>
      <c r="AD24" s="65">
        <f t="shared" si="14"/>
        <v>0</v>
      </c>
      <c r="AE24" s="65">
        <f t="shared" si="14"/>
        <v>0</v>
      </c>
      <c r="AF24" s="65">
        <f t="shared" si="14"/>
        <v>0</v>
      </c>
      <c r="AG24" s="65">
        <f t="shared" si="14"/>
        <v>0</v>
      </c>
      <c r="AH24" s="65">
        <f t="shared" si="14"/>
        <v>0</v>
      </c>
      <c r="AI24" s="65">
        <f t="shared" si="14"/>
        <v>0</v>
      </c>
      <c r="AJ24" s="65">
        <f t="shared" si="14"/>
        <v>0</v>
      </c>
      <c r="AK24" s="65">
        <f t="shared" si="6"/>
        <v>0</v>
      </c>
      <c r="AL24" s="73">
        <f t="shared" si="4"/>
        <v>0</v>
      </c>
      <c r="AM24" s="14">
        <f t="shared" si="7"/>
        <v>0</v>
      </c>
      <c r="AN24" s="9"/>
    </row>
    <row r="25" spans="1:40" ht="14.45" customHeight="1" outlineLevel="1">
      <c r="A25" s="37" t="s">
        <v>110</v>
      </c>
      <c r="B25" s="39"/>
      <c r="C25" s="39" t="s">
        <v>138</v>
      </c>
      <c r="D25" s="37" t="s">
        <v>103</v>
      </c>
      <c r="E25" s="38"/>
      <c r="F25" s="37"/>
      <c r="G25" s="37"/>
      <c r="H25" s="37"/>
      <c r="I25" s="174" t="s">
        <v>139</v>
      </c>
      <c r="J25" s="65">
        <v>0</v>
      </c>
      <c r="K25" s="65">
        <v>0</v>
      </c>
      <c r="L25" s="65">
        <v>0</v>
      </c>
      <c r="M25" s="65">
        <v>1204</v>
      </c>
      <c r="N25" s="65">
        <v>0</v>
      </c>
      <c r="O25" s="65">
        <v>0</v>
      </c>
      <c r="P25" s="65">
        <v>2415</v>
      </c>
      <c r="Q25" s="65">
        <v>0</v>
      </c>
      <c r="R25" s="65">
        <v>2352</v>
      </c>
      <c r="S25" s="65">
        <v>0</v>
      </c>
      <c r="T25" s="65">
        <f t="shared" si="12"/>
        <v>784</v>
      </c>
      <c r="U25" s="65">
        <f t="shared" si="12"/>
        <v>1045.3333333333333</v>
      </c>
      <c r="V25" s="11">
        <f t="shared" si="5"/>
        <v>7800.333333333333</v>
      </c>
      <c r="W25" s="73">
        <f t="shared" si="2"/>
        <v>1.1080441101401811E-4</v>
      </c>
      <c r="X25" s="89"/>
      <c r="Y25" s="65">
        <f>(Y40*'Parametros AGS'!$N$48)*'Parametros AGS'!$B$59</f>
        <v>0</v>
      </c>
      <c r="Z25" s="65">
        <f>(Z40*'Parametros AGS'!$N$48)*'Parametros AGS'!$B$59</f>
        <v>0</v>
      </c>
      <c r="AA25" s="65">
        <f>(AA40*'Parametros AGS'!$N$48)*'Parametros AGS'!$B$59</f>
        <v>0</v>
      </c>
      <c r="AB25" s="65">
        <f>(AB40*'Parametros AGS'!$N$48)*'Parametros AGS'!$B$59</f>
        <v>0</v>
      </c>
      <c r="AC25" s="65">
        <f>(AC40*'Parametros AGS'!$N$48)*'Parametros AGS'!$B$59</f>
        <v>0</v>
      </c>
      <c r="AD25" s="65">
        <f>(AD40*'Parametros AGS'!$N$48)*'Parametros AGS'!$B$59</f>
        <v>0</v>
      </c>
      <c r="AE25" s="65">
        <f>(AE40*'Parametros AGS'!$N$48)*'Parametros AGS'!$B$59</f>
        <v>0</v>
      </c>
      <c r="AF25" s="65">
        <f>(AF40*'Parametros AGS'!$N$48)*'Parametros AGS'!$B$59</f>
        <v>0</v>
      </c>
      <c r="AG25" s="65">
        <f>(AG40*'Parametros AGS'!$N$48)*'Parametros AGS'!$B$59</f>
        <v>0</v>
      </c>
      <c r="AH25" s="65">
        <f>(AH40*'Parametros AGS'!$N$48)*'Parametros AGS'!$B$59</f>
        <v>0</v>
      </c>
      <c r="AI25" s="65">
        <f>(AI40*'Parametros AGS'!$N$48)*'Parametros AGS'!$B$59</f>
        <v>0</v>
      </c>
      <c r="AJ25" s="65">
        <f>(AJ40*'Parametros AGS'!$N$48)*'Parametros AGS'!$B$59</f>
        <v>0</v>
      </c>
      <c r="AK25" s="65">
        <f t="shared" si="6"/>
        <v>0</v>
      </c>
      <c r="AL25" s="73">
        <f t="shared" si="4"/>
        <v>0</v>
      </c>
      <c r="AM25" s="14">
        <f t="shared" si="7"/>
        <v>-1</v>
      </c>
      <c r="AN25" s="9"/>
    </row>
    <row r="26" spans="1:40" ht="14.45" customHeight="1" outlineLevel="1">
      <c r="A26" s="37" t="s">
        <v>110</v>
      </c>
      <c r="B26" s="39"/>
      <c r="C26" s="39" t="s">
        <v>399</v>
      </c>
      <c r="D26" s="37" t="s">
        <v>103</v>
      </c>
      <c r="E26" s="38"/>
      <c r="F26" s="37"/>
      <c r="G26" s="37"/>
      <c r="H26" s="37"/>
      <c r="I26" s="175" t="s">
        <v>140</v>
      </c>
      <c r="J26" s="65">
        <v>0</v>
      </c>
      <c r="K26" s="65">
        <v>0</v>
      </c>
      <c r="L26" s="65">
        <v>0</v>
      </c>
      <c r="M26" s="65">
        <v>0</v>
      </c>
      <c r="N26" s="65">
        <v>1209</v>
      </c>
      <c r="O26" s="65">
        <v>0</v>
      </c>
      <c r="P26" s="65">
        <v>0</v>
      </c>
      <c r="Q26" s="65">
        <v>0</v>
      </c>
      <c r="R26" s="65">
        <v>1209</v>
      </c>
      <c r="S26" s="65">
        <v>2424</v>
      </c>
      <c r="T26" s="65">
        <f t="shared" si="12"/>
        <v>1211</v>
      </c>
      <c r="U26" s="65">
        <f t="shared" si="12"/>
        <v>1614.6666666666667</v>
      </c>
      <c r="V26" s="11">
        <f t="shared" si="5"/>
        <v>7667.666666666667</v>
      </c>
      <c r="W26" s="73">
        <f t="shared" si="2"/>
        <v>1.0891986951649326E-4</v>
      </c>
      <c r="X26" s="89"/>
      <c r="Y26" s="65">
        <f>(Y41*'Parametros AGS'!$N$49)*'Parametros AGS'!$B$60</f>
        <v>0</v>
      </c>
      <c r="Z26" s="65">
        <f>(Z41*'Parametros AGS'!$N$49)*'Parametros AGS'!$B$60</f>
        <v>0</v>
      </c>
      <c r="AA26" s="65">
        <f>(AA41*'Parametros AGS'!$N$49)*'Parametros AGS'!$B$60</f>
        <v>0</v>
      </c>
      <c r="AB26" s="65">
        <f>(AB41*'Parametros AGS'!$N$49)*'Parametros AGS'!$B$60</f>
        <v>0</v>
      </c>
      <c r="AC26" s="65">
        <f>(AC41*'Parametros AGS'!$N$49)*'Parametros AGS'!$B$60</f>
        <v>0</v>
      </c>
      <c r="AD26" s="65">
        <f>(AD41*'Parametros AGS'!$N$49)*'Parametros AGS'!$B$60</f>
        <v>0</v>
      </c>
      <c r="AE26" s="65">
        <f>(AE41*'Parametros AGS'!$N$49)*'Parametros AGS'!$B$60</f>
        <v>0</v>
      </c>
      <c r="AF26" s="65">
        <f>(AF41*'Parametros AGS'!$N$49)*'Parametros AGS'!$B$60</f>
        <v>0</v>
      </c>
      <c r="AG26" s="65">
        <f>(AG41*'Parametros AGS'!$N$49)*'Parametros AGS'!$B$60</f>
        <v>0</v>
      </c>
      <c r="AH26" s="65">
        <f>(AH41*'Parametros AGS'!$N$49)*'Parametros AGS'!$B$60</f>
        <v>0</v>
      </c>
      <c r="AI26" s="65">
        <f>(AI41*'Parametros AGS'!$N$49)*'Parametros AGS'!$B$60</f>
        <v>0</v>
      </c>
      <c r="AJ26" s="65">
        <f>(AJ41*'Parametros AGS'!$N$49)*'Parametros AGS'!$B$60</f>
        <v>0</v>
      </c>
      <c r="AK26" s="65">
        <f t="shared" si="6"/>
        <v>0</v>
      </c>
      <c r="AL26" s="73">
        <f t="shared" si="4"/>
        <v>0</v>
      </c>
      <c r="AM26" s="14">
        <f t="shared" si="7"/>
        <v>-1</v>
      </c>
      <c r="AN26" s="9"/>
    </row>
    <row r="27" spans="1:40" ht="14.45" customHeight="1" outlineLevel="1">
      <c r="A27" s="37"/>
      <c r="B27" s="39"/>
      <c r="C27" s="39"/>
      <c r="D27" s="37"/>
      <c r="E27" s="38"/>
      <c r="F27" s="37"/>
      <c r="G27" s="37"/>
      <c r="H27" s="37"/>
      <c r="I27" s="170" t="s">
        <v>136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f t="shared" si="12"/>
        <v>0</v>
      </c>
      <c r="U27" s="65">
        <f t="shared" si="12"/>
        <v>0</v>
      </c>
      <c r="V27" s="11">
        <f t="shared" si="5"/>
        <v>0</v>
      </c>
      <c r="W27" s="73">
        <f t="shared" si="2"/>
        <v>0</v>
      </c>
      <c r="X27" s="89"/>
      <c r="Y27" s="65">
        <f>(Y42*'Parametros AGS'!$N$50)*'Parametros AGS'!$B$61</f>
        <v>0</v>
      </c>
      <c r="Z27" s="65">
        <f>(Z42*'Parametros AGS'!$N$50)*'Parametros AGS'!$B$61</f>
        <v>0</v>
      </c>
      <c r="AA27" s="65">
        <f>(AA42*'Parametros AGS'!$N$50)*'Parametros AGS'!$B$61</f>
        <v>0</v>
      </c>
      <c r="AB27" s="65">
        <f>(AB42*'Parametros AGS'!$N$50)*'Parametros AGS'!$B$61</f>
        <v>0</v>
      </c>
      <c r="AC27" s="65">
        <f>(AC42*'Parametros AGS'!$N$50)*'Parametros AGS'!$B$61</f>
        <v>0</v>
      </c>
      <c r="AD27" s="65">
        <f>(AD42*'Parametros AGS'!$N$50)*'Parametros AGS'!$B$61</f>
        <v>0</v>
      </c>
      <c r="AE27" s="65">
        <f>(AE42*'Parametros AGS'!$N$50)*'Parametros AGS'!$B$61</f>
        <v>0</v>
      </c>
      <c r="AF27" s="65">
        <f>(AF42*'Parametros AGS'!$N$50)*'Parametros AGS'!$B$61</f>
        <v>0</v>
      </c>
      <c r="AG27" s="65">
        <f>(AG42*'Parametros AGS'!$N$50)*'Parametros AGS'!$B$61</f>
        <v>0</v>
      </c>
      <c r="AH27" s="65">
        <f>(AH42*'Parametros AGS'!$N$50)*'Parametros AGS'!$B$61</f>
        <v>0</v>
      </c>
      <c r="AI27" s="65">
        <f>(AI42*'Parametros AGS'!$N$50)*'Parametros AGS'!$B$61</f>
        <v>0</v>
      </c>
      <c r="AJ27" s="65">
        <f>(AJ42*'Parametros AGS'!$N$50)*'Parametros AGS'!$B$61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customHeight="1">
      <c r="I28" s="174" t="s">
        <v>141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f t="shared" si="12"/>
        <v>0</v>
      </c>
      <c r="U28" s="65">
        <f t="shared" si="12"/>
        <v>0</v>
      </c>
      <c r="V28" s="11">
        <f t="shared" si="5"/>
        <v>0</v>
      </c>
      <c r="W28" s="73">
        <f t="shared" si="2"/>
        <v>0</v>
      </c>
      <c r="X28" s="89"/>
      <c r="Y28" s="66">
        <f>+-Y40*'Parametros AGS'!$B$2</f>
        <v>0</v>
      </c>
      <c r="Z28" s="66">
        <f>+-Z40*'Parametros AGS'!$B$2</f>
        <v>0</v>
      </c>
      <c r="AA28" s="66">
        <f>+-AA40*'Parametros AGS'!$B$2</f>
        <v>0</v>
      </c>
      <c r="AB28" s="66">
        <f>+-AB40*'Parametros AGS'!$B$2</f>
        <v>0</v>
      </c>
      <c r="AC28" s="66">
        <f>+-AC40*'Parametros AGS'!$B$2</f>
        <v>0</v>
      </c>
      <c r="AD28" s="66">
        <f>+-AD40*'Parametros AGS'!$B$2</f>
        <v>0</v>
      </c>
      <c r="AE28" s="66">
        <f>+-AE40*'Parametros AGS'!$B$2</f>
        <v>0</v>
      </c>
      <c r="AF28" s="66">
        <f>+-AF40*'Parametros AGS'!$B$2</f>
        <v>0</v>
      </c>
      <c r="AG28" s="66">
        <f>+-AG40*'Parametros AGS'!$B$2</f>
        <v>0</v>
      </c>
      <c r="AH28" s="66">
        <f>+-AH40*'Parametros AGS'!$B$2</f>
        <v>0</v>
      </c>
      <c r="AI28" s="66">
        <f>+-AI40*'Parametros AGS'!$B$2</f>
        <v>0</v>
      </c>
      <c r="AJ28" s="66">
        <f>+-AJ40*'Parametros AGS'!$B$2</f>
        <v>0</v>
      </c>
      <c r="AK28" s="65">
        <f t="shared" si="6"/>
        <v>0</v>
      </c>
      <c r="AL28" s="73">
        <f t="shared" si="4"/>
        <v>0</v>
      </c>
      <c r="AM28" s="14">
        <f t="shared" si="7"/>
        <v>0</v>
      </c>
      <c r="AN28" s="9"/>
    </row>
    <row r="29" spans="1:40" ht="14.45" customHeight="1" outlineLevel="1">
      <c r="I29" s="175" t="s">
        <v>142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f t="shared" si="12"/>
        <v>0</v>
      </c>
      <c r="U29" s="65">
        <f t="shared" si="12"/>
        <v>0</v>
      </c>
      <c r="V29" s="11">
        <f t="shared" si="5"/>
        <v>0</v>
      </c>
      <c r="W29" s="73">
        <f t="shared" si="2"/>
        <v>0</v>
      </c>
      <c r="X29" s="89"/>
      <c r="Y29" s="66">
        <f>+-Y41*'Parametros AGS'!$B$3</f>
        <v>0</v>
      </c>
      <c r="Z29" s="66">
        <f>+-Z41*'Parametros AGS'!$B$3</f>
        <v>0</v>
      </c>
      <c r="AA29" s="66">
        <f>+-AA41*'Parametros AGS'!$B$3</f>
        <v>0</v>
      </c>
      <c r="AB29" s="66">
        <f>+-AB41*'Parametros AGS'!$B$3</f>
        <v>0</v>
      </c>
      <c r="AC29" s="66">
        <f>+-AC41*'Parametros AGS'!$B$3</f>
        <v>0</v>
      </c>
      <c r="AD29" s="66">
        <f>+-AD41*'Parametros AGS'!$B$3</f>
        <v>0</v>
      </c>
      <c r="AE29" s="66">
        <f>+-AE41*'Parametros AGS'!$B$3</f>
        <v>0</v>
      </c>
      <c r="AF29" s="66">
        <f>+-AF41*'Parametros AGS'!$B$3</f>
        <v>0</v>
      </c>
      <c r="AG29" s="66">
        <f>+-AG41*'Parametros AGS'!$B$3</f>
        <v>0</v>
      </c>
      <c r="AH29" s="66">
        <f>+-AH41*'Parametros AGS'!$B$3</f>
        <v>0</v>
      </c>
      <c r="AI29" s="66">
        <f>+-AI41*'Parametros AGS'!$B$3</f>
        <v>0</v>
      </c>
      <c r="AJ29" s="66">
        <f>+-AJ41*'Parametros AGS'!$B$3</f>
        <v>0</v>
      </c>
      <c r="AK29" s="65">
        <f t="shared" si="6"/>
        <v>0</v>
      </c>
      <c r="AL29" s="73">
        <f t="shared" si="4"/>
        <v>0</v>
      </c>
      <c r="AM29" s="14">
        <f t="shared" si="7"/>
        <v>0</v>
      </c>
      <c r="AN29" s="9"/>
    </row>
    <row r="30" spans="1:40" ht="14.45" customHeight="1" outlineLevel="1">
      <c r="I30" s="175" t="s">
        <v>143</v>
      </c>
      <c r="J30" s="65">
        <v>987</v>
      </c>
      <c r="K30" s="65">
        <v>3781</v>
      </c>
      <c r="L30" s="65">
        <v>6040</v>
      </c>
      <c r="M30" s="65">
        <v>5356</v>
      </c>
      <c r="N30" s="65">
        <v>7354</v>
      </c>
      <c r="O30" s="65">
        <v>6431</v>
      </c>
      <c r="P30" s="65">
        <v>5830</v>
      </c>
      <c r="Q30" s="65">
        <v>14514</v>
      </c>
      <c r="R30" s="65">
        <v>6266</v>
      </c>
      <c r="S30" s="65">
        <v>6666</v>
      </c>
      <c r="T30" s="65">
        <f t="shared" si="12"/>
        <v>9148.6666666666661</v>
      </c>
      <c r="U30" s="65">
        <f t="shared" si="12"/>
        <v>7360.2222222222217</v>
      </c>
      <c r="V30" s="11">
        <f t="shared" si="5"/>
        <v>79733.888888888891</v>
      </c>
      <c r="W30" s="73">
        <f t="shared" si="2"/>
        <v>1.1326268017850302E-3</v>
      </c>
      <c r="X30" s="89"/>
      <c r="Y30" s="65">
        <f>+Y10*0.8</f>
        <v>1584</v>
      </c>
      <c r="Z30" s="65">
        <f t="shared" ref="Z30:AJ30" si="15">+Z10*0.8</f>
        <v>3024</v>
      </c>
      <c r="AA30" s="65">
        <f t="shared" si="15"/>
        <v>4704</v>
      </c>
      <c r="AB30" s="65">
        <f t="shared" si="15"/>
        <v>4032</v>
      </c>
      <c r="AC30" s="65">
        <f t="shared" si="15"/>
        <v>6048</v>
      </c>
      <c r="AD30" s="65">
        <f t="shared" si="15"/>
        <v>4992</v>
      </c>
      <c r="AE30" s="65">
        <f t="shared" si="15"/>
        <v>5184</v>
      </c>
      <c r="AF30" s="65">
        <f t="shared" si="15"/>
        <v>4752</v>
      </c>
      <c r="AG30" s="65">
        <f t="shared" si="15"/>
        <v>4560</v>
      </c>
      <c r="AH30" s="65">
        <f t="shared" si="15"/>
        <v>5568</v>
      </c>
      <c r="AI30" s="65">
        <f t="shared" si="15"/>
        <v>5040</v>
      </c>
      <c r="AJ30" s="65">
        <f t="shared" si="15"/>
        <v>11952</v>
      </c>
      <c r="AK30" s="65">
        <f t="shared" si="6"/>
        <v>61440</v>
      </c>
      <c r="AL30" s="73">
        <f t="shared" si="4"/>
        <v>7.8047836050126776E-4</v>
      </c>
      <c r="AM30" s="14">
        <f t="shared" si="7"/>
        <v>-0.22943680715714077</v>
      </c>
      <c r="AN30" s="9"/>
    </row>
    <row r="31" spans="1:40" ht="14.45" customHeight="1" outlineLevel="1">
      <c r="I31" s="175" t="s">
        <v>144</v>
      </c>
      <c r="J31" s="65">
        <v>-80275</v>
      </c>
      <c r="K31" s="65">
        <v>-72959</v>
      </c>
      <c r="L31" s="65">
        <v>-79737</v>
      </c>
      <c r="M31" s="65">
        <v>-86321</v>
      </c>
      <c r="N31" s="65">
        <v>-93134</v>
      </c>
      <c r="O31" s="65">
        <v>-82888</v>
      </c>
      <c r="P31" s="65">
        <v>-93518</v>
      </c>
      <c r="Q31" s="65">
        <v>-90165</v>
      </c>
      <c r="R31" s="65">
        <v>-72720</v>
      </c>
      <c r="S31" s="65">
        <v>-103991</v>
      </c>
      <c r="T31" s="65">
        <f t="shared" ref="T31:T33" si="16">AVERAGE(Q31:S31)</f>
        <v>-88958.666666666672</v>
      </c>
      <c r="U31" s="65">
        <f t="shared" ref="U31:U33" si="17">AVERAGE(R31:T31)</f>
        <v>-88556.555555555562</v>
      </c>
      <c r="V31" s="11">
        <f t="shared" si="5"/>
        <v>-1033223.2222222222</v>
      </c>
      <c r="W31" s="73">
        <f t="shared" si="2"/>
        <v>-1.4677025415709494E-2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-1</v>
      </c>
      <c r="AN31" s="9"/>
    </row>
    <row r="32" spans="1:40" ht="14.25" customHeight="1" outlineLevel="1">
      <c r="I32" s="175" t="s">
        <v>145</v>
      </c>
      <c r="J32" s="65">
        <v>-10495</v>
      </c>
      <c r="K32" s="65">
        <v>-10410</v>
      </c>
      <c r="L32" s="65">
        <v>-6933</v>
      </c>
      <c r="M32" s="65">
        <v>-10334</v>
      </c>
      <c r="N32" s="65">
        <v>-10389</v>
      </c>
      <c r="O32" s="65">
        <v>-6942</v>
      </c>
      <c r="P32" s="65">
        <v>-10425</v>
      </c>
      <c r="Q32" s="65">
        <v>-10416</v>
      </c>
      <c r="R32" s="65">
        <v>-13905</v>
      </c>
      <c r="S32" s="65">
        <v>-10415</v>
      </c>
      <c r="T32" s="65">
        <f t="shared" si="16"/>
        <v>-11578.666666666666</v>
      </c>
      <c r="U32" s="65">
        <f t="shared" si="17"/>
        <v>-11966.222222222221</v>
      </c>
      <c r="V32" s="11">
        <f t="shared" si="5"/>
        <v>-124208.88888888889</v>
      </c>
      <c r="W32" s="73">
        <f t="shared" si="2"/>
        <v>-1.7643980312002417E-3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-1</v>
      </c>
      <c r="AN32" s="9"/>
    </row>
    <row r="33" spans="1:41" ht="14.45" customHeight="1">
      <c r="I33" s="175" t="s">
        <v>146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f t="shared" si="16"/>
        <v>0</v>
      </c>
      <c r="U33" s="65">
        <f t="shared" si="17"/>
        <v>0</v>
      </c>
      <c r="V33" s="11">
        <f t="shared" si="5"/>
        <v>0</v>
      </c>
      <c r="W33" s="73">
        <f t="shared" si="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0</v>
      </c>
      <c r="AN33" s="9"/>
    </row>
    <row r="34" spans="1:41" ht="14.45" customHeight="1" outlineLevel="1">
      <c r="E34" s="129"/>
      <c r="I34" s="36" t="s">
        <v>147</v>
      </c>
      <c r="J34" s="35">
        <v>466361</v>
      </c>
      <c r="K34" s="35">
        <v>508439</v>
      </c>
      <c r="L34" s="35">
        <v>604335</v>
      </c>
      <c r="M34" s="35">
        <v>635102</v>
      </c>
      <c r="N34" s="35">
        <v>673672</v>
      </c>
      <c r="O34" s="35">
        <v>666227</v>
      </c>
      <c r="P34" s="35">
        <v>656721</v>
      </c>
      <c r="Q34" s="35">
        <v>616392</v>
      </c>
      <c r="R34" s="35">
        <v>636718</v>
      </c>
      <c r="S34" s="35">
        <v>668865</v>
      </c>
      <c r="T34" s="35">
        <f>+T6-T13</f>
        <v>640659.33333333395</v>
      </c>
      <c r="U34" s="35">
        <f>+U6-U13</f>
        <v>648748.44444444496</v>
      </c>
      <c r="V34" s="35">
        <f t="shared" ref="S34:V34" si="18">SUM(V35:V38)</f>
        <v>7422235</v>
      </c>
      <c r="W34" s="73">
        <f t="shared" si="2"/>
        <v>0.10543349142121672</v>
      </c>
      <c r="X34" s="89"/>
      <c r="Y34" s="35">
        <f t="shared" ref="Y34:AJ34" si="19">Y6-Y13</f>
        <v>607290.95514105912</v>
      </c>
      <c r="Z34" s="35">
        <f t="shared" si="19"/>
        <v>481974.06485404447</v>
      </c>
      <c r="AA34" s="35">
        <f t="shared" si="19"/>
        <v>676166.37148547731</v>
      </c>
      <c r="AB34" s="35">
        <f t="shared" si="19"/>
        <v>574361.75302625354</v>
      </c>
      <c r="AC34" s="35">
        <f t="shared" si="19"/>
        <v>690550.50401820242</v>
      </c>
      <c r="AD34" s="35">
        <f t="shared" si="19"/>
        <v>640757.52443612367</v>
      </c>
      <c r="AE34" s="35">
        <f t="shared" si="19"/>
        <v>624759.03443612345</v>
      </c>
      <c r="AF34" s="35">
        <f t="shared" si="19"/>
        <v>598674.13837872073</v>
      </c>
      <c r="AG34" s="35">
        <f t="shared" si="19"/>
        <v>665050.97049352713</v>
      </c>
      <c r="AH34" s="35">
        <f t="shared" si="19"/>
        <v>690006.51331326831</v>
      </c>
      <c r="AI34" s="35">
        <f t="shared" si="19"/>
        <v>648623.22443612386</v>
      </c>
      <c r="AJ34" s="35">
        <f t="shared" si="19"/>
        <v>646553.75978859235</v>
      </c>
      <c r="AK34" s="35">
        <f>AK6-AK13</f>
        <v>7544768.8138075024</v>
      </c>
      <c r="AL34" s="73">
        <f t="shared" si="4"/>
        <v>9.5841940009140203E-2</v>
      </c>
      <c r="AM34" s="34">
        <f t="shared" si="7"/>
        <v>1.6509018349257554E-2</v>
      </c>
      <c r="AN34" s="9"/>
    </row>
    <row r="35" spans="1:41" ht="14.45" customHeight="1" outlineLevel="1">
      <c r="E35" s="129"/>
      <c r="I35" s="227" t="s">
        <v>148</v>
      </c>
      <c r="J35" s="30">
        <v>400524</v>
      </c>
      <c r="K35" s="30">
        <v>448484</v>
      </c>
      <c r="L35" s="30">
        <v>535122</v>
      </c>
      <c r="M35" s="30">
        <v>556216</v>
      </c>
      <c r="N35" s="30">
        <v>594578</v>
      </c>
      <c r="O35" s="30">
        <v>579758</v>
      </c>
      <c r="P35" s="30">
        <v>574760</v>
      </c>
      <c r="Q35" s="30">
        <v>551413</v>
      </c>
      <c r="R35" s="30">
        <v>533174</v>
      </c>
      <c r="S35" s="30">
        <v>605863</v>
      </c>
      <c r="T35" s="30">
        <f t="shared" ref="S35:U35" si="20">+AVERAGE(Q35:S35)</f>
        <v>563483.33333333337</v>
      </c>
      <c r="U35" s="30">
        <f t="shared" si="20"/>
        <v>567506.77777777787</v>
      </c>
      <c r="V35" s="32">
        <f t="shared" ref="V35:V38" si="21">SUM(J35:U35)</f>
        <v>6510882.111111111</v>
      </c>
      <c r="W35" s="74">
        <f t="shared" ref="W35:W46" si="22">V35/V$39</f>
        <v>1.9371404573088318</v>
      </c>
      <c r="X35" s="90"/>
      <c r="Y35" s="30">
        <f>+Y40*Y44</f>
        <v>521578.07514105912</v>
      </c>
      <c r="Z35" s="30">
        <f t="shared" ref="Z35:AJ35" si="23">+Z40*Z44</f>
        <v>422496.26485404465</v>
      </c>
      <c r="AA35" s="30">
        <f t="shared" si="23"/>
        <v>600030.03148547653</v>
      </c>
      <c r="AB35" s="30">
        <f t="shared" si="23"/>
        <v>505886.84302625328</v>
      </c>
      <c r="AC35" s="30">
        <f t="shared" si="23"/>
        <v>613245.22401820309</v>
      </c>
      <c r="AD35" s="30">
        <f t="shared" si="23"/>
        <v>562319.82443612383</v>
      </c>
      <c r="AE35" s="30">
        <f t="shared" si="23"/>
        <v>552905.19443612383</v>
      </c>
      <c r="AF35" s="30">
        <f t="shared" si="23"/>
        <v>519610.63837872096</v>
      </c>
      <c r="AG35" s="30">
        <f t="shared" si="23"/>
        <v>539179.07049352676</v>
      </c>
      <c r="AH35" s="30">
        <f t="shared" si="23"/>
        <v>608432.31331326789</v>
      </c>
      <c r="AI35" s="30">
        <f t="shared" si="23"/>
        <v>561776.10443612386</v>
      </c>
      <c r="AJ35" s="30">
        <f t="shared" si="23"/>
        <v>558343.23978859151</v>
      </c>
      <c r="AK35" s="30">
        <f t="shared" ref="AK35:AK42" si="24">SUM(Y35:AJ35)</f>
        <v>6565802.8238075161</v>
      </c>
      <c r="AL35" s="74">
        <f t="shared" ref="AL35:AL46" si="25">AK35/AK$39</f>
        <v>1.7984901822693053</v>
      </c>
      <c r="AM35" s="29">
        <f>IFERROR(AK35/V35-1,0)</f>
        <v>8.4352184172833411E-3</v>
      </c>
      <c r="AN35" s="9"/>
    </row>
    <row r="36" spans="1:41" ht="14.45" customHeight="1" outlineLevel="1">
      <c r="E36" s="129"/>
      <c r="I36" s="227" t="s">
        <v>149</v>
      </c>
      <c r="J36" s="30">
        <v>64389</v>
      </c>
      <c r="K36" s="30">
        <v>58636</v>
      </c>
      <c r="L36" s="30">
        <v>66966</v>
      </c>
      <c r="M36" s="30">
        <v>75561</v>
      </c>
      <c r="N36" s="30">
        <v>75860</v>
      </c>
      <c r="O36" s="30">
        <v>83262</v>
      </c>
      <c r="P36" s="30">
        <v>79003</v>
      </c>
      <c r="Q36" s="30">
        <v>70865</v>
      </c>
      <c r="R36" s="30">
        <v>101848</v>
      </c>
      <c r="S36" s="30">
        <v>61234</v>
      </c>
      <c r="T36" s="30">
        <f t="shared" ref="R36:U36" si="26">+AVERAGE(Q36:S36)</f>
        <v>77982.333333333328</v>
      </c>
      <c r="U36" s="30">
        <f t="shared" si="26"/>
        <v>80354.777777777766</v>
      </c>
      <c r="V36" s="32">
        <f t="shared" si="21"/>
        <v>895961.11111111112</v>
      </c>
      <c r="W36" s="74">
        <f t="shared" si="22"/>
        <v>0.26656948887875326</v>
      </c>
      <c r="X36" s="90"/>
      <c r="Y36" s="30">
        <f t="shared" ref="Y36:AJ37" si="27">+Y41*Y45</f>
        <v>85316.88</v>
      </c>
      <c r="Z36" s="30">
        <f t="shared" si="27"/>
        <v>58721.8</v>
      </c>
      <c r="AA36" s="30">
        <f t="shared" si="27"/>
        <v>74960.34</v>
      </c>
      <c r="AB36" s="30">
        <f t="shared" si="27"/>
        <v>67466.91</v>
      </c>
      <c r="AC36" s="30">
        <f t="shared" si="27"/>
        <v>75793.279999999999</v>
      </c>
      <c r="AD36" s="30">
        <f t="shared" si="27"/>
        <v>77189.7</v>
      </c>
      <c r="AE36" s="30">
        <f t="shared" si="27"/>
        <v>70557.84</v>
      </c>
      <c r="AF36" s="30">
        <f t="shared" si="27"/>
        <v>77875.5</v>
      </c>
      <c r="AG36" s="30">
        <f t="shared" si="27"/>
        <v>124731.90000000001</v>
      </c>
      <c r="AH36" s="30">
        <f t="shared" si="27"/>
        <v>80182.2</v>
      </c>
      <c r="AI36" s="30">
        <f t="shared" si="27"/>
        <v>85587.12</v>
      </c>
      <c r="AJ36" s="30">
        <f t="shared" si="27"/>
        <v>85222.51999999999</v>
      </c>
      <c r="AK36" s="30">
        <f t="shared" si="24"/>
        <v>963605.99</v>
      </c>
      <c r="AL36" s="74">
        <f t="shared" si="25"/>
        <v>0.2639488207454127</v>
      </c>
      <c r="AM36" s="29">
        <f>IFERROR(AK36/V36-1,0)</f>
        <v>7.5499793517823877E-2</v>
      </c>
      <c r="AN36" s="9"/>
    </row>
    <row r="37" spans="1:41" ht="14.45" customHeight="1">
      <c r="I37" s="227" t="s">
        <v>150</v>
      </c>
      <c r="J37" s="30" t="s">
        <v>468</v>
      </c>
      <c r="K37" s="30" t="s">
        <v>468</v>
      </c>
      <c r="L37" s="30" t="s">
        <v>468</v>
      </c>
      <c r="M37" s="30" t="s">
        <v>468</v>
      </c>
      <c r="N37" s="30" t="s">
        <v>468</v>
      </c>
      <c r="O37" s="30" t="s">
        <v>468</v>
      </c>
      <c r="P37" s="30" t="s">
        <v>468</v>
      </c>
      <c r="Q37" s="30" t="s">
        <v>468</v>
      </c>
      <c r="R37" s="30" t="s">
        <v>468</v>
      </c>
      <c r="S37" s="30" t="s">
        <v>468</v>
      </c>
      <c r="T37" s="30">
        <v>0</v>
      </c>
      <c r="U37" s="30">
        <f t="shared" ref="R37:U37" si="28">+AVERAGE(R37:T37)</f>
        <v>0</v>
      </c>
      <c r="V37" s="32">
        <f t="shared" si="21"/>
        <v>0</v>
      </c>
      <c r="W37" s="74">
        <f t="shared" si="22"/>
        <v>0</v>
      </c>
      <c r="X37" s="90"/>
      <c r="Y37" s="30">
        <f t="shared" si="27"/>
        <v>0</v>
      </c>
      <c r="Z37" s="30">
        <f t="shared" si="27"/>
        <v>0</v>
      </c>
      <c r="AA37" s="30">
        <f t="shared" si="27"/>
        <v>0</v>
      </c>
      <c r="AB37" s="30">
        <f t="shared" si="27"/>
        <v>0</v>
      </c>
      <c r="AC37" s="30">
        <f t="shared" si="27"/>
        <v>0</v>
      </c>
      <c r="AD37" s="30">
        <f t="shared" si="27"/>
        <v>0</v>
      </c>
      <c r="AE37" s="30">
        <f t="shared" si="27"/>
        <v>0</v>
      </c>
      <c r="AF37" s="30">
        <f t="shared" si="27"/>
        <v>0</v>
      </c>
      <c r="AG37" s="30">
        <f t="shared" si="27"/>
        <v>0</v>
      </c>
      <c r="AH37" s="30">
        <f t="shared" si="27"/>
        <v>0</v>
      </c>
      <c r="AI37" s="30">
        <f t="shared" si="27"/>
        <v>0</v>
      </c>
      <c r="AJ37" s="30">
        <f t="shared" si="27"/>
        <v>0</v>
      </c>
      <c r="AK37" s="30">
        <f t="shared" si="24"/>
        <v>0</v>
      </c>
      <c r="AL37" s="74">
        <f t="shared" si="25"/>
        <v>0</v>
      </c>
      <c r="AM37" s="29">
        <f>IFERROR(AK37/V37-1,0)</f>
        <v>0</v>
      </c>
      <c r="AN37" s="176"/>
    </row>
    <row r="38" spans="1:41" ht="14.45" customHeight="1" outlineLevel="1">
      <c r="I38" s="227" t="s">
        <v>151</v>
      </c>
      <c r="J38" s="32">
        <v>1449</v>
      </c>
      <c r="K38" s="32">
        <v>1319</v>
      </c>
      <c r="L38" s="32">
        <v>2247</v>
      </c>
      <c r="M38" s="32">
        <v>3325</v>
      </c>
      <c r="N38" s="32">
        <v>3233</v>
      </c>
      <c r="O38" s="32">
        <v>3207</v>
      </c>
      <c r="P38" s="32">
        <v>2957</v>
      </c>
      <c r="Q38" s="32">
        <v>-5887</v>
      </c>
      <c r="R38" s="30">
        <v>1696</v>
      </c>
      <c r="S38" s="30">
        <v>1768</v>
      </c>
      <c r="T38" s="30">
        <f t="shared" ref="R38:U38" si="29">+AVERAGE(Q38:S38)</f>
        <v>-807.66666666666663</v>
      </c>
      <c r="U38" s="30">
        <f t="shared" si="29"/>
        <v>885.44444444444446</v>
      </c>
      <c r="V38" s="32">
        <f t="shared" si="21"/>
        <v>15391.777777777779</v>
      </c>
      <c r="W38" s="74">
        <f t="shared" si="22"/>
        <v>4.5794156512768015E-3</v>
      </c>
      <c r="X38" s="90"/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0">
        <f t="shared" si="24"/>
        <v>0</v>
      </c>
      <c r="AL38" s="74">
        <f t="shared" si="25"/>
        <v>0</v>
      </c>
      <c r="AM38" s="29">
        <f>IFERROR(AK38/V38-1,0)</f>
        <v>-1</v>
      </c>
      <c r="AN38" s="9"/>
    </row>
    <row r="39" spans="1:41" ht="14.45" customHeight="1" outlineLevel="1">
      <c r="I39" s="18" t="s">
        <v>152</v>
      </c>
      <c r="J39" s="33">
        <v>272154</v>
      </c>
      <c r="K39" s="33">
        <v>233284</v>
      </c>
      <c r="L39" s="33">
        <v>285738</v>
      </c>
      <c r="M39" s="33">
        <v>265038</v>
      </c>
      <c r="N39" s="33">
        <v>294054</v>
      </c>
      <c r="O39" s="33">
        <v>289203</v>
      </c>
      <c r="P39" s="33">
        <v>282709</v>
      </c>
      <c r="Q39" s="33">
        <v>268214</v>
      </c>
      <c r="R39" s="33">
        <v>286183</v>
      </c>
      <c r="S39" s="33">
        <v>301787</v>
      </c>
      <c r="T39" s="33">
        <f t="shared" ref="R39:T39" si="30">SUM(T40:T42)</f>
        <v>292822</v>
      </c>
      <c r="U39" s="33">
        <f>SUM(U40:U42)</f>
        <v>289893</v>
      </c>
      <c r="V39" s="33">
        <f>SUM(J39:U39)</f>
        <v>3361079</v>
      </c>
      <c r="W39" s="74">
        <f t="shared" si="22"/>
        <v>1</v>
      </c>
      <c r="X39" s="90"/>
      <c r="Y39" s="33">
        <f t="shared" ref="Y39:AJ39" si="31">SUM(Y40:Y42)</f>
        <v>294416.53524676338</v>
      </c>
      <c r="Z39" s="33">
        <f t="shared" si="31"/>
        <v>254605.53524676338</v>
      </c>
      <c r="AA39" s="33">
        <f t="shared" si="31"/>
        <v>303969.53524676338</v>
      </c>
      <c r="AB39" s="33">
        <f t="shared" si="31"/>
        <v>288166.53524676338</v>
      </c>
      <c r="AC39" s="33">
        <f t="shared" si="31"/>
        <v>319989.53524676338</v>
      </c>
      <c r="AD39" s="33">
        <f t="shared" si="31"/>
        <v>314351.53524676338</v>
      </c>
      <c r="AE39" s="33">
        <f t="shared" si="31"/>
        <v>308010.53524676338</v>
      </c>
      <c r="AF39" s="33">
        <f t="shared" si="31"/>
        <v>296790.53524676338</v>
      </c>
      <c r="AG39" s="33">
        <f t="shared" si="31"/>
        <v>311871.53524676338</v>
      </c>
      <c r="AH39" s="33">
        <f t="shared" si="31"/>
        <v>326205.53524676338</v>
      </c>
      <c r="AI39" s="33">
        <f t="shared" si="31"/>
        <v>317957.53524676338</v>
      </c>
      <c r="AJ39" s="33">
        <f t="shared" si="31"/>
        <v>314395.53524676338</v>
      </c>
      <c r="AK39" s="33">
        <f t="shared" si="24"/>
        <v>3650730.4229611605</v>
      </c>
      <c r="AL39" s="74">
        <f t="shared" si="25"/>
        <v>1</v>
      </c>
      <c r="AM39" s="16">
        <f>IFERROR(AK39/V39-1,0)</f>
        <v>8.6178106185888614E-2</v>
      </c>
      <c r="AN39" s="9" t="s">
        <v>475</v>
      </c>
    </row>
    <row r="40" spans="1:41" ht="14.45" customHeight="1" outlineLevel="1">
      <c r="I40" s="31" t="s">
        <v>153</v>
      </c>
      <c r="J40" s="32">
        <v>240471</v>
      </c>
      <c r="K40" s="32">
        <v>208769</v>
      </c>
      <c r="L40" s="32">
        <v>258989</v>
      </c>
      <c r="M40" s="32">
        <v>239596</v>
      </c>
      <c r="N40" s="32">
        <v>266927</v>
      </c>
      <c r="O40" s="32">
        <v>261102</v>
      </c>
      <c r="P40" s="32">
        <v>256158</v>
      </c>
      <c r="Q40" s="32">
        <v>244065</v>
      </c>
      <c r="R40" s="32">
        <v>245171</v>
      </c>
      <c r="S40" s="32">
        <v>268482</v>
      </c>
      <c r="T40" s="32">
        <v>260936</v>
      </c>
      <c r="U40" s="32">
        <v>258326</v>
      </c>
      <c r="V40" s="32">
        <f>SUM(J40:U40)</f>
        <v>3008992</v>
      </c>
      <c r="W40" s="74">
        <f t="shared" si="22"/>
        <v>0.89524584218341785</v>
      </c>
      <c r="X40" s="90"/>
      <c r="Y40" s="32">
        <f>VLOOKUP($E$1,'[2]Resumen x Tipo Combustible'!$C$4:$P$8,Y$1,0)</f>
        <v>262099.53524676338</v>
      </c>
      <c r="Z40" s="32">
        <f>VLOOKUP($E$1,'[2]Resumen x Tipo Combustible'!$C$4:$O$10,Z$1,0)</f>
        <v>229617.53524676338</v>
      </c>
      <c r="AA40" s="32">
        <f>VLOOKUP($E$1,'[2]Resumen x Tipo Combustible'!$C$4:$O$10,AA$1,0)</f>
        <v>276511.53524676338</v>
      </c>
      <c r="AB40" s="32">
        <f>VLOOKUP($E$1,'[2]Resumen x Tipo Combustible'!$C$4:$O$10,AB$1,0)</f>
        <v>262117.53524676338</v>
      </c>
      <c r="AC40" s="32">
        <f>VLOOKUP($E$1,'[2]Resumen x Tipo Combustible'!$C$4:$O$10,AC$1,0)</f>
        <v>292021.53524676338</v>
      </c>
      <c r="AD40" s="32">
        <f>VLOOKUP($E$1,'[2]Resumen x Tipo Combustible'!$C$4:$O$10,AD$1,0)</f>
        <v>285441.53524676338</v>
      </c>
      <c r="AE40" s="32">
        <f>VLOOKUP($E$1,'[2]Resumen x Tipo Combustible'!$C$4:$O$10,AE$1,0)</f>
        <v>280662.53524676338</v>
      </c>
      <c r="AF40" s="32">
        <f>VLOOKUP($E$1,'[2]Resumen x Tipo Combustible'!$C$4:$O$10,AF$1,0)</f>
        <v>267840.53524676338</v>
      </c>
      <c r="AG40" s="32">
        <f>VLOOKUP($E$1,'[2]Resumen x Tipo Combustible'!$C$4:$O$10,AG$1,0)</f>
        <v>269589.53524676338</v>
      </c>
      <c r="AH40" s="32">
        <f>VLOOKUP($E$1,'[2]Resumen x Tipo Combustible'!$C$4:$O$10,AH$1,0)</f>
        <v>292515.53524676338</v>
      </c>
      <c r="AI40" s="32">
        <f>VLOOKUP($E$1,'[2]Resumen x Tipo Combustible'!$C$4:$O$10,AI$1,0)</f>
        <v>285165.53524676338</v>
      </c>
      <c r="AJ40" s="32">
        <f>VLOOKUP($E$1,'[2]Resumen x Tipo Combustible'!$C$4:$O$10,AJ$1,0)</f>
        <v>281991.53524676338</v>
      </c>
      <c r="AK40" s="32">
        <f t="shared" si="24"/>
        <v>3285574.4229611605</v>
      </c>
      <c r="AL40" s="74">
        <f t="shared" si="25"/>
        <v>0.89997727640930092</v>
      </c>
      <c r="AM40" s="29">
        <f t="shared" si="7"/>
        <v>9.1918630212762364E-2</v>
      </c>
      <c r="AN40" s="9"/>
    </row>
    <row r="41" spans="1:41" ht="14.45" customHeight="1">
      <c r="I41" s="31" t="s">
        <v>154</v>
      </c>
      <c r="J41" s="32">
        <v>31683</v>
      </c>
      <c r="K41" s="32">
        <v>24515</v>
      </c>
      <c r="L41" s="32">
        <v>26749</v>
      </c>
      <c r="M41" s="32">
        <v>25443</v>
      </c>
      <c r="N41" s="32">
        <v>27127</v>
      </c>
      <c r="O41" s="32">
        <v>28101</v>
      </c>
      <c r="P41" s="32">
        <v>26551</v>
      </c>
      <c r="Q41" s="32">
        <v>24149</v>
      </c>
      <c r="R41" s="32">
        <v>41012</v>
      </c>
      <c r="S41" s="32">
        <v>33305</v>
      </c>
      <c r="T41" s="32">
        <v>31886</v>
      </c>
      <c r="U41" s="32">
        <v>31567</v>
      </c>
      <c r="V41" s="32">
        <f>SUM(J41:U41)</f>
        <v>352088</v>
      </c>
      <c r="W41" s="74">
        <f t="shared" si="22"/>
        <v>0.10475445534008573</v>
      </c>
      <c r="X41" s="90"/>
      <c r="Y41" s="32">
        <f>VLOOKUP($E$1,'[2]Resumen x Tipo Combustible'!$C$12:$P$16,Y$1,0)</f>
        <v>32317</v>
      </c>
      <c r="Z41" s="32">
        <f>VLOOKUP($E$1,'[2]Resumen x Tipo Combustible'!$C$12:$P$16,Z$1,0)</f>
        <v>24988</v>
      </c>
      <c r="AA41" s="32">
        <f>VLOOKUP($E$1,'[2]Resumen x Tipo Combustible'!$C$12:$P$16,AA$1,0)</f>
        <v>27458</v>
      </c>
      <c r="AB41" s="32">
        <f>VLOOKUP($E$1,'[2]Resumen x Tipo Combustible'!$C$12:$P$16,AB$1,0)</f>
        <v>26049</v>
      </c>
      <c r="AC41" s="32">
        <f>VLOOKUP($E$1,'[2]Resumen x Tipo Combustible'!$C$12:$P$16,AC$1,0)</f>
        <v>27968</v>
      </c>
      <c r="AD41" s="32">
        <f>VLOOKUP($E$1,'[2]Resumen x Tipo Combustible'!$C$12:$P$16,AD$1,0)</f>
        <v>28910</v>
      </c>
      <c r="AE41" s="32">
        <f>VLOOKUP($E$1,'[2]Resumen x Tipo Combustible'!$C$12:$P$16,AE$1,0)</f>
        <v>27348</v>
      </c>
      <c r="AF41" s="32">
        <f>VLOOKUP($E$1,'[2]Resumen x Tipo Combustible'!$C$12:$P$16,AF$1,0)</f>
        <v>28950</v>
      </c>
      <c r="AG41" s="32">
        <f>VLOOKUP($E$1,'[2]Resumen x Tipo Combustible'!$C$12:$P$16,AG$1,0)</f>
        <v>42282</v>
      </c>
      <c r="AH41" s="32">
        <f>VLOOKUP($E$1,'[2]Resumen x Tipo Combustible'!$C$12:$P$16,AH$1,0)</f>
        <v>33690</v>
      </c>
      <c r="AI41" s="32">
        <f>VLOOKUP($E$1,'[2]Resumen x Tipo Combustible'!$C$12:$P$16,AI$1,0)</f>
        <v>32792</v>
      </c>
      <c r="AJ41" s="32">
        <f>VLOOKUP($E$1,'[2]Resumen x Tipo Combustible'!$C$12:$P$16,AJ$1,0)</f>
        <v>32404</v>
      </c>
      <c r="AK41" s="32">
        <f t="shared" si="24"/>
        <v>365156</v>
      </c>
      <c r="AL41" s="74">
        <f t="shared" si="25"/>
        <v>0.10002272359069905</v>
      </c>
      <c r="AM41" s="29">
        <f t="shared" si="7"/>
        <v>3.7115721069732599E-2</v>
      </c>
      <c r="AN41" s="9"/>
    </row>
    <row r="42" spans="1:41" ht="14.45" customHeight="1">
      <c r="A42" s="21"/>
      <c r="B42" s="21"/>
      <c r="C42" s="21"/>
      <c r="D42" s="21"/>
      <c r="E42" s="7" t="s">
        <v>111</v>
      </c>
      <c r="I42" s="31" t="s">
        <v>155</v>
      </c>
      <c r="J42" s="32" t="s">
        <v>468</v>
      </c>
      <c r="K42" s="32" t="s">
        <v>468</v>
      </c>
      <c r="L42" s="32" t="s">
        <v>468</v>
      </c>
      <c r="M42" s="32" t="s">
        <v>468</v>
      </c>
      <c r="N42" s="32" t="s">
        <v>468</v>
      </c>
      <c r="O42" s="32" t="s">
        <v>468</v>
      </c>
      <c r="P42" s="32" t="s">
        <v>468</v>
      </c>
      <c r="Q42" s="32" t="s">
        <v>468</v>
      </c>
      <c r="R42" s="32" t="s">
        <v>468</v>
      </c>
      <c r="S42" s="32" t="s">
        <v>468</v>
      </c>
      <c r="T42" s="32" t="s">
        <v>476</v>
      </c>
      <c r="U42" s="32" t="s">
        <v>476</v>
      </c>
      <c r="V42" s="32">
        <f>SUM(J42:U42)</f>
        <v>0</v>
      </c>
      <c r="W42" s="74">
        <f t="shared" si="22"/>
        <v>0</v>
      </c>
      <c r="X42" s="90"/>
      <c r="Y42" s="32">
        <f>IFERROR(VLOOKUP($E$1,'[2]Resumen x Tipo Combustible'!$C$20:$P$24,Y$1,0),0)</f>
        <v>0</v>
      </c>
      <c r="Z42" s="32">
        <f>IFERROR(VLOOKUP($E$1,'[2]Resumen x Tipo Combustible'!$C$20:$P$24,Z$1,0),0)</f>
        <v>0</v>
      </c>
      <c r="AA42" s="32">
        <f>IFERROR(VLOOKUP($E$1,'[2]Resumen x Tipo Combustible'!$C$20:$P$24,AA$1,0),0)</f>
        <v>0</v>
      </c>
      <c r="AB42" s="32">
        <f>IFERROR(VLOOKUP($E$1,'[2]Resumen x Tipo Combustible'!$C$20:$P$24,AB$1,0),0)</f>
        <v>0</v>
      </c>
      <c r="AC42" s="32">
        <f>IFERROR(VLOOKUP($E$1,'[2]Resumen x Tipo Combustible'!$C$20:$P$24,AC$1,0),0)</f>
        <v>0</v>
      </c>
      <c r="AD42" s="32">
        <f>IFERROR(VLOOKUP($E$1,'[2]Resumen x Tipo Combustible'!$C$20:$P$24,AD$1,0),0)</f>
        <v>0</v>
      </c>
      <c r="AE42" s="32">
        <f>IFERROR(VLOOKUP($E$1,'[2]Resumen x Tipo Combustible'!$C$20:$P$24,AE$1,0),0)</f>
        <v>0</v>
      </c>
      <c r="AF42" s="32">
        <f>IFERROR(VLOOKUP($E$1,'[2]Resumen x Tipo Combustible'!$C$20:$P$24,AF$1,0),0)</f>
        <v>0</v>
      </c>
      <c r="AG42" s="32">
        <f>IFERROR(VLOOKUP($E$1,'[2]Resumen x Tipo Combustible'!$C$20:$P$24,AG$1,0),0)</f>
        <v>0</v>
      </c>
      <c r="AH42" s="32">
        <f>IFERROR(VLOOKUP($E$1,'[2]Resumen x Tipo Combustible'!$C$20:$P$24,AH$1,0),0)</f>
        <v>0</v>
      </c>
      <c r="AI42" s="32">
        <f>IFERROR(VLOOKUP($E$1,'[2]Resumen x Tipo Combustible'!$C$20:$P$24,AI$1,0),0)</f>
        <v>0</v>
      </c>
      <c r="AJ42" s="32">
        <f>IFERROR(VLOOKUP($E$1,'[2]Resumen x Tipo Combustible'!$C$20:$P$24,AJ$1,0),0)</f>
        <v>0</v>
      </c>
      <c r="AK42" s="32">
        <f t="shared" si="24"/>
        <v>0</v>
      </c>
      <c r="AL42" s="74">
        <f t="shared" si="25"/>
        <v>0</v>
      </c>
      <c r="AM42" s="29">
        <f t="shared" si="7"/>
        <v>0</v>
      </c>
      <c r="AN42" s="9"/>
    </row>
    <row r="43" spans="1:41" ht="17.25" customHeight="1">
      <c r="A43" s="21"/>
      <c r="B43" s="21"/>
      <c r="C43" s="21"/>
      <c r="D43" s="21"/>
      <c r="E43" s="22"/>
      <c r="F43" s="21"/>
      <c r="G43" s="21"/>
      <c r="H43" s="21"/>
      <c r="I43" s="18" t="s">
        <v>405</v>
      </c>
      <c r="J43" s="17">
        <v>1.71</v>
      </c>
      <c r="K43" s="17">
        <v>2.1800000000000002</v>
      </c>
      <c r="L43" s="17">
        <v>2.11</v>
      </c>
      <c r="M43" s="17">
        <v>2.4</v>
      </c>
      <c r="N43" s="17">
        <v>2.29</v>
      </c>
      <c r="O43" s="17">
        <v>2.2999999999999998</v>
      </c>
      <c r="P43" s="17">
        <v>2.3199999999999998</v>
      </c>
      <c r="Q43" s="17">
        <v>2.2999999999999998</v>
      </c>
      <c r="R43" s="17">
        <v>2.2200000000000002</v>
      </c>
      <c r="S43" s="17">
        <v>2.2200000000000002</v>
      </c>
      <c r="T43" s="17">
        <f t="shared" ref="Q43:V43" si="32">+T34/T39</f>
        <v>2.1878797813461213</v>
      </c>
      <c r="U43" s="17">
        <f t="shared" si="32"/>
        <v>2.237889305517708</v>
      </c>
      <c r="V43" s="17">
        <f>+V34/V39</f>
        <v>2.2082893618388617</v>
      </c>
      <c r="W43" s="74">
        <f t="shared" si="22"/>
        <v>6.5701798792556248E-7</v>
      </c>
      <c r="X43" s="90"/>
      <c r="Y43" s="17">
        <f>AVERAGE(Y44:Y44)</f>
        <v>1.99</v>
      </c>
      <c r="Z43" s="17">
        <f t="shared" ref="Z43:AJ43" si="33">AVERAGE(Z44:Z44)</f>
        <v>1.84</v>
      </c>
      <c r="AA43" s="17">
        <f t="shared" si="33"/>
        <v>2.17</v>
      </c>
      <c r="AB43" s="17">
        <f t="shared" si="33"/>
        <v>1.93</v>
      </c>
      <c r="AC43" s="17">
        <f t="shared" si="33"/>
        <v>2.1</v>
      </c>
      <c r="AD43" s="17">
        <f t="shared" si="33"/>
        <v>1.97</v>
      </c>
      <c r="AE43" s="17">
        <f t="shared" si="33"/>
        <v>1.97</v>
      </c>
      <c r="AF43" s="17">
        <f t="shared" si="33"/>
        <v>1.94</v>
      </c>
      <c r="AG43" s="17">
        <f t="shared" si="33"/>
        <v>2</v>
      </c>
      <c r="AH43" s="17">
        <f t="shared" si="33"/>
        <v>2.08</v>
      </c>
      <c r="AI43" s="17">
        <f t="shared" si="33"/>
        <v>1.97</v>
      </c>
      <c r="AJ43" s="17">
        <f t="shared" si="33"/>
        <v>1.98</v>
      </c>
      <c r="AK43" s="17">
        <f>+AK34/AK39</f>
        <v>2.0666463802298036</v>
      </c>
      <c r="AL43" s="74">
        <f t="shared" si="25"/>
        <v>5.6609120389489532E-7</v>
      </c>
      <c r="AM43" s="16">
        <f t="shared" si="7"/>
        <v>-6.4141495248209113E-2</v>
      </c>
      <c r="AN43" s="176" t="s">
        <v>452</v>
      </c>
      <c r="AO43" s="276">
        <f>+AK43-V43</f>
        <v>-0.14164298160905808</v>
      </c>
    </row>
    <row r="44" spans="1:41" ht="14.45" customHeight="1">
      <c r="A44" s="12" t="s">
        <v>157</v>
      </c>
      <c r="B44" s="19" t="s">
        <v>101</v>
      </c>
      <c r="I44" s="31" t="s">
        <v>153</v>
      </c>
      <c r="J44" s="30">
        <v>1.67</v>
      </c>
      <c r="K44" s="30">
        <v>2.15</v>
      </c>
      <c r="L44" s="30">
        <v>2.0699999999999998</v>
      </c>
      <c r="M44" s="30">
        <v>2.3199999999999998</v>
      </c>
      <c r="N44" s="30">
        <v>2.23</v>
      </c>
      <c r="O44" s="30">
        <v>2.2200000000000002</v>
      </c>
      <c r="P44" s="30">
        <v>2.2400000000000002</v>
      </c>
      <c r="Q44" s="30">
        <v>2.2599999999999998</v>
      </c>
      <c r="R44" s="30">
        <v>2.17</v>
      </c>
      <c r="S44" s="30">
        <v>1.87</v>
      </c>
      <c r="T44" s="30">
        <f t="shared" ref="Q44:V44" si="34">+T35/T40</f>
        <v>2.159469499545227</v>
      </c>
      <c r="U44" s="30">
        <f t="shared" si="34"/>
        <v>2.1968627926642221</v>
      </c>
      <c r="V44" s="30">
        <f>+V35/V40</f>
        <v>2.1638083820465828</v>
      </c>
      <c r="W44" s="74">
        <f t="shared" si="22"/>
        <v>6.4378385097362568E-7</v>
      </c>
      <c r="X44" s="90"/>
      <c r="Y44" s="248">
        <f>VLOOKUP(Y$3,[2]Margen!$I$43:$O$55,$Y$1,0)</f>
        <v>1.99</v>
      </c>
      <c r="Z44" s="248">
        <f>VLOOKUP(Z$3,[2]Margen!$I$43:$O$55,$Y$1,0)</f>
        <v>1.84</v>
      </c>
      <c r="AA44" s="248">
        <f>VLOOKUP(AA$3,[2]Margen!$I$43:$O$55,$Y$1,0)</f>
        <v>2.17</v>
      </c>
      <c r="AB44" s="248">
        <f>VLOOKUP(AB$3,[2]Margen!$I$43:$O$55,$Y$1,0)</f>
        <v>1.93</v>
      </c>
      <c r="AC44" s="248">
        <f>VLOOKUP(AC$3,[2]Margen!$I$43:$O$55,$Y$1,0)</f>
        <v>2.1</v>
      </c>
      <c r="AD44" s="248">
        <f>VLOOKUP(AD$3,[2]Margen!$I$43:$O$55,$Y$1,0)</f>
        <v>1.97</v>
      </c>
      <c r="AE44" s="248">
        <f>VLOOKUP(AE$3,[2]Margen!$I$43:$O$55,$Y$1,0)</f>
        <v>1.97</v>
      </c>
      <c r="AF44" s="248">
        <f>VLOOKUP(AF$3,[2]Margen!$I$43:$O$55,$Y$1,0)</f>
        <v>1.94</v>
      </c>
      <c r="AG44" s="248">
        <f>VLOOKUP(AG$3,[2]Margen!$I$43:$O$55,$Y$1,0)</f>
        <v>2</v>
      </c>
      <c r="AH44" s="248">
        <f>VLOOKUP(AH$3,[2]Margen!$I$43:$O$55,$Y$1,0)</f>
        <v>2.08</v>
      </c>
      <c r="AI44" s="248">
        <f>VLOOKUP(AI$3,[2]Margen!$I$43:$O$55,$Y$1,0)</f>
        <v>1.97</v>
      </c>
      <c r="AJ44" s="248">
        <f>VLOOKUP(AJ$3,[2]Margen!$I$43:$O$55,$Y$1,0)</f>
        <v>1.98</v>
      </c>
      <c r="AK44" s="30">
        <f>+AK35/AK40</f>
        <v>1.9983728805296741</v>
      </c>
      <c r="AL44" s="74">
        <f t="shared" si="25"/>
        <v>5.4738987791620193E-7</v>
      </c>
      <c r="AM44" s="29">
        <f t="shared" si="7"/>
        <v>-7.6455707857289945E-2</v>
      </c>
      <c r="AN44" s="9"/>
      <c r="AO44" s="276">
        <f>+AK44-V44</f>
        <v>-0.16543550151690867</v>
      </c>
    </row>
    <row r="45" spans="1:41" ht="14.45" customHeight="1" outlineLevel="1">
      <c r="A45" s="12" t="s">
        <v>157</v>
      </c>
      <c r="B45" s="8" t="s">
        <v>101</v>
      </c>
      <c r="C45" s="19" t="s">
        <v>158</v>
      </c>
      <c r="D45" s="12"/>
      <c r="E45" s="20"/>
      <c r="F45" s="12"/>
      <c r="G45" s="12"/>
      <c r="H45" s="12"/>
      <c r="I45" s="31" t="s">
        <v>154</v>
      </c>
      <c r="J45" s="30">
        <v>2.0299999999999998</v>
      </c>
      <c r="K45" s="30">
        <v>2.39</v>
      </c>
      <c r="L45" s="30">
        <v>2.5</v>
      </c>
      <c r="M45" s="30">
        <v>2.97</v>
      </c>
      <c r="N45" s="30">
        <v>2.8</v>
      </c>
      <c r="O45" s="30">
        <v>2.96</v>
      </c>
      <c r="P45" s="30">
        <v>2.98</v>
      </c>
      <c r="Q45" s="30">
        <v>2.93</v>
      </c>
      <c r="R45" s="30">
        <v>2.48</v>
      </c>
      <c r="S45" s="30">
        <v>1.53</v>
      </c>
      <c r="T45" s="30">
        <f t="shared" ref="Q45:V45" si="35">+T36/T41</f>
        <v>2.4456605824917936</v>
      </c>
      <c r="U45" s="30">
        <f t="shared" si="35"/>
        <v>2.545531022199695</v>
      </c>
      <c r="V45" s="30">
        <f>+V36/V41</f>
        <v>2.5447078886843948</v>
      </c>
      <c r="W45" s="74">
        <f t="shared" si="22"/>
        <v>7.5711040671296179E-7</v>
      </c>
      <c r="X45" s="90"/>
      <c r="Y45" s="248">
        <f>VLOOKUP(Y$3,[2]Margen!$I$43:$O$55,$AA$1,0)</f>
        <v>2.64</v>
      </c>
      <c r="Z45" s="248">
        <f>VLOOKUP(Z$3,[2]Margen!$I$43:$O$55,$AA$1,0)</f>
        <v>2.35</v>
      </c>
      <c r="AA45" s="248">
        <f>VLOOKUP(AA$3,[2]Margen!$I$43:$O$55,$AA$1,0)</f>
        <v>2.73</v>
      </c>
      <c r="AB45" s="248">
        <f>VLOOKUP(AB$3,[2]Margen!$I$43:$O$55,$AA$1,0)</f>
        <v>2.59</v>
      </c>
      <c r="AC45" s="248">
        <f>VLOOKUP(AC$3,[2]Margen!$I$43:$O$55,$AA$1,0)</f>
        <v>2.71</v>
      </c>
      <c r="AD45" s="248">
        <f>VLOOKUP(AD$3,[2]Margen!$I$43:$O$55,$AA$1,0)</f>
        <v>2.67</v>
      </c>
      <c r="AE45" s="248">
        <f>VLOOKUP(AE$3,[2]Margen!$I$43:$O$55,$AA$1,0)</f>
        <v>2.58</v>
      </c>
      <c r="AF45" s="248">
        <f>VLOOKUP(AF$3,[2]Margen!$I$43:$O$55,$AA$1,0)</f>
        <v>2.69</v>
      </c>
      <c r="AG45" s="248">
        <f>VLOOKUP(AG$3,[2]Margen!$I$43:$O$55,$AA$1,0)</f>
        <v>2.95</v>
      </c>
      <c r="AH45" s="248">
        <f>VLOOKUP(AH$3,[2]Margen!$I$43:$O$55,$AA$1,0)</f>
        <v>2.38</v>
      </c>
      <c r="AI45" s="248">
        <f>VLOOKUP(AI$3,[2]Margen!$I$43:$O$55,$AA$1,0)</f>
        <v>2.61</v>
      </c>
      <c r="AJ45" s="248">
        <f>VLOOKUP(AJ$3,[2]Margen!$I$43:$O$55,$AA$1,0)</f>
        <v>2.63</v>
      </c>
      <c r="AK45" s="30">
        <f>+AK36/AK41</f>
        <v>2.6388885572193801</v>
      </c>
      <c r="AL45" s="74">
        <f t="shared" si="25"/>
        <v>7.228385148961339E-7</v>
      </c>
      <c r="AM45" s="29">
        <f t="shared" si="7"/>
        <v>3.7010404594484347E-2</v>
      </c>
      <c r="AN45" s="9"/>
      <c r="AO45" s="276">
        <f>+AK45-V45</f>
        <v>9.4180668534985301E-2</v>
      </c>
    </row>
    <row r="46" spans="1:41" ht="14.45" customHeight="1" outlineLevel="1">
      <c r="A46" s="12" t="s">
        <v>157</v>
      </c>
      <c r="B46" s="8" t="s">
        <v>101</v>
      </c>
      <c r="I46" s="31" t="s">
        <v>155</v>
      </c>
      <c r="J46" s="30" t="s">
        <v>468</v>
      </c>
      <c r="K46" s="30" t="s">
        <v>468</v>
      </c>
      <c r="L46" s="30" t="s">
        <v>468</v>
      </c>
      <c r="M46" s="30" t="s">
        <v>468</v>
      </c>
      <c r="N46" s="30" t="s">
        <v>468</v>
      </c>
      <c r="O46" s="30" t="s">
        <v>468</v>
      </c>
      <c r="P46" s="30" t="s">
        <v>468</v>
      </c>
      <c r="Q46" s="30" t="s">
        <v>468</v>
      </c>
      <c r="R46" s="30" t="s">
        <v>468</v>
      </c>
      <c r="S46" s="30" t="s">
        <v>468</v>
      </c>
      <c r="T46" s="30">
        <v>0</v>
      </c>
      <c r="U46" s="30">
        <v>0</v>
      </c>
      <c r="V46" s="30">
        <v>0</v>
      </c>
      <c r="W46" s="74">
        <f t="shared" si="22"/>
        <v>0</v>
      </c>
      <c r="X46" s="90"/>
      <c r="Y46" s="248">
        <f>VLOOKUP(Y$3,[2]Margen!$I$43:$O$55,$AC$1,0)</f>
        <v>0</v>
      </c>
      <c r="Z46" s="248">
        <f>VLOOKUP(Z$3,[2]Margen!$I$43:$O$55,$AC$1,0)</f>
        <v>0</v>
      </c>
      <c r="AA46" s="248">
        <f>VLOOKUP(AA$3,[2]Margen!$I$43:$O$55,$AC$1,0)</f>
        <v>0</v>
      </c>
      <c r="AB46" s="248">
        <f>VLOOKUP(AB$3,[2]Margen!$I$43:$O$55,$AC$1,0)</f>
        <v>0</v>
      </c>
      <c r="AC46" s="248">
        <f>VLOOKUP(AC$3,[2]Margen!$I$43:$O$55,$AC$1,0)</f>
        <v>0</v>
      </c>
      <c r="AD46" s="248">
        <f>VLOOKUP(AD$3,[2]Margen!$I$43:$O$55,$AC$1,0)</f>
        <v>0</v>
      </c>
      <c r="AE46" s="248">
        <f>VLOOKUP(AE$3,[2]Margen!$I$43:$O$55,$AC$1,0)</f>
        <v>0</v>
      </c>
      <c r="AF46" s="248">
        <f>VLOOKUP(AF$3,[2]Margen!$I$43:$O$55,$AC$1,0)</f>
        <v>0</v>
      </c>
      <c r="AG46" s="248">
        <f>VLOOKUP(AG$3,[2]Margen!$I$43:$O$55,$AC$1,0)</f>
        <v>0</v>
      </c>
      <c r="AH46" s="248">
        <f>VLOOKUP(AH$3,[2]Margen!$I$43:$O$55,$AC$1,0)</f>
        <v>0</v>
      </c>
      <c r="AI46" s="248">
        <f>VLOOKUP(AI$3,[2]Margen!$I$43:$O$55,$AC$1,0)</f>
        <v>0</v>
      </c>
      <c r="AJ46" s="248">
        <f>VLOOKUP(AJ$3,[2]Margen!$I$43:$O$55,$AC$1,0)</f>
        <v>0</v>
      </c>
      <c r="AK46" s="30">
        <f>IFERROR(+AK38/AK42,0)</f>
        <v>0</v>
      </c>
      <c r="AL46" s="74">
        <f t="shared" si="25"/>
        <v>0</v>
      </c>
      <c r="AM46" s="29">
        <f t="shared" si="7"/>
        <v>0</v>
      </c>
      <c r="AN46" s="9"/>
      <c r="AO46" s="276">
        <f>+AK46-V46</f>
        <v>0</v>
      </c>
    </row>
    <row r="47" spans="1:41" ht="14.45" customHeight="1" outlineLevel="1">
      <c r="A47" s="12" t="s">
        <v>157</v>
      </c>
      <c r="B47" s="8" t="s">
        <v>101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 outlineLevel="1">
      <c r="A48" s="12" t="s">
        <v>157</v>
      </c>
      <c r="B48" s="8" t="s">
        <v>101</v>
      </c>
      <c r="I48" s="141" t="s">
        <v>159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 outlineLevel="1">
      <c r="A49" s="12" t="s">
        <v>157</v>
      </c>
      <c r="B49" s="8" t="s">
        <v>101</v>
      </c>
      <c r="C49" s="8" t="s">
        <v>160</v>
      </c>
      <c r="I49" s="141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 outlineLevel="1">
      <c r="A50" s="12" t="s">
        <v>157</v>
      </c>
      <c r="B50" s="8" t="s">
        <v>101</v>
      </c>
      <c r="I50" s="169" t="s">
        <v>161</v>
      </c>
      <c r="J50" s="15">
        <v>26733</v>
      </c>
      <c r="K50" s="15">
        <v>25210</v>
      </c>
      <c r="L50" s="15">
        <v>23943</v>
      </c>
      <c r="M50" s="15">
        <v>27420</v>
      </c>
      <c r="N50" s="15">
        <v>63924</v>
      </c>
      <c r="O50" s="15">
        <v>69565</v>
      </c>
      <c r="P50" s="15">
        <v>58925</v>
      </c>
      <c r="Q50" s="15">
        <v>50910</v>
      </c>
      <c r="R50" s="15">
        <v>72169</v>
      </c>
      <c r="S50" s="15">
        <v>76879</v>
      </c>
      <c r="T50" s="15">
        <f t="shared" ref="R50:U50" si="36">SUM(T51:T90)</f>
        <v>89852.777842424257</v>
      </c>
      <c r="U50" s="15">
        <f t="shared" si="36"/>
        <v>105955.65137777777</v>
      </c>
      <c r="V50" s="15">
        <f>SUM(V51:V90)</f>
        <v>691487.42922020203</v>
      </c>
      <c r="W50" s="72">
        <f t="shared" ref="W50:W160" si="37">V50/V$6</f>
        <v>9.8226388596652312E-3</v>
      </c>
      <c r="X50" s="89"/>
      <c r="Y50" s="15">
        <f>SUM(Y51:Y90)</f>
        <v>95393.717301656463</v>
      </c>
      <c r="Z50" s="15">
        <f>SUM(Z51:Z90)</f>
        <v>79396.309485741833</v>
      </c>
      <c r="AA50" s="15">
        <f>SUM(AA51:AA90)</f>
        <v>63589.911497810324</v>
      </c>
      <c r="AB50" s="15">
        <f>SUM(AB51:AB90)</f>
        <v>58732.021243684925</v>
      </c>
      <c r="AC50" s="15">
        <f>SUM(AC51:AC90)</f>
        <v>53513.834854041095</v>
      </c>
      <c r="AD50" s="15">
        <f>SUM(AD51:AD90)</f>
        <v>47314.90964768493</v>
      </c>
      <c r="AE50" s="15">
        <f>SUM(AE51:AE90)</f>
        <v>53492.967238041085</v>
      </c>
      <c r="AF50" s="15">
        <f>SUM(AF51:AF90)</f>
        <v>44601.582450041096</v>
      </c>
      <c r="AG50" s="15">
        <f>SUM(AG51:AG90)</f>
        <v>64435.505051684922</v>
      </c>
      <c r="AH50" s="15">
        <f>SUM(AH51:AH90)</f>
        <v>37935.579854041083</v>
      </c>
      <c r="AI50" s="15">
        <f>SUM(AI51:AI90)</f>
        <v>41352.775051684926</v>
      </c>
      <c r="AJ50" s="15">
        <f>SUM(AJ51:AJ90)</f>
        <v>63812.997046041084</v>
      </c>
      <c r="AK50" s="15">
        <f>SUM(AK51:AK90)</f>
        <v>703572.1107221538</v>
      </c>
      <c r="AL50" s="72">
        <f t="shared" ref="AL50:AL160" si="38">AK50/AK$6</f>
        <v>8.9375456945124197E-3</v>
      </c>
      <c r="AM50" s="10">
        <f t="shared" ref="AM50:AM142" si="39">IFERROR(AK50/V50-1,0)</f>
        <v>1.7476357474176751E-2</v>
      </c>
      <c r="AN50" s="9"/>
    </row>
    <row r="51" spans="1:40" ht="14.45" customHeight="1" outlineLevel="1">
      <c r="A51" s="12" t="s">
        <v>157</v>
      </c>
      <c r="B51" s="8" t="s">
        <v>101</v>
      </c>
      <c r="I51" s="228" t="s">
        <v>162</v>
      </c>
      <c r="J51" s="65">
        <v>17462</v>
      </c>
      <c r="K51" s="65">
        <v>16168</v>
      </c>
      <c r="L51" s="65">
        <v>14428</v>
      </c>
      <c r="M51" s="65">
        <v>14422</v>
      </c>
      <c r="N51" s="65">
        <v>14036</v>
      </c>
      <c r="O51" s="65">
        <v>15893</v>
      </c>
      <c r="P51" s="65">
        <v>14715</v>
      </c>
      <c r="Q51" s="65">
        <v>14591</v>
      </c>
      <c r="R51" s="65">
        <v>15423</v>
      </c>
      <c r="S51" s="65">
        <v>15512</v>
      </c>
      <c r="T51" s="65">
        <f t="shared" ref="S51:U51" si="40">+AVERAGE(Q51:S51)</f>
        <v>15175.333333333334</v>
      </c>
      <c r="U51" s="65">
        <f t="shared" si="40"/>
        <v>15370.111111111111</v>
      </c>
      <c r="V51" s="65">
        <f>SUM(J51:U51)</f>
        <v>183195.44444444447</v>
      </c>
      <c r="W51" s="73">
        <f t="shared" si="37"/>
        <v>2.6023071649226032E-3</v>
      </c>
      <c r="X51" s="89"/>
      <c r="Y51" s="65">
        <f>VLOOKUP($E$1,[3]Resumen!$C$8:$O$11,Y1,0)</f>
        <v>15922.477504999997</v>
      </c>
      <c r="Z51" s="65">
        <f>VLOOKUP($E$1,[3]Resumen!$C$8:$O$11,Z1,0)</f>
        <v>15922.477504999997</v>
      </c>
      <c r="AA51" s="65">
        <f>VLOOKUP($E$1,[3]Resumen!$C$8:$O$11,AA1,0)</f>
        <v>15922.477504999997</v>
      </c>
      <c r="AB51" s="65">
        <f>VLOOKUP($E$1,[3]Resumen!$C$8:$O$11,AB1,0)</f>
        <v>15922.477504999997</v>
      </c>
      <c r="AC51" s="65">
        <f>VLOOKUP($E$1,[3]Resumen!$C$8:$O$11,AC1,0)</f>
        <v>15922.477504999997</v>
      </c>
      <c r="AD51" s="65">
        <f>VLOOKUP($E$1,[3]Resumen!$C$8:$O$11,AD1,0)</f>
        <v>15922.477504999997</v>
      </c>
      <c r="AE51" s="65">
        <f>VLOOKUP($E$1,[3]Resumen!$C$8:$O$11,AE1,0)</f>
        <v>15922.477504999997</v>
      </c>
      <c r="AF51" s="65">
        <f>VLOOKUP($E$1,[3]Resumen!$C$8:$O$11,AF1,0)</f>
        <v>15922.477504999997</v>
      </c>
      <c r="AG51" s="65">
        <f>VLOOKUP($E$1,[3]Resumen!$C$8:$O$11,AG1,0)</f>
        <v>15922.477504999997</v>
      </c>
      <c r="AH51" s="65">
        <f>VLOOKUP($E$1,[3]Resumen!$C$8:$O$11,AH1,0)</f>
        <v>15922.477504999997</v>
      </c>
      <c r="AI51" s="65">
        <f>VLOOKUP($E$1,[3]Resumen!$C$8:$O$11,AI1,0)</f>
        <v>15922.477504999997</v>
      </c>
      <c r="AJ51" s="65">
        <f>VLOOKUP($E$1,[3]Resumen!$C$8:$O$11,AJ1,0)</f>
        <v>15922.477504999997</v>
      </c>
      <c r="AK51" s="65">
        <f>SUM(Y51:AJ51)</f>
        <v>191069.73005999994</v>
      </c>
      <c r="AL51" s="73">
        <f t="shared" si="38"/>
        <v>2.4271775660587329E-3</v>
      </c>
      <c r="AM51" s="14">
        <f t="shared" si="39"/>
        <v>4.2982977221048824E-2</v>
      </c>
      <c r="AN51" s="9"/>
    </row>
    <row r="52" spans="1:40" ht="14.45" customHeight="1" outlineLevel="1">
      <c r="A52" s="12" t="s">
        <v>157</v>
      </c>
      <c r="B52" s="8" t="s">
        <v>101</v>
      </c>
      <c r="I52" s="228" t="s">
        <v>158</v>
      </c>
      <c r="J52" s="65">
        <v>0</v>
      </c>
      <c r="K52" s="65">
        <v>0</v>
      </c>
      <c r="L52" s="65">
        <v>1840</v>
      </c>
      <c r="M52" s="65">
        <v>1840</v>
      </c>
      <c r="N52" s="65">
        <v>1840</v>
      </c>
      <c r="O52" s="65">
        <v>1840</v>
      </c>
      <c r="P52" s="65">
        <v>1840</v>
      </c>
      <c r="Q52" s="65">
        <v>1840</v>
      </c>
      <c r="R52" s="65">
        <v>1840</v>
      </c>
      <c r="S52" s="65">
        <v>1840</v>
      </c>
      <c r="T52" s="65">
        <f t="shared" ref="T52" si="41">+AVERAGE(Q52:S52)</f>
        <v>1840</v>
      </c>
      <c r="U52" s="65">
        <f t="shared" ref="U52" si="42">+AVERAGE(R52:T52)</f>
        <v>1840</v>
      </c>
      <c r="V52" s="65">
        <f t="shared" ref="V52:V86" si="43">SUM(J52:U52)</f>
        <v>18400</v>
      </c>
      <c r="W52" s="73">
        <f t="shared" si="37"/>
        <v>2.613735946315884E-4</v>
      </c>
      <c r="X52" s="89"/>
      <c r="Y52" s="65">
        <f>VLOOKUP($E$1,[4]Resumen!$C$9:$O$12,Y1,0)</f>
        <v>1840</v>
      </c>
      <c r="Z52" s="65">
        <f>VLOOKUP($E$1,[4]Resumen!$C$9:$O$12,Z1,0)</f>
        <v>1840</v>
      </c>
      <c r="AA52" s="65">
        <f>VLOOKUP($E$1,[4]Resumen!$C$9:$O$12,AA1,0)</f>
        <v>1840</v>
      </c>
      <c r="AB52" s="65">
        <f>VLOOKUP($E$1,[4]Resumen!$C$9:$O$12,AB1,0)</f>
        <v>1840</v>
      </c>
      <c r="AC52" s="65">
        <f>VLOOKUP($E$1,[4]Resumen!$C$9:$O$12,AC1,0)</f>
        <v>1840</v>
      </c>
      <c r="AD52" s="65">
        <f>VLOOKUP($E$1,[4]Resumen!$C$9:$O$12,AD1,0)</f>
        <v>1840</v>
      </c>
      <c r="AE52" s="65">
        <f>VLOOKUP($E$1,[4]Resumen!$C$9:$O$12,AE1,0)</f>
        <v>1840</v>
      </c>
      <c r="AF52" s="65">
        <f>VLOOKUP($E$1,[4]Resumen!$C$9:$O$12,AF1,0)</f>
        <v>1840</v>
      </c>
      <c r="AG52" s="65">
        <f>VLOOKUP($E$1,[4]Resumen!$C$9:$O$12,AG1,0)</f>
        <v>1840</v>
      </c>
      <c r="AH52" s="65">
        <f>VLOOKUP($E$1,[4]Resumen!$C$9:$O$12,AH1,0)</f>
        <v>1840</v>
      </c>
      <c r="AI52" s="65">
        <f>VLOOKUP($E$1,[4]Resumen!$C$9:$O$12,AI1,0)</f>
        <v>1840</v>
      </c>
      <c r="AJ52" s="65">
        <f>VLOOKUP($E$1,[4]Resumen!$C$9:$O$12,AJ1,0)</f>
        <v>1840</v>
      </c>
      <c r="AK52" s="65">
        <f t="shared" ref="AK52:AK90" si="44">SUM(Y52:AJ52)</f>
        <v>22080</v>
      </c>
      <c r="AL52" s="73">
        <f t="shared" si="38"/>
        <v>2.8048441080514311E-4</v>
      </c>
      <c r="AM52" s="14">
        <f t="shared" si="39"/>
        <v>0.19999999999999996</v>
      </c>
      <c r="AN52" s="9"/>
    </row>
    <row r="53" spans="1:40" ht="14.45" customHeight="1" outlineLevel="1">
      <c r="A53" s="12" t="s">
        <v>157</v>
      </c>
      <c r="B53" s="8" t="s">
        <v>101</v>
      </c>
      <c r="I53" s="228" t="s">
        <v>163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43"/>
        <v>0</v>
      </c>
      <c r="W53" s="73">
        <f t="shared" si="37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44"/>
        <v>0</v>
      </c>
      <c r="AL53" s="73">
        <f t="shared" si="38"/>
        <v>0</v>
      </c>
      <c r="AM53" s="14">
        <f t="shared" si="39"/>
        <v>0</v>
      </c>
      <c r="AN53" s="9"/>
    </row>
    <row r="54" spans="1:40" ht="14.45" customHeight="1" outlineLevel="1">
      <c r="A54" s="12" t="s">
        <v>157</v>
      </c>
      <c r="B54" s="8" t="s">
        <v>101</v>
      </c>
      <c r="I54" s="228" t="s">
        <v>164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47</v>
      </c>
      <c r="S54" s="65">
        <v>1806</v>
      </c>
      <c r="T54" s="65">
        <f t="shared" ref="T54" si="45">+AVERAGE(Q54:S54)</f>
        <v>617.66666666666663</v>
      </c>
      <c r="U54" s="65">
        <f t="shared" ref="U54" si="46">+AVERAGE(R54:T54)</f>
        <v>823.55555555555554</v>
      </c>
      <c r="V54" s="65">
        <f t="shared" si="43"/>
        <v>3294.2222222222222</v>
      </c>
      <c r="W54" s="73">
        <f t="shared" si="37"/>
        <v>4.6794712159645728E-5</v>
      </c>
      <c r="X54" s="89"/>
      <c r="Y54" s="65">
        <f>VLOOKUP($E$1,[5]Resumen!$C$9:$O$12,Y1,0)</f>
        <v>0</v>
      </c>
      <c r="Z54" s="65">
        <f>VLOOKUP($E$1,[5]Resumen!$C$9:$O$12,Z1,0)</f>
        <v>0</v>
      </c>
      <c r="AA54" s="65">
        <f>VLOOKUP($E$1,[5]Resumen!$C$9:$O$12,AA1,0)</f>
        <v>0</v>
      </c>
      <c r="AB54" s="65">
        <f>VLOOKUP($E$1,[5]Resumen!$C$9:$O$12,AB1,0)</f>
        <v>0</v>
      </c>
      <c r="AC54" s="65">
        <f>VLOOKUP($E$1,[5]Resumen!$C$9:$O$12,AC1,0)</f>
        <v>0</v>
      </c>
      <c r="AD54" s="65">
        <f>VLOOKUP($E$1,[5]Resumen!$C$9:$O$12,AD1,0)</f>
        <v>0</v>
      </c>
      <c r="AE54" s="65">
        <f>VLOOKUP($E$1,[5]Resumen!$C$9:$O$12,AE1,0)</f>
        <v>0</v>
      </c>
      <c r="AF54" s="65">
        <f>VLOOKUP($E$1,[5]Resumen!$C$9:$O$12,AF1,0)</f>
        <v>0</v>
      </c>
      <c r="AG54" s="65">
        <f>VLOOKUP($E$1,[5]Resumen!$C$9:$O$12,AG1,0)</f>
        <v>0</v>
      </c>
      <c r="AH54" s="65">
        <f>VLOOKUP($E$1,[5]Resumen!$C$9:$O$12,AH1,0)</f>
        <v>0</v>
      </c>
      <c r="AI54" s="65">
        <f>VLOOKUP($E$1,[5]Resumen!$C$9:$O$12,AI1,0)</f>
        <v>0</v>
      </c>
      <c r="AJ54" s="65">
        <f>VLOOKUP($E$1,[5]Resumen!$C$9:$O$12,AJ1,0)</f>
        <v>1242.1199999999999</v>
      </c>
      <c r="AK54" s="65">
        <f t="shared" si="44"/>
        <v>1242.1199999999999</v>
      </c>
      <c r="AL54" s="73">
        <f t="shared" si="38"/>
        <v>1.5778772479587153E-5</v>
      </c>
      <c r="AM54" s="14">
        <f t="shared" si="39"/>
        <v>-0.62293982730706965</v>
      </c>
      <c r="AN54" s="9"/>
    </row>
    <row r="55" spans="1:40" ht="14.45" customHeight="1" outlineLevel="1">
      <c r="A55" s="12" t="s">
        <v>157</v>
      </c>
      <c r="B55" s="8" t="s">
        <v>101</v>
      </c>
      <c r="I55" s="228" t="s">
        <v>165</v>
      </c>
      <c r="J55" s="65">
        <v>0</v>
      </c>
      <c r="K55" s="65">
        <v>0</v>
      </c>
      <c r="L55" s="65">
        <v>170</v>
      </c>
      <c r="M55" s="65">
        <v>0</v>
      </c>
      <c r="N55" s="65">
        <v>0</v>
      </c>
      <c r="O55" s="65">
        <v>0</v>
      </c>
      <c r="P55" s="65">
        <v>0</v>
      </c>
      <c r="Q55" s="65">
        <v>20945</v>
      </c>
      <c r="R55" s="65">
        <v>0</v>
      </c>
      <c r="S55" s="65">
        <v>0</v>
      </c>
      <c r="T55" s="65">
        <v>0</v>
      </c>
      <c r="U55" s="65">
        <v>0</v>
      </c>
      <c r="V55" s="65">
        <f t="shared" si="43"/>
        <v>21115</v>
      </c>
      <c r="W55" s="73">
        <f t="shared" si="37"/>
        <v>2.9994040492641245E-4</v>
      </c>
      <c r="X55" s="89"/>
      <c r="Y55" s="65">
        <f>VLOOKUP($E$1,[6]Resumen!$V$107:$AH$110,Y1,0)</f>
        <v>11892.263899999998</v>
      </c>
      <c r="Z55" s="65">
        <f>VLOOKUP($E$1,[6]Resumen!$V$107:$AH$110,Z1,0)</f>
        <v>0</v>
      </c>
      <c r="AA55" s="65">
        <f>VLOOKUP($E$1,[6]Resumen!$V$107:$AH$110,AA1,0)</f>
        <v>0</v>
      </c>
      <c r="AB55" s="65">
        <f>VLOOKUP($E$1,[6]Resumen!$V$107:$AH$110,AB1,0)</f>
        <v>0</v>
      </c>
      <c r="AC55" s="65">
        <f>VLOOKUP($E$1,[6]Resumen!$V$107:$AH$110,AC1,0)</f>
        <v>0</v>
      </c>
      <c r="AD55" s="65">
        <f>VLOOKUP($E$1,[6]Resumen!$V$107:$AH$110,AD1,0)</f>
        <v>0</v>
      </c>
      <c r="AE55" s="65">
        <f>VLOOKUP($E$1,[6]Resumen!$V$107:$AH$110,AE1,0)</f>
        <v>0</v>
      </c>
      <c r="AF55" s="65">
        <f>VLOOKUP($E$1,[6]Resumen!$V$107:$AH$110,AF1,0)</f>
        <v>0</v>
      </c>
      <c r="AG55" s="65">
        <f>VLOOKUP($E$1,[6]Resumen!$V$107:$AH$110,AG1,0)</f>
        <v>0</v>
      </c>
      <c r="AH55" s="65">
        <f>VLOOKUP($E$1,[6]Resumen!$V$107:$AH$110,AH1,0)</f>
        <v>0</v>
      </c>
      <c r="AI55" s="65">
        <f>VLOOKUP($E$1,[6]Resumen!$V$107:$AH$110,AI1,0)</f>
        <v>0</v>
      </c>
      <c r="AJ55" s="65">
        <f>VLOOKUP($E$1,[6]Resumen!$V$107:$AH$110,AJ1,0)</f>
        <v>0</v>
      </c>
      <c r="AK55" s="65">
        <f t="shared" si="44"/>
        <v>11892.263899999998</v>
      </c>
      <c r="AL55" s="73">
        <f t="shared" si="38"/>
        <v>1.5106859751498063E-4</v>
      </c>
      <c r="AM55" s="14">
        <f t="shared" si="39"/>
        <v>-0.43678598626568799</v>
      </c>
      <c r="AN55" s="9"/>
    </row>
    <row r="56" spans="1:40" ht="14.45" customHeight="1" outlineLevel="1">
      <c r="A56" s="12" t="s">
        <v>157</v>
      </c>
      <c r="B56" s="8" t="s">
        <v>101</v>
      </c>
      <c r="I56" s="228" t="s">
        <v>166</v>
      </c>
      <c r="J56" s="65">
        <v>5364</v>
      </c>
      <c r="K56" s="65">
        <v>1275</v>
      </c>
      <c r="L56" s="65">
        <v>0</v>
      </c>
      <c r="M56" s="65">
        <v>2162</v>
      </c>
      <c r="N56" s="65">
        <v>1936</v>
      </c>
      <c r="O56" s="65">
        <v>1282</v>
      </c>
      <c r="P56" s="65">
        <v>1174</v>
      </c>
      <c r="Q56" s="65">
        <v>1706</v>
      </c>
      <c r="R56" s="65">
        <v>1590</v>
      </c>
      <c r="S56" s="65">
        <v>1451</v>
      </c>
      <c r="T56" s="65">
        <f t="shared" ref="T56" si="47">+AVERAGE(Q56:S56)</f>
        <v>1582.3333333333333</v>
      </c>
      <c r="U56" s="65">
        <f t="shared" ref="U56" si="48">+AVERAGE(R56:T56)</f>
        <v>1541.1111111111111</v>
      </c>
      <c r="V56" s="65">
        <f t="shared" si="43"/>
        <v>21063.444444444442</v>
      </c>
      <c r="W56" s="73">
        <f t="shared" si="37"/>
        <v>2.992080537916959E-4</v>
      </c>
      <c r="X56" s="89"/>
      <c r="Y56" s="65">
        <f>VLOOKUP($E$1,[7]Resumen!$V$181:$AH$184,Y1,0)</f>
        <v>1500.895</v>
      </c>
      <c r="Z56" s="65">
        <f>VLOOKUP($E$1,[7]Resumen!$V$181:$AH$184,Z1,0)</f>
        <v>1500.895</v>
      </c>
      <c r="AA56" s="65">
        <f>VLOOKUP($E$1,[7]Resumen!$V$181:$AH$184,AA1,0)</f>
        <v>1500.895</v>
      </c>
      <c r="AB56" s="65">
        <f>VLOOKUP($E$1,[7]Resumen!$V$181:$AH$184,AB1,0)</f>
        <v>1500.895</v>
      </c>
      <c r="AC56" s="65">
        <f>VLOOKUP($E$1,[7]Resumen!$V$181:$AH$184,AC1,0)</f>
        <v>1500.895</v>
      </c>
      <c r="AD56" s="65">
        <f>VLOOKUP($E$1,[7]Resumen!$V$181:$AH$184,AD1,0)</f>
        <v>1500.895</v>
      </c>
      <c r="AE56" s="65">
        <f>VLOOKUP($E$1,[7]Resumen!$V$181:$AH$184,AE1,0)</f>
        <v>1500.895</v>
      </c>
      <c r="AF56" s="65">
        <f>VLOOKUP($E$1,[7]Resumen!$V$181:$AH$184,AF1,0)</f>
        <v>1500.895</v>
      </c>
      <c r="AG56" s="65">
        <f>VLOOKUP($E$1,[7]Resumen!$V$181:$AH$184,AG1,0)</f>
        <v>1500.895</v>
      </c>
      <c r="AH56" s="65">
        <f>VLOOKUP($E$1,[7]Resumen!$V$181:$AH$184,AH1,0)</f>
        <v>1500.895</v>
      </c>
      <c r="AI56" s="65">
        <f>VLOOKUP($E$1,[7]Resumen!$V$181:$AH$184,AI1,0)</f>
        <v>1500.895</v>
      </c>
      <c r="AJ56" s="65">
        <f>VLOOKUP($E$1,[7]Resumen!$V$181:$AH$184,AJ1,0)</f>
        <v>1500.895</v>
      </c>
      <c r="AK56" s="65">
        <f t="shared" si="44"/>
        <v>18010.740000000002</v>
      </c>
      <c r="AL56" s="73">
        <f t="shared" si="38"/>
        <v>2.2879220095401375E-4</v>
      </c>
      <c r="AM56" s="14">
        <f t="shared" si="39"/>
        <v>-0.14492902395408558</v>
      </c>
      <c r="AN56" s="9"/>
    </row>
    <row r="57" spans="1:40" ht="14.45" customHeight="1" outlineLevel="1">
      <c r="A57" s="12" t="s">
        <v>157</v>
      </c>
      <c r="B57" s="8" t="s">
        <v>101</v>
      </c>
      <c r="I57" s="228" t="s">
        <v>167</v>
      </c>
      <c r="J57" s="65">
        <v>0</v>
      </c>
      <c r="K57" s="65">
        <v>2400</v>
      </c>
      <c r="L57" s="65">
        <v>3606</v>
      </c>
      <c r="M57" s="65">
        <v>2613</v>
      </c>
      <c r="N57" s="65">
        <v>12381</v>
      </c>
      <c r="O57" s="65">
        <v>6438</v>
      </c>
      <c r="P57" s="65">
        <v>0</v>
      </c>
      <c r="Q57" s="65">
        <v>-33896</v>
      </c>
      <c r="R57" s="65">
        <v>878</v>
      </c>
      <c r="S57" s="65">
        <v>0</v>
      </c>
      <c r="T57" s="65">
        <v>20000</v>
      </c>
      <c r="U57" s="65">
        <v>20000</v>
      </c>
      <c r="V57" s="65">
        <f t="shared" si="43"/>
        <v>34420</v>
      </c>
      <c r="W57" s="73">
        <f t="shared" si="37"/>
        <v>4.8893908300104742E-4</v>
      </c>
      <c r="X57" s="89"/>
      <c r="Y57" s="65">
        <f>+[8]Resumen!W10</f>
        <v>0</v>
      </c>
      <c r="Z57" s="65">
        <f>+[8]Resumen!X10</f>
        <v>310.52999999999997</v>
      </c>
      <c r="AA57" s="65">
        <f>+[8]Resumen!Y10</f>
        <v>16768.62</v>
      </c>
      <c r="AB57" s="65">
        <f>+[8]Resumen!Z10</f>
        <v>12938.749999999998</v>
      </c>
      <c r="AC57" s="65">
        <f>+[8]Resumen!AA10</f>
        <v>12938.749999999998</v>
      </c>
      <c r="AD57" s="65">
        <f>+[8]Resumen!AB10</f>
        <v>0</v>
      </c>
      <c r="AE57" s="65">
        <f>+[8]Resumen!AC10</f>
        <v>0</v>
      </c>
      <c r="AF57" s="65">
        <f>+[8]Resumen!AD10</f>
        <v>310.52999999999997</v>
      </c>
      <c r="AG57" s="65">
        <f>+[8]Resumen!AE10</f>
        <v>0</v>
      </c>
      <c r="AH57" s="65">
        <f>+[8]Resumen!AF10</f>
        <v>0</v>
      </c>
      <c r="AI57" s="65">
        <f>+[8]Resumen!AG10</f>
        <v>0</v>
      </c>
      <c r="AJ57" s="65">
        <f>+[8]Resumen!AH10</f>
        <v>0</v>
      </c>
      <c r="AK57" s="65">
        <f t="shared" si="44"/>
        <v>43267.179999999993</v>
      </c>
      <c r="AL57" s="73">
        <f t="shared" si="38"/>
        <v>5.4962724137228578E-4</v>
      </c>
      <c r="AM57" s="14">
        <f t="shared" si="39"/>
        <v>0.25703602556653093</v>
      </c>
      <c r="AN57" s="9"/>
    </row>
    <row r="58" spans="1:40" ht="14.45" customHeight="1" outlineLevel="1">
      <c r="A58" s="12" t="s">
        <v>157</v>
      </c>
      <c r="B58" s="8" t="s">
        <v>101</v>
      </c>
      <c r="I58" s="228" t="s">
        <v>168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8509.0909090909099</v>
      </c>
      <c r="U58" s="65">
        <v>0</v>
      </c>
      <c r="V58" s="65">
        <f t="shared" si="43"/>
        <v>8509.0909090909099</v>
      </c>
      <c r="W58" s="73">
        <f t="shared" si="37"/>
        <v>1.2087237380195986E-4</v>
      </c>
      <c r="X58" s="89"/>
      <c r="Y58" s="65">
        <f>VLOOKUP($E$1,[9]Resumen!$V$8:$AH$11,Y1,0)</f>
        <v>559.84975961538464</v>
      </c>
      <c r="Z58" s="65">
        <f>VLOOKUP($E$1,[9]Resumen!$V$8:$AH$11,Z1,0)</f>
        <v>1791.5192307692307</v>
      </c>
      <c r="AA58" s="65">
        <f>VLOOKUP($E$1,[9]Resumen!$V$8:$AH$11,AA1,0)</f>
        <v>335.90985576923072</v>
      </c>
      <c r="AB58" s="65">
        <f>VLOOKUP($E$1,[9]Resumen!$V$8:$AH$11,AB1,0)</f>
        <v>0</v>
      </c>
      <c r="AC58" s="65">
        <f>VLOOKUP($E$1,[9]Resumen!$V$8:$AH$11,AC1,0)</f>
        <v>0</v>
      </c>
      <c r="AD58" s="65">
        <f>VLOOKUP($E$1,[9]Resumen!$V$8:$AH$11,AD1,0)</f>
        <v>0</v>
      </c>
      <c r="AE58" s="65">
        <f>VLOOKUP($E$1,[9]Resumen!$V$8:$AH$11,AE1,0)</f>
        <v>0</v>
      </c>
      <c r="AF58" s="65">
        <f>VLOOKUP($E$1,[9]Resumen!$V$8:$AH$11,AF1,0)</f>
        <v>0</v>
      </c>
      <c r="AG58" s="65">
        <f>VLOOKUP($E$1,[9]Resumen!$V$8:$AH$11,AG1,0)</f>
        <v>0</v>
      </c>
      <c r="AH58" s="65">
        <f>VLOOKUP($E$1,[9]Resumen!$V$8:$AH$11,AH1,0)</f>
        <v>0</v>
      </c>
      <c r="AI58" s="65">
        <f>VLOOKUP($E$1,[9]Resumen!$V$8:$AH$11,AI1,0)</f>
        <v>0</v>
      </c>
      <c r="AJ58" s="65">
        <f>VLOOKUP($E$1,[9]Resumen!$V$8:$AH$11,AJ1,0)</f>
        <v>0</v>
      </c>
      <c r="AK58" s="65">
        <f t="shared" si="44"/>
        <v>2687.2788461538457</v>
      </c>
      <c r="AL58" s="73">
        <f t="shared" si="38"/>
        <v>3.41367673837222E-5</v>
      </c>
      <c r="AM58" s="14">
        <f t="shared" si="39"/>
        <v>-0.68418731508875741</v>
      </c>
      <c r="AN58" s="9"/>
    </row>
    <row r="59" spans="1:40" ht="14.45" customHeight="1" outlineLevel="1">
      <c r="A59" s="12" t="s">
        <v>157</v>
      </c>
      <c r="B59" s="8" t="s">
        <v>101</v>
      </c>
      <c r="I59" s="228" t="s">
        <v>169</v>
      </c>
      <c r="J59" s="65"/>
      <c r="K59" s="65"/>
      <c r="L59" s="65"/>
      <c r="M59" s="65"/>
      <c r="N59" s="65"/>
      <c r="O59" s="65"/>
      <c r="P59" s="65"/>
      <c r="Q59" s="65"/>
      <c r="R59" s="65"/>
      <c r="S59" s="65">
        <v>0</v>
      </c>
      <c r="T59" s="65"/>
      <c r="U59" s="65"/>
      <c r="V59" s="65">
        <f t="shared" si="43"/>
        <v>0</v>
      </c>
      <c r="W59" s="73">
        <f t="shared" si="37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44"/>
        <v>0</v>
      </c>
      <c r="AL59" s="73">
        <f t="shared" si="38"/>
        <v>0</v>
      </c>
      <c r="AM59" s="14">
        <f t="shared" si="39"/>
        <v>0</v>
      </c>
      <c r="AN59" s="9"/>
    </row>
    <row r="60" spans="1:40" ht="14.45" customHeight="1" outlineLevel="1">
      <c r="A60" s="12" t="s">
        <v>157</v>
      </c>
      <c r="B60" s="8" t="s">
        <v>101</v>
      </c>
      <c r="I60" s="228" t="s">
        <v>170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/>
      <c r="U60" s="65"/>
      <c r="V60" s="65">
        <f t="shared" si="43"/>
        <v>0</v>
      </c>
      <c r="W60" s="73">
        <f t="shared" si="37"/>
        <v>0</v>
      </c>
      <c r="X60" s="89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>
        <f t="shared" si="44"/>
        <v>0</v>
      </c>
      <c r="AL60" s="73">
        <f t="shared" si="38"/>
        <v>0</v>
      </c>
      <c r="AM60" s="14">
        <f t="shared" si="39"/>
        <v>0</v>
      </c>
      <c r="AN60" s="9"/>
    </row>
    <row r="61" spans="1:40" ht="14.45" customHeight="1" outlineLevel="1">
      <c r="A61" s="12" t="s">
        <v>157</v>
      </c>
      <c r="B61" s="8" t="s">
        <v>101</v>
      </c>
      <c r="I61" s="228" t="s">
        <v>171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/>
      <c r="U61" s="65"/>
      <c r="V61" s="65">
        <f t="shared" si="43"/>
        <v>0</v>
      </c>
      <c r="W61" s="73">
        <f t="shared" si="37"/>
        <v>0</v>
      </c>
      <c r="X61" s="89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>
        <f t="shared" si="44"/>
        <v>0</v>
      </c>
      <c r="AL61" s="73">
        <f t="shared" si="38"/>
        <v>0</v>
      </c>
      <c r="AM61" s="14">
        <f t="shared" si="39"/>
        <v>0</v>
      </c>
      <c r="AN61" s="9"/>
    </row>
    <row r="62" spans="1:40" ht="14.45" customHeight="1" outlineLevel="1">
      <c r="A62" s="12" t="s">
        <v>157</v>
      </c>
      <c r="B62" s="8" t="s">
        <v>101</v>
      </c>
      <c r="I62" s="228" t="s">
        <v>172</v>
      </c>
      <c r="J62" s="65">
        <v>0</v>
      </c>
      <c r="K62" s="65">
        <v>-1</v>
      </c>
      <c r="L62" s="65">
        <v>0</v>
      </c>
      <c r="M62" s="65">
        <v>0</v>
      </c>
      <c r="N62" s="65">
        <v>0</v>
      </c>
      <c r="O62" s="65">
        <v>1056</v>
      </c>
      <c r="P62" s="65">
        <v>0</v>
      </c>
      <c r="Q62" s="65">
        <v>0</v>
      </c>
      <c r="R62" s="65">
        <v>0</v>
      </c>
      <c r="S62" s="65">
        <v>0</v>
      </c>
      <c r="T62" s="65"/>
      <c r="U62" s="65"/>
      <c r="V62" s="65">
        <f t="shared" si="43"/>
        <v>1055</v>
      </c>
      <c r="W62" s="73">
        <f t="shared" si="37"/>
        <v>1.4986366431322053E-5</v>
      </c>
      <c r="X62" s="89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>
        <f t="shared" si="44"/>
        <v>0</v>
      </c>
      <c r="AL62" s="73">
        <f t="shared" si="38"/>
        <v>0</v>
      </c>
      <c r="AM62" s="14">
        <f t="shared" si="39"/>
        <v>-1</v>
      </c>
      <c r="AN62" s="9"/>
    </row>
    <row r="63" spans="1:40" ht="14.45" customHeight="1" outlineLevel="1">
      <c r="A63" s="12" t="s">
        <v>157</v>
      </c>
      <c r="B63" s="8" t="s">
        <v>101</v>
      </c>
      <c r="I63" s="228" t="s">
        <v>173</v>
      </c>
      <c r="J63" s="65">
        <v>1962</v>
      </c>
      <c r="K63" s="65">
        <v>1742</v>
      </c>
      <c r="L63" s="65">
        <v>1236</v>
      </c>
      <c r="M63" s="65">
        <v>1320</v>
      </c>
      <c r="N63" s="65">
        <v>1320</v>
      </c>
      <c r="O63" s="65">
        <v>1020</v>
      </c>
      <c r="P63" s="65">
        <v>1339</v>
      </c>
      <c r="Q63" s="65">
        <v>3151</v>
      </c>
      <c r="R63" s="65">
        <v>1192</v>
      </c>
      <c r="S63" s="65">
        <v>1190</v>
      </c>
      <c r="T63" s="65">
        <f t="shared" ref="T63" si="49">+AVERAGE(Q63:S63)</f>
        <v>1844.3333333333333</v>
      </c>
      <c r="U63" s="65">
        <f t="shared" ref="U63" si="50">+AVERAGE(R63:T63)</f>
        <v>1408.7777777777776</v>
      </c>
      <c r="V63" s="65">
        <f t="shared" si="43"/>
        <v>18725.111111111109</v>
      </c>
      <c r="W63" s="73">
        <f t="shared" si="37"/>
        <v>2.6599182614059819E-4</v>
      </c>
      <c r="X63" s="89"/>
      <c r="Y63" s="65">
        <f>VLOOKUP($E$1,[7]Detalle!$C$168:$O$171,Y1,0)</f>
        <v>810</v>
      </c>
      <c r="Z63" s="65">
        <f>VLOOKUP($E$1,[7]Detalle!$C$168:$O$171,Z1,0)</f>
        <v>810</v>
      </c>
      <c r="AA63" s="65">
        <f>VLOOKUP($E$1,[7]Detalle!$C$168:$O$171,AA1,0)</f>
        <v>810</v>
      </c>
      <c r="AB63" s="65">
        <f>VLOOKUP($E$1,[7]Detalle!$C$168:$O$171,AB1,0)</f>
        <v>810</v>
      </c>
      <c r="AC63" s="65">
        <f>VLOOKUP($E$1,[7]Detalle!$C$168:$O$171,AC1,0)</f>
        <v>810</v>
      </c>
      <c r="AD63" s="65">
        <f>VLOOKUP($E$1,[7]Detalle!$C$168:$O$171,AD1,0)</f>
        <v>810</v>
      </c>
      <c r="AE63" s="65">
        <f>VLOOKUP($E$1,[7]Detalle!$C$168:$O$171,AE1,0)</f>
        <v>810</v>
      </c>
      <c r="AF63" s="65">
        <f>VLOOKUP($E$1,[7]Detalle!$C$168:$O$171,AF1,0)</f>
        <v>810</v>
      </c>
      <c r="AG63" s="65">
        <f>VLOOKUP($E$1,[7]Detalle!$C$168:$O$171,AG1,0)</f>
        <v>810</v>
      </c>
      <c r="AH63" s="65">
        <f>VLOOKUP($E$1,[7]Detalle!$C$168:$O$171,AH1,0)</f>
        <v>810</v>
      </c>
      <c r="AI63" s="65">
        <f>VLOOKUP($E$1,[7]Detalle!$C$168:$O$171,AI1,0)</f>
        <v>810</v>
      </c>
      <c r="AJ63" s="65">
        <f>VLOOKUP($E$1,[7]Detalle!$C$168:$O$171,AJ1,0)</f>
        <v>810</v>
      </c>
      <c r="AK63" s="65">
        <f t="shared" si="44"/>
        <v>9720</v>
      </c>
      <c r="AL63" s="73">
        <f t="shared" si="38"/>
        <v>1.2347411562617713E-4</v>
      </c>
      <c r="AM63" s="14">
        <f t="shared" si="39"/>
        <v>-0.48091095735969525</v>
      </c>
      <c r="AN63" s="9"/>
    </row>
    <row r="64" spans="1:40" ht="14.45" customHeight="1" outlineLevel="1">
      <c r="A64" s="12" t="s">
        <v>157</v>
      </c>
      <c r="B64" s="8" t="s">
        <v>101</v>
      </c>
      <c r="I64" s="228" t="s">
        <v>174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/>
      <c r="U64" s="65"/>
      <c r="V64" s="65">
        <f t="shared" si="43"/>
        <v>0</v>
      </c>
      <c r="W64" s="73">
        <f t="shared" si="37"/>
        <v>0</v>
      </c>
      <c r="X64" s="89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>
        <f t="shared" si="44"/>
        <v>0</v>
      </c>
      <c r="AL64" s="73">
        <f t="shared" si="38"/>
        <v>0</v>
      </c>
      <c r="AM64" s="14">
        <f t="shared" si="39"/>
        <v>0</v>
      </c>
      <c r="AN64" s="9"/>
    </row>
    <row r="65" spans="1:40" ht="14.45" customHeight="1" outlineLevel="1">
      <c r="A65" s="12" t="s">
        <v>157</v>
      </c>
      <c r="B65" s="8" t="s">
        <v>101</v>
      </c>
      <c r="I65" s="228" t="s">
        <v>175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f t="shared" si="43"/>
        <v>0</v>
      </c>
      <c r="W65" s="73">
        <f t="shared" si="37"/>
        <v>0</v>
      </c>
      <c r="X65" s="89"/>
      <c r="Y65" s="65">
        <f>VLOOKUP($E$1,[6]Resumen!$V$26:$AH$29,Y1,0)</f>
        <v>35400.42</v>
      </c>
      <c r="Z65" s="65">
        <f>VLOOKUP($E$1,[6]Resumen!$V$26:$AH$29,Z1,0)</f>
        <v>38298.699999999997</v>
      </c>
      <c r="AA65" s="65">
        <f>VLOOKUP($E$1,[6]Resumen!$V$26:$AH$29,AA1,0)</f>
        <v>0</v>
      </c>
      <c r="AB65" s="65">
        <f>VLOOKUP($E$1,[6]Resumen!$V$26:$AH$29,AB1,0)</f>
        <v>0</v>
      </c>
      <c r="AC65" s="65">
        <f>VLOOKUP($E$1,[6]Resumen!$V$26:$AH$29,AC1,0)</f>
        <v>0</v>
      </c>
      <c r="AD65" s="65">
        <f>VLOOKUP($E$1,[6]Resumen!$V$26:$AH$29,AD1,0)</f>
        <v>0</v>
      </c>
      <c r="AE65" s="65">
        <f>VLOOKUP($E$1,[6]Resumen!$V$26:$AH$29,AE1,0)</f>
        <v>0</v>
      </c>
      <c r="AF65" s="65">
        <f>VLOOKUP($E$1,[6]Resumen!$V$26:$AH$29,AF1,0)</f>
        <v>0</v>
      </c>
      <c r="AG65" s="65">
        <f>VLOOKUP($E$1,[6]Resumen!$V$26:$AH$29,AG1,0)</f>
        <v>0</v>
      </c>
      <c r="AH65" s="65">
        <f>VLOOKUP($E$1,[6]Resumen!$V$26:$AH$29,AH1,0)</f>
        <v>0</v>
      </c>
      <c r="AI65" s="65">
        <f>VLOOKUP($E$1,[6]Resumen!$V$26:$AH$29,AI1,0)</f>
        <v>0</v>
      </c>
      <c r="AJ65" s="65">
        <f>VLOOKUP($E$1,[6]Resumen!$V$26:$AH$29,AJ1,0)</f>
        <v>0</v>
      </c>
      <c r="AK65" s="65">
        <f t="shared" si="44"/>
        <v>73699.12</v>
      </c>
      <c r="AL65" s="73">
        <f t="shared" si="38"/>
        <v>9.3620716712217102E-4</v>
      </c>
      <c r="AM65" s="14">
        <f t="shared" si="39"/>
        <v>0</v>
      </c>
      <c r="AN65" s="9"/>
    </row>
    <row r="66" spans="1:40" ht="14.45" customHeight="1" outlineLevel="1">
      <c r="A66" s="12"/>
      <c r="I66" s="228" t="s">
        <v>176</v>
      </c>
      <c r="J66" s="65">
        <v>0</v>
      </c>
      <c r="K66" s="65">
        <v>0</v>
      </c>
      <c r="L66" s="65">
        <v>0</v>
      </c>
      <c r="M66" s="65">
        <v>1790</v>
      </c>
      <c r="N66" s="65">
        <v>27317</v>
      </c>
      <c r="O66" s="65">
        <v>27317</v>
      </c>
      <c r="P66" s="65">
        <v>27317</v>
      </c>
      <c r="Q66" s="65">
        <v>27317</v>
      </c>
      <c r="R66" s="65">
        <v>27317</v>
      </c>
      <c r="S66" s="65">
        <v>27317</v>
      </c>
      <c r="T66" s="65">
        <f t="shared" ref="T66" si="51">+AVERAGE(Q66:S66)</f>
        <v>27317</v>
      </c>
      <c r="U66" s="65">
        <f t="shared" ref="U66" si="52">+AVERAGE(R66:T66)</f>
        <v>27317</v>
      </c>
      <c r="V66" s="65">
        <f t="shared" si="43"/>
        <v>220326</v>
      </c>
      <c r="W66" s="73">
        <f t="shared" si="37"/>
        <v>3.1297499244999642E-3</v>
      </c>
      <c r="X66" s="89"/>
      <c r="Y66" s="65">
        <f>VLOOKUP($E$1,[10]Resumen!$V$8:$AH$11,Y1,0)</f>
        <v>5834.8586999999998</v>
      </c>
      <c r="Z66" s="65">
        <f>VLOOKUP($E$1,[10]Resumen!$V$8:$AH$11,Z1,0)</f>
        <v>5834.8586999999998</v>
      </c>
      <c r="AA66" s="65">
        <f>VLOOKUP($E$1,[10]Resumen!$V$8:$AH$11,AA1,0)</f>
        <v>5834.8586999999998</v>
      </c>
      <c r="AB66" s="65">
        <f>VLOOKUP($E$1,[10]Resumen!$V$8:$AH$11,AB1,0)</f>
        <v>5834.8586999999998</v>
      </c>
      <c r="AC66" s="65">
        <f>VLOOKUP($E$1,[10]Resumen!$V$8:$AH$11,AC1,0)</f>
        <v>7687.6876999999995</v>
      </c>
      <c r="AD66" s="65">
        <f>VLOOKUP($E$1,[10]Resumen!$V$8:$AH$11,AD1,0)</f>
        <v>7687.6876999999995</v>
      </c>
      <c r="AE66" s="65">
        <f>VLOOKUP($E$1,[10]Resumen!$V$8:$AH$11,AE1,0)</f>
        <v>7687.6876999999995</v>
      </c>
      <c r="AF66" s="65">
        <f>VLOOKUP($E$1,[10]Resumen!$V$8:$AH$11,AF1,0)</f>
        <v>7687.6876999999995</v>
      </c>
      <c r="AG66" s="65">
        <f>VLOOKUP($E$1,[10]Resumen!$V$8:$AH$11,AG1,0)</f>
        <v>7687.6876999999995</v>
      </c>
      <c r="AH66" s="65">
        <f>VLOOKUP($E$1,[10]Resumen!$V$8:$AH$11,AH1,0)</f>
        <v>7687.6876999999995</v>
      </c>
      <c r="AI66" s="65">
        <f>VLOOKUP($E$1,[10]Resumen!$V$8:$AH$11,AI1,0)</f>
        <v>7687.6876999999995</v>
      </c>
      <c r="AJ66" s="65">
        <f>VLOOKUP($E$1,[10]Resumen!$V$8:$AH$11,AJ1,0)</f>
        <v>7687.6876999999995</v>
      </c>
      <c r="AK66" s="65">
        <f t="shared" si="44"/>
        <v>84840.936399999991</v>
      </c>
      <c r="AL66" s="73">
        <f t="shared" si="38"/>
        <v>1.0777427562640677E-3</v>
      </c>
      <c r="AM66" s="14">
        <f t="shared" si="39"/>
        <v>-0.61492998375135033</v>
      </c>
      <c r="AN66" s="9"/>
    </row>
    <row r="67" spans="1:40" ht="14.45" customHeight="1" outlineLevel="1">
      <c r="A67" s="12"/>
      <c r="I67" s="228" t="s">
        <v>177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/>
      <c r="U67" s="65"/>
      <c r="V67" s="65">
        <f t="shared" si="43"/>
        <v>0</v>
      </c>
      <c r="W67" s="73">
        <f t="shared" si="37"/>
        <v>0</v>
      </c>
      <c r="X67" s="89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>
        <f t="shared" si="44"/>
        <v>0</v>
      </c>
      <c r="AL67" s="73">
        <f t="shared" si="38"/>
        <v>0</v>
      </c>
      <c r="AM67" s="14">
        <f t="shared" si="39"/>
        <v>0</v>
      </c>
      <c r="AN67" s="9"/>
    </row>
    <row r="68" spans="1:40" ht="14.45" customHeight="1" outlineLevel="1">
      <c r="A68" s="12"/>
      <c r="I68" s="228" t="s">
        <v>178</v>
      </c>
      <c r="J68" s="65">
        <v>0</v>
      </c>
      <c r="K68" s="65">
        <v>0</v>
      </c>
      <c r="L68" s="65">
        <v>0</v>
      </c>
      <c r="M68" s="65">
        <v>592</v>
      </c>
      <c r="N68" s="65">
        <v>1272</v>
      </c>
      <c r="O68" s="65">
        <v>1517</v>
      </c>
      <c r="P68" s="65">
        <v>0</v>
      </c>
      <c r="Q68" s="65">
        <v>1940</v>
      </c>
      <c r="R68" s="65">
        <v>0</v>
      </c>
      <c r="S68" s="65">
        <v>0</v>
      </c>
      <c r="T68" s="65"/>
      <c r="U68" s="65"/>
      <c r="V68" s="65">
        <f t="shared" si="43"/>
        <v>5321</v>
      </c>
      <c r="W68" s="73">
        <f t="shared" si="37"/>
        <v>7.5585266143189236E-5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44"/>
        <v>0</v>
      </c>
      <c r="AL68" s="73">
        <f t="shared" si="38"/>
        <v>0</v>
      </c>
      <c r="AM68" s="14">
        <f t="shared" si="39"/>
        <v>-1</v>
      </c>
      <c r="AN68" s="9"/>
    </row>
    <row r="69" spans="1:40" ht="14.45" customHeight="1" outlineLevel="1">
      <c r="A69" s="12"/>
      <c r="I69" s="228" t="s">
        <v>179</v>
      </c>
      <c r="J69" s="65">
        <v>0</v>
      </c>
      <c r="K69" s="65">
        <v>0</v>
      </c>
      <c r="L69" s="65">
        <v>0</v>
      </c>
      <c r="M69" s="65">
        <v>0</v>
      </c>
      <c r="N69" s="65">
        <v>977</v>
      </c>
      <c r="O69" s="65">
        <v>2442</v>
      </c>
      <c r="P69" s="65">
        <v>1953</v>
      </c>
      <c r="Q69" s="65">
        <v>1953</v>
      </c>
      <c r="R69" s="65">
        <v>2442</v>
      </c>
      <c r="S69" s="65">
        <v>1953</v>
      </c>
      <c r="T69" s="65">
        <f t="shared" ref="T69" si="53">+AVERAGE(Q69:S69)</f>
        <v>2116</v>
      </c>
      <c r="U69" s="65">
        <f t="shared" ref="U69" si="54">+AVERAGE(R69:T69)</f>
        <v>2170.3333333333335</v>
      </c>
      <c r="V69" s="65">
        <f t="shared" si="43"/>
        <v>16006.333333333334</v>
      </c>
      <c r="W69" s="73">
        <f t="shared" si="37"/>
        <v>2.2737135218504065E-4</v>
      </c>
      <c r="X69" s="89"/>
      <c r="Y69" s="65">
        <f>VLOOKUP($E$1,[6]Resumen!$V$35:$AH$38,Y1,0)</f>
        <v>2021.5502999999999</v>
      </c>
      <c r="Z69" s="65">
        <f>VLOOKUP($E$1,[6]Resumen!$V$35:$AH$38,Z1,0)</f>
        <v>2021.5502999999999</v>
      </c>
      <c r="AA69" s="65">
        <f>VLOOKUP($E$1,[6]Resumen!$V$35:$AH$38,AA1,0)</f>
        <v>2021.5502999999999</v>
      </c>
      <c r="AB69" s="65">
        <f>VLOOKUP($E$1,[6]Resumen!$V$35:$AH$38,AB1,0)</f>
        <v>2021.5502999999999</v>
      </c>
      <c r="AC69" s="65">
        <f>VLOOKUP($E$1,[6]Resumen!$V$35:$AH$38,AC1,0)</f>
        <v>2021.5502999999999</v>
      </c>
      <c r="AD69" s="65">
        <f>VLOOKUP($E$1,[6]Resumen!$V$35:$AH$38,AD1,0)</f>
        <v>2021.5502999999999</v>
      </c>
      <c r="AE69" s="65">
        <f>VLOOKUP($E$1,[6]Resumen!$V$35:$AH$38,AE1,0)</f>
        <v>2021.5502999999999</v>
      </c>
      <c r="AF69" s="65">
        <f>VLOOKUP($E$1,[6]Resumen!$V$35:$AH$38,AF1,0)</f>
        <v>2021.5502999999999</v>
      </c>
      <c r="AG69" s="65">
        <f>VLOOKUP($E$1,[6]Resumen!$V$35:$AH$38,AG1,0)</f>
        <v>2021.5502999999999</v>
      </c>
      <c r="AH69" s="65">
        <f>VLOOKUP($E$1,[6]Resumen!$V$35:$AH$38,AH1,0)</f>
        <v>2021.5502999999999</v>
      </c>
      <c r="AI69" s="65">
        <f>VLOOKUP($E$1,[6]Resumen!$V$35:$AH$38,AI1,0)</f>
        <v>2021.5502999999999</v>
      </c>
      <c r="AJ69" s="65">
        <f>VLOOKUP($E$1,[6]Resumen!$V$35:$AH$38,AJ1,0)</f>
        <v>2021.5502999999999</v>
      </c>
      <c r="AK69" s="65">
        <f t="shared" si="44"/>
        <v>24258.603599999991</v>
      </c>
      <c r="AL69" s="73">
        <f t="shared" si="38"/>
        <v>3.08159426526337E-4</v>
      </c>
      <c r="AM69" s="14">
        <f t="shared" si="39"/>
        <v>0.51556281471917309</v>
      </c>
      <c r="AN69" s="9"/>
    </row>
    <row r="70" spans="1:40" ht="14.45" customHeight="1" outlineLevel="1">
      <c r="A70" s="12"/>
      <c r="I70" s="228" t="s">
        <v>180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/>
      <c r="U70" s="65"/>
      <c r="V70" s="65">
        <f t="shared" si="43"/>
        <v>0</v>
      </c>
      <c r="W70" s="73">
        <f t="shared" si="37"/>
        <v>0</v>
      </c>
      <c r="X70" s="89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>
        <f t="shared" si="44"/>
        <v>0</v>
      </c>
      <c r="AL70" s="73">
        <f t="shared" si="38"/>
        <v>0</v>
      </c>
      <c r="AM70" s="14">
        <f t="shared" si="39"/>
        <v>0</v>
      </c>
      <c r="AN70" s="9"/>
    </row>
    <row r="71" spans="1:40" ht="14.45" customHeight="1" outlineLevel="1">
      <c r="A71" s="12"/>
      <c r="I71" s="228" t="s">
        <v>181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f t="shared" ref="T71" si="55">+AVERAGE(Q71:S71)</f>
        <v>0</v>
      </c>
      <c r="U71" s="65">
        <f t="shared" ref="U71" si="56">+AVERAGE(R71:T71)</f>
        <v>0</v>
      </c>
      <c r="V71" s="65">
        <f t="shared" si="43"/>
        <v>0</v>
      </c>
      <c r="W71" s="73">
        <f t="shared" si="37"/>
        <v>0</v>
      </c>
      <c r="X71" s="89"/>
      <c r="Y71" s="65">
        <f>VLOOKUP($E$1,[6]Resumen!$V$98:$AH$101,Y1,0)</f>
        <v>598.15734904109581</v>
      </c>
      <c r="Z71" s="65">
        <f>VLOOKUP($E$1,[6]Resumen!$V$98:$AH$101,Z1,0)</f>
        <v>540.27115397260275</v>
      </c>
      <c r="AA71" s="65">
        <f>VLOOKUP($E$1,[6]Resumen!$V$98:$AH$101,AA1,0)</f>
        <v>598.15734904109581</v>
      </c>
      <c r="AB71" s="65">
        <f>VLOOKUP($E$1,[6]Resumen!$V$98:$AH$101,AB1,0)</f>
        <v>578.86195068493146</v>
      </c>
      <c r="AC71" s="65">
        <f>VLOOKUP($E$1,[6]Resumen!$V$98:$AH$101,AC1,0)</f>
        <v>598.15734904109581</v>
      </c>
      <c r="AD71" s="65">
        <f>VLOOKUP($E$1,[6]Resumen!$V$98:$AH$101,AD1,0)</f>
        <v>578.86195068493146</v>
      </c>
      <c r="AE71" s="65">
        <f>VLOOKUP($E$1,[6]Resumen!$V$98:$AH$101,AE1,0)</f>
        <v>598.15734904109581</v>
      </c>
      <c r="AF71" s="65">
        <f>VLOOKUP($E$1,[6]Resumen!$V$98:$AH$101,AF1,0)</f>
        <v>598.15734904109581</v>
      </c>
      <c r="AG71" s="65">
        <f>VLOOKUP($E$1,[6]Resumen!$V$98:$AH$101,AG1,0)</f>
        <v>578.86195068493146</v>
      </c>
      <c r="AH71" s="65">
        <f>VLOOKUP($E$1,[6]Resumen!$V$98:$AH$101,AH1,0)</f>
        <v>598.15734904109581</v>
      </c>
      <c r="AI71" s="65">
        <f>VLOOKUP($E$1,[6]Resumen!$V$98:$AH$101,AI1,0)</f>
        <v>578.86195068493146</v>
      </c>
      <c r="AJ71" s="65">
        <f>VLOOKUP($E$1,[6]Resumen!$V$98:$AH$101,AJ1,0)</f>
        <v>598.15734904109581</v>
      </c>
      <c r="AK71" s="65">
        <f t="shared" si="44"/>
        <v>7042.8203999999996</v>
      </c>
      <c r="AL71" s="73">
        <f t="shared" si="38"/>
        <v>8.9465639959259154E-5</v>
      </c>
      <c r="AM71" s="14">
        <f t="shared" si="39"/>
        <v>0</v>
      </c>
      <c r="AN71" s="9"/>
    </row>
    <row r="72" spans="1:40" ht="14.45" customHeight="1" outlineLevel="1">
      <c r="A72" s="12" t="s">
        <v>157</v>
      </c>
      <c r="B72" s="8" t="s">
        <v>101</v>
      </c>
      <c r="I72" s="228" t="s">
        <v>182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/>
      <c r="U72" s="65"/>
      <c r="V72" s="65">
        <f t="shared" si="43"/>
        <v>0</v>
      </c>
      <c r="W72" s="73">
        <f t="shared" si="37"/>
        <v>0</v>
      </c>
      <c r="X72" s="89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>
        <f t="shared" si="44"/>
        <v>0</v>
      </c>
      <c r="AL72" s="73">
        <f t="shared" si="38"/>
        <v>0</v>
      </c>
      <c r="AM72" s="14">
        <f t="shared" si="39"/>
        <v>0</v>
      </c>
      <c r="AN72" s="9"/>
    </row>
    <row r="73" spans="1:40" ht="14.45" customHeight="1" outlineLevel="1">
      <c r="A73" s="12" t="s">
        <v>157</v>
      </c>
      <c r="B73" s="8" t="s">
        <v>101</v>
      </c>
      <c r="I73" s="228" t="s">
        <v>183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43"/>
        <v>0</v>
      </c>
      <c r="W73" s="73">
        <f t="shared" si="37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44"/>
        <v>0</v>
      </c>
      <c r="AL73" s="73">
        <f t="shared" si="38"/>
        <v>0</v>
      </c>
      <c r="AM73" s="14">
        <f t="shared" si="39"/>
        <v>0</v>
      </c>
      <c r="AN73" s="9"/>
    </row>
    <row r="74" spans="1:40" ht="14.45" customHeight="1" outlineLevel="1">
      <c r="A74" s="12"/>
      <c r="I74" s="228" t="s">
        <v>184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/>
      <c r="U74" s="65"/>
      <c r="V74" s="65">
        <f t="shared" si="43"/>
        <v>0</v>
      </c>
      <c r="W74" s="73">
        <f t="shared" si="37"/>
        <v>0</v>
      </c>
      <c r="X74" s="89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>
        <f t="shared" si="44"/>
        <v>0</v>
      </c>
      <c r="AL74" s="73">
        <f t="shared" si="38"/>
        <v>0</v>
      </c>
      <c r="AM74" s="14">
        <f t="shared" si="39"/>
        <v>0</v>
      </c>
      <c r="AN74" s="9"/>
    </row>
    <row r="75" spans="1:40" ht="14.45" customHeight="1" outlineLevel="1">
      <c r="A75" s="12" t="s">
        <v>157</v>
      </c>
      <c r="B75" s="8" t="s">
        <v>101</v>
      </c>
      <c r="I75" s="228" t="s">
        <v>185</v>
      </c>
      <c r="J75" s="65">
        <v>0</v>
      </c>
      <c r="K75" s="65">
        <v>1682</v>
      </c>
      <c r="L75" s="65">
        <v>718</v>
      </c>
      <c r="M75" s="65">
        <v>738</v>
      </c>
      <c r="N75" s="65">
        <v>718</v>
      </c>
      <c r="O75" s="65">
        <v>718</v>
      </c>
      <c r="P75" s="65">
        <v>728</v>
      </c>
      <c r="Q75" s="65">
        <v>766</v>
      </c>
      <c r="R75" s="65">
        <v>770</v>
      </c>
      <c r="S75" s="65">
        <v>768</v>
      </c>
      <c r="T75" s="65">
        <f t="shared" ref="T75:T76" si="57">+AVERAGE(Q75:S75)</f>
        <v>768</v>
      </c>
      <c r="U75" s="65">
        <f t="shared" ref="U75:U76" si="58">+AVERAGE(R75:T75)</f>
        <v>768.66666666666663</v>
      </c>
      <c r="V75" s="65">
        <f t="shared" si="43"/>
        <v>9142.6666666666661</v>
      </c>
      <c r="W75" s="73">
        <f t="shared" si="37"/>
        <v>1.2987237234701461E-4</v>
      </c>
      <c r="X75" s="89"/>
      <c r="Y75" s="65">
        <f>VLOOKUP($E$1,[11]Resumen!$V$10:$AH$13,Y1,0)</f>
        <v>1035.0999999999999</v>
      </c>
      <c r="Z75" s="65">
        <f>VLOOKUP($E$1,[11]Resumen!$V$10:$AH$13,Z1,0)</f>
        <v>1035.0999999999999</v>
      </c>
      <c r="AA75" s="65">
        <f>VLOOKUP($E$1,[11]Resumen!$V$10:$AH$13,AA1,0)</f>
        <v>1035.0999999999999</v>
      </c>
      <c r="AB75" s="65">
        <f>VLOOKUP($E$1,[11]Resumen!$V$10:$AH$13,AB1,0)</f>
        <v>1035.0999999999999</v>
      </c>
      <c r="AC75" s="65">
        <f>VLOOKUP($E$1,[11]Resumen!$V$10:$AH$13,AC1,0)</f>
        <v>1035.0999999999999</v>
      </c>
      <c r="AD75" s="65">
        <f>VLOOKUP($E$1,[11]Resumen!$V$10:$AH$13,AD1,0)</f>
        <v>1035.0999999999999</v>
      </c>
      <c r="AE75" s="65">
        <f>VLOOKUP($E$1,[11]Resumen!$V$10:$AH$13,AE1,0)</f>
        <v>1035.0999999999999</v>
      </c>
      <c r="AF75" s="65">
        <f>VLOOKUP($E$1,[11]Resumen!$V$10:$AH$13,AF1,0)</f>
        <v>1035.0999999999999</v>
      </c>
      <c r="AG75" s="65">
        <f>VLOOKUP($E$1,[11]Resumen!$V$10:$AH$13,AG1,0)</f>
        <v>1035.0999999999999</v>
      </c>
      <c r="AH75" s="65">
        <f>VLOOKUP($E$1,[11]Resumen!$V$10:$AH$13,AH1,0)</f>
        <v>1035.0999999999999</v>
      </c>
      <c r="AI75" s="65">
        <f>VLOOKUP($E$1,[11]Resumen!$V$10:$AH$13,AI1,0)</f>
        <v>1035.0999999999999</v>
      </c>
      <c r="AJ75" s="65">
        <f>VLOOKUP($E$1,[11]Resumen!$V$10:$AH$13,AJ1,0)</f>
        <v>1035.0999999999999</v>
      </c>
      <c r="AK75" s="65">
        <f t="shared" si="44"/>
        <v>12421.200000000003</v>
      </c>
      <c r="AL75" s="73">
        <f t="shared" si="38"/>
        <v>1.5778772479587157E-4</v>
      </c>
      <c r="AM75" s="14">
        <f t="shared" si="39"/>
        <v>0.3585970541052943</v>
      </c>
      <c r="AN75" s="9"/>
    </row>
    <row r="76" spans="1:40" ht="14.45" customHeight="1" outlineLevel="1">
      <c r="A76" s="12"/>
      <c r="I76" s="228" t="s">
        <v>186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7733</v>
      </c>
      <c r="P76" s="65">
        <v>7733</v>
      </c>
      <c r="Q76" s="65">
        <v>2585</v>
      </c>
      <c r="R76" s="65">
        <v>0</v>
      </c>
      <c r="S76" s="65">
        <v>0</v>
      </c>
      <c r="T76" s="65">
        <f t="shared" si="57"/>
        <v>861.66666666666663</v>
      </c>
      <c r="U76" s="65">
        <f t="shared" si="58"/>
        <v>287.22222222222223</v>
      </c>
      <c r="V76" s="65">
        <f t="shared" si="43"/>
        <v>19199.888888888891</v>
      </c>
      <c r="W76" s="73">
        <f t="shared" si="37"/>
        <v>2.7273608562043385E-4</v>
      </c>
      <c r="X76" s="89"/>
      <c r="Y76" s="65">
        <f>VLOOKUP($E$1,[21]Resumen!$V$8:$AH$11,Y1,0)</f>
        <v>1248</v>
      </c>
      <c r="Z76" s="65">
        <f>VLOOKUP($E$1,[21]Resumen!$V$8:$AH$11,Z1,0)</f>
        <v>1248</v>
      </c>
      <c r="AA76" s="65">
        <f>VLOOKUP($E$1,[21]Resumen!$V$8:$AH$11,AA1,0)</f>
        <v>1248</v>
      </c>
      <c r="AB76" s="65">
        <f>VLOOKUP($E$1,[21]Resumen!$V$8:$AH$11,AB1,0)</f>
        <v>1248</v>
      </c>
      <c r="AC76" s="65">
        <f>VLOOKUP($E$1,[21]Resumen!$V$8:$AH$11,AC1,0)</f>
        <v>1248</v>
      </c>
      <c r="AD76" s="65">
        <f>VLOOKUP($E$1,[21]Resumen!$V$8:$AH$11,AD1,0)</f>
        <v>1248</v>
      </c>
      <c r="AE76" s="65">
        <f>VLOOKUP($E$1,[21]Resumen!$V$8:$AH$11,AE1,0)</f>
        <v>1248</v>
      </c>
      <c r="AF76" s="65">
        <f>VLOOKUP($E$1,[21]Resumen!$V$8:$AH$11,AF1,0)</f>
        <v>1248</v>
      </c>
      <c r="AG76" s="65">
        <f>VLOOKUP($E$1,[21]Resumen!$V$8:$AH$11,AG1,0)</f>
        <v>1248</v>
      </c>
      <c r="AH76" s="65">
        <f>VLOOKUP($E$1,[21]Resumen!$V$8:$AH$11,AH1,0)</f>
        <v>1248</v>
      </c>
      <c r="AI76" s="65">
        <f>VLOOKUP($E$1,[21]Resumen!$V$8:$AH$11,AI1,0)</f>
        <v>1248</v>
      </c>
      <c r="AJ76" s="65">
        <f>VLOOKUP($E$1,[21]Resumen!$V$8:$AH$11,AJ1,0)</f>
        <v>1248</v>
      </c>
      <c r="AK76" s="65">
        <f t="shared" si="44"/>
        <v>14976</v>
      </c>
      <c r="AL76" s="73">
        <f t="shared" si="38"/>
        <v>1.90241600372184E-4</v>
      </c>
      <c r="AM76" s="14">
        <f t="shared" si="39"/>
        <v>-0.21999548608498898</v>
      </c>
      <c r="AN76" s="9"/>
    </row>
    <row r="77" spans="1:40" ht="14.45" customHeight="1" outlineLevel="1">
      <c r="A77" s="12"/>
      <c r="I77" s="228" t="s">
        <v>187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/>
      <c r="U77" s="65"/>
      <c r="V77" s="65">
        <f t="shared" si="43"/>
        <v>0</v>
      </c>
      <c r="W77" s="73">
        <f t="shared" si="37"/>
        <v>0</v>
      </c>
      <c r="X77" s="89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>
        <f t="shared" si="44"/>
        <v>0</v>
      </c>
      <c r="AL77" s="73">
        <f t="shared" si="38"/>
        <v>0</v>
      </c>
      <c r="AM77" s="14">
        <f t="shared" si="39"/>
        <v>0</v>
      </c>
      <c r="AN77" s="9"/>
    </row>
    <row r="78" spans="1:40" ht="14.45" customHeight="1" outlineLevel="1">
      <c r="A78" s="12"/>
      <c r="I78" s="228" t="s">
        <v>188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1822</v>
      </c>
      <c r="R78" s="65">
        <v>16184</v>
      </c>
      <c r="S78" s="65">
        <v>1316</v>
      </c>
      <c r="T78" s="65">
        <v>4308.0336000000007</v>
      </c>
      <c r="U78" s="65">
        <v>4308.0336000000007</v>
      </c>
      <c r="V78" s="65">
        <f t="shared" si="43"/>
        <v>27938.067200000005</v>
      </c>
      <c r="W78" s="73">
        <f t="shared" si="37"/>
        <v>3.968626658218955E-4</v>
      </c>
      <c r="X78" s="89"/>
      <c r="Y78" s="65">
        <f>VLOOKUP($E$1,[12]Resumen!$V$8:$AH$11,Y1,0)</f>
        <v>11147.902787999999</v>
      </c>
      <c r="Z78" s="65">
        <f>VLOOKUP($E$1,[12]Resumen!$V$8:$AH$11,Z1,0)</f>
        <v>3715.9675959999995</v>
      </c>
      <c r="AA78" s="65">
        <f>VLOOKUP($E$1,[12]Resumen!$V$8:$AH$11,AA1,0)</f>
        <v>11147.902787999999</v>
      </c>
      <c r="AB78" s="65">
        <f>VLOOKUP($E$1,[12]Resumen!$V$8:$AH$11,AB1,0)</f>
        <v>10475.087788000001</v>
      </c>
      <c r="AC78" s="65">
        <f>VLOOKUP($E$1,[12]Resumen!$V$8:$AH$11,AC1,0)</f>
        <v>0</v>
      </c>
      <c r="AD78" s="65">
        <f>VLOOKUP($E$1,[12]Resumen!$V$8:$AH$11,AD1,0)</f>
        <v>6759.1201919999994</v>
      </c>
      <c r="AE78" s="65">
        <f>VLOOKUP($E$1,[12]Resumen!$V$8:$AH$11,AE1,0)</f>
        <v>14191.055383999999</v>
      </c>
      <c r="AF78" s="65">
        <f>VLOOKUP($E$1,[12]Resumen!$V$8:$AH$11,AF1,0)</f>
        <v>3715.9675959999995</v>
      </c>
      <c r="AG78" s="65">
        <f>VLOOKUP($E$1,[12]Resumen!$V$8:$AH$11,AG1,0)</f>
        <v>3043.1525959999999</v>
      </c>
      <c r="AH78" s="65">
        <f>VLOOKUP($E$1,[12]Resumen!$V$8:$AH$11,AH1,0)</f>
        <v>0</v>
      </c>
      <c r="AI78" s="65">
        <f>VLOOKUP($E$1,[12]Resumen!$V$8:$AH$11,AI1,0)</f>
        <v>3715.9675959999995</v>
      </c>
      <c r="AJ78" s="65">
        <f>VLOOKUP($E$1,[12]Resumen!$V$8:$AH$11,AJ1,0)</f>
        <v>7431.935191999999</v>
      </c>
      <c r="AK78" s="65">
        <f t="shared" si="44"/>
        <v>75344.059516000008</v>
      </c>
      <c r="AL78" s="73">
        <f t="shared" si="38"/>
        <v>9.5710299551688847E-4</v>
      </c>
      <c r="AM78" s="14">
        <f t="shared" si="39"/>
        <v>1.6968243356505348</v>
      </c>
      <c r="AN78" s="9"/>
    </row>
    <row r="79" spans="1:40" ht="14.45" customHeight="1" outlineLevel="1">
      <c r="A79" s="12"/>
      <c r="I79" s="228" t="s">
        <v>189</v>
      </c>
      <c r="J79" s="65">
        <v>0</v>
      </c>
      <c r="K79" s="65">
        <v>0</v>
      </c>
      <c r="L79" s="65">
        <v>0</v>
      </c>
      <c r="M79" s="65">
        <v>0</v>
      </c>
      <c r="N79" s="65">
        <v>183</v>
      </c>
      <c r="O79" s="65">
        <v>365</v>
      </c>
      <c r="P79" s="65">
        <v>183</v>
      </c>
      <c r="Q79" s="65">
        <v>0</v>
      </c>
      <c r="R79" s="65">
        <v>0</v>
      </c>
      <c r="S79" s="65">
        <v>0</v>
      </c>
      <c r="T79" s="65">
        <v>0</v>
      </c>
      <c r="U79" s="65">
        <v>260</v>
      </c>
      <c r="V79" s="65">
        <f t="shared" si="43"/>
        <v>991</v>
      </c>
      <c r="W79" s="73">
        <f t="shared" si="37"/>
        <v>1.4077240884777397E-5</v>
      </c>
      <c r="X79" s="89"/>
      <c r="Y79" s="65">
        <f>VLOOKUP($E$1,[13]Resumen!$V$8:$AH$11,Y1,0)</f>
        <v>1055.8019999999999</v>
      </c>
      <c r="Z79" s="65">
        <f>VLOOKUP($E$1,[13]Resumen!$V$8:$AH$11,Z1,0)</f>
        <v>0</v>
      </c>
      <c r="AA79" s="65">
        <f>VLOOKUP($E$1,[13]Resumen!$V$8:$AH$11,AA1,0)</f>
        <v>0</v>
      </c>
      <c r="AB79" s="65">
        <f>VLOOKUP($E$1,[13]Resumen!$V$8:$AH$11,AB1,0)</f>
        <v>0</v>
      </c>
      <c r="AC79" s="65">
        <f>VLOOKUP($E$1,[13]Resumen!$V$8:$AH$11,AC1,0)</f>
        <v>1055.8019999999999</v>
      </c>
      <c r="AD79" s="65">
        <f>VLOOKUP($E$1,[13]Resumen!$V$8:$AH$11,AD1,0)</f>
        <v>1055.8019999999999</v>
      </c>
      <c r="AE79" s="65">
        <f>VLOOKUP($E$1,[13]Resumen!$V$8:$AH$11,AE1,0)</f>
        <v>2111.6039999999998</v>
      </c>
      <c r="AF79" s="65">
        <f>VLOOKUP($E$1,[13]Resumen!$V$8:$AH$11,AF1,0)</f>
        <v>1055.8019999999999</v>
      </c>
      <c r="AG79" s="65">
        <f>VLOOKUP($E$1,[13]Resumen!$V$8:$AH$11,AG1,0)</f>
        <v>0</v>
      </c>
      <c r="AH79" s="65">
        <f>VLOOKUP($E$1,[13]Resumen!$V$8:$AH$11,AH1,0)</f>
        <v>0</v>
      </c>
      <c r="AI79" s="65">
        <f>VLOOKUP($E$1,[13]Resumen!$V$8:$AH$11,AI1,0)</f>
        <v>0</v>
      </c>
      <c r="AJ79" s="65">
        <f>VLOOKUP($E$1,[13]Resumen!$V$8:$AH$11,AJ1,0)</f>
        <v>2111.6039999999998</v>
      </c>
      <c r="AK79" s="65">
        <f t="shared" si="44"/>
        <v>8446.4159999999993</v>
      </c>
      <c r="AL79" s="73">
        <f t="shared" si="38"/>
        <v>1.0729565286119263E-4</v>
      </c>
      <c r="AM79" s="14">
        <f t="shared" si="39"/>
        <v>7.5231241170534808</v>
      </c>
      <c r="AN79" s="9"/>
    </row>
    <row r="80" spans="1:40" ht="14.45" customHeight="1" outlineLevel="1">
      <c r="A80" s="12"/>
      <c r="I80" s="228" t="s">
        <v>190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/>
      <c r="U80" s="65"/>
      <c r="V80" s="65">
        <f t="shared" si="43"/>
        <v>0</v>
      </c>
      <c r="W80" s="73">
        <f t="shared" si="37"/>
        <v>0</v>
      </c>
      <c r="X80" s="89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>
        <f t="shared" si="44"/>
        <v>0</v>
      </c>
      <c r="AL80" s="73">
        <f t="shared" si="38"/>
        <v>0</v>
      </c>
      <c r="AM80" s="14">
        <f t="shared" si="39"/>
        <v>0</v>
      </c>
      <c r="AN80" s="9"/>
    </row>
    <row r="81" spans="1:40" ht="14.45" customHeight="1" outlineLevel="1">
      <c r="A81" s="12"/>
      <c r="I81" s="228" t="s">
        <v>192</v>
      </c>
      <c r="J81" s="65">
        <v>895</v>
      </c>
      <c r="K81" s="65">
        <v>895</v>
      </c>
      <c r="L81" s="65">
        <v>895</v>
      </c>
      <c r="M81" s="65">
        <v>895</v>
      </c>
      <c r="N81" s="65">
        <v>895</v>
      </c>
      <c r="O81" s="65">
        <v>895</v>
      </c>
      <c r="P81" s="65">
        <v>895</v>
      </c>
      <c r="Q81" s="65">
        <v>3437</v>
      </c>
      <c r="R81" s="65">
        <v>3437</v>
      </c>
      <c r="S81" s="65">
        <v>3437</v>
      </c>
      <c r="T81" s="65">
        <v>4526.4399999999996</v>
      </c>
      <c r="U81" s="65">
        <v>4526.4399999999996</v>
      </c>
      <c r="V81" s="65">
        <f t="shared" si="43"/>
        <v>25628.879999999997</v>
      </c>
      <c r="W81" s="73">
        <f t="shared" si="37"/>
        <v>3.6406046152074039E-4</v>
      </c>
      <c r="X81" s="89"/>
      <c r="Y81" s="65">
        <v>4526.4399999999996</v>
      </c>
      <c r="Z81" s="65">
        <v>4526.4399999999996</v>
      </c>
      <c r="AA81" s="65">
        <v>4526.4399999999996</v>
      </c>
      <c r="AB81" s="65">
        <v>4526.4399999999996</v>
      </c>
      <c r="AC81" s="65">
        <v>4526.4399999999996</v>
      </c>
      <c r="AD81" s="65">
        <v>4526.4399999999996</v>
      </c>
      <c r="AE81" s="65">
        <v>4526.4399999999996</v>
      </c>
      <c r="AF81" s="65">
        <v>4526.4399999999996</v>
      </c>
      <c r="AG81" s="65">
        <v>4526.4399999999996</v>
      </c>
      <c r="AH81" s="65">
        <v>4526.4399999999996</v>
      </c>
      <c r="AI81" s="65">
        <v>4526.4399999999996</v>
      </c>
      <c r="AJ81" s="65">
        <v>4526.4399999999996</v>
      </c>
      <c r="AK81" s="65">
        <f t="shared" si="44"/>
        <v>54317.280000000006</v>
      </c>
      <c r="AL81" s="73">
        <f t="shared" si="38"/>
        <v>6.8999774806784348E-4</v>
      </c>
      <c r="AM81" s="14">
        <f t="shared" si="39"/>
        <v>1.1193778268890413</v>
      </c>
      <c r="AN81" s="9"/>
    </row>
    <row r="82" spans="1:40" ht="14.45" customHeight="1">
      <c r="A82" s="12" t="s">
        <v>191</v>
      </c>
      <c r="B82" s="8" t="s">
        <v>101</v>
      </c>
      <c r="I82" s="228" t="s">
        <v>193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/>
      <c r="U82" s="65"/>
      <c r="V82" s="65">
        <f t="shared" si="43"/>
        <v>0</v>
      </c>
      <c r="W82" s="73">
        <f t="shared" si="37"/>
        <v>0</v>
      </c>
      <c r="X82" s="89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>
        <f t="shared" si="44"/>
        <v>0</v>
      </c>
      <c r="AL82" s="73">
        <f t="shared" si="38"/>
        <v>0</v>
      </c>
      <c r="AM82" s="14">
        <f t="shared" si="39"/>
        <v>0</v>
      </c>
      <c r="AN82" s="9"/>
    </row>
    <row r="83" spans="1:40" ht="14.45" customHeight="1" outlineLevel="1">
      <c r="A83" s="12" t="s">
        <v>191</v>
      </c>
      <c r="B83" s="8" t="s">
        <v>101</v>
      </c>
      <c r="I83" s="228" t="s">
        <v>194</v>
      </c>
      <c r="J83" s="65">
        <v>1049</v>
      </c>
      <c r="K83" s="65">
        <v>1049</v>
      </c>
      <c r="L83" s="65">
        <v>1049</v>
      </c>
      <c r="M83" s="65">
        <v>1049</v>
      </c>
      <c r="N83" s="65">
        <v>1049</v>
      </c>
      <c r="O83" s="65">
        <v>1049</v>
      </c>
      <c r="P83" s="65">
        <v>1049</v>
      </c>
      <c r="Q83" s="65">
        <v>1311</v>
      </c>
      <c r="R83" s="65">
        <v>1049</v>
      </c>
      <c r="S83" s="65">
        <v>1049</v>
      </c>
      <c r="T83" s="65"/>
      <c r="U83" s="65"/>
      <c r="V83" s="65">
        <f t="shared" si="43"/>
        <v>10752</v>
      </c>
      <c r="W83" s="73">
        <f t="shared" si="37"/>
        <v>1.5273309181950209E-4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44"/>
        <v>0</v>
      </c>
      <c r="AL83" s="73">
        <f t="shared" si="38"/>
        <v>0</v>
      </c>
      <c r="AM83" s="14">
        <f t="shared" si="39"/>
        <v>-1</v>
      </c>
      <c r="AN83" s="9"/>
    </row>
    <row r="84" spans="1:40" ht="14.45" customHeight="1" outlineLevel="1">
      <c r="A84" s="12" t="s">
        <v>191</v>
      </c>
      <c r="B84" s="8" t="s">
        <v>101</v>
      </c>
      <c r="I84" s="228" t="s">
        <v>195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43"/>
        <v>0</v>
      </c>
      <c r="W84" s="73">
        <f t="shared" si="37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44"/>
        <v>0</v>
      </c>
      <c r="AL84" s="73">
        <f t="shared" si="38"/>
        <v>0</v>
      </c>
      <c r="AM84" s="14">
        <f t="shared" si="39"/>
        <v>0</v>
      </c>
      <c r="AN84" s="9"/>
    </row>
    <row r="85" spans="1:40" ht="14.45" customHeight="1" outlineLevel="1">
      <c r="A85" s="12" t="s">
        <v>191</v>
      </c>
      <c r="B85" s="8" t="s">
        <v>101</v>
      </c>
      <c r="I85" s="228" t="s">
        <v>196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f t="shared" si="43"/>
        <v>0</v>
      </c>
      <c r="W85" s="73">
        <f t="shared" si="37"/>
        <v>0</v>
      </c>
      <c r="X85" s="89"/>
      <c r="Y85" s="65">
        <f>VLOOKUP($E$1,[7]Resumen!$V$154:$AH$157,Y1,0)</f>
        <v>0</v>
      </c>
      <c r="Z85" s="65">
        <f>VLOOKUP($E$1,[7]Resumen!$V$154:$AH$157,Z1,0)</f>
        <v>0</v>
      </c>
      <c r="AA85" s="65">
        <f>VLOOKUP($E$1,[7]Resumen!$V$154:$AH$157,AA1,0)</f>
        <v>0</v>
      </c>
      <c r="AB85" s="65">
        <f>VLOOKUP($E$1,[7]Resumen!$V$154:$AH$157,AB1,0)</f>
        <v>0</v>
      </c>
      <c r="AC85" s="65">
        <f>VLOOKUP($E$1,[7]Resumen!$V$154:$AH$157,AC1,0)</f>
        <v>0</v>
      </c>
      <c r="AD85" s="65">
        <f>VLOOKUP($E$1,[7]Resumen!$V$154:$AH$157,AD1,0)</f>
        <v>0</v>
      </c>
      <c r="AE85" s="65">
        <f>VLOOKUP($E$1,[7]Resumen!$V$154:$AH$157,AE1,0)</f>
        <v>0</v>
      </c>
      <c r="AF85" s="65">
        <f>VLOOKUP($E$1,[7]Resumen!$V$154:$AH$157,AF1,0)</f>
        <v>0</v>
      </c>
      <c r="AG85" s="65">
        <f>VLOOKUP($E$1,[7]Resumen!$V$154:$AH$157,AG1,0)</f>
        <v>0</v>
      </c>
      <c r="AH85" s="65">
        <f>VLOOKUP($E$1,[7]Resumen!$V$154:$AH$157,AH1,0)</f>
        <v>0</v>
      </c>
      <c r="AI85" s="65">
        <f>VLOOKUP($E$1,[7]Resumen!$V$154:$AH$157,AI1,0)</f>
        <v>0</v>
      </c>
      <c r="AJ85" s="65">
        <f>VLOOKUP($E$1,[7]Resumen!$V$154:$AH$157,AJ1,0)</f>
        <v>0</v>
      </c>
      <c r="AK85" s="65">
        <f t="shared" si="44"/>
        <v>0</v>
      </c>
      <c r="AL85" s="73">
        <f t="shared" si="38"/>
        <v>0</v>
      </c>
      <c r="AM85" s="14">
        <f t="shared" si="39"/>
        <v>0</v>
      </c>
      <c r="AN85" s="9"/>
    </row>
    <row r="86" spans="1:40" ht="14.45" customHeight="1" outlineLevel="1">
      <c r="A86" s="12" t="s">
        <v>191</v>
      </c>
      <c r="B86" s="8" t="s">
        <v>101</v>
      </c>
      <c r="I86" s="228" t="s">
        <v>197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/>
      <c r="U86" s="65"/>
      <c r="V86" s="65">
        <f t="shared" si="43"/>
        <v>0</v>
      </c>
      <c r="W86" s="73">
        <f t="shared" si="37"/>
        <v>0</v>
      </c>
      <c r="X86" s="89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>
        <f t="shared" si="44"/>
        <v>0</v>
      </c>
      <c r="AL86" s="73">
        <f t="shared" si="38"/>
        <v>0</v>
      </c>
      <c r="AM86" s="14">
        <f t="shared" si="39"/>
        <v>0</v>
      </c>
      <c r="AN86" s="9"/>
    </row>
    <row r="87" spans="1:40" ht="14.45" customHeight="1" outlineLevel="1">
      <c r="A87" s="12" t="s">
        <v>191</v>
      </c>
      <c r="B87" s="8" t="s">
        <v>101</v>
      </c>
      <c r="I87" s="228" t="s">
        <v>198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19240</v>
      </c>
      <c r="T87" s="65">
        <v>0</v>
      </c>
      <c r="U87" s="65">
        <v>0</v>
      </c>
      <c r="V87" s="65">
        <f t="shared" ref="V87:V90" si="59">SUM(J87:U87)</f>
        <v>19240</v>
      </c>
      <c r="W87" s="73">
        <f t="shared" ref="W87:W90" si="60">V87/V$6</f>
        <v>2.73305867429987E-4</v>
      </c>
      <c r="X87" s="89"/>
      <c r="Y87" s="65">
        <f>VLOOKUP($E$1,[7]Resumen!$V$10:$AH$13,Y1,0)</f>
        <v>0</v>
      </c>
      <c r="Z87" s="65">
        <f>VLOOKUP($E$1,[7]Resumen!$V$10:$AH$13,Z1,0)</f>
        <v>0</v>
      </c>
      <c r="AA87" s="65">
        <f>VLOOKUP($E$1,[7]Resumen!$V$10:$AH$13,AA1,0)</f>
        <v>0</v>
      </c>
      <c r="AB87" s="65">
        <f>VLOOKUP($E$1,[7]Resumen!$V$10:$AH$13,AB1,0)</f>
        <v>0</v>
      </c>
      <c r="AC87" s="65">
        <f>VLOOKUP($E$1,[7]Resumen!$V$10:$AH$13,AC1,0)</f>
        <v>0</v>
      </c>
      <c r="AD87" s="65">
        <f>VLOOKUP($E$1,[7]Resumen!$V$10:$AH$13,AD1,0)</f>
        <v>0</v>
      </c>
      <c r="AE87" s="65">
        <f>VLOOKUP($E$1,[7]Resumen!$V$10:$AH$13,AE1,0)</f>
        <v>0</v>
      </c>
      <c r="AF87" s="65">
        <f>VLOOKUP($E$1,[7]Resumen!$V$10:$AH$13,AF1,0)</f>
        <v>0</v>
      </c>
      <c r="AG87" s="65">
        <f>VLOOKUP($E$1,[7]Resumen!$V$10:$AH$13,AG1,0)</f>
        <v>24221.339999999997</v>
      </c>
      <c r="AH87" s="65">
        <f>VLOOKUP($E$1,[7]Resumen!$V$10:$AH$13,AH1,0)</f>
        <v>0</v>
      </c>
      <c r="AI87" s="65">
        <f>VLOOKUP($E$1,[7]Resumen!$V$10:$AH$13,AI1,0)</f>
        <v>0</v>
      </c>
      <c r="AJ87" s="65">
        <f>VLOOKUP($E$1,[7]Resumen!$V$10:$AH$13,AJ1,0)</f>
        <v>0</v>
      </c>
      <c r="AK87" s="65">
        <f t="shared" si="44"/>
        <v>24221.339999999997</v>
      </c>
      <c r="AL87" s="73">
        <f t="shared" si="38"/>
        <v>3.0768606335194944E-4</v>
      </c>
      <c r="AM87" s="14">
        <f t="shared" si="39"/>
        <v>0.25890540540540519</v>
      </c>
      <c r="AN87" s="9"/>
    </row>
    <row r="88" spans="1:40" ht="14.45" customHeight="1" outlineLevel="1">
      <c r="A88" s="12" t="s">
        <v>191</v>
      </c>
      <c r="B88" s="8" t="s">
        <v>101</v>
      </c>
      <c r="I88" s="228" t="s">
        <v>199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1443</v>
      </c>
      <c r="R88" s="65">
        <v>0</v>
      </c>
      <c r="S88" s="65">
        <v>0</v>
      </c>
      <c r="T88" s="65">
        <v>386.88</v>
      </c>
      <c r="U88" s="65">
        <v>25334.400000000001</v>
      </c>
      <c r="V88" s="65">
        <f t="shared" si="59"/>
        <v>27164.280000000002</v>
      </c>
      <c r="W88" s="73">
        <f t="shared" si="60"/>
        <v>3.8587095158581331E-4</v>
      </c>
      <c r="X88" s="89"/>
      <c r="Y88" s="65">
        <f>VLOOKUP($E$1,[14]Resumen!$V$8:$AH$11,Y1,0)</f>
        <v>0</v>
      </c>
      <c r="Z88" s="65">
        <f>VLOOKUP($E$1,[14]Resumen!$V$8:$AH$11,Z1,0)</f>
        <v>0</v>
      </c>
      <c r="AA88" s="65">
        <f>VLOOKUP($E$1,[14]Resumen!$V$8:$AH$11,AA1,0)</f>
        <v>0</v>
      </c>
      <c r="AB88" s="65">
        <f>VLOOKUP($E$1,[14]Resumen!$V$8:$AH$11,AB1,0)</f>
        <v>0</v>
      </c>
      <c r="AC88" s="65">
        <f>VLOOKUP($E$1,[14]Resumen!$V$8:$AH$11,AC1,0)</f>
        <v>2328.9749999999999</v>
      </c>
      <c r="AD88" s="65">
        <f>VLOOKUP($E$1,[14]Resumen!$V$8:$AH$11,AD1,0)</f>
        <v>2328.9749999999999</v>
      </c>
      <c r="AE88" s="65">
        <f>VLOOKUP($E$1,[14]Resumen!$V$8:$AH$11,AE1,0)</f>
        <v>0</v>
      </c>
      <c r="AF88" s="65">
        <f>VLOOKUP($E$1,[14]Resumen!$V$8:$AH$11,AF1,0)</f>
        <v>2328.9749999999999</v>
      </c>
      <c r="AG88" s="65">
        <f>VLOOKUP($E$1,[14]Resumen!$V$8:$AH$11,AG1,0)</f>
        <v>0</v>
      </c>
      <c r="AH88" s="65">
        <f>VLOOKUP($E$1,[14]Resumen!$V$8:$AH$11,AH1,0)</f>
        <v>745.27199999999993</v>
      </c>
      <c r="AI88" s="65">
        <f>VLOOKUP($E$1,[14]Resumen!$V$8:$AH$11,AI1,0)</f>
        <v>465.79499999999996</v>
      </c>
      <c r="AJ88" s="65">
        <f>VLOOKUP($E$1,[14]Resumen!$V$8:$AH$11,AJ1,0)</f>
        <v>15837.029999999999</v>
      </c>
      <c r="AK88" s="65">
        <f t="shared" si="44"/>
        <v>24035.021999999997</v>
      </c>
      <c r="AL88" s="73">
        <f t="shared" si="38"/>
        <v>3.0531924748001139E-4</v>
      </c>
      <c r="AM88" s="14">
        <f t="shared" si="39"/>
        <v>-0.11519753146411404</v>
      </c>
      <c r="AN88" s="9"/>
    </row>
    <row r="89" spans="1:40" ht="14.45" customHeight="1" outlineLevel="1">
      <c r="A89" s="12" t="s">
        <v>191</v>
      </c>
      <c r="B89" s="8" t="s">
        <v>101</v>
      </c>
      <c r="I89" s="228" t="s">
        <v>200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/>
      <c r="U89" s="65"/>
      <c r="V89" s="65">
        <f t="shared" si="59"/>
        <v>0</v>
      </c>
      <c r="W89" s="73">
        <f t="shared" si="60"/>
        <v>0</v>
      </c>
      <c r="X89" s="89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>
        <f t="shared" si="44"/>
        <v>0</v>
      </c>
      <c r="AL89" s="73">
        <f t="shared" si="38"/>
        <v>0</v>
      </c>
      <c r="AM89" s="14">
        <f t="shared" si="39"/>
        <v>0</v>
      </c>
      <c r="AN89" s="9"/>
    </row>
    <row r="90" spans="1:40" ht="14.45" customHeight="1" outlineLevel="1">
      <c r="A90" s="12" t="s">
        <v>191</v>
      </c>
      <c r="B90" s="8" t="s">
        <v>101</v>
      </c>
      <c r="I90" s="228" t="s">
        <v>201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f t="shared" si="59"/>
        <v>0</v>
      </c>
      <c r="W90" s="73">
        <f t="shared" si="60"/>
        <v>0</v>
      </c>
      <c r="X90" s="89"/>
      <c r="Y90" s="65">
        <f>VLOOKUP($E$1,[6]Resumen!$V$44:$AH$47,Y1,0)</f>
        <v>0</v>
      </c>
      <c r="Z90" s="65">
        <f>VLOOKUP($E$1,[6]Resumen!$V$44:$AH$47,Z1,0)</f>
        <v>0</v>
      </c>
      <c r="AA90" s="65">
        <f>VLOOKUP($E$1,[6]Resumen!$V$44:$AH$47,AA1,0)</f>
        <v>0</v>
      </c>
      <c r="AB90" s="65">
        <f>VLOOKUP($E$1,[6]Resumen!$V$44:$AH$47,AB1,0)</f>
        <v>0</v>
      </c>
      <c r="AC90" s="65">
        <f>VLOOKUP($E$1,[6]Resumen!$V$44:$AH$47,AC1,0)</f>
        <v>0</v>
      </c>
      <c r="AD90" s="65">
        <f>VLOOKUP($E$1,[6]Resumen!$V$44:$AH$47,AD1,0)</f>
        <v>0</v>
      </c>
      <c r="AE90" s="65">
        <f>VLOOKUP($E$1,[6]Resumen!$V$44:$AH$47,AE1,0)</f>
        <v>0</v>
      </c>
      <c r="AF90" s="65">
        <f>VLOOKUP($E$1,[6]Resumen!$V$44:$AH$47,AF1,0)</f>
        <v>0</v>
      </c>
      <c r="AG90" s="65">
        <f>VLOOKUP($E$1,[6]Resumen!$V$44:$AH$47,AG1,0)</f>
        <v>0</v>
      </c>
      <c r="AH90" s="65">
        <f>VLOOKUP($E$1,[6]Resumen!$V$44:$AH$47,AH1,0)</f>
        <v>0</v>
      </c>
      <c r="AI90" s="65">
        <f>VLOOKUP($E$1,[6]Resumen!$V$44:$AH$47,AI1,0)</f>
        <v>0</v>
      </c>
      <c r="AJ90" s="65">
        <f>VLOOKUP($E$1,[6]Resumen!$V$44:$AH$47,AJ1,0)</f>
        <v>0</v>
      </c>
      <c r="AK90" s="65">
        <f t="shared" si="44"/>
        <v>0</v>
      </c>
      <c r="AL90" s="73">
        <f t="shared" si="38"/>
        <v>0</v>
      </c>
      <c r="AM90" s="14">
        <f t="shared" si="39"/>
        <v>0</v>
      </c>
      <c r="AN90" s="9"/>
    </row>
    <row r="91" spans="1:40" ht="14.45" customHeight="1" outlineLevel="1">
      <c r="A91" s="12" t="s">
        <v>191</v>
      </c>
      <c r="B91" s="8" t="s">
        <v>101</v>
      </c>
      <c r="I91" s="170" t="s">
        <v>202</v>
      </c>
      <c r="J91" s="15">
        <v>146591</v>
      </c>
      <c r="K91" s="15">
        <v>122991</v>
      </c>
      <c r="L91" s="15">
        <v>142055</v>
      </c>
      <c r="M91" s="15">
        <v>135599</v>
      </c>
      <c r="N91" s="15">
        <v>125161</v>
      </c>
      <c r="O91" s="15">
        <v>115334</v>
      </c>
      <c r="P91" s="15">
        <v>126211</v>
      </c>
      <c r="Q91" s="15">
        <v>128116</v>
      </c>
      <c r="R91" s="15">
        <v>142792</v>
      </c>
      <c r="S91" s="15">
        <v>137758</v>
      </c>
      <c r="T91" s="15">
        <f t="shared" ref="J91:V91" si="61">SUM(T92:T106)</f>
        <v>136221</v>
      </c>
      <c r="U91" s="15">
        <f t="shared" si="61"/>
        <v>138923</v>
      </c>
      <c r="V91" s="15">
        <f t="shared" si="61"/>
        <v>1597747.9999999998</v>
      </c>
      <c r="W91" s="72">
        <f t="shared" si="37"/>
        <v>2.269614880844734E-2</v>
      </c>
      <c r="X91" s="89"/>
      <c r="Y91" s="15">
        <f t="shared" ref="Y91:AK91" si="62">SUM(Y92:Y106)</f>
        <v>144590.09686184512</v>
      </c>
      <c r="Z91" s="15">
        <f t="shared" si="62"/>
        <v>127380.98281210451</v>
      </c>
      <c r="AA91" s="15">
        <f t="shared" si="62"/>
        <v>139354.33482235039</v>
      </c>
      <c r="AB91" s="15">
        <f t="shared" si="62"/>
        <v>131664.43695960176</v>
      </c>
      <c r="AC91" s="15">
        <f t="shared" si="62"/>
        <v>139354.33482235039</v>
      </c>
      <c r="AD91" s="15">
        <f t="shared" si="62"/>
        <v>131664.43695960176</v>
      </c>
      <c r="AE91" s="15">
        <f t="shared" si="62"/>
        <v>135655.5542963504</v>
      </c>
      <c r="AF91" s="15">
        <f t="shared" si="62"/>
        <v>135655.5542963504</v>
      </c>
      <c r="AG91" s="15">
        <f t="shared" si="62"/>
        <v>135363.21748560178</v>
      </c>
      <c r="AH91" s="15">
        <f t="shared" si="62"/>
        <v>135655.5542963504</v>
      </c>
      <c r="AI91" s="15">
        <f t="shared" si="62"/>
        <v>135363.21748560178</v>
      </c>
      <c r="AJ91" s="15">
        <f t="shared" si="62"/>
        <v>139354.33482235039</v>
      </c>
      <c r="AK91" s="15">
        <f t="shared" si="62"/>
        <v>1631056.0559204593</v>
      </c>
      <c r="AL91" s="72">
        <f t="shared" si="38"/>
        <v>2.0719465436368233E-2</v>
      </c>
      <c r="AM91" s="10">
        <f t="shared" si="39"/>
        <v>2.084687692956555E-2</v>
      </c>
      <c r="AN91" s="9"/>
    </row>
    <row r="92" spans="1:40" ht="14.45" customHeight="1" outlineLevel="1">
      <c r="A92" s="12" t="s">
        <v>191</v>
      </c>
      <c r="B92" s="8" t="s">
        <v>101</v>
      </c>
      <c r="I92" s="228" t="s">
        <v>203</v>
      </c>
      <c r="J92" s="65">
        <v>4189</v>
      </c>
      <c r="K92" s="65">
        <v>3797</v>
      </c>
      <c r="L92" s="65">
        <v>4204</v>
      </c>
      <c r="M92" s="65">
        <v>3898</v>
      </c>
      <c r="N92" s="65">
        <v>3552</v>
      </c>
      <c r="O92" s="65">
        <v>3229</v>
      </c>
      <c r="P92" s="65">
        <v>3350</v>
      </c>
      <c r="Q92" s="65">
        <v>3820</v>
      </c>
      <c r="R92" s="65">
        <v>3731</v>
      </c>
      <c r="S92" s="65">
        <v>3855</v>
      </c>
      <c r="T92" s="65">
        <f t="shared" ref="T92:T106" si="63">+AVERAGE(Q92:S92)</f>
        <v>3802</v>
      </c>
      <c r="U92" s="65">
        <f t="shared" ref="U92:U106" si="64">+AVERAGE(R92:T92)</f>
        <v>3796</v>
      </c>
      <c r="V92" s="65">
        <f t="shared" ref="V92:V155" si="65">SUM(J92:U92)</f>
        <v>45223</v>
      </c>
      <c r="W92" s="73">
        <f t="shared" si="37"/>
        <v>6.4239663424045231E-4</v>
      </c>
      <c r="X92" s="89"/>
      <c r="Y92" s="65">
        <f>VLOOKUP($I92,'[15]Gasto Real Vs Presupuesto 2026'!$A$34:$N$56,Y$1,0)</f>
        <v>4126.7541980958895</v>
      </c>
      <c r="Z92" s="65">
        <f>VLOOKUP($I92,'[15]Gasto Real Vs Presupuesto 2026'!$A$34:$N$56,Z$1,0)</f>
        <v>3546.7758468493153</v>
      </c>
      <c r="AA92" s="65">
        <f>VLOOKUP($I92,'[15]Gasto Real Vs Presupuesto 2026'!$A$34:$N$56,AA$1,0)</f>
        <v>3926.7875447260271</v>
      </c>
      <c r="AB92" s="65">
        <f>VLOOKUP($I92,'[15]Gasto Real Vs Presupuesto 2026'!$A$34:$N$56,AB$1,0)</f>
        <v>3800.1169787671233</v>
      </c>
      <c r="AC92" s="65">
        <f>VLOOKUP($I92,'[15]Gasto Real Vs Presupuesto 2026'!$A$34:$N$56,AC$1,0)</f>
        <v>3926.7875447260271</v>
      </c>
      <c r="AD92" s="65">
        <f>VLOOKUP($I92,'[15]Gasto Real Vs Presupuesto 2026'!$A$34:$N$56,AD$1,0)</f>
        <v>3800.1169787671233</v>
      </c>
      <c r="AE92" s="65">
        <f>VLOOKUP($I92,'[15]Gasto Real Vs Presupuesto 2026'!$A$34:$N$56,AE$1,0)</f>
        <v>3926.7875447260271</v>
      </c>
      <c r="AF92" s="65">
        <f>VLOOKUP($I92,'[15]Gasto Real Vs Presupuesto 2026'!$A$34:$N$56,AF$1,0)</f>
        <v>3926.7875447260271</v>
      </c>
      <c r="AG92" s="65">
        <f>VLOOKUP($I92,'[15]Gasto Real Vs Presupuesto 2026'!$A$34:$N$56,AG$1,0)</f>
        <v>3800.1169787671233</v>
      </c>
      <c r="AH92" s="65">
        <f>VLOOKUP($I92,'[15]Gasto Real Vs Presupuesto 2026'!$A$34:$N$56,AH$1,0)</f>
        <v>3926.7875447260271</v>
      </c>
      <c r="AI92" s="65">
        <f>VLOOKUP($I92,'[15]Gasto Real Vs Presupuesto 2026'!$A$34:$N$56,AI$1,0)</f>
        <v>3800.1169787671233</v>
      </c>
      <c r="AJ92" s="65">
        <f>VLOOKUP($I92,'[15]Gasto Real Vs Presupuesto 2026'!$A$34:$N$56,AJ$1,0)</f>
        <v>3926.7875447260271</v>
      </c>
      <c r="AK92" s="65">
        <f t="shared" ref="AK92:AK155" si="66">SUM(Y92:AJ92)</f>
        <v>46434.723228369869</v>
      </c>
      <c r="AL92" s="73">
        <f t="shared" si="38"/>
        <v>5.898648544207072E-4</v>
      </c>
      <c r="AM92" s="14">
        <f t="shared" si="39"/>
        <v>2.679440170642966E-2</v>
      </c>
      <c r="AN92" s="9"/>
    </row>
    <row r="93" spans="1:40" ht="14.45" customHeight="1" outlineLevel="1">
      <c r="A93" s="12" t="s">
        <v>191</v>
      </c>
      <c r="B93" s="8" t="s">
        <v>101</v>
      </c>
      <c r="I93" s="228" t="s">
        <v>204</v>
      </c>
      <c r="J93" s="65">
        <v>6400</v>
      </c>
      <c r="K93" s="65">
        <v>7450</v>
      </c>
      <c r="L93" s="65">
        <v>10350</v>
      </c>
      <c r="M93" s="65">
        <v>21730</v>
      </c>
      <c r="N93" s="65">
        <v>14251</v>
      </c>
      <c r="O93" s="65">
        <v>9582</v>
      </c>
      <c r="P93" s="65">
        <v>15313</v>
      </c>
      <c r="Q93" s="65">
        <v>8733</v>
      </c>
      <c r="R93" s="65">
        <v>11762</v>
      </c>
      <c r="S93" s="65">
        <v>18090</v>
      </c>
      <c r="T93" s="65">
        <f t="shared" si="63"/>
        <v>12861.666666666666</v>
      </c>
      <c r="U93" s="65">
        <f t="shared" si="64"/>
        <v>14237.888888888889</v>
      </c>
      <c r="V93" s="65">
        <f t="shared" si="65"/>
        <v>150760.55555555553</v>
      </c>
      <c r="W93" s="73">
        <f t="shared" si="37"/>
        <v>2.141566757294067E-3</v>
      </c>
      <c r="X93" s="89"/>
      <c r="Y93" s="65">
        <f>VLOOKUP($I93,'[15]Gasto Real Vs Presupuesto 2026'!$A$34:$N$56,Y$1,0)</f>
        <v>11930.916857142856</v>
      </c>
      <c r="Z93" s="65">
        <f>VLOOKUP($I93,'[15]Gasto Real Vs Presupuesto 2026'!$A$34:$N$56,Z$1,0)</f>
        <v>11930.916857142856</v>
      </c>
      <c r="AA93" s="65">
        <f>VLOOKUP($I93,'[15]Gasto Real Vs Presupuesto 2026'!$A$34:$N$56,AA$1,0)</f>
        <v>11930.916857142856</v>
      </c>
      <c r="AB93" s="65">
        <f>VLOOKUP($I93,'[15]Gasto Real Vs Presupuesto 2026'!$A$34:$N$56,AB$1,0)</f>
        <v>11930.916857142856</v>
      </c>
      <c r="AC93" s="65">
        <f>VLOOKUP($I93,'[15]Gasto Real Vs Presupuesto 2026'!$A$34:$N$56,AC$1,0)</f>
        <v>11930.916857142856</v>
      </c>
      <c r="AD93" s="65">
        <f>VLOOKUP($I93,'[15]Gasto Real Vs Presupuesto 2026'!$A$34:$N$56,AD$1,0)</f>
        <v>11930.916857142856</v>
      </c>
      <c r="AE93" s="65">
        <f>VLOOKUP($I93,'[15]Gasto Real Vs Presupuesto 2026'!$A$34:$N$56,AE$1,0)</f>
        <v>11930.916857142856</v>
      </c>
      <c r="AF93" s="65">
        <f>VLOOKUP($I93,'[15]Gasto Real Vs Presupuesto 2026'!$A$34:$N$56,AF$1,0)</f>
        <v>11930.916857142856</v>
      </c>
      <c r="AG93" s="65">
        <f>VLOOKUP($I93,'[15]Gasto Real Vs Presupuesto 2026'!$A$34:$N$56,AG$1,0)</f>
        <v>11930.916857142856</v>
      </c>
      <c r="AH93" s="65">
        <f>VLOOKUP($I93,'[15]Gasto Real Vs Presupuesto 2026'!$A$34:$N$56,AH$1,0)</f>
        <v>11930.916857142856</v>
      </c>
      <c r="AI93" s="65">
        <f>VLOOKUP($I93,'[15]Gasto Real Vs Presupuesto 2026'!$A$34:$N$56,AI$1,0)</f>
        <v>11930.916857142856</v>
      </c>
      <c r="AJ93" s="65">
        <f>VLOOKUP($I93,'[15]Gasto Real Vs Presupuesto 2026'!$A$34:$N$56,AJ$1,0)</f>
        <v>11930.916857142856</v>
      </c>
      <c r="AK93" s="65">
        <f t="shared" si="66"/>
        <v>143171.00228571429</v>
      </c>
      <c r="AL93" s="73">
        <f t="shared" si="38"/>
        <v>1.8187153179569913E-3</v>
      </c>
      <c r="AM93" s="14">
        <f t="shared" si="39"/>
        <v>-5.0341770378024897E-2</v>
      </c>
      <c r="AN93" s="9"/>
    </row>
    <row r="94" spans="1:40" ht="14.45" customHeight="1" outlineLevel="1">
      <c r="A94" s="12" t="s">
        <v>191</v>
      </c>
      <c r="B94" s="8" t="s">
        <v>101</v>
      </c>
      <c r="I94" s="228" t="s">
        <v>205</v>
      </c>
      <c r="J94" s="65">
        <v>4228</v>
      </c>
      <c r="K94" s="65">
        <v>4288</v>
      </c>
      <c r="L94" s="65">
        <v>4288</v>
      </c>
      <c r="M94" s="65">
        <v>0</v>
      </c>
      <c r="N94" s="65">
        <v>3132</v>
      </c>
      <c r="O94" s="65">
        <v>0</v>
      </c>
      <c r="P94" s="65">
        <v>1156</v>
      </c>
      <c r="Q94" s="65">
        <v>0</v>
      </c>
      <c r="R94" s="65">
        <v>3710</v>
      </c>
      <c r="S94" s="65">
        <v>0</v>
      </c>
      <c r="T94" s="65">
        <f t="shared" si="63"/>
        <v>1236.6666666666667</v>
      </c>
      <c r="U94" s="65">
        <f t="shared" si="64"/>
        <v>1648.8888888888889</v>
      </c>
      <c r="V94" s="65">
        <f t="shared" si="65"/>
        <v>23687.555555555558</v>
      </c>
      <c r="W94" s="73">
        <f t="shared" si="37"/>
        <v>3.3648377954298956E-4</v>
      </c>
      <c r="X94" s="89"/>
      <c r="Y94" s="65">
        <f>VLOOKUP($I94,'[15]Gasto Real Vs Presupuesto 2026'!$A$34:$N$56,Y$1,0)</f>
        <v>3887.1362123999997</v>
      </c>
      <c r="Z94" s="65">
        <f>VLOOKUP($I94,'[15]Gasto Real Vs Presupuesto 2026'!$A$34:$N$56,Z$1,0)</f>
        <v>3698.780526</v>
      </c>
      <c r="AA94" s="65">
        <f>VLOOKUP($I94,'[15]Gasto Real Vs Presupuesto 2026'!$A$34:$N$56,AA$1,0)</f>
        <v>3698.780526</v>
      </c>
      <c r="AB94" s="65">
        <f>VLOOKUP($I94,'[15]Gasto Real Vs Presupuesto 2026'!$A$34:$N$56,AB$1,0)</f>
        <v>0</v>
      </c>
      <c r="AC94" s="65">
        <f>VLOOKUP($I94,'[15]Gasto Real Vs Presupuesto 2026'!$A$34:$N$56,AC$1,0)</f>
        <v>3698.780526</v>
      </c>
      <c r="AD94" s="65">
        <f>VLOOKUP($I94,'[15]Gasto Real Vs Presupuesto 2026'!$A$34:$N$56,AD$1,0)</f>
        <v>0</v>
      </c>
      <c r="AE94" s="65">
        <f>VLOOKUP($I94,'[15]Gasto Real Vs Presupuesto 2026'!$A$34:$N$56,AE$1,0)</f>
        <v>0</v>
      </c>
      <c r="AF94" s="65">
        <f>VLOOKUP($I94,'[15]Gasto Real Vs Presupuesto 2026'!$A$34:$N$56,AF$1,0)</f>
        <v>0</v>
      </c>
      <c r="AG94" s="65">
        <f>VLOOKUP($I94,'[15]Gasto Real Vs Presupuesto 2026'!$A$34:$N$56,AG$1,0)</f>
        <v>3698.780526</v>
      </c>
      <c r="AH94" s="65">
        <f>VLOOKUP($I94,'[15]Gasto Real Vs Presupuesto 2026'!$A$34:$N$56,AH$1,0)</f>
        <v>0</v>
      </c>
      <c r="AI94" s="65">
        <f>VLOOKUP($I94,'[15]Gasto Real Vs Presupuesto 2026'!$A$34:$N$56,AI$1,0)</f>
        <v>3698.780526</v>
      </c>
      <c r="AJ94" s="65">
        <f>VLOOKUP($I94,'[15]Gasto Real Vs Presupuesto 2026'!$A$34:$N$56,AJ$1,0)</f>
        <v>3698.780526</v>
      </c>
      <c r="AK94" s="65">
        <f t="shared" si="66"/>
        <v>26079.819368399996</v>
      </c>
      <c r="AL94" s="73">
        <f t="shared" si="38"/>
        <v>3.3129450948597065E-4</v>
      </c>
      <c r="AM94" s="14">
        <f t="shared" si="39"/>
        <v>0.10099243069778763</v>
      </c>
      <c r="AN94" s="9"/>
    </row>
    <row r="95" spans="1:40" ht="14.45" customHeight="1" outlineLevel="1">
      <c r="A95" s="12" t="s">
        <v>191</v>
      </c>
      <c r="B95" s="8" t="s">
        <v>101</v>
      </c>
      <c r="I95" s="228" t="s">
        <v>206</v>
      </c>
      <c r="J95" s="65">
        <v>5929</v>
      </c>
      <c r="K95" s="65">
        <v>4894</v>
      </c>
      <c r="L95" s="65">
        <v>5658</v>
      </c>
      <c r="M95" s="65">
        <v>4857</v>
      </c>
      <c r="N95" s="65">
        <v>4712</v>
      </c>
      <c r="O95" s="65">
        <v>4686</v>
      </c>
      <c r="P95" s="65">
        <v>4652</v>
      </c>
      <c r="Q95" s="65">
        <v>5351</v>
      </c>
      <c r="R95" s="65">
        <v>5487</v>
      </c>
      <c r="S95" s="65">
        <v>5351</v>
      </c>
      <c r="T95" s="65">
        <f t="shared" si="63"/>
        <v>5396.333333333333</v>
      </c>
      <c r="U95" s="65">
        <f t="shared" si="64"/>
        <v>5411.4444444444443</v>
      </c>
      <c r="V95" s="65">
        <f t="shared" si="65"/>
        <v>62384.777777777781</v>
      </c>
      <c r="W95" s="73">
        <f t="shared" si="37"/>
        <v>8.8618117489514209E-4</v>
      </c>
      <c r="X95" s="89"/>
      <c r="Y95" s="65">
        <f>VLOOKUP($I95,'[15]Gasto Real Vs Presupuesto 2026'!$A$34:$N$56,Y$1,0)</f>
        <v>5543.0562388824001</v>
      </c>
      <c r="Z95" s="65">
        <f>VLOOKUP($I95,'[15]Gasto Real Vs Presupuesto 2026'!$A$34:$N$56,Z$1,0)</f>
        <v>5178.2927364000006</v>
      </c>
      <c r="AA95" s="65">
        <f>VLOOKUP($I95,'[15]Gasto Real Vs Presupuesto 2026'!$A$34:$N$56,AA$1,0)</f>
        <v>5733.1098152999994</v>
      </c>
      <c r="AB95" s="65">
        <f>VLOOKUP($I95,'[15]Gasto Real Vs Presupuesto 2026'!$A$34:$N$56,AB$1,0)</f>
        <v>5548.1707890000007</v>
      </c>
      <c r="AC95" s="65">
        <f>VLOOKUP($I95,'[15]Gasto Real Vs Presupuesto 2026'!$A$34:$N$56,AC$1,0)</f>
        <v>5733.1098152999994</v>
      </c>
      <c r="AD95" s="65">
        <f>VLOOKUP($I95,'[15]Gasto Real Vs Presupuesto 2026'!$A$34:$N$56,AD$1,0)</f>
        <v>5548.1707890000007</v>
      </c>
      <c r="AE95" s="65">
        <f>VLOOKUP($I95,'[15]Gasto Real Vs Presupuesto 2026'!$A$34:$N$56,AE$1,0)</f>
        <v>5733.1098152999994</v>
      </c>
      <c r="AF95" s="65">
        <f>VLOOKUP($I95,'[15]Gasto Real Vs Presupuesto 2026'!$A$34:$N$56,AF$1,0)</f>
        <v>5733.1098152999994</v>
      </c>
      <c r="AG95" s="65">
        <f>VLOOKUP($I95,'[15]Gasto Real Vs Presupuesto 2026'!$A$34:$N$56,AG$1,0)</f>
        <v>5548.1707890000007</v>
      </c>
      <c r="AH95" s="65">
        <f>VLOOKUP($I95,'[15]Gasto Real Vs Presupuesto 2026'!$A$34:$N$56,AH$1,0)</f>
        <v>5733.1098152999994</v>
      </c>
      <c r="AI95" s="65">
        <f>VLOOKUP($I95,'[15]Gasto Real Vs Presupuesto 2026'!$A$34:$N$56,AI$1,0)</f>
        <v>5548.1707890000007</v>
      </c>
      <c r="AJ95" s="65">
        <f>VLOOKUP($I95,'[15]Gasto Real Vs Presupuesto 2026'!$A$34:$N$56,AJ$1,0)</f>
        <v>5733.1098152999994</v>
      </c>
      <c r="AK95" s="65">
        <f t="shared" si="66"/>
        <v>67312.6910230824</v>
      </c>
      <c r="AL95" s="73">
        <f t="shared" si="38"/>
        <v>8.5507973194374597E-4</v>
      </c>
      <c r="AM95" s="14">
        <f t="shared" si="39"/>
        <v>7.8992238505015688E-2</v>
      </c>
      <c r="AN95" s="9"/>
    </row>
    <row r="96" spans="1:40" ht="14.45" customHeight="1" outlineLevel="1">
      <c r="A96" s="12" t="s">
        <v>191</v>
      </c>
      <c r="B96" s="8" t="s">
        <v>101</v>
      </c>
      <c r="I96" s="228" t="s">
        <v>207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>
        <v>0</v>
      </c>
      <c r="U96" s="65">
        <f t="shared" si="64"/>
        <v>0</v>
      </c>
      <c r="V96" s="65">
        <f t="shared" si="65"/>
        <v>0</v>
      </c>
      <c r="W96" s="73">
        <f t="shared" si="37"/>
        <v>0</v>
      </c>
      <c r="X96" s="89"/>
      <c r="Y96" s="65">
        <f>VLOOKUP($I96,'[15]Gasto Real Vs Presupuesto 2026'!$A$34:$N$56,Y$1,0)</f>
        <v>0</v>
      </c>
      <c r="Z96" s="65">
        <f>VLOOKUP($I96,'[15]Gasto Real Vs Presupuesto 2026'!$A$34:$N$56,Z$1,0)</f>
        <v>0</v>
      </c>
      <c r="AA96" s="65">
        <f>VLOOKUP($I96,'[15]Gasto Real Vs Presupuesto 2026'!$A$34:$N$56,AA$1,0)</f>
        <v>0</v>
      </c>
      <c r="AB96" s="65">
        <f>VLOOKUP($I96,'[15]Gasto Real Vs Presupuesto 2026'!$A$34:$N$56,AB$1,0)</f>
        <v>0</v>
      </c>
      <c r="AC96" s="65">
        <f>VLOOKUP($I96,'[15]Gasto Real Vs Presupuesto 2026'!$A$34:$N$56,AC$1,0)</f>
        <v>0</v>
      </c>
      <c r="AD96" s="65">
        <f>VLOOKUP($I96,'[15]Gasto Real Vs Presupuesto 2026'!$A$34:$N$56,AD$1,0)</f>
        <v>0</v>
      </c>
      <c r="AE96" s="65">
        <f>VLOOKUP($I96,'[15]Gasto Real Vs Presupuesto 2026'!$A$34:$N$56,AE$1,0)</f>
        <v>0</v>
      </c>
      <c r="AF96" s="65">
        <f>VLOOKUP($I96,'[15]Gasto Real Vs Presupuesto 2026'!$A$34:$N$56,AF$1,0)</f>
        <v>0</v>
      </c>
      <c r="AG96" s="65">
        <f>VLOOKUP($I96,'[15]Gasto Real Vs Presupuesto 2026'!$A$34:$N$56,AG$1,0)</f>
        <v>0</v>
      </c>
      <c r="AH96" s="65">
        <f>VLOOKUP($I96,'[15]Gasto Real Vs Presupuesto 2026'!$A$34:$N$56,AH$1,0)</f>
        <v>0</v>
      </c>
      <c r="AI96" s="65">
        <f>VLOOKUP($I96,'[15]Gasto Real Vs Presupuesto 2026'!$A$34:$N$56,AI$1,0)</f>
        <v>0</v>
      </c>
      <c r="AJ96" s="65">
        <f>VLOOKUP($I96,'[15]Gasto Real Vs Presupuesto 2026'!$A$34:$N$56,AJ$1,0)</f>
        <v>0</v>
      </c>
      <c r="AK96" s="65">
        <f t="shared" si="66"/>
        <v>0</v>
      </c>
      <c r="AL96" s="73">
        <f t="shared" si="38"/>
        <v>0</v>
      </c>
      <c r="AM96" s="14">
        <f t="shared" si="39"/>
        <v>0</v>
      </c>
      <c r="AN96" s="9"/>
    </row>
    <row r="97" spans="1:40" ht="14.45" customHeight="1" outlineLevel="1">
      <c r="A97" s="12" t="s">
        <v>191</v>
      </c>
      <c r="B97" s="8" t="s">
        <v>101</v>
      </c>
      <c r="I97" s="228" t="s">
        <v>209</v>
      </c>
      <c r="J97" s="65">
        <v>10204</v>
      </c>
      <c r="K97" s="65">
        <v>7580</v>
      </c>
      <c r="L97" s="65">
        <v>8450</v>
      </c>
      <c r="M97" s="65">
        <v>7799</v>
      </c>
      <c r="N97" s="65">
        <v>8156</v>
      </c>
      <c r="O97" s="65">
        <v>7828</v>
      </c>
      <c r="P97" s="65">
        <v>8406</v>
      </c>
      <c r="Q97" s="65">
        <v>8045</v>
      </c>
      <c r="R97" s="65">
        <v>10457</v>
      </c>
      <c r="S97" s="65">
        <v>8295</v>
      </c>
      <c r="T97" s="65">
        <f t="shared" si="63"/>
        <v>8932.3333333333339</v>
      </c>
      <c r="U97" s="65">
        <f t="shared" si="64"/>
        <v>9228.1111111111113</v>
      </c>
      <c r="V97" s="65">
        <f t="shared" si="65"/>
        <v>103380.44444444444</v>
      </c>
      <c r="W97" s="73">
        <f t="shared" si="37"/>
        <v>1.4685281727747645E-3</v>
      </c>
      <c r="X97" s="89"/>
      <c r="Y97" s="65">
        <f>VLOOKUP($I97,'[15]Gasto Real Vs Presupuesto 2026'!$A$34:$N$56,Y$1,0)</f>
        <v>8832.2806799999998</v>
      </c>
      <c r="Z97" s="65">
        <f>VLOOKUP($I97,'[15]Gasto Real Vs Presupuesto 2026'!$A$34:$N$56,Z$1,0)</f>
        <v>7977.5438399999985</v>
      </c>
      <c r="AA97" s="65">
        <f>VLOOKUP($I97,'[15]Gasto Real Vs Presupuesto 2026'!$A$34:$N$56,AA$1,0)</f>
        <v>8832.2806799999998</v>
      </c>
      <c r="AB97" s="65">
        <f>VLOOKUP($I97,'[15]Gasto Real Vs Presupuesto 2026'!$A$34:$N$56,AB$1,0)</f>
        <v>8547.3684000000012</v>
      </c>
      <c r="AC97" s="65">
        <f>VLOOKUP($I97,'[15]Gasto Real Vs Presupuesto 2026'!$A$34:$N$56,AC$1,0)</f>
        <v>8832.2806799999998</v>
      </c>
      <c r="AD97" s="65">
        <f>VLOOKUP($I97,'[15]Gasto Real Vs Presupuesto 2026'!$A$34:$N$56,AD$1,0)</f>
        <v>8547.3684000000012</v>
      </c>
      <c r="AE97" s="65">
        <f>VLOOKUP($I97,'[15]Gasto Real Vs Presupuesto 2026'!$A$34:$N$56,AE$1,0)</f>
        <v>8832.2806799999998</v>
      </c>
      <c r="AF97" s="65">
        <f>VLOOKUP($I97,'[15]Gasto Real Vs Presupuesto 2026'!$A$34:$N$56,AF$1,0)</f>
        <v>8832.2806799999998</v>
      </c>
      <c r="AG97" s="65">
        <f>VLOOKUP($I97,'[15]Gasto Real Vs Presupuesto 2026'!$A$34:$N$56,AG$1,0)</f>
        <v>8547.3684000000012</v>
      </c>
      <c r="AH97" s="65">
        <f>VLOOKUP($I97,'[15]Gasto Real Vs Presupuesto 2026'!$A$34:$N$56,AH$1,0)</f>
        <v>8832.2806799999998</v>
      </c>
      <c r="AI97" s="65">
        <f>VLOOKUP($I97,'[15]Gasto Real Vs Presupuesto 2026'!$A$34:$N$56,AI$1,0)</f>
        <v>8547.3684000000012</v>
      </c>
      <c r="AJ97" s="65">
        <f>VLOOKUP($I97,'[15]Gasto Real Vs Presupuesto 2026'!$A$34:$N$56,AJ$1,0)</f>
        <v>8832.2806799999998</v>
      </c>
      <c r="AK97" s="65">
        <f t="shared" si="66"/>
        <v>103992.9822</v>
      </c>
      <c r="AL97" s="73">
        <f t="shared" si="38"/>
        <v>1.3210330770034753E-3</v>
      </c>
      <c r="AM97" s="14">
        <f t="shared" si="39"/>
        <v>5.9250834028357069E-3</v>
      </c>
      <c r="AN97" s="9"/>
    </row>
    <row r="98" spans="1:40" ht="14.45" customHeight="1">
      <c r="A98" s="12" t="s">
        <v>208</v>
      </c>
      <c r="B98" s="8" t="s">
        <v>101</v>
      </c>
      <c r="I98" s="228" t="s">
        <v>210</v>
      </c>
      <c r="J98" s="65">
        <v>9557</v>
      </c>
      <c r="K98" s="65">
        <v>7501</v>
      </c>
      <c r="L98" s="65">
        <v>7695</v>
      </c>
      <c r="M98" s="65">
        <v>7021</v>
      </c>
      <c r="N98" s="65">
        <v>6665</v>
      </c>
      <c r="O98" s="65">
        <v>6927</v>
      </c>
      <c r="P98" s="65">
        <v>7638</v>
      </c>
      <c r="Q98" s="65">
        <v>7119</v>
      </c>
      <c r="R98" s="65">
        <v>9542</v>
      </c>
      <c r="S98" s="65">
        <v>6941</v>
      </c>
      <c r="T98" s="65">
        <f t="shared" si="63"/>
        <v>7867.333333333333</v>
      </c>
      <c r="U98" s="65">
        <f t="shared" si="64"/>
        <v>8116.7777777777774</v>
      </c>
      <c r="V98" s="65">
        <f t="shared" si="65"/>
        <v>92590.111111111109</v>
      </c>
      <c r="W98" s="73">
        <f t="shared" si="37"/>
        <v>1.3152505526331133E-3</v>
      </c>
      <c r="X98" s="89"/>
      <c r="Y98" s="65">
        <f>VLOOKUP($I98,'[15]Gasto Real Vs Presupuesto 2026'!$A$34:$N$56,Y$1,0)</f>
        <v>6778.3793999999998</v>
      </c>
      <c r="Z98" s="65">
        <f>VLOOKUP($I98,'[15]Gasto Real Vs Presupuesto 2026'!$A$34:$N$56,Z$1,0)</f>
        <v>6122.4071999999996</v>
      </c>
      <c r="AA98" s="65">
        <f>VLOOKUP($I98,'[15]Gasto Real Vs Presupuesto 2026'!$A$34:$N$56,AA$1,0)</f>
        <v>6778.3793999999998</v>
      </c>
      <c r="AB98" s="65">
        <f>VLOOKUP($I98,'[15]Gasto Real Vs Presupuesto 2026'!$A$34:$N$56,AB$1,0)</f>
        <v>6559.7219999999988</v>
      </c>
      <c r="AC98" s="65">
        <f>VLOOKUP($I98,'[15]Gasto Real Vs Presupuesto 2026'!$A$34:$N$56,AC$1,0)</f>
        <v>6778.3793999999998</v>
      </c>
      <c r="AD98" s="65">
        <f>VLOOKUP($I98,'[15]Gasto Real Vs Presupuesto 2026'!$A$34:$N$56,AD$1,0)</f>
        <v>6559.7219999999988</v>
      </c>
      <c r="AE98" s="65">
        <f>VLOOKUP($I98,'[15]Gasto Real Vs Presupuesto 2026'!$A$34:$N$56,AE$1,0)</f>
        <v>6778.3793999999998</v>
      </c>
      <c r="AF98" s="65">
        <f>VLOOKUP($I98,'[15]Gasto Real Vs Presupuesto 2026'!$A$34:$N$56,AF$1,0)</f>
        <v>6778.3793999999998</v>
      </c>
      <c r="AG98" s="65">
        <f>VLOOKUP($I98,'[15]Gasto Real Vs Presupuesto 2026'!$A$34:$N$56,AG$1,0)</f>
        <v>6559.7219999999988</v>
      </c>
      <c r="AH98" s="65">
        <f>VLOOKUP($I98,'[15]Gasto Real Vs Presupuesto 2026'!$A$34:$N$56,AH$1,0)</f>
        <v>6778.3793999999998</v>
      </c>
      <c r="AI98" s="65">
        <f>VLOOKUP($I98,'[15]Gasto Real Vs Presupuesto 2026'!$A$34:$N$56,AI$1,0)</f>
        <v>6559.7219999999988</v>
      </c>
      <c r="AJ98" s="65">
        <f>VLOOKUP($I98,'[15]Gasto Real Vs Presupuesto 2026'!$A$34:$N$56,AJ$1,0)</f>
        <v>6778.3793999999998</v>
      </c>
      <c r="AK98" s="65">
        <f t="shared" si="66"/>
        <v>79809.951000000001</v>
      </c>
      <c r="AL98" s="73">
        <f t="shared" si="38"/>
        <v>1.0138336541042727E-3</v>
      </c>
      <c r="AM98" s="14">
        <f t="shared" si="39"/>
        <v>-0.13802942838868082</v>
      </c>
      <c r="AN98" s="237"/>
    </row>
    <row r="99" spans="1:40" ht="15" customHeight="1" outlineLevel="1">
      <c r="A99" s="12" t="s">
        <v>208</v>
      </c>
      <c r="B99" s="8" t="s">
        <v>101</v>
      </c>
      <c r="I99" s="231" t="s">
        <v>211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f t="shared" si="63"/>
        <v>0</v>
      </c>
      <c r="U99" s="65">
        <f t="shared" si="64"/>
        <v>0</v>
      </c>
      <c r="V99" s="65">
        <f t="shared" si="65"/>
        <v>0</v>
      </c>
      <c r="W99" s="73">
        <f t="shared" si="37"/>
        <v>0</v>
      </c>
      <c r="X99" s="89"/>
      <c r="Y99" s="65">
        <f>VLOOKUP($I99,'[15]Gasto Real Vs Presupuesto 2026'!$A$34:$N$56,Y$1,0)</f>
        <v>0</v>
      </c>
      <c r="Z99" s="65">
        <f>VLOOKUP($I99,'[15]Gasto Real Vs Presupuesto 2026'!$A$34:$N$56,Z$1,0)</f>
        <v>0</v>
      </c>
      <c r="AA99" s="65">
        <f>VLOOKUP($I99,'[15]Gasto Real Vs Presupuesto 2026'!$A$34:$N$56,AA$1,0)</f>
        <v>0</v>
      </c>
      <c r="AB99" s="65">
        <f>VLOOKUP($I99,'[15]Gasto Real Vs Presupuesto 2026'!$A$34:$N$56,AB$1,0)</f>
        <v>0</v>
      </c>
      <c r="AC99" s="65">
        <f>VLOOKUP($I99,'[15]Gasto Real Vs Presupuesto 2026'!$A$34:$N$56,AC$1,0)</f>
        <v>0</v>
      </c>
      <c r="AD99" s="65">
        <f>VLOOKUP($I99,'[15]Gasto Real Vs Presupuesto 2026'!$A$34:$N$56,AD$1,0)</f>
        <v>0</v>
      </c>
      <c r="AE99" s="65">
        <f>VLOOKUP($I99,'[15]Gasto Real Vs Presupuesto 2026'!$A$34:$N$56,AE$1,0)</f>
        <v>0</v>
      </c>
      <c r="AF99" s="65">
        <f>VLOOKUP($I99,'[15]Gasto Real Vs Presupuesto 2026'!$A$34:$N$56,AF$1,0)</f>
        <v>0</v>
      </c>
      <c r="AG99" s="65">
        <f>VLOOKUP($I99,'[15]Gasto Real Vs Presupuesto 2026'!$A$34:$N$56,AG$1,0)</f>
        <v>0</v>
      </c>
      <c r="AH99" s="65">
        <f>VLOOKUP($I99,'[15]Gasto Real Vs Presupuesto 2026'!$A$34:$N$56,AH$1,0)</f>
        <v>0</v>
      </c>
      <c r="AI99" s="65">
        <f>VLOOKUP($I99,'[15]Gasto Real Vs Presupuesto 2026'!$A$34:$N$56,AI$1,0)</f>
        <v>0</v>
      </c>
      <c r="AJ99" s="65">
        <f>VLOOKUP($I99,'[15]Gasto Real Vs Presupuesto 2026'!$A$34:$N$56,AJ$1,0)</f>
        <v>0</v>
      </c>
      <c r="AK99" s="65">
        <f t="shared" si="66"/>
        <v>0</v>
      </c>
      <c r="AL99" s="73">
        <f t="shared" si="38"/>
        <v>0</v>
      </c>
      <c r="AM99" s="14">
        <f t="shared" si="39"/>
        <v>0</v>
      </c>
      <c r="AN99" s="9"/>
    </row>
    <row r="100" spans="1:40" ht="15" customHeight="1" outlineLevel="1">
      <c r="A100" s="12" t="s">
        <v>208</v>
      </c>
      <c r="B100" s="8" t="s">
        <v>101</v>
      </c>
      <c r="I100" s="228" t="s">
        <v>212</v>
      </c>
      <c r="J100" s="65">
        <v>2921</v>
      </c>
      <c r="K100" s="65">
        <v>2116</v>
      </c>
      <c r="L100" s="65">
        <v>2178</v>
      </c>
      <c r="M100" s="65">
        <v>1951</v>
      </c>
      <c r="N100" s="65">
        <v>1936</v>
      </c>
      <c r="O100" s="65">
        <v>1631</v>
      </c>
      <c r="P100" s="65">
        <v>2042</v>
      </c>
      <c r="Q100" s="65">
        <v>2038</v>
      </c>
      <c r="R100" s="65">
        <v>2033</v>
      </c>
      <c r="S100" s="65">
        <v>1837</v>
      </c>
      <c r="T100" s="65">
        <f t="shared" si="63"/>
        <v>1969.3333333333333</v>
      </c>
      <c r="U100" s="65">
        <f t="shared" si="64"/>
        <v>1946.4444444444443</v>
      </c>
      <c r="V100" s="65">
        <f t="shared" si="65"/>
        <v>24598.777777777777</v>
      </c>
      <c r="W100" s="73">
        <f t="shared" si="37"/>
        <v>3.4942777018051163E-4</v>
      </c>
      <c r="X100" s="89"/>
      <c r="Y100" s="65">
        <f>VLOOKUP($I100,'[15]Gasto Real Vs Presupuesto 2026'!$A$34:$N$56,Y$1,0)</f>
        <v>2042.1992387999994</v>
      </c>
      <c r="Z100" s="65">
        <f>VLOOKUP($I100,'[15]Gasto Real Vs Presupuesto 2026'!$A$34:$N$56,Z$1,0)</f>
        <v>1734.692904</v>
      </c>
      <c r="AA100" s="65">
        <f>VLOOKUP($I100,'[15]Gasto Real Vs Presupuesto 2026'!$A$34:$N$56,AA$1,0)</f>
        <v>1920.552858</v>
      </c>
      <c r="AB100" s="65">
        <f>VLOOKUP($I100,'[15]Gasto Real Vs Presupuesto 2026'!$A$34:$N$56,AB$1,0)</f>
        <v>1858.5995400000002</v>
      </c>
      <c r="AC100" s="65">
        <f>VLOOKUP($I100,'[15]Gasto Real Vs Presupuesto 2026'!$A$34:$N$56,AC$1,0)</f>
        <v>1920.552858</v>
      </c>
      <c r="AD100" s="65">
        <f>VLOOKUP($I100,'[15]Gasto Real Vs Presupuesto 2026'!$A$34:$N$56,AD$1,0)</f>
        <v>1858.5995400000002</v>
      </c>
      <c r="AE100" s="65">
        <f>VLOOKUP($I100,'[15]Gasto Real Vs Presupuesto 2026'!$A$34:$N$56,AE$1,0)</f>
        <v>1920.552858</v>
      </c>
      <c r="AF100" s="65">
        <f>VLOOKUP($I100,'[15]Gasto Real Vs Presupuesto 2026'!$A$34:$N$56,AF$1,0)</f>
        <v>1920.552858</v>
      </c>
      <c r="AG100" s="65">
        <f>VLOOKUP($I100,'[15]Gasto Real Vs Presupuesto 2026'!$A$34:$N$56,AG$1,0)</f>
        <v>1858.5995400000002</v>
      </c>
      <c r="AH100" s="65">
        <f>VLOOKUP($I100,'[15]Gasto Real Vs Presupuesto 2026'!$A$34:$N$56,AH$1,0)</f>
        <v>1920.552858</v>
      </c>
      <c r="AI100" s="65">
        <f>VLOOKUP($I100,'[15]Gasto Real Vs Presupuesto 2026'!$A$34:$N$56,AI$1,0)</f>
        <v>1858.5995400000002</v>
      </c>
      <c r="AJ100" s="65">
        <f>VLOOKUP($I100,'[15]Gasto Real Vs Presupuesto 2026'!$A$34:$N$56,AJ$1,0)</f>
        <v>1920.552858</v>
      </c>
      <c r="AK100" s="65">
        <f t="shared" si="66"/>
        <v>22734.607450799995</v>
      </c>
      <c r="AL100" s="73">
        <f t="shared" si="38"/>
        <v>2.8879995361068175E-4</v>
      </c>
      <c r="AM100" s="14">
        <f t="shared" si="39"/>
        <v>-7.5783046776488616E-2</v>
      </c>
      <c r="AN100" s="9"/>
    </row>
    <row r="101" spans="1:40" ht="15" customHeight="1" outlineLevel="1">
      <c r="A101" s="12" t="s">
        <v>208</v>
      </c>
      <c r="B101" s="8" t="s">
        <v>101</v>
      </c>
      <c r="I101" s="228" t="s">
        <v>213</v>
      </c>
      <c r="J101" s="65">
        <v>838</v>
      </c>
      <c r="K101" s="65">
        <v>760</v>
      </c>
      <c r="L101" s="65">
        <v>841</v>
      </c>
      <c r="M101" s="65">
        <v>782</v>
      </c>
      <c r="N101" s="65">
        <v>726</v>
      </c>
      <c r="O101" s="65">
        <v>635</v>
      </c>
      <c r="P101" s="65">
        <v>700</v>
      </c>
      <c r="Q101" s="65">
        <v>766</v>
      </c>
      <c r="R101" s="65">
        <v>760</v>
      </c>
      <c r="S101" s="65">
        <v>841</v>
      </c>
      <c r="T101" s="65">
        <f t="shared" si="63"/>
        <v>789</v>
      </c>
      <c r="U101" s="65">
        <f t="shared" si="64"/>
        <v>796.66666666666663</v>
      </c>
      <c r="V101" s="65">
        <f t="shared" si="65"/>
        <v>9234.6666666666661</v>
      </c>
      <c r="W101" s="73">
        <f t="shared" si="37"/>
        <v>1.3117924032017255E-4</v>
      </c>
      <c r="X101" s="89"/>
      <c r="Y101" s="65">
        <f>VLOOKUP($I101,'[15]Gasto Real Vs Presupuesto 2026'!$A$34:$N$56,Y$1,0)</f>
        <v>1031.6885495239724</v>
      </c>
      <c r="Z101" s="65">
        <f>VLOOKUP($I101,'[15]Gasto Real Vs Presupuesto 2026'!$A$34:$N$56,Z$1,0)</f>
        <v>886.69396171232881</v>
      </c>
      <c r="AA101" s="65">
        <f>VLOOKUP($I101,'[15]Gasto Real Vs Presupuesto 2026'!$A$34:$N$56,AA$1,0)</f>
        <v>981.69688618150678</v>
      </c>
      <c r="AB101" s="65">
        <f>VLOOKUP($I101,'[15]Gasto Real Vs Presupuesto 2026'!$A$34:$N$56,AB$1,0)</f>
        <v>950.02924469178083</v>
      </c>
      <c r="AC101" s="65">
        <f>VLOOKUP($I101,'[15]Gasto Real Vs Presupuesto 2026'!$A$34:$N$56,AC$1,0)</f>
        <v>981.69688618150678</v>
      </c>
      <c r="AD101" s="65">
        <f>VLOOKUP($I101,'[15]Gasto Real Vs Presupuesto 2026'!$A$34:$N$56,AD$1,0)</f>
        <v>950.02924469178083</v>
      </c>
      <c r="AE101" s="65">
        <f>VLOOKUP($I101,'[15]Gasto Real Vs Presupuesto 2026'!$A$34:$N$56,AE$1,0)</f>
        <v>981.69688618150678</v>
      </c>
      <c r="AF101" s="65">
        <f>VLOOKUP($I101,'[15]Gasto Real Vs Presupuesto 2026'!$A$34:$N$56,AF$1,0)</f>
        <v>981.69688618150678</v>
      </c>
      <c r="AG101" s="65">
        <f>VLOOKUP($I101,'[15]Gasto Real Vs Presupuesto 2026'!$A$34:$N$56,AG$1,0)</f>
        <v>950.02924469178083</v>
      </c>
      <c r="AH101" s="65">
        <f>VLOOKUP($I101,'[15]Gasto Real Vs Presupuesto 2026'!$A$34:$N$56,AH$1,0)</f>
        <v>981.69688618150678</v>
      </c>
      <c r="AI101" s="65">
        <f>VLOOKUP($I101,'[15]Gasto Real Vs Presupuesto 2026'!$A$34:$N$56,AI$1,0)</f>
        <v>950.02924469178083</v>
      </c>
      <c r="AJ101" s="65">
        <f>VLOOKUP($I101,'[15]Gasto Real Vs Presupuesto 2026'!$A$34:$N$56,AJ$1,0)</f>
        <v>981.69688618150678</v>
      </c>
      <c r="AK101" s="65">
        <f t="shared" si="66"/>
        <v>11608.680807092467</v>
      </c>
      <c r="AL101" s="73">
        <f t="shared" si="38"/>
        <v>1.474662136051768E-4</v>
      </c>
      <c r="AM101" s="14">
        <f t="shared" si="39"/>
        <v>0.25707632187689167</v>
      </c>
      <c r="AN101" s="9"/>
    </row>
    <row r="102" spans="1:40" ht="15" customHeight="1" outlineLevel="1">
      <c r="A102" s="12" t="s">
        <v>208</v>
      </c>
      <c r="B102" s="8" t="s">
        <v>101</v>
      </c>
      <c r="I102" s="228" t="s">
        <v>215</v>
      </c>
      <c r="J102" s="65">
        <v>0</v>
      </c>
      <c r="K102" s="65">
        <v>0</v>
      </c>
      <c r="L102" s="65">
        <v>0</v>
      </c>
      <c r="M102" s="65">
        <v>1757</v>
      </c>
      <c r="N102" s="65">
        <v>0</v>
      </c>
      <c r="O102" s="65">
        <v>181</v>
      </c>
      <c r="P102" s="65">
        <v>0</v>
      </c>
      <c r="Q102" s="65">
        <v>0</v>
      </c>
      <c r="R102" s="65">
        <v>0</v>
      </c>
      <c r="S102" s="65">
        <v>0</v>
      </c>
      <c r="T102" s="65">
        <f t="shared" si="63"/>
        <v>0</v>
      </c>
      <c r="U102" s="65">
        <f t="shared" si="64"/>
        <v>0</v>
      </c>
      <c r="V102" s="65">
        <f t="shared" si="65"/>
        <v>1938</v>
      </c>
      <c r="W102" s="73">
        <f t="shared" si="37"/>
        <v>2.7529457956305344E-5</v>
      </c>
      <c r="X102" s="89"/>
      <c r="Y102" s="65">
        <f>VLOOKUP($I102,'[15]Gasto Real Vs Presupuesto 2026'!$A$34:$N$56,Y$1,0)</f>
        <v>0</v>
      </c>
      <c r="Z102" s="65">
        <f>VLOOKUP($I102,'[15]Gasto Real Vs Presupuesto 2026'!$A$34:$N$56,Z$1,0)</f>
        <v>0</v>
      </c>
      <c r="AA102" s="65">
        <f>VLOOKUP($I102,'[15]Gasto Real Vs Presupuesto 2026'!$A$34:$N$56,AA$1,0)</f>
        <v>0</v>
      </c>
      <c r="AB102" s="65">
        <f>VLOOKUP($I102,'[15]Gasto Real Vs Presupuesto 2026'!$A$34:$N$56,AB$1,0)</f>
        <v>0</v>
      </c>
      <c r="AC102" s="65">
        <f>VLOOKUP($I102,'[15]Gasto Real Vs Presupuesto 2026'!$A$34:$N$56,AC$1,0)</f>
        <v>0</v>
      </c>
      <c r="AD102" s="65">
        <f>VLOOKUP($I102,'[15]Gasto Real Vs Presupuesto 2026'!$A$34:$N$56,AD$1,0)</f>
        <v>0</v>
      </c>
      <c r="AE102" s="65">
        <f>VLOOKUP($I102,'[15]Gasto Real Vs Presupuesto 2026'!$A$34:$N$56,AE$1,0)</f>
        <v>0</v>
      </c>
      <c r="AF102" s="65">
        <f>VLOOKUP($I102,'[15]Gasto Real Vs Presupuesto 2026'!$A$34:$N$56,AF$1,0)</f>
        <v>0</v>
      </c>
      <c r="AG102" s="65">
        <f>VLOOKUP($I102,'[15]Gasto Real Vs Presupuesto 2026'!$A$34:$N$56,AG$1,0)</f>
        <v>0</v>
      </c>
      <c r="AH102" s="65">
        <f>VLOOKUP($I102,'[15]Gasto Real Vs Presupuesto 2026'!$A$34:$N$56,AH$1,0)</f>
        <v>0</v>
      </c>
      <c r="AI102" s="65">
        <f>VLOOKUP($I102,'[15]Gasto Real Vs Presupuesto 2026'!$A$34:$N$56,AI$1,0)</f>
        <v>0</v>
      </c>
      <c r="AJ102" s="65">
        <f>VLOOKUP($I102,'[15]Gasto Real Vs Presupuesto 2026'!$A$34:$N$56,AJ$1,0)</f>
        <v>0</v>
      </c>
      <c r="AK102" s="65">
        <f t="shared" si="66"/>
        <v>0</v>
      </c>
      <c r="AL102" s="73">
        <f t="shared" si="38"/>
        <v>0</v>
      </c>
      <c r="AM102" s="14">
        <f t="shared" si="39"/>
        <v>-1</v>
      </c>
      <c r="AN102" s="9"/>
    </row>
    <row r="103" spans="1:40" ht="14.45" customHeight="1">
      <c r="A103" s="12" t="s">
        <v>214</v>
      </c>
      <c r="B103" s="8" t="s">
        <v>101</v>
      </c>
      <c r="C103" s="8" t="s">
        <v>91</v>
      </c>
      <c r="I103" s="228" t="s">
        <v>216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/>
      <c r="T103" s="65"/>
      <c r="U103" s="65"/>
      <c r="V103" s="65"/>
      <c r="W103" s="73">
        <f t="shared" si="37"/>
        <v>0</v>
      </c>
      <c r="X103" s="89"/>
      <c r="Y103" s="65">
        <f>VLOOKUP($I103,'[15]Gasto Real Vs Presupuesto 2026'!$A$34:$N$56,Y$1,0)</f>
        <v>0</v>
      </c>
      <c r="Z103" s="65">
        <f>VLOOKUP($I103,'[15]Gasto Real Vs Presupuesto 2026'!$A$34:$N$56,Z$1,0)</f>
        <v>0</v>
      </c>
      <c r="AA103" s="65">
        <f>VLOOKUP($I103,'[15]Gasto Real Vs Presupuesto 2026'!$A$34:$N$56,AA$1,0)</f>
        <v>0</v>
      </c>
      <c r="AB103" s="65">
        <f>VLOOKUP($I103,'[15]Gasto Real Vs Presupuesto 2026'!$A$34:$N$56,AB$1,0)</f>
        <v>0</v>
      </c>
      <c r="AC103" s="65">
        <f>VLOOKUP($I103,'[15]Gasto Real Vs Presupuesto 2026'!$A$34:$N$56,AC$1,0)</f>
        <v>0</v>
      </c>
      <c r="AD103" s="65">
        <f>VLOOKUP($I103,'[15]Gasto Real Vs Presupuesto 2026'!$A$34:$N$56,AD$1,0)</f>
        <v>0</v>
      </c>
      <c r="AE103" s="65">
        <f>VLOOKUP($I103,'[15]Gasto Real Vs Presupuesto 2026'!$A$34:$N$56,AE$1,0)</f>
        <v>0</v>
      </c>
      <c r="AF103" s="65">
        <f>VLOOKUP($I103,'[15]Gasto Real Vs Presupuesto 2026'!$A$34:$N$56,AF$1,0)</f>
        <v>0</v>
      </c>
      <c r="AG103" s="65">
        <f>VLOOKUP($I103,'[15]Gasto Real Vs Presupuesto 2026'!$A$34:$N$56,AG$1,0)</f>
        <v>0</v>
      </c>
      <c r="AH103" s="65">
        <f>VLOOKUP($I103,'[15]Gasto Real Vs Presupuesto 2026'!$A$34:$N$56,AH$1,0)</f>
        <v>0</v>
      </c>
      <c r="AI103" s="65">
        <f>VLOOKUP($I103,'[15]Gasto Real Vs Presupuesto 2026'!$A$34:$N$56,AI$1,0)</f>
        <v>0</v>
      </c>
      <c r="AJ103" s="65">
        <f>VLOOKUP($I103,'[15]Gasto Real Vs Presupuesto 2026'!$A$34:$N$56,AJ$1,0)</f>
        <v>0</v>
      </c>
      <c r="AK103" s="65">
        <f t="shared" si="66"/>
        <v>0</v>
      </c>
      <c r="AL103" s="73">
        <f t="shared" si="38"/>
        <v>0</v>
      </c>
      <c r="AM103" s="14">
        <f t="shared" si="39"/>
        <v>0</v>
      </c>
      <c r="AN103" s="9"/>
    </row>
    <row r="104" spans="1:40" ht="14.45" customHeight="1" outlineLevel="1">
      <c r="A104" s="12" t="s">
        <v>214</v>
      </c>
      <c r="B104" s="8" t="s">
        <v>101</v>
      </c>
      <c r="I104" s="228" t="s">
        <v>217</v>
      </c>
      <c r="J104" s="65">
        <v>98823</v>
      </c>
      <c r="K104" s="65">
        <v>81564</v>
      </c>
      <c r="L104" s="65">
        <v>94305</v>
      </c>
      <c r="M104" s="65">
        <v>81232</v>
      </c>
      <c r="N104" s="65">
        <v>79129</v>
      </c>
      <c r="O104" s="65">
        <v>78098</v>
      </c>
      <c r="P104" s="65">
        <v>79287</v>
      </c>
      <c r="Q104" s="65">
        <v>89178</v>
      </c>
      <c r="R104" s="65">
        <v>92268</v>
      </c>
      <c r="S104" s="65">
        <v>89185</v>
      </c>
      <c r="T104" s="65">
        <f t="shared" si="63"/>
        <v>90210.333333333328</v>
      </c>
      <c r="U104" s="65">
        <f t="shared" si="64"/>
        <v>90554.444444444438</v>
      </c>
      <c r="V104" s="65">
        <f t="shared" si="65"/>
        <v>1043833.7777777778</v>
      </c>
      <c r="W104" s="73">
        <f t="shared" si="37"/>
        <v>1.4827749276937413E-2</v>
      </c>
      <c r="X104" s="89"/>
      <c r="Y104" s="65">
        <f>VLOOKUP($I104,'[15]Gasto Real Vs Presupuesto 2026'!$A$34:$N$56,Y$1,0)</f>
        <v>100417.68548700001</v>
      </c>
      <c r="Z104" s="65">
        <f>VLOOKUP($I104,'[15]Gasto Real Vs Presupuesto 2026'!$A$34:$N$56,Z$1,0)</f>
        <v>86304.87894000001</v>
      </c>
      <c r="AA104" s="65">
        <f>VLOOKUP($I104,'[15]Gasto Real Vs Presupuesto 2026'!$A$34:$N$56,AA$1,0)</f>
        <v>95551.830255000008</v>
      </c>
      <c r="AB104" s="65">
        <f>VLOOKUP($I104,'[15]Gasto Real Vs Presupuesto 2026'!$A$34:$N$56,AB$1,0)</f>
        <v>92469.513149999999</v>
      </c>
      <c r="AC104" s="65">
        <f>VLOOKUP($I104,'[15]Gasto Real Vs Presupuesto 2026'!$A$34:$N$56,AC$1,0)</f>
        <v>95551.830255000008</v>
      </c>
      <c r="AD104" s="65">
        <f>VLOOKUP($I104,'[15]Gasto Real Vs Presupuesto 2026'!$A$34:$N$56,AD$1,0)</f>
        <v>92469.513149999999</v>
      </c>
      <c r="AE104" s="65">
        <f>VLOOKUP($I104,'[15]Gasto Real Vs Presupuesto 2026'!$A$34:$N$56,AE$1,0)</f>
        <v>95551.830255000008</v>
      </c>
      <c r="AF104" s="65">
        <f>VLOOKUP($I104,'[15]Gasto Real Vs Presupuesto 2026'!$A$34:$N$56,AF$1,0)</f>
        <v>95551.830255000008</v>
      </c>
      <c r="AG104" s="65">
        <f>VLOOKUP($I104,'[15]Gasto Real Vs Presupuesto 2026'!$A$34:$N$56,AG$1,0)</f>
        <v>92469.513149999999</v>
      </c>
      <c r="AH104" s="65">
        <f>VLOOKUP($I104,'[15]Gasto Real Vs Presupuesto 2026'!$A$34:$N$56,AH$1,0)</f>
        <v>95551.830255000008</v>
      </c>
      <c r="AI104" s="65">
        <f>VLOOKUP($I104,'[15]Gasto Real Vs Presupuesto 2026'!$A$34:$N$56,AI$1,0)</f>
        <v>92469.513149999999</v>
      </c>
      <c r="AJ104" s="65">
        <f>VLOOKUP($I104,'[15]Gasto Real Vs Presupuesto 2026'!$A$34:$N$56,AJ$1,0)</f>
        <v>95551.830255000008</v>
      </c>
      <c r="AK104" s="65">
        <f t="shared" si="66"/>
        <v>1129911.5985570003</v>
      </c>
      <c r="AL104" s="73">
        <f t="shared" si="38"/>
        <v>1.4353378124237211E-2</v>
      </c>
      <c r="AM104" s="14">
        <f t="shared" si="39"/>
        <v>8.2463149412997483E-2</v>
      </c>
      <c r="AN104" s="9"/>
    </row>
    <row r="105" spans="1:40" ht="14.45" customHeight="1" outlineLevel="1">
      <c r="A105" s="12"/>
      <c r="I105" s="228" t="s">
        <v>218</v>
      </c>
      <c r="J105" s="65">
        <v>144</v>
      </c>
      <c r="K105" s="65">
        <v>0</v>
      </c>
      <c r="L105" s="65">
        <v>722</v>
      </c>
      <c r="M105" s="65">
        <v>1445</v>
      </c>
      <c r="N105" s="65">
        <v>0</v>
      </c>
      <c r="O105" s="65">
        <v>0</v>
      </c>
      <c r="P105" s="65">
        <v>867</v>
      </c>
      <c r="Q105" s="65">
        <v>0</v>
      </c>
      <c r="R105" s="65">
        <v>0</v>
      </c>
      <c r="S105" s="65">
        <v>0</v>
      </c>
      <c r="T105" s="65">
        <f t="shared" si="63"/>
        <v>0</v>
      </c>
      <c r="U105" s="65">
        <f t="shared" si="64"/>
        <v>0</v>
      </c>
      <c r="V105" s="65">
        <f t="shared" si="65"/>
        <v>3178</v>
      </c>
      <c r="W105" s="73">
        <f t="shared" si="37"/>
        <v>4.5143765420608038E-5</v>
      </c>
      <c r="X105" s="89"/>
      <c r="Y105" s="65">
        <f>VLOOKUP($I105,'[15]Gasto Real Vs Presupuesto 2026'!$A$34:$N$56,Y$1,0)</f>
        <v>0</v>
      </c>
      <c r="Z105" s="65">
        <f>VLOOKUP($I105,'[15]Gasto Real Vs Presupuesto 2026'!$A$34:$N$56,Z$1,0)</f>
        <v>0</v>
      </c>
      <c r="AA105" s="65">
        <f>VLOOKUP($I105,'[15]Gasto Real Vs Presupuesto 2026'!$A$34:$N$56,AA$1,0)</f>
        <v>0</v>
      </c>
      <c r="AB105" s="65">
        <f>VLOOKUP($I105,'[15]Gasto Real Vs Presupuesto 2026'!$A$34:$N$56,AB$1,0)</f>
        <v>0</v>
      </c>
      <c r="AC105" s="65">
        <f>VLOOKUP($I105,'[15]Gasto Real Vs Presupuesto 2026'!$A$34:$N$56,AC$1,0)</f>
        <v>0</v>
      </c>
      <c r="AD105" s="65">
        <f>VLOOKUP($I105,'[15]Gasto Real Vs Presupuesto 2026'!$A$34:$N$56,AD$1,0)</f>
        <v>0</v>
      </c>
      <c r="AE105" s="65">
        <f>VLOOKUP($I105,'[15]Gasto Real Vs Presupuesto 2026'!$A$34:$N$56,AE$1,0)</f>
        <v>0</v>
      </c>
      <c r="AF105" s="65">
        <f>VLOOKUP($I105,'[15]Gasto Real Vs Presupuesto 2026'!$A$34:$N$56,AF$1,0)</f>
        <v>0</v>
      </c>
      <c r="AG105" s="65">
        <f>VLOOKUP($I105,'[15]Gasto Real Vs Presupuesto 2026'!$A$34:$N$56,AG$1,0)</f>
        <v>0</v>
      </c>
      <c r="AH105" s="65">
        <f>VLOOKUP($I105,'[15]Gasto Real Vs Presupuesto 2026'!$A$34:$N$56,AH$1,0)</f>
        <v>0</v>
      </c>
      <c r="AI105" s="65">
        <f>VLOOKUP($I105,'[15]Gasto Real Vs Presupuesto 2026'!$A$34:$N$56,AI$1,0)</f>
        <v>0</v>
      </c>
      <c r="AJ105" s="65">
        <f>VLOOKUP($I105,'[15]Gasto Real Vs Presupuesto 2026'!$A$34:$N$56,AJ$1,0)</f>
        <v>0</v>
      </c>
      <c r="AK105" s="65">
        <f t="shared" si="66"/>
        <v>0</v>
      </c>
      <c r="AL105" s="73">
        <f t="shared" si="38"/>
        <v>0</v>
      </c>
      <c r="AM105" s="14">
        <f t="shared" si="39"/>
        <v>-1</v>
      </c>
      <c r="AN105" s="9"/>
    </row>
    <row r="106" spans="1:40" ht="14.45" customHeight="1" outlineLevel="1">
      <c r="A106" s="12"/>
      <c r="I106" s="228" t="s">
        <v>219</v>
      </c>
      <c r="J106" s="65">
        <v>3359</v>
      </c>
      <c r="K106" s="65">
        <v>3040</v>
      </c>
      <c r="L106" s="65">
        <v>3362</v>
      </c>
      <c r="M106" s="65">
        <v>3128</v>
      </c>
      <c r="N106" s="65">
        <v>2902</v>
      </c>
      <c r="O106" s="65">
        <v>2538</v>
      </c>
      <c r="P106" s="65">
        <v>2799</v>
      </c>
      <c r="Q106" s="65">
        <v>3065</v>
      </c>
      <c r="R106" s="65">
        <v>3041</v>
      </c>
      <c r="S106" s="65">
        <v>3362</v>
      </c>
      <c r="T106" s="65">
        <f t="shared" si="63"/>
        <v>3156</v>
      </c>
      <c r="U106" s="65">
        <f t="shared" si="64"/>
        <v>3186.3333333333335</v>
      </c>
      <c r="V106" s="65">
        <f t="shared" si="65"/>
        <v>36938.333333333336</v>
      </c>
      <c r="W106" s="73">
        <f t="shared" si="37"/>
        <v>5.24712226251802E-4</v>
      </c>
      <c r="X106" s="89"/>
      <c r="Y106" s="65">
        <f>VLOOKUP($I106,'[15]Gasto Real Vs Presupuesto 2026'!$A$34:$N$56,Y$1,0)</f>
        <v>0</v>
      </c>
      <c r="Z106" s="65">
        <f>VLOOKUP($I106,'[15]Gasto Real Vs Presupuesto 2026'!$A$34:$N$56,Z$1,0)</f>
        <v>0</v>
      </c>
      <c r="AA106" s="65">
        <f>VLOOKUP($I106,'[15]Gasto Real Vs Presupuesto 2026'!$A$34:$N$56,AA$1,0)</f>
        <v>0</v>
      </c>
      <c r="AB106" s="65">
        <f>VLOOKUP($I106,'[15]Gasto Real Vs Presupuesto 2026'!$A$34:$N$56,AB$1,0)</f>
        <v>0</v>
      </c>
      <c r="AC106" s="65">
        <f>VLOOKUP($I106,'[15]Gasto Real Vs Presupuesto 2026'!$A$34:$N$56,AC$1,0)</f>
        <v>0</v>
      </c>
      <c r="AD106" s="65">
        <f>VLOOKUP($I106,'[15]Gasto Real Vs Presupuesto 2026'!$A$34:$N$56,AD$1,0)</f>
        <v>0</v>
      </c>
      <c r="AE106" s="65">
        <f>VLOOKUP($I106,'[15]Gasto Real Vs Presupuesto 2026'!$A$34:$N$56,AE$1,0)</f>
        <v>0</v>
      </c>
      <c r="AF106" s="65">
        <f>VLOOKUP($I106,'[15]Gasto Real Vs Presupuesto 2026'!$A$34:$N$56,AF$1,0)</f>
        <v>0</v>
      </c>
      <c r="AG106" s="65">
        <f>VLOOKUP($I106,'[15]Gasto Real Vs Presupuesto 2026'!$A$34:$N$56,AG$1,0)</f>
        <v>0</v>
      </c>
      <c r="AH106" s="65">
        <f>VLOOKUP($I106,'[15]Gasto Real Vs Presupuesto 2026'!$A$34:$N$56,AH$1,0)</f>
        <v>0</v>
      </c>
      <c r="AI106" s="65">
        <f>VLOOKUP($I106,'[15]Gasto Real Vs Presupuesto 2026'!$A$34:$N$56,AI$1,0)</f>
        <v>0</v>
      </c>
      <c r="AJ106" s="65">
        <f>VLOOKUP($I106,'[15]Gasto Real Vs Presupuesto 2026'!$A$34:$N$56,AJ$1,0)</f>
        <v>0</v>
      </c>
      <c r="AK106" s="65">
        <f t="shared" si="66"/>
        <v>0</v>
      </c>
      <c r="AL106" s="73">
        <f t="shared" si="38"/>
        <v>0</v>
      </c>
      <c r="AM106" s="14">
        <f t="shared" si="39"/>
        <v>-1</v>
      </c>
      <c r="AN106" s="9"/>
    </row>
    <row r="107" spans="1:40" ht="14.45" customHeight="1" outlineLevel="1">
      <c r="A107" s="12"/>
      <c r="E107" s="7" t="s">
        <v>470</v>
      </c>
      <c r="I107" s="170" t="s">
        <v>220</v>
      </c>
      <c r="J107" s="15">
        <v>32027</v>
      </c>
      <c r="K107" s="15">
        <v>27284</v>
      </c>
      <c r="L107" s="15">
        <v>32442</v>
      </c>
      <c r="M107" s="15">
        <v>28714</v>
      </c>
      <c r="N107" s="15">
        <v>26956</v>
      </c>
      <c r="O107" s="15">
        <v>25382</v>
      </c>
      <c r="P107" s="15">
        <v>26504</v>
      </c>
      <c r="Q107" s="15">
        <v>29449</v>
      </c>
      <c r="R107" s="15">
        <v>30613</v>
      </c>
      <c r="S107" s="15">
        <v>30245</v>
      </c>
      <c r="T107" s="15">
        <f t="shared" ref="K107:V107" si="67">SUM(T108:T111)</f>
        <v>30101.333333333336</v>
      </c>
      <c r="U107" s="15">
        <f t="shared" si="67"/>
        <v>30319.111111111109</v>
      </c>
      <c r="V107" s="15">
        <f t="shared" si="67"/>
        <v>350032.44444444444</v>
      </c>
      <c r="W107" s="72">
        <f t="shared" si="37"/>
        <v>4.9722412088112067E-3</v>
      </c>
      <c r="X107" s="89"/>
      <c r="Y107" s="15">
        <f>SUM(Y108:Y111)</f>
        <v>35068.087839043779</v>
      </c>
      <c r="Z107" s="15">
        <f t="shared" ref="Z107:AK107" si="68">SUM(Z108:Z111)</f>
        <v>30866.715195767156</v>
      </c>
      <c r="AA107" s="15">
        <f t="shared" si="68"/>
        <v>33776.026729352074</v>
      </c>
      <c r="AB107" s="15">
        <f t="shared" si="68"/>
        <v>31932.740622284953</v>
      </c>
      <c r="AC107" s="15">
        <f t="shared" si="68"/>
        <v>33776.026729352074</v>
      </c>
      <c r="AD107" s="15">
        <f t="shared" si="68"/>
        <v>31932.740622284953</v>
      </c>
      <c r="AE107" s="15">
        <f t="shared" si="68"/>
        <v>32689.883278957852</v>
      </c>
      <c r="AF107" s="15">
        <f t="shared" si="68"/>
        <v>32689.883278957852</v>
      </c>
      <c r="AG107" s="15">
        <f t="shared" si="68"/>
        <v>32806.256218157105</v>
      </c>
      <c r="AH107" s="15">
        <f t="shared" si="68"/>
        <v>32689.883278957852</v>
      </c>
      <c r="AI107" s="15">
        <f t="shared" si="68"/>
        <v>32806.256218157105</v>
      </c>
      <c r="AJ107" s="15">
        <f t="shared" si="68"/>
        <v>33776.026729352074</v>
      </c>
      <c r="AK107" s="15">
        <f t="shared" si="68"/>
        <v>394810.52674062486</v>
      </c>
      <c r="AL107" s="72">
        <f t="shared" si="38"/>
        <v>5.0153169371608859E-3</v>
      </c>
      <c r="AM107" s="10">
        <f t="shared" si="39"/>
        <v>0.1279255194964859</v>
      </c>
      <c r="AN107" s="9"/>
    </row>
    <row r="108" spans="1:40" ht="14.45" customHeight="1" outlineLevel="1">
      <c r="A108" s="12"/>
      <c r="I108" s="218" t="s">
        <v>221</v>
      </c>
      <c r="J108" s="65">
        <v>5790</v>
      </c>
      <c r="K108" s="65">
        <v>5023</v>
      </c>
      <c r="L108" s="65">
        <v>5774</v>
      </c>
      <c r="M108" s="65">
        <v>5040</v>
      </c>
      <c r="N108" s="65">
        <v>4856</v>
      </c>
      <c r="O108" s="65">
        <v>4626</v>
      </c>
      <c r="P108" s="65">
        <v>4828</v>
      </c>
      <c r="Q108" s="65">
        <v>5454</v>
      </c>
      <c r="R108" s="65">
        <v>5588</v>
      </c>
      <c r="S108" s="65">
        <v>5622</v>
      </c>
      <c r="T108" s="65">
        <f t="shared" ref="T108:T111" si="69">+AVERAGE(Q108:S108)</f>
        <v>5554.666666666667</v>
      </c>
      <c r="U108" s="65">
        <f t="shared" ref="U108:U111" si="70">+AVERAGE(R108:T108)</f>
        <v>5588.2222222222226</v>
      </c>
      <c r="V108" s="65">
        <f t="shared" ref="V108:V161" si="71">SUM(J108:U108)</f>
        <v>63743.888888888891</v>
      </c>
      <c r="W108" s="73">
        <f t="shared" si="37"/>
        <v>9.0548746601551401E-4</v>
      </c>
      <c r="X108" s="89"/>
      <c r="Y108" s="65">
        <f>VLOOKUP($I108,'[15]Gasto Real Vs Presupuesto 2026'!$A$34:$N$56,Y$1,0)</f>
        <v>6171.8190271481371</v>
      </c>
      <c r="Z108" s="65">
        <f>VLOOKUP($I108,'[15]Gasto Real Vs Presupuesto 2026'!$A$34:$N$56,Z$1,0)</f>
        <v>5405.1369517852263</v>
      </c>
      <c r="AA108" s="65">
        <f>VLOOKUP($I108,'[15]Gasto Real Vs Presupuesto 2026'!$A$34:$N$56,AA$1,0)</f>
        <v>5900.5282463525209</v>
      </c>
      <c r="AB108" s="65">
        <f>VLOOKUP($I108,'[15]Gasto Real Vs Presupuesto 2026'!$A$34:$N$56,AB$1,0)</f>
        <v>5550.4587885300898</v>
      </c>
      <c r="AC108" s="65">
        <f>VLOOKUP($I108,'[15]Gasto Real Vs Presupuesto 2026'!$A$34:$N$56,AC$1,0)</f>
        <v>5900.5282463525209</v>
      </c>
      <c r="AD108" s="65">
        <f>VLOOKUP($I108,'[15]Gasto Real Vs Presupuesto 2026'!$A$34:$N$56,AD$1,0)</f>
        <v>5550.4587885300898</v>
      </c>
      <c r="AE108" s="65">
        <f>VLOOKUP($I108,'[15]Gasto Real Vs Presupuesto 2026'!$A$34:$N$56,AE$1,0)</f>
        <v>5715.5892200525195</v>
      </c>
      <c r="AF108" s="65">
        <f>VLOOKUP($I108,'[15]Gasto Real Vs Presupuesto 2026'!$A$34:$N$56,AF$1,0)</f>
        <v>5715.5892200525195</v>
      </c>
      <c r="AG108" s="65">
        <f>VLOOKUP($I108,'[15]Gasto Real Vs Presupuesto 2026'!$A$34:$N$56,AG$1,0)</f>
        <v>5735.3978148300894</v>
      </c>
      <c r="AH108" s="65">
        <f>VLOOKUP($I108,'[15]Gasto Real Vs Presupuesto 2026'!$A$34:$N$56,AH$1,0)</f>
        <v>5715.5892200525195</v>
      </c>
      <c r="AI108" s="65">
        <f>VLOOKUP($I108,'[15]Gasto Real Vs Presupuesto 2026'!$A$34:$N$56,AI$1,0)</f>
        <v>5735.3978148300894</v>
      </c>
      <c r="AJ108" s="65">
        <f>VLOOKUP($I108,'[15]Gasto Real Vs Presupuesto 2026'!$A$34:$N$56,AJ$1,0)</f>
        <v>5900.5282463525209</v>
      </c>
      <c r="AK108" s="65">
        <f t="shared" si="66"/>
        <v>68997.021584868839</v>
      </c>
      <c r="AL108" s="73">
        <f t="shared" si="38"/>
        <v>8.7647594866583679E-4</v>
      </c>
      <c r="AM108" s="14">
        <f t="shared" si="39"/>
        <v>8.2409981373063212E-2</v>
      </c>
      <c r="AN108" s="9"/>
    </row>
    <row r="109" spans="1:40" ht="14.45" customHeight="1" outlineLevel="1">
      <c r="A109" s="12"/>
      <c r="I109" s="218" t="s">
        <v>222</v>
      </c>
      <c r="J109" s="65">
        <v>8786</v>
      </c>
      <c r="K109" s="65">
        <v>7244</v>
      </c>
      <c r="L109" s="65">
        <v>8717</v>
      </c>
      <c r="M109" s="65">
        <v>7721</v>
      </c>
      <c r="N109" s="65">
        <v>7504</v>
      </c>
      <c r="O109" s="65">
        <v>7144</v>
      </c>
      <c r="P109" s="65">
        <v>7486</v>
      </c>
      <c r="Q109" s="65">
        <v>8417</v>
      </c>
      <c r="R109" s="65">
        <v>8729</v>
      </c>
      <c r="S109" s="65">
        <v>8771</v>
      </c>
      <c r="T109" s="65">
        <f t="shared" si="69"/>
        <v>8639</v>
      </c>
      <c r="U109" s="65">
        <f t="shared" si="70"/>
        <v>8713</v>
      </c>
      <c r="V109" s="65">
        <f t="shared" si="71"/>
        <v>97871</v>
      </c>
      <c r="W109" s="73">
        <f t="shared" si="37"/>
        <v>1.3902660369667494E-3</v>
      </c>
      <c r="X109" s="89"/>
      <c r="Y109" s="65">
        <f>VLOOKUP($I109,'[15]Gasto Real Vs Presupuesto 2026'!$A$34:$N$56,Y$1,0)</f>
        <v>10821.144576323415</v>
      </c>
      <c r="Z109" s="65">
        <f>VLOOKUP($I109,'[15]Gasto Real Vs Presupuesto 2026'!$A$34:$N$56,Z$1,0)</f>
        <v>9470.1846037175255</v>
      </c>
      <c r="AA109" s="65">
        <f>VLOOKUP($I109,'[15]Gasto Real Vs Presupuesto 2026'!$A$34:$N$56,AA$1,0)</f>
        <v>10336.080215470074</v>
      </c>
      <c r="AB109" s="65">
        <f>VLOOKUP($I109,'[15]Gasto Real Vs Presupuesto 2026'!$A$34:$N$56,AB$1,0)</f>
        <v>9724.0627332311924</v>
      </c>
      <c r="AC109" s="65">
        <f>VLOOKUP($I109,'[15]Gasto Real Vs Presupuesto 2026'!$A$34:$N$56,AC$1,0)</f>
        <v>10336.080215470074</v>
      </c>
      <c r="AD109" s="65">
        <f>VLOOKUP($I109,'[15]Gasto Real Vs Presupuesto 2026'!$A$34:$N$56,AD$1,0)</f>
        <v>9724.0627332311924</v>
      </c>
      <c r="AE109" s="65">
        <f>VLOOKUP($I109,'[15]Gasto Real Vs Presupuesto 2026'!$A$34:$N$56,AE$1,0)</f>
        <v>9800.066749293308</v>
      </c>
      <c r="AF109" s="65">
        <f>VLOOKUP($I109,'[15]Gasto Real Vs Presupuesto 2026'!$A$34:$N$56,AF$1,0)</f>
        <v>9800.066749293308</v>
      </c>
      <c r="AG109" s="65">
        <f>VLOOKUP($I109,'[15]Gasto Real Vs Presupuesto 2026'!$A$34:$N$56,AG$1,0)</f>
        <v>10047.448344885892</v>
      </c>
      <c r="AH109" s="65">
        <f>VLOOKUP($I109,'[15]Gasto Real Vs Presupuesto 2026'!$A$34:$N$56,AH$1,0)</f>
        <v>9800.066749293308</v>
      </c>
      <c r="AI109" s="65">
        <f>VLOOKUP($I109,'[15]Gasto Real Vs Presupuesto 2026'!$A$34:$N$56,AI$1,0)</f>
        <v>10047.448344885892</v>
      </c>
      <c r="AJ109" s="65">
        <f>VLOOKUP($I109,'[15]Gasto Real Vs Presupuesto 2026'!$A$34:$N$56,AJ$1,0)</f>
        <v>10336.080215470074</v>
      </c>
      <c r="AK109" s="65">
        <f t="shared" si="66"/>
        <v>120242.79223056528</v>
      </c>
      <c r="AL109" s="73">
        <f t="shared" si="38"/>
        <v>1.5274560114291367E-3</v>
      </c>
      <c r="AM109" s="14">
        <f t="shared" si="39"/>
        <v>0.22858448601286674</v>
      </c>
      <c r="AN109" s="9"/>
    </row>
    <row r="110" spans="1:40" ht="14.45" customHeight="1" outlineLevel="1">
      <c r="A110" s="12"/>
      <c r="I110" s="218" t="s">
        <v>223</v>
      </c>
      <c r="J110" s="65">
        <v>13460</v>
      </c>
      <c r="K110" s="65">
        <v>11705</v>
      </c>
      <c r="L110" s="65">
        <v>13891</v>
      </c>
      <c r="M110" s="65">
        <v>11767</v>
      </c>
      <c r="N110" s="65">
        <v>11014</v>
      </c>
      <c r="O110" s="65">
        <v>10392</v>
      </c>
      <c r="P110" s="65">
        <v>10630</v>
      </c>
      <c r="Q110" s="65">
        <v>12110</v>
      </c>
      <c r="R110" s="65">
        <v>12024</v>
      </c>
      <c r="S110" s="65">
        <v>12285</v>
      </c>
      <c r="T110" s="65">
        <f t="shared" si="69"/>
        <v>12139.666666666666</v>
      </c>
      <c r="U110" s="65">
        <f t="shared" si="70"/>
        <v>12149.555555555555</v>
      </c>
      <c r="V110" s="65">
        <f t="shared" si="71"/>
        <v>143567.22222222222</v>
      </c>
      <c r="W110" s="73">
        <f t="shared" si="37"/>
        <v>2.0393848338855587E-3</v>
      </c>
      <c r="X110" s="89"/>
      <c r="Y110" s="65">
        <f>VLOOKUP($I110,'[15]Gasto Real Vs Presupuesto 2026'!$A$34:$N$56,Y$1,0)</f>
        <v>13903.713016883346</v>
      </c>
      <c r="Z110" s="65">
        <f>VLOOKUP($I110,'[15]Gasto Real Vs Presupuesto 2026'!$A$34:$N$56,Z$1,0)</f>
        <v>12325.312937993269</v>
      </c>
      <c r="AA110" s="65">
        <f>VLOOKUP($I110,'[15]Gasto Real Vs Presupuesto 2026'!$A$34:$N$56,AA$1,0)</f>
        <v>13530.78151731797</v>
      </c>
      <c r="AB110" s="65">
        <f>VLOOKUP($I110,'[15]Gasto Real Vs Presupuesto 2026'!$A$34:$N$56,AB$1,0)</f>
        <v>12874.731115405621</v>
      </c>
      <c r="AC110" s="65">
        <f>VLOOKUP($I110,'[15]Gasto Real Vs Presupuesto 2026'!$A$34:$N$56,AC$1,0)</f>
        <v>13530.78151731797</v>
      </c>
      <c r="AD110" s="65">
        <f>VLOOKUP($I110,'[15]Gasto Real Vs Presupuesto 2026'!$A$34:$N$56,AD$1,0)</f>
        <v>12874.731115405621</v>
      </c>
      <c r="AE110" s="65">
        <f>VLOOKUP($I110,'[15]Gasto Real Vs Presupuesto 2026'!$A$34:$N$56,AE$1,0)</f>
        <v>13276.553975180514</v>
      </c>
      <c r="AF110" s="65">
        <f>VLOOKUP($I110,'[15]Gasto Real Vs Presupuesto 2026'!$A$34:$N$56,AF$1,0)</f>
        <v>13276.553975180514</v>
      </c>
      <c r="AG110" s="65">
        <f>VLOOKUP($I110,'[15]Gasto Real Vs Presupuesto 2026'!$A$34:$N$56,AG$1,0)</f>
        <v>13128.958657543071</v>
      </c>
      <c r="AH110" s="65">
        <f>VLOOKUP($I110,'[15]Gasto Real Vs Presupuesto 2026'!$A$34:$N$56,AH$1,0)</f>
        <v>13276.553975180514</v>
      </c>
      <c r="AI110" s="65">
        <f>VLOOKUP($I110,'[15]Gasto Real Vs Presupuesto 2026'!$A$34:$N$56,AI$1,0)</f>
        <v>13128.958657543071</v>
      </c>
      <c r="AJ110" s="65">
        <f>VLOOKUP($I110,'[15]Gasto Real Vs Presupuesto 2026'!$A$34:$N$56,AJ$1,0)</f>
        <v>13530.78151731797</v>
      </c>
      <c r="AK110" s="65">
        <f t="shared" si="66"/>
        <v>158658.41197826946</v>
      </c>
      <c r="AL110" s="73">
        <f t="shared" si="38"/>
        <v>2.0154534059331781E-3</v>
      </c>
      <c r="AM110" s="14">
        <f t="shared" si="39"/>
        <v>0.10511584414921793</v>
      </c>
      <c r="AN110" s="9"/>
    </row>
    <row r="111" spans="1:40" ht="14.45" customHeight="1" outlineLevel="1">
      <c r="A111" s="12"/>
      <c r="I111" t="s">
        <v>406</v>
      </c>
      <c r="J111" s="65">
        <v>3990</v>
      </c>
      <c r="K111" s="65">
        <v>3313</v>
      </c>
      <c r="L111" s="65">
        <v>4060</v>
      </c>
      <c r="M111" s="65">
        <v>4186</v>
      </c>
      <c r="N111" s="65">
        <v>3581</v>
      </c>
      <c r="O111" s="65">
        <v>3220</v>
      </c>
      <c r="P111" s="65">
        <v>3560</v>
      </c>
      <c r="Q111" s="65">
        <v>3467</v>
      </c>
      <c r="R111" s="65">
        <v>4271</v>
      </c>
      <c r="S111" s="65">
        <v>3566</v>
      </c>
      <c r="T111" s="65">
        <f t="shared" si="69"/>
        <v>3768</v>
      </c>
      <c r="U111" s="65">
        <f t="shared" si="70"/>
        <v>3868.3333333333335</v>
      </c>
      <c r="V111" s="65">
        <f t="shared" si="71"/>
        <v>44850.333333333336</v>
      </c>
      <c r="W111" s="73">
        <f t="shared" si="37"/>
        <v>6.3710287194338497E-4</v>
      </c>
      <c r="X111" s="89"/>
      <c r="Y111" s="65">
        <f>VLOOKUP($I111,'[15]Gasto Real Vs Presupuesto 2026'!$A$34:$N$56,Y$1,0)</f>
        <v>4171.4112186888824</v>
      </c>
      <c r="Z111" s="65">
        <f>VLOOKUP($I111,'[15]Gasto Real Vs Presupuesto 2026'!$A$34:$N$56,Z$1,0)</f>
        <v>3666.0807022711347</v>
      </c>
      <c r="AA111" s="65">
        <f>VLOOKUP($I111,'[15]Gasto Real Vs Presupuesto 2026'!$A$34:$N$56,AA$1,0)</f>
        <v>4008.6367502115127</v>
      </c>
      <c r="AB111" s="65">
        <f>VLOOKUP($I111,'[15]Gasto Real Vs Presupuesto 2026'!$A$34:$N$56,AB$1,0)</f>
        <v>3783.4879851180526</v>
      </c>
      <c r="AC111" s="65">
        <f>VLOOKUP($I111,'[15]Gasto Real Vs Presupuesto 2026'!$A$34:$N$56,AC$1,0)</f>
        <v>4008.6367502115127</v>
      </c>
      <c r="AD111" s="65">
        <f>VLOOKUP($I111,'[15]Gasto Real Vs Presupuesto 2026'!$A$34:$N$56,AD$1,0)</f>
        <v>3783.4879851180526</v>
      </c>
      <c r="AE111" s="65">
        <f>VLOOKUP($I111,'[15]Gasto Real Vs Presupuesto 2026'!$A$34:$N$56,AE$1,0)</f>
        <v>3897.6733344315116</v>
      </c>
      <c r="AF111" s="65">
        <f>VLOOKUP($I111,'[15]Gasto Real Vs Presupuesto 2026'!$A$34:$N$56,AF$1,0)</f>
        <v>3897.6733344315116</v>
      </c>
      <c r="AG111" s="65">
        <f>VLOOKUP($I111,'[15]Gasto Real Vs Presupuesto 2026'!$A$34:$N$56,AG$1,0)</f>
        <v>3894.4514008980518</v>
      </c>
      <c r="AH111" s="65">
        <f>VLOOKUP($I111,'[15]Gasto Real Vs Presupuesto 2026'!$A$34:$N$56,AH$1,0)</f>
        <v>3897.6733344315116</v>
      </c>
      <c r="AI111" s="65">
        <f>VLOOKUP($I111,'[15]Gasto Real Vs Presupuesto 2026'!$A$34:$N$56,AI$1,0)</f>
        <v>3894.4514008980518</v>
      </c>
      <c r="AJ111" s="65">
        <f>VLOOKUP($I111,'[15]Gasto Real Vs Presupuesto 2026'!$A$34:$N$56,AJ$1,0)</f>
        <v>4008.6367502115127</v>
      </c>
      <c r="AK111" s="65">
        <f t="shared" si="66"/>
        <v>46912.300946921299</v>
      </c>
      <c r="AL111" s="73">
        <f t="shared" si="38"/>
        <v>5.9593157113273449E-4</v>
      </c>
      <c r="AM111" s="14">
        <f t="shared" si="39"/>
        <v>4.5974410006346167E-2</v>
      </c>
      <c r="AN111" s="9"/>
    </row>
    <row r="112" spans="1:40" ht="14.45" customHeight="1" outlineLevel="1">
      <c r="A112" s="12"/>
      <c r="I112" s="170" t="s">
        <v>225</v>
      </c>
      <c r="J112" s="15">
        <v>50088</v>
      </c>
      <c r="K112" s="15">
        <v>53949</v>
      </c>
      <c r="L112" s="15">
        <v>29927</v>
      </c>
      <c r="M112" s="15">
        <v>48579</v>
      </c>
      <c r="N112" s="15">
        <v>29669</v>
      </c>
      <c r="O112" s="15">
        <v>5250</v>
      </c>
      <c r="P112" s="15">
        <v>45395</v>
      </c>
      <c r="Q112" s="15">
        <v>27279</v>
      </c>
      <c r="R112" s="15">
        <v>63828</v>
      </c>
      <c r="S112" s="15">
        <v>49418</v>
      </c>
      <c r="T112" s="15">
        <f t="shared" ref="K112:V112" si="72">SUM(T113:T147)</f>
        <v>27721.72</v>
      </c>
      <c r="U112" s="15">
        <f t="shared" si="72"/>
        <v>37601.72</v>
      </c>
      <c r="V112" s="15">
        <f t="shared" si="72"/>
        <v>468704.44</v>
      </c>
      <c r="W112" s="72">
        <f t="shared" si="37"/>
        <v>6.6579871903579158E-3</v>
      </c>
      <c r="X112" s="89"/>
      <c r="Y112" s="15">
        <f>SUM(Y113:Y147)</f>
        <v>60948.172299999998</v>
      </c>
      <c r="Z112" s="15">
        <f t="shared" ref="Z112:AK112" si="73">SUM(Z113:Z147)</f>
        <v>32581.793799999999</v>
      </c>
      <c r="AA112" s="15">
        <f t="shared" si="73"/>
        <v>31299.304899999999</v>
      </c>
      <c r="AB112" s="15">
        <f t="shared" si="73"/>
        <v>132636.63</v>
      </c>
      <c r="AC112" s="15">
        <f t="shared" si="73"/>
        <v>35169.543799999999</v>
      </c>
      <c r="AD112" s="15">
        <f t="shared" si="73"/>
        <v>23071.294999999998</v>
      </c>
      <c r="AE112" s="15">
        <f t="shared" si="73"/>
        <v>40435.509999999995</v>
      </c>
      <c r="AF112" s="15">
        <f t="shared" si="73"/>
        <v>32581.793799999999</v>
      </c>
      <c r="AG112" s="15">
        <f t="shared" si="73"/>
        <v>50087.404999999999</v>
      </c>
      <c r="AH112" s="15">
        <f t="shared" si="73"/>
        <v>22709.010000000002</v>
      </c>
      <c r="AI112" s="15">
        <f t="shared" si="73"/>
        <v>27406.293799999999</v>
      </c>
      <c r="AJ112" s="15">
        <f t="shared" si="73"/>
        <v>25917.82</v>
      </c>
      <c r="AK112" s="15">
        <f t="shared" si="73"/>
        <v>514844.5724</v>
      </c>
      <c r="AL112" s="72">
        <f t="shared" si="38"/>
        <v>6.5401212203731809E-3</v>
      </c>
      <c r="AM112" s="10">
        <f t="shared" si="39"/>
        <v>9.8441850476176374E-2</v>
      </c>
      <c r="AN112" s="9"/>
    </row>
    <row r="113" spans="1:40" ht="14.45" customHeight="1" outlineLevel="1">
      <c r="A113" s="12"/>
      <c r="I113" s="229" t="s">
        <v>226</v>
      </c>
      <c r="J113" s="65">
        <v>0</v>
      </c>
      <c r="K113" s="65">
        <v>7286</v>
      </c>
      <c r="L113" s="65">
        <v>9261</v>
      </c>
      <c r="M113" s="65">
        <v>10879</v>
      </c>
      <c r="N113" s="65">
        <v>0</v>
      </c>
      <c r="O113" s="65">
        <v>2250</v>
      </c>
      <c r="P113" s="65">
        <v>0</v>
      </c>
      <c r="Q113" s="65">
        <v>0</v>
      </c>
      <c r="R113" s="65">
        <v>32210</v>
      </c>
      <c r="S113" s="65">
        <v>0</v>
      </c>
      <c r="T113" s="65">
        <v>796.12</v>
      </c>
      <c r="U113" s="65">
        <v>796.12</v>
      </c>
      <c r="V113" s="65">
        <f t="shared" ref="V113:V161" si="74">SUM(J113:U113)</f>
        <v>63478.240000000005</v>
      </c>
      <c r="W113" s="73">
        <f t="shared" si="37"/>
        <v>9.0171390052645013E-4</v>
      </c>
      <c r="X113" s="89"/>
      <c r="Y113" s="65">
        <f>VLOOKUP($E$1,[4]Resumen!$C$27:$O$30,Y1,0)+VLOOKUP($E$1,[16]Resumen!$V$8:$AH$11,Y1,0)</f>
        <v>2233.5100000000002</v>
      </c>
      <c r="Z113" s="65">
        <f>VLOOKUP($E$1,[4]Resumen!$C$27:$O$30,Z1,0)+VLOOKUP($E$1,[16]Resumen!$V$8:$AH$11,Z1,0)</f>
        <v>3533.51</v>
      </c>
      <c r="AA113" s="65">
        <f>VLOOKUP($E$1,[4]Resumen!$C$27:$O$30,AA1,0)+VLOOKUP($E$1,[16]Resumen!$V$8:$AH$11,AA1,0)</f>
        <v>3533.51</v>
      </c>
      <c r="AB113" s="65">
        <f>VLOOKUP($E$1,[4]Resumen!$C$27:$O$30,AB1,0)+VLOOKUP($E$1,[16]Resumen!$V$8:$AH$11,AB1,0)</f>
        <v>3533.51</v>
      </c>
      <c r="AC113" s="65">
        <f>VLOOKUP($E$1,[4]Resumen!$C$27:$O$30,AC1,0)+VLOOKUP($E$1,[16]Resumen!$V$8:$AH$11,AC1,0)</f>
        <v>3533.51</v>
      </c>
      <c r="AD113" s="65">
        <f>VLOOKUP($E$1,[4]Resumen!$C$27:$O$30,AD1,0)+VLOOKUP($E$1,[16]Resumen!$V$8:$AH$11,AD1,0)</f>
        <v>3533.51</v>
      </c>
      <c r="AE113" s="65">
        <f>VLOOKUP($E$1,[4]Resumen!$C$27:$O$30,AE1,0)+VLOOKUP($E$1,[16]Resumen!$V$8:$AH$11,AE1,0)</f>
        <v>3533.51</v>
      </c>
      <c r="AF113" s="65">
        <f>VLOOKUP($E$1,[4]Resumen!$C$27:$O$30,AF1,0)+VLOOKUP($E$1,[16]Resumen!$V$8:$AH$11,AF1,0)</f>
        <v>3533.51</v>
      </c>
      <c r="AG113" s="65">
        <f>VLOOKUP($E$1,[4]Resumen!$C$27:$O$30,AG1,0)+VLOOKUP($E$1,[16]Resumen!$V$8:$AH$11,AG1,0)</f>
        <v>3533.51</v>
      </c>
      <c r="AH113" s="65">
        <f>VLOOKUP($E$1,[4]Resumen!$C$27:$O$30,AH1,0)+VLOOKUP($E$1,[16]Resumen!$V$8:$AH$11,AH1,0)</f>
        <v>3533.51</v>
      </c>
      <c r="AI113" s="65">
        <f>VLOOKUP($E$1,[4]Resumen!$C$27:$O$30,AI1,0)+VLOOKUP($E$1,[16]Resumen!$V$8:$AH$11,AI1,0)</f>
        <v>3533.51</v>
      </c>
      <c r="AJ113" s="65">
        <f>VLOOKUP($E$1,[4]Resumen!$C$27:$O$30,AJ1,0)+VLOOKUP($E$1,[16]Resumen!$V$8:$AH$11,AJ1,0)</f>
        <v>3533.51</v>
      </c>
      <c r="AK113" s="65">
        <f t="shared" si="66"/>
        <v>41102.12000000001</v>
      </c>
      <c r="AL113" s="73">
        <f t="shared" si="38"/>
        <v>5.2212427133343706E-4</v>
      </c>
      <c r="AM113" s="14">
        <f t="shared" si="39"/>
        <v>-0.35250063643856533</v>
      </c>
      <c r="AN113" s="9"/>
    </row>
    <row r="114" spans="1:40" ht="14.45" customHeight="1" outlineLevel="1">
      <c r="A114" s="12"/>
      <c r="I114" s="228" t="s">
        <v>227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/>
      <c r="U114" s="65"/>
      <c r="V114" s="65">
        <f t="shared" si="74"/>
        <v>0</v>
      </c>
      <c r="W114" s="73">
        <f t="shared" si="37"/>
        <v>0</v>
      </c>
      <c r="X114" s="89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>
        <f t="shared" si="66"/>
        <v>0</v>
      </c>
      <c r="AL114" s="73">
        <f t="shared" si="38"/>
        <v>0</v>
      </c>
      <c r="AM114" s="14">
        <f t="shared" si="39"/>
        <v>0</v>
      </c>
      <c r="AN114" s="9"/>
    </row>
    <row r="115" spans="1:40" ht="14.45" customHeight="1" outlineLevel="1">
      <c r="A115" s="12"/>
      <c r="I115" s="228" t="s">
        <v>228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/>
      <c r="U115" s="65"/>
      <c r="V115" s="65">
        <f t="shared" si="74"/>
        <v>0</v>
      </c>
      <c r="W115" s="73">
        <f t="shared" si="37"/>
        <v>0</v>
      </c>
      <c r="X115" s="89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>
        <f t="shared" si="66"/>
        <v>0</v>
      </c>
      <c r="AL115" s="73">
        <f t="shared" si="38"/>
        <v>0</v>
      </c>
      <c r="AM115" s="14">
        <f t="shared" si="39"/>
        <v>0</v>
      </c>
      <c r="AN115" s="9"/>
    </row>
    <row r="116" spans="1:40" ht="14.45" customHeight="1" outlineLevel="1">
      <c r="A116" s="12"/>
      <c r="I116" s="228" t="s">
        <v>229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f t="shared" si="74"/>
        <v>0</v>
      </c>
      <c r="W116" s="73">
        <f t="shared" si="37"/>
        <v>0</v>
      </c>
      <c r="X116" s="89"/>
      <c r="Y116" s="65">
        <f>VLOOKUP($E$1,[7]Resumen!$V$19:$AH$22,Y1,0)</f>
        <v>0</v>
      </c>
      <c r="Z116" s="65">
        <f>VLOOKUP($E$1,[7]Resumen!$V$19:$AH$22,Z1,0)</f>
        <v>0</v>
      </c>
      <c r="AA116" s="65">
        <f>VLOOKUP($E$1,[7]Resumen!$V$19:$AH$22,AA1,0)</f>
        <v>0</v>
      </c>
      <c r="AB116" s="65">
        <f>VLOOKUP($E$1,[7]Resumen!$V$19:$AH$22,AB1,0)</f>
        <v>109927.62</v>
      </c>
      <c r="AC116" s="65">
        <f>VLOOKUP($E$1,[7]Resumen!$V$19:$AH$22,AC1,0)</f>
        <v>0</v>
      </c>
      <c r="AD116" s="65">
        <f>VLOOKUP($E$1,[7]Resumen!$V$19:$AH$22,AD1,0)</f>
        <v>0</v>
      </c>
      <c r="AE116" s="65">
        <f>VLOOKUP($E$1,[7]Resumen!$V$19:$AH$22,AE1,0)</f>
        <v>0</v>
      </c>
      <c r="AF116" s="65">
        <f>VLOOKUP($E$1,[7]Resumen!$V$19:$AH$22,AF1,0)</f>
        <v>0</v>
      </c>
      <c r="AG116" s="65">
        <f>VLOOKUP($E$1,[7]Resumen!$V$19:$AH$22,AG1,0)</f>
        <v>0</v>
      </c>
      <c r="AH116" s="65">
        <f>VLOOKUP($E$1,[7]Resumen!$V$19:$AH$22,AH1,0)</f>
        <v>0</v>
      </c>
      <c r="AI116" s="65">
        <f>VLOOKUP($E$1,[7]Resumen!$V$19:$AH$22,AI1,0)</f>
        <v>0</v>
      </c>
      <c r="AJ116" s="65">
        <f>VLOOKUP($E$1,[7]Resumen!$V$19:$AH$22,AJ1,0)</f>
        <v>0</v>
      </c>
      <c r="AK116" s="65">
        <f t="shared" si="66"/>
        <v>109927.62</v>
      </c>
      <c r="AL116" s="73">
        <f t="shared" si="38"/>
        <v>1.3964213644434629E-3</v>
      </c>
      <c r="AM116" s="14">
        <f t="shared" si="39"/>
        <v>0</v>
      </c>
      <c r="AN116" s="9"/>
    </row>
    <row r="117" spans="1:40" ht="14.45" customHeight="1" outlineLevel="1">
      <c r="A117" s="12"/>
      <c r="I117" s="228" t="s">
        <v>230</v>
      </c>
      <c r="J117" s="65">
        <v>0</v>
      </c>
      <c r="K117" s="65">
        <v>2250</v>
      </c>
      <c r="L117" s="65">
        <v>0</v>
      </c>
      <c r="M117" s="65">
        <v>15000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9400</v>
      </c>
      <c r="T117" s="65">
        <v>0</v>
      </c>
      <c r="U117" s="65">
        <v>0</v>
      </c>
      <c r="V117" s="65">
        <f t="shared" si="74"/>
        <v>26650</v>
      </c>
      <c r="W117" s="73">
        <f t="shared" si="37"/>
        <v>3.7856555961586036E-4</v>
      </c>
      <c r="X117" s="89"/>
      <c r="Y117" s="65">
        <f>VLOOKUP($E$1,[7]Resumen!$V$28:$AH$31,Y1,0)</f>
        <v>0</v>
      </c>
      <c r="Z117" s="65">
        <f>VLOOKUP($E$1,[7]Resumen!$V$28:$AH$31,Z1,0)</f>
        <v>0</v>
      </c>
      <c r="AA117" s="65">
        <f>VLOOKUP($E$1,[7]Resumen!$V$28:$AH$31,AA1,0)</f>
        <v>0</v>
      </c>
      <c r="AB117" s="65">
        <f>VLOOKUP($E$1,[7]Resumen!$V$28:$AH$31,AB1,0)</f>
        <v>0</v>
      </c>
      <c r="AC117" s="65">
        <f>VLOOKUP($E$1,[7]Resumen!$V$28:$AH$31,AC1,0)</f>
        <v>0</v>
      </c>
      <c r="AD117" s="65">
        <f>VLOOKUP($E$1,[7]Resumen!$V$28:$AH$31,AD1,0)</f>
        <v>0</v>
      </c>
      <c r="AE117" s="65">
        <f>VLOOKUP($E$1,[7]Resumen!$V$28:$AH$31,AE1,0)</f>
        <v>0</v>
      </c>
      <c r="AF117" s="65">
        <f>VLOOKUP($E$1,[7]Resumen!$V$28:$AH$31,AF1,0)</f>
        <v>0</v>
      </c>
      <c r="AG117" s="65">
        <f>VLOOKUP($E$1,[7]Resumen!$V$28:$AH$31,AG1,0)</f>
        <v>24842.399999999998</v>
      </c>
      <c r="AH117" s="65">
        <f>VLOOKUP($E$1,[7]Resumen!$V$28:$AH$31,AH1,0)</f>
        <v>0</v>
      </c>
      <c r="AI117" s="65">
        <f>VLOOKUP($E$1,[7]Resumen!$V$28:$AH$31,AI1,0)</f>
        <v>0</v>
      </c>
      <c r="AJ117" s="65">
        <f>VLOOKUP($E$1,[7]Resumen!$V$28:$AH$31,AJ1,0)</f>
        <v>0</v>
      </c>
      <c r="AK117" s="65">
        <f t="shared" si="66"/>
        <v>24842.399999999998</v>
      </c>
      <c r="AL117" s="73">
        <f t="shared" si="38"/>
        <v>3.1557544959174303E-4</v>
      </c>
      <c r="AM117" s="14">
        <f t="shared" si="39"/>
        <v>-6.7827392120075158E-2</v>
      </c>
      <c r="AN117" s="9"/>
    </row>
    <row r="118" spans="1:40" ht="14.45" customHeight="1" outlineLevel="1">
      <c r="A118" s="12"/>
      <c r="I118" s="228" t="s">
        <v>231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/>
      <c r="U118" s="65"/>
      <c r="V118" s="65">
        <f t="shared" si="74"/>
        <v>0</v>
      </c>
      <c r="W118" s="73">
        <f t="shared" si="37"/>
        <v>0</v>
      </c>
      <c r="X118" s="89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>
        <f t="shared" si="66"/>
        <v>0</v>
      </c>
      <c r="AL118" s="73">
        <f t="shared" si="38"/>
        <v>0</v>
      </c>
      <c r="AM118" s="14">
        <f t="shared" si="39"/>
        <v>0</v>
      </c>
      <c r="AN118" s="9"/>
    </row>
    <row r="119" spans="1:40" ht="14.45" customHeight="1" outlineLevel="1">
      <c r="A119" s="12"/>
      <c r="E119" s="7" t="s">
        <v>254</v>
      </c>
      <c r="I119" s="228" t="s">
        <v>232</v>
      </c>
      <c r="J119" s="65">
        <v>37688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4"/>
        <v>37688</v>
      </c>
      <c r="W119" s="73">
        <f>V119/V$6</f>
        <v>5.3536130622148387E-4</v>
      </c>
      <c r="X119" s="89"/>
      <c r="Y119" s="65">
        <f>VLOOKUP($E$1,[6]Resumen!$V$53:$AH$56,Y1,0)</f>
        <v>37339.162299999996</v>
      </c>
      <c r="Z119" s="65">
        <f>VLOOKUP($E$1,[6]Resumen!$V$53:$AH$56,Z1,0)</f>
        <v>0</v>
      </c>
      <c r="AA119" s="65">
        <f>VLOOKUP($E$1,[6]Resumen!$V$53:$AH$56,AA1,0)</f>
        <v>0</v>
      </c>
      <c r="AB119" s="65">
        <f>VLOOKUP($E$1,[6]Resumen!$V$53:$AH$56,AB1,0)</f>
        <v>0</v>
      </c>
      <c r="AC119" s="65">
        <f>VLOOKUP($E$1,[6]Resumen!$V$53:$AH$56,AC1,0)</f>
        <v>0</v>
      </c>
      <c r="AD119" s="65">
        <f>VLOOKUP($E$1,[6]Resumen!$V$53:$AH$56,AD1,0)</f>
        <v>0</v>
      </c>
      <c r="AE119" s="65">
        <f>VLOOKUP($E$1,[6]Resumen!$V$53:$AH$56,AE1,0)</f>
        <v>0</v>
      </c>
      <c r="AF119" s="65">
        <f>VLOOKUP($E$1,[6]Resumen!$V$53:$AH$56,AF1,0)</f>
        <v>0</v>
      </c>
      <c r="AG119" s="65">
        <f>VLOOKUP($E$1,[6]Resumen!$V$53:$AH$56,AG1,0)</f>
        <v>0</v>
      </c>
      <c r="AH119" s="65">
        <f>VLOOKUP($E$1,[6]Resumen!$V$53:$AH$56,AH1,0)</f>
        <v>0</v>
      </c>
      <c r="AI119" s="65">
        <f>VLOOKUP($E$1,[6]Resumen!$V$53:$AH$56,AI1,0)</f>
        <v>0</v>
      </c>
      <c r="AJ119" s="65">
        <f>VLOOKUP($E$1,[6]Resumen!$V$53:$AH$56,AJ1,0)</f>
        <v>0</v>
      </c>
      <c r="AK119" s="65">
        <f t="shared" si="66"/>
        <v>37339.162299999996</v>
      </c>
      <c r="AL119" s="73">
        <f>AK119/AK$6</f>
        <v>4.7432304971345608E-4</v>
      </c>
      <c r="AM119" s="14">
        <f>IFERROR(AK119/V119-1,0)</f>
        <v>-9.2559355763108808E-3</v>
      </c>
      <c r="AN119" s="9"/>
    </row>
    <row r="120" spans="1:40" ht="14.45" customHeight="1" outlineLevel="1">
      <c r="A120" s="12"/>
      <c r="I120" s="228" t="s">
        <v>233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74"/>
        <v>0</v>
      </c>
      <c r="W120" s="73">
        <f>V120/V$6</f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6"/>
        <v>0</v>
      </c>
      <c r="AL120" s="73">
        <f>AK120/AK$6</f>
        <v>0</v>
      </c>
      <c r="AM120" s="14">
        <f>IFERROR(AK120/V120-1,0)</f>
        <v>0</v>
      </c>
      <c r="AN120" s="9"/>
    </row>
    <row r="121" spans="1:40" ht="14.45" customHeight="1" outlineLevel="1">
      <c r="A121" s="12"/>
      <c r="I121" s="228" t="s">
        <v>234</v>
      </c>
      <c r="J121" s="65">
        <v>8300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/>
      <c r="T121" s="65">
        <v>0</v>
      </c>
      <c r="U121" s="65">
        <v>0</v>
      </c>
      <c r="V121" s="65">
        <f t="shared" si="74"/>
        <v>8300</v>
      </c>
      <c r="W121" s="73">
        <f>V121/V$6</f>
        <v>1.1790221931750999E-4</v>
      </c>
      <c r="X121" s="89"/>
      <c r="Y121" s="65">
        <f>VLOOKUP($E$1,[7]Resumen!$V$37:$AH$40,Y1,0)</f>
        <v>0</v>
      </c>
      <c r="Z121" s="65">
        <f>VLOOKUP($E$1,[7]Resumen!$V$37:$AH$40,Z1,0)</f>
        <v>0</v>
      </c>
      <c r="AA121" s="65">
        <f>VLOOKUP($E$1,[7]Resumen!$V$37:$AH$40,AA1,0)</f>
        <v>0</v>
      </c>
      <c r="AB121" s="65">
        <f>VLOOKUP($E$1,[7]Resumen!$V$37:$AH$40,AB1,0)</f>
        <v>0</v>
      </c>
      <c r="AC121" s="65">
        <f>VLOOKUP($E$1,[7]Resumen!$V$37:$AH$40,AC1,0)</f>
        <v>7763.2499999999991</v>
      </c>
      <c r="AD121" s="65">
        <f>VLOOKUP($E$1,[7]Resumen!$V$37:$AH$40,AD1,0)</f>
        <v>0</v>
      </c>
      <c r="AE121" s="65">
        <f>VLOOKUP($E$1,[7]Resumen!$V$37:$AH$40,AE1,0)</f>
        <v>0</v>
      </c>
      <c r="AF121" s="65">
        <f>VLOOKUP($E$1,[7]Resumen!$V$37:$AH$40,AF1,0)</f>
        <v>0</v>
      </c>
      <c r="AG121" s="65">
        <f>VLOOKUP($E$1,[7]Resumen!$V$37:$AH$40,AG1,0)</f>
        <v>0</v>
      </c>
      <c r="AH121" s="65">
        <f>VLOOKUP($E$1,[7]Resumen!$V$37:$AH$40,AH1,0)</f>
        <v>0</v>
      </c>
      <c r="AI121" s="65">
        <f>VLOOKUP($E$1,[7]Resumen!$V$37:$AH$40,AI1,0)</f>
        <v>0</v>
      </c>
      <c r="AJ121" s="65">
        <f>VLOOKUP($E$1,[7]Resumen!$V$37:$AH$40,AJ1,0)</f>
        <v>0</v>
      </c>
      <c r="AK121" s="65">
        <f t="shared" si="66"/>
        <v>7763.2499999999991</v>
      </c>
      <c r="AL121" s="73">
        <f>AK121/AK$6</f>
        <v>9.8617327997419692E-5</v>
      </c>
      <c r="AM121" s="14">
        <f>IFERROR(AK121/V121-1,0)</f>
        <v>-6.4668674698795336E-2</v>
      </c>
      <c r="AN121" s="9"/>
    </row>
    <row r="122" spans="1:40" ht="14.45" customHeight="1" outlineLevel="1">
      <c r="A122" s="12"/>
      <c r="I122" s="228" t="s">
        <v>235</v>
      </c>
      <c r="J122" s="65">
        <v>0</v>
      </c>
      <c r="K122" s="65">
        <v>0</v>
      </c>
      <c r="L122" s="65">
        <v>0</v>
      </c>
      <c r="M122" s="65">
        <v>0</v>
      </c>
      <c r="N122" s="65">
        <v>17319</v>
      </c>
      <c r="O122" s="65">
        <v>0</v>
      </c>
      <c r="P122" s="65">
        <v>0</v>
      </c>
      <c r="Q122" s="65">
        <v>0</v>
      </c>
      <c r="R122" s="65">
        <v>0</v>
      </c>
      <c r="S122" s="65">
        <v>7100</v>
      </c>
      <c r="T122" s="65"/>
      <c r="U122" s="65"/>
      <c r="V122" s="65">
        <f t="shared" si="74"/>
        <v>24419</v>
      </c>
      <c r="W122" s="73">
        <f>V122/V$6</f>
        <v>3.4687401126678026E-4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6"/>
        <v>0</v>
      </c>
      <c r="AL122" s="73">
        <f>AK122/AK$6</f>
        <v>0</v>
      </c>
      <c r="AM122" s="14">
        <f>IFERROR(AK122/V122-1,0)</f>
        <v>-1</v>
      </c>
      <c r="AN122" s="9"/>
    </row>
    <row r="123" spans="1:40" ht="14.45" customHeight="1" outlineLevel="1">
      <c r="A123" s="12"/>
      <c r="I123" s="228" t="s">
        <v>236</v>
      </c>
      <c r="J123" s="65">
        <v>2100</v>
      </c>
      <c r="K123" s="65">
        <v>14413</v>
      </c>
      <c r="L123" s="65">
        <v>1291</v>
      </c>
      <c r="M123" s="65">
        <v>3200</v>
      </c>
      <c r="N123" s="65">
        <v>12000</v>
      </c>
      <c r="O123" s="65">
        <v>0</v>
      </c>
      <c r="P123" s="65">
        <v>1021</v>
      </c>
      <c r="Q123" s="65">
        <v>7229</v>
      </c>
      <c r="R123" s="65">
        <v>15518</v>
      </c>
      <c r="S123" s="65">
        <v>9527</v>
      </c>
      <c r="T123" s="65">
        <v>5553.6</v>
      </c>
      <c r="U123" s="65">
        <v>5553.6</v>
      </c>
      <c r="V123" s="65">
        <f t="shared" ref="V123:V147" si="75">SUM(J123:U123)</f>
        <v>77406.200000000012</v>
      </c>
      <c r="W123" s="73">
        <f t="shared" ref="W123:W147" si="76">V123/V$6</f>
        <v>1.0995617793897641E-3</v>
      </c>
      <c r="X123" s="89"/>
      <c r="Y123" s="65">
        <f>VLOOKUP($E$1,[7]Resumen!$V$46:$AH$49,Y1,0)</f>
        <v>5175.5</v>
      </c>
      <c r="Z123" s="65">
        <f>VLOOKUP($E$1,[7]Resumen!$V$46:$AH$49,Z1,0)</f>
        <v>5175.5</v>
      </c>
      <c r="AA123" s="65">
        <f>VLOOKUP($E$1,[7]Resumen!$V$46:$AH$49,AA1,0)</f>
        <v>5175.5</v>
      </c>
      <c r="AB123" s="65">
        <f>VLOOKUP($E$1,[7]Resumen!$V$46:$AH$49,AB1,0)</f>
        <v>5175.5</v>
      </c>
      <c r="AC123" s="65">
        <f>VLOOKUP($E$1,[7]Resumen!$V$46:$AH$49,AC1,0)</f>
        <v>5175.5</v>
      </c>
      <c r="AD123" s="65">
        <f>VLOOKUP($E$1,[7]Resumen!$V$46:$AH$49,AD1,0)</f>
        <v>5175.5</v>
      </c>
      <c r="AE123" s="65">
        <f>VLOOKUP($E$1,[7]Resumen!$V$46:$AH$49,AE1,0)</f>
        <v>5175.5</v>
      </c>
      <c r="AF123" s="65">
        <f>VLOOKUP($E$1,[7]Resumen!$V$46:$AH$49,AF1,0)</f>
        <v>5175.5</v>
      </c>
      <c r="AG123" s="65">
        <f>VLOOKUP($E$1,[7]Resumen!$V$46:$AH$49,AG1,0)</f>
        <v>5175.5</v>
      </c>
      <c r="AH123" s="65">
        <f>VLOOKUP($E$1,[7]Resumen!$V$46:$AH$49,AH1,0)</f>
        <v>5175.5</v>
      </c>
      <c r="AI123" s="65">
        <f>VLOOKUP($E$1,[7]Resumen!$V$46:$AH$49,AI1,0)</f>
        <v>5175.5</v>
      </c>
      <c r="AJ123" s="65">
        <f>VLOOKUP($E$1,[7]Resumen!$V$46:$AH$49,AJ1,0)</f>
        <v>5175.5</v>
      </c>
      <c r="AK123" s="65">
        <f t="shared" si="66"/>
        <v>62106</v>
      </c>
      <c r="AL123" s="73">
        <f t="shared" ref="AL123:AL133" si="77">AK123/AK$6</f>
        <v>7.8893862397935765E-4</v>
      </c>
      <c r="AM123" s="14">
        <f t="shared" ref="AM123:AM133" si="78">IFERROR(AK123/V123-1,0)</f>
        <v>-0.19766116926034361</v>
      </c>
      <c r="AN123" s="9"/>
    </row>
    <row r="124" spans="1:40" ht="14.45" customHeight="1" outlineLevel="1">
      <c r="A124" s="12"/>
      <c r="I124" s="228" t="s">
        <v>237</v>
      </c>
      <c r="J124" s="65">
        <v>0</v>
      </c>
      <c r="K124" s="65">
        <v>0</v>
      </c>
      <c r="L124" s="65">
        <v>0</v>
      </c>
      <c r="M124" s="65">
        <v>700</v>
      </c>
      <c r="N124" s="65">
        <v>350</v>
      </c>
      <c r="O124" s="65">
        <v>0</v>
      </c>
      <c r="P124" s="65">
        <v>0</v>
      </c>
      <c r="Q124" s="65">
        <v>0</v>
      </c>
      <c r="R124" s="65">
        <v>2100</v>
      </c>
      <c r="S124" s="65">
        <v>3300</v>
      </c>
      <c r="T124" s="65">
        <v>0</v>
      </c>
      <c r="U124" s="65">
        <v>0</v>
      </c>
      <c r="V124" s="65">
        <f t="shared" si="75"/>
        <v>6450</v>
      </c>
      <c r="W124" s="73">
        <f t="shared" si="76"/>
        <v>9.1622808987703539E-5</v>
      </c>
      <c r="X124" s="89"/>
      <c r="Y124" s="65">
        <f>VLOOKUP($E$1,[7]Resumen!$V$55:$AH$58,Y1,0)</f>
        <v>0</v>
      </c>
      <c r="Z124" s="65">
        <f>VLOOKUP($E$1,[7]Resumen!$V$55:$AH$58,Z1,0)</f>
        <v>0</v>
      </c>
      <c r="AA124" s="65">
        <f>VLOOKUP($E$1,[7]Resumen!$V$55:$AH$58,AA1,0)</f>
        <v>0</v>
      </c>
      <c r="AB124" s="65">
        <f>VLOOKUP($E$1,[7]Resumen!$V$55:$AH$58,AB1,0)</f>
        <v>0</v>
      </c>
      <c r="AC124" s="65">
        <f>VLOOKUP($E$1,[7]Resumen!$V$55:$AH$58,AC1,0)</f>
        <v>0</v>
      </c>
      <c r="AD124" s="65">
        <f>VLOOKUP($E$1,[7]Resumen!$V$55:$AH$58,AD1,0)</f>
        <v>362.28499999999997</v>
      </c>
      <c r="AE124" s="65">
        <f>VLOOKUP($E$1,[7]Resumen!$V$55:$AH$58,AE1,0)</f>
        <v>0</v>
      </c>
      <c r="AF124" s="65">
        <f>VLOOKUP($E$1,[7]Resumen!$V$55:$AH$58,AF1,0)</f>
        <v>0</v>
      </c>
      <c r="AG124" s="65">
        <f>VLOOKUP($E$1,[7]Resumen!$V$55:$AH$58,AG1,0)</f>
        <v>2535.9949999999999</v>
      </c>
      <c r="AH124" s="65">
        <f>VLOOKUP($E$1,[7]Resumen!$V$55:$AH$58,AH1,0)</f>
        <v>0</v>
      </c>
      <c r="AI124" s="65">
        <f>VLOOKUP($E$1,[7]Resumen!$V$55:$AH$58,AI1,0)</f>
        <v>0</v>
      </c>
      <c r="AJ124" s="65">
        <f>VLOOKUP($E$1,[7]Resumen!$V$55:$AH$58,AJ1,0)</f>
        <v>0</v>
      </c>
      <c r="AK124" s="65">
        <f t="shared" si="66"/>
        <v>2898.2799999999997</v>
      </c>
      <c r="AL124" s="73">
        <f t="shared" si="77"/>
        <v>3.6817135785703357E-5</v>
      </c>
      <c r="AM124" s="14">
        <f t="shared" si="78"/>
        <v>-0.55065426356589153</v>
      </c>
      <c r="AN124" s="9"/>
    </row>
    <row r="125" spans="1:40" ht="14.45" customHeight="1" outlineLevel="1">
      <c r="A125" s="12"/>
      <c r="I125" s="228" t="s">
        <v>238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f t="shared" si="75"/>
        <v>0</v>
      </c>
      <c r="W125" s="73">
        <f t="shared" si="76"/>
        <v>0</v>
      </c>
      <c r="X125" s="89"/>
      <c r="Y125" s="65">
        <f>VLOOKUP($E$1,[6]Resumen!$V$62:$AH$65,Y1,0)</f>
        <v>0</v>
      </c>
      <c r="Z125" s="65">
        <f>VLOOKUP($E$1,[6]Resumen!$V$62:$AH$65,Z1,0)</f>
        <v>0</v>
      </c>
      <c r="AA125" s="65">
        <f>VLOOKUP($E$1,[6]Resumen!$V$62:$AH$65,AA1,0)</f>
        <v>3621.8148999999999</v>
      </c>
      <c r="AB125" s="65">
        <f>VLOOKUP($E$1,[6]Resumen!$V$62:$AH$65,AB1,0)</f>
        <v>0</v>
      </c>
      <c r="AC125" s="65">
        <f>VLOOKUP($E$1,[6]Resumen!$V$62:$AH$65,AC1,0)</f>
        <v>0</v>
      </c>
      <c r="AD125" s="65">
        <f>VLOOKUP($E$1,[6]Resumen!$V$62:$AH$65,AD1,0)</f>
        <v>0</v>
      </c>
      <c r="AE125" s="65">
        <f>VLOOKUP($E$1,[6]Resumen!$V$62:$AH$65,AE1,0)</f>
        <v>0</v>
      </c>
      <c r="AF125" s="65">
        <f>VLOOKUP($E$1,[6]Resumen!$V$62:$AH$65,AF1,0)</f>
        <v>0</v>
      </c>
      <c r="AG125" s="65">
        <f>VLOOKUP($E$1,[6]Resumen!$V$62:$AH$65,AG1,0)</f>
        <v>0</v>
      </c>
      <c r="AH125" s="65">
        <f>VLOOKUP($E$1,[6]Resumen!$V$62:$AH$65,AH1,0)</f>
        <v>0</v>
      </c>
      <c r="AI125" s="65">
        <f>VLOOKUP($E$1,[6]Resumen!$V$62:$AH$65,AI1,0)</f>
        <v>0</v>
      </c>
      <c r="AJ125" s="65">
        <f>VLOOKUP($E$1,[6]Resumen!$V$62:$AH$65,AJ1,0)</f>
        <v>0</v>
      </c>
      <c r="AK125" s="65">
        <f t="shared" si="66"/>
        <v>3621.8148999999999</v>
      </c>
      <c r="AL125" s="73">
        <f t="shared" si="77"/>
        <v>4.6008270755062871E-5</v>
      </c>
      <c r="AM125" s="14">
        <f t="shared" si="78"/>
        <v>0</v>
      </c>
      <c r="AN125" s="9"/>
    </row>
    <row r="126" spans="1:40" ht="14.45" customHeight="1" outlineLevel="1">
      <c r="A126" s="12"/>
      <c r="I126" s="228" t="s">
        <v>239</v>
      </c>
      <c r="J126" s="65">
        <v>0</v>
      </c>
      <c r="K126" s="65">
        <v>0</v>
      </c>
      <c r="L126" s="65">
        <v>0</v>
      </c>
      <c r="M126" s="65">
        <v>4800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5500</v>
      </c>
      <c r="U126" s="65">
        <v>5500</v>
      </c>
      <c r="V126" s="65">
        <f t="shared" si="75"/>
        <v>15800</v>
      </c>
      <c r="W126" s="73">
        <f t="shared" si="76"/>
        <v>2.2444036930321178E-4</v>
      </c>
      <c r="X126" s="89"/>
      <c r="Y126" s="65">
        <f>VLOOKUP($E$1,[4]Resumen!$C$36:$O$39,Y1,0)+VLOOKUP($E$1,[7]Resumen!$V$64:$AH$67,Y1,0)</f>
        <v>0</v>
      </c>
      <c r="Z126" s="65">
        <f>VLOOKUP($E$1,[4]Resumen!$C$36:$O$39,Z1,0)+VLOOKUP($E$1,[7]Resumen!$V$64:$AH$67,Z1,0)</f>
        <v>5175.5</v>
      </c>
      <c r="AA126" s="65">
        <f>VLOOKUP($E$1,[4]Resumen!$C$36:$O$39,AA1,0)+VLOOKUP($E$1,[7]Resumen!$V$64:$AH$67,AA1,0)</f>
        <v>0</v>
      </c>
      <c r="AB126" s="65">
        <f>VLOOKUP($E$1,[4]Resumen!$C$36:$O$39,AB1,0)+VLOOKUP($E$1,[7]Resumen!$V$64:$AH$67,AB1,0)</f>
        <v>0</v>
      </c>
      <c r="AC126" s="65">
        <f>VLOOKUP($E$1,[4]Resumen!$C$36:$O$39,AC1,0)+VLOOKUP($E$1,[7]Resumen!$V$64:$AH$67,AC1,0)</f>
        <v>0</v>
      </c>
      <c r="AD126" s="65">
        <f>VLOOKUP($E$1,[4]Resumen!$C$36:$O$39,AD1,0)+VLOOKUP($E$1,[7]Resumen!$V$64:$AH$67,AD1,0)</f>
        <v>0</v>
      </c>
      <c r="AE126" s="65">
        <f>VLOOKUP($E$1,[4]Resumen!$C$36:$O$39,AE1,0)+VLOOKUP($E$1,[7]Resumen!$V$64:$AH$67,AE1,0)</f>
        <v>0</v>
      </c>
      <c r="AF126" s="65">
        <f>VLOOKUP($E$1,[4]Resumen!$C$36:$O$39,AF1,0)+VLOOKUP($E$1,[7]Resumen!$V$64:$AH$67,AF1,0)</f>
        <v>5175.5</v>
      </c>
      <c r="AG126" s="65">
        <f>VLOOKUP($E$1,[4]Resumen!$C$36:$O$39,AG1,0)+VLOOKUP($E$1,[7]Resumen!$V$64:$AH$67,AG1,0)</f>
        <v>0</v>
      </c>
      <c r="AH126" s="65">
        <f>VLOOKUP($E$1,[4]Resumen!$C$36:$O$39,AH1,0)+VLOOKUP($E$1,[7]Resumen!$V$64:$AH$67,AH1,0)</f>
        <v>0</v>
      </c>
      <c r="AI126" s="65">
        <f>VLOOKUP($E$1,[4]Resumen!$C$36:$O$39,AI1,0)+VLOOKUP($E$1,[7]Resumen!$V$64:$AH$67,AI1,0)</f>
        <v>0</v>
      </c>
      <c r="AJ126" s="65">
        <f>VLOOKUP($E$1,[4]Resumen!$C$36:$O$39,AJ1,0)+VLOOKUP($E$1,[7]Resumen!$V$64:$AH$67,AJ1,0)</f>
        <v>0</v>
      </c>
      <c r="AK126" s="65">
        <f t="shared" si="66"/>
        <v>10351</v>
      </c>
      <c r="AL126" s="73">
        <f t="shared" si="77"/>
        <v>1.3148977066322628E-4</v>
      </c>
      <c r="AM126" s="14">
        <f t="shared" si="78"/>
        <v>-0.34487341772151903</v>
      </c>
      <c r="AN126" s="9"/>
    </row>
    <row r="127" spans="1:40" ht="14.45" customHeight="1" outlineLevel="1">
      <c r="A127" s="12"/>
      <c r="I127" s="228" t="s">
        <v>241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2080</v>
      </c>
      <c r="V127" s="65">
        <f t="shared" si="75"/>
        <v>2080</v>
      </c>
      <c r="W127" s="73">
        <f t="shared" si="76"/>
        <v>2.9546580262701297E-5</v>
      </c>
      <c r="X127" s="89"/>
      <c r="Y127" s="65">
        <f>VLOOKUP($E$1,[7]Resumen!$V$73:$AH$76,Y1,0)</f>
        <v>0</v>
      </c>
      <c r="Z127" s="65">
        <f>VLOOKUP($E$1,[7]Resumen!$V$73:$AH$76,Z1,0)</f>
        <v>0</v>
      </c>
      <c r="AA127" s="65">
        <f>VLOOKUP($E$1,[7]Resumen!$V$73:$AH$76,AA1,0)</f>
        <v>0</v>
      </c>
      <c r="AB127" s="65">
        <f>VLOOKUP($E$1,[7]Resumen!$V$73:$AH$76,AB1,0)</f>
        <v>0</v>
      </c>
      <c r="AC127" s="65">
        <f>VLOOKUP($E$1,[7]Resumen!$V$73:$AH$76,AC1,0)</f>
        <v>0</v>
      </c>
      <c r="AD127" s="65">
        <f>VLOOKUP($E$1,[7]Resumen!$V$73:$AH$76,AD1,0)</f>
        <v>0</v>
      </c>
      <c r="AE127" s="65">
        <f>VLOOKUP($E$1,[7]Resumen!$V$73:$AH$76,AE1,0)</f>
        <v>0</v>
      </c>
      <c r="AF127" s="65">
        <f>VLOOKUP($E$1,[7]Resumen!$V$73:$AH$76,AF1,0)</f>
        <v>0</v>
      </c>
      <c r="AG127" s="65">
        <f>VLOOKUP($E$1,[7]Resumen!$V$73:$AH$76,AG1,0)</f>
        <v>0</v>
      </c>
      <c r="AH127" s="65">
        <f>VLOOKUP($E$1,[7]Resumen!$V$73:$AH$76,AH1,0)</f>
        <v>0</v>
      </c>
      <c r="AI127" s="65">
        <f>VLOOKUP($E$1,[7]Resumen!$V$73:$AH$76,AI1,0)</f>
        <v>0</v>
      </c>
      <c r="AJ127" s="65">
        <f>VLOOKUP($E$1,[7]Resumen!$V$73:$AH$76,AJ1,0)</f>
        <v>0</v>
      </c>
      <c r="AK127" s="65">
        <f t="shared" si="66"/>
        <v>0</v>
      </c>
      <c r="AL127" s="73">
        <f t="shared" si="77"/>
        <v>0</v>
      </c>
      <c r="AM127" s="14">
        <f t="shared" si="78"/>
        <v>-1</v>
      </c>
      <c r="AN127" s="9"/>
    </row>
    <row r="128" spans="1:40" ht="14.45" customHeight="1">
      <c r="A128" s="12" t="s">
        <v>240</v>
      </c>
      <c r="B128" s="8" t="s">
        <v>101</v>
      </c>
      <c r="I128" s="228" t="s">
        <v>242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/>
      <c r="U128" s="65"/>
      <c r="V128" s="65">
        <f t="shared" si="75"/>
        <v>0</v>
      </c>
      <c r="W128" s="73">
        <f t="shared" si="76"/>
        <v>0</v>
      </c>
      <c r="X128" s="89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>
        <f t="shared" si="66"/>
        <v>0</v>
      </c>
      <c r="AL128" s="73">
        <f t="shared" si="77"/>
        <v>0</v>
      </c>
      <c r="AM128" s="14">
        <f t="shared" si="78"/>
        <v>0</v>
      </c>
      <c r="AN128" s="9"/>
    </row>
    <row r="129" spans="1:40" ht="14.45" customHeight="1" outlineLevel="1">
      <c r="A129" s="12" t="s">
        <v>240</v>
      </c>
      <c r="B129" s="8" t="s">
        <v>101</v>
      </c>
      <c r="I129" s="228" t="s">
        <v>243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75"/>
        <v>0</v>
      </c>
      <c r="W129" s="73">
        <f t="shared" si="76"/>
        <v>0</v>
      </c>
      <c r="X129" s="89"/>
      <c r="Y129" s="65">
        <f>VLOOKUP($E$1,[7]Resumen!$V$82:$AH$85,Y1,0)</f>
        <v>0</v>
      </c>
      <c r="Z129" s="65">
        <f>VLOOKUP($E$1,[7]Resumen!$V$82:$AH$85,Z1,0)</f>
        <v>0</v>
      </c>
      <c r="AA129" s="65">
        <f>VLOOKUP($E$1,[7]Resumen!$V$82:$AH$85,AA1,0)</f>
        <v>0</v>
      </c>
      <c r="AB129" s="65">
        <f>VLOOKUP($E$1,[7]Resumen!$V$82:$AH$85,AB1,0)</f>
        <v>0</v>
      </c>
      <c r="AC129" s="65">
        <f>VLOOKUP($E$1,[7]Resumen!$V$82:$AH$85,AC1,0)</f>
        <v>0</v>
      </c>
      <c r="AD129" s="65">
        <f>VLOOKUP($E$1,[7]Resumen!$V$82:$AH$85,AD1,0)</f>
        <v>0</v>
      </c>
      <c r="AE129" s="65">
        <f>VLOOKUP($E$1,[7]Resumen!$V$82:$AH$85,AE1,0)</f>
        <v>0</v>
      </c>
      <c r="AF129" s="65">
        <f>VLOOKUP($E$1,[7]Resumen!$V$82:$AH$85,AF1,0)</f>
        <v>0</v>
      </c>
      <c r="AG129" s="65">
        <f>VLOOKUP($E$1,[7]Resumen!$V$82:$AH$85,AG1,0)</f>
        <v>0</v>
      </c>
      <c r="AH129" s="65">
        <f>VLOOKUP($E$1,[7]Resumen!$V$82:$AH$85,AH1,0)</f>
        <v>0</v>
      </c>
      <c r="AI129" s="65">
        <f>VLOOKUP($E$1,[7]Resumen!$V$82:$AH$85,AI1,0)</f>
        <v>0</v>
      </c>
      <c r="AJ129" s="65">
        <f>VLOOKUP($E$1,[7]Resumen!$V$82:$AH$85,AJ1,0)</f>
        <v>0</v>
      </c>
      <c r="AK129" s="65">
        <f t="shared" si="66"/>
        <v>0</v>
      </c>
      <c r="AL129" s="73">
        <f t="shared" si="77"/>
        <v>0</v>
      </c>
      <c r="AM129" s="14">
        <f t="shared" si="78"/>
        <v>0</v>
      </c>
      <c r="AN129" s="9"/>
    </row>
    <row r="130" spans="1:40" ht="14.45" customHeight="1" outlineLevel="1">
      <c r="A130" s="12" t="s">
        <v>240</v>
      </c>
      <c r="B130" s="8" t="s">
        <v>101</v>
      </c>
      <c r="I130" s="228" t="s">
        <v>244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75"/>
        <v>0</v>
      </c>
      <c r="W130" s="73">
        <f t="shared" si="76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66"/>
        <v>0</v>
      </c>
      <c r="AL130" s="73">
        <f t="shared" si="77"/>
        <v>0</v>
      </c>
      <c r="AM130" s="14">
        <f t="shared" si="78"/>
        <v>0</v>
      </c>
      <c r="AN130" s="9"/>
    </row>
    <row r="131" spans="1:40" ht="14.45" customHeight="1" outlineLevel="1">
      <c r="A131" s="12" t="s">
        <v>240</v>
      </c>
      <c r="B131" s="8" t="s">
        <v>101</v>
      </c>
      <c r="I131" s="228" t="s">
        <v>245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/>
      <c r="U131" s="65"/>
      <c r="V131" s="65">
        <f t="shared" si="75"/>
        <v>0</v>
      </c>
      <c r="W131" s="73">
        <f t="shared" si="76"/>
        <v>0</v>
      </c>
      <c r="X131" s="89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>
        <f t="shared" si="66"/>
        <v>0</v>
      </c>
      <c r="AL131" s="73">
        <f t="shared" si="77"/>
        <v>0</v>
      </c>
      <c r="AM131" s="14">
        <f t="shared" si="78"/>
        <v>0</v>
      </c>
      <c r="AN131" s="9"/>
    </row>
    <row r="132" spans="1:40" ht="14.45" customHeight="1" outlineLevel="1">
      <c r="A132" s="12" t="s">
        <v>240</v>
      </c>
      <c r="B132" s="8" t="s">
        <v>101</v>
      </c>
      <c r="I132" s="228" t="s">
        <v>247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75"/>
        <v>0</v>
      </c>
      <c r="W132" s="73">
        <f t="shared" si="76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66"/>
        <v>0</v>
      </c>
      <c r="AL132" s="73">
        <f t="shared" si="77"/>
        <v>0</v>
      </c>
      <c r="AM132" s="14">
        <f t="shared" si="78"/>
        <v>0</v>
      </c>
      <c r="AN132" s="9"/>
    </row>
    <row r="133" spans="1:40" ht="14.45" customHeight="1" outlineLevel="1">
      <c r="A133" s="12" t="s">
        <v>240</v>
      </c>
      <c r="B133" s="8" t="s">
        <v>101</v>
      </c>
      <c r="C133" s="19" t="s">
        <v>246</v>
      </c>
      <c r="D133" s="12"/>
      <c r="E133" s="20"/>
      <c r="F133" s="12"/>
      <c r="G133" s="12"/>
      <c r="H133" s="12"/>
      <c r="I133" s="228" t="s">
        <v>248</v>
      </c>
      <c r="J133" s="65">
        <v>0</v>
      </c>
      <c r="K133" s="65">
        <v>0</v>
      </c>
      <c r="L133" s="65">
        <v>2374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f t="shared" si="75"/>
        <v>2374</v>
      </c>
      <c r="W133" s="73">
        <f t="shared" si="76"/>
        <v>3.3722875742140805E-5</v>
      </c>
      <c r="X133" s="89"/>
      <c r="Y133" s="65">
        <f>VLOOKUP($E$1,[4]Resumen!$C$18:$O$21,Y1,0)+VLOOKUP($E$1,[7]Resumen!$V$91:$AH$94,Y1,0)</f>
        <v>2200</v>
      </c>
      <c r="Z133" s="65">
        <f>VLOOKUP($E$1,[4]Resumen!$C$18:$O$21,Z1,0)+VLOOKUP($E$1,[7]Resumen!$V$91:$AH$94,Z1,0)</f>
        <v>0</v>
      </c>
      <c r="AA133" s="65">
        <f>VLOOKUP($E$1,[4]Resumen!$C$18:$O$21,AA1,0)+VLOOKUP($E$1,[7]Resumen!$V$91:$AH$94,AA1,0)</f>
        <v>0</v>
      </c>
      <c r="AB133" s="65">
        <f>VLOOKUP($E$1,[4]Resumen!$C$18:$O$21,AB1,0)+VLOOKUP($E$1,[7]Resumen!$V$91:$AH$94,AB1,0)</f>
        <v>0</v>
      </c>
      <c r="AC133" s="65">
        <f>VLOOKUP($E$1,[4]Resumen!$C$18:$O$21,AC1,0)+VLOOKUP($E$1,[7]Resumen!$V$91:$AH$94,AC1,0)</f>
        <v>0</v>
      </c>
      <c r="AD133" s="65">
        <f>VLOOKUP($E$1,[4]Resumen!$C$18:$O$21,AD1,0)+VLOOKUP($E$1,[7]Resumen!$V$91:$AH$94,AD1,0)</f>
        <v>0</v>
      </c>
      <c r="AE133" s="65">
        <f>VLOOKUP($E$1,[4]Resumen!$C$18:$O$21,AE1,0)+VLOOKUP($E$1,[7]Resumen!$V$91:$AH$94,AE1,0)</f>
        <v>2200</v>
      </c>
      <c r="AF133" s="65">
        <f>VLOOKUP($E$1,[4]Resumen!$C$18:$O$21,AF1,0)+VLOOKUP($E$1,[7]Resumen!$V$91:$AH$94,AF1,0)</f>
        <v>0</v>
      </c>
      <c r="AG133" s="65">
        <f>VLOOKUP($E$1,[4]Resumen!$C$18:$O$21,AG1,0)+VLOOKUP($E$1,[7]Resumen!$V$91:$AH$94,AG1,0)</f>
        <v>0</v>
      </c>
      <c r="AH133" s="65">
        <f>VLOOKUP($E$1,[4]Resumen!$C$18:$O$21,AH1,0)+VLOOKUP($E$1,[7]Resumen!$V$91:$AH$94,AH1,0)</f>
        <v>0</v>
      </c>
      <c r="AI133" s="65">
        <f>VLOOKUP($E$1,[4]Resumen!$C$18:$O$21,AI1,0)+VLOOKUP($E$1,[7]Resumen!$V$91:$AH$94,AI1,0)</f>
        <v>0</v>
      </c>
      <c r="AJ133" s="65">
        <f>VLOOKUP($E$1,[4]Resumen!$C$18:$O$21,AJ1,0)+VLOOKUP($E$1,[7]Resumen!$V$91:$AH$94,AJ1,0)</f>
        <v>0</v>
      </c>
      <c r="AK133" s="65">
        <f t="shared" si="66"/>
        <v>4400</v>
      </c>
      <c r="AL133" s="73">
        <f t="shared" si="77"/>
        <v>5.5893632587981416E-5</v>
      </c>
      <c r="AM133" s="14">
        <f t="shared" si="78"/>
        <v>0.85341196293176069</v>
      </c>
      <c r="AN133" s="9"/>
    </row>
    <row r="134" spans="1:40" ht="14.45" customHeight="1" outlineLevel="1">
      <c r="A134" s="12" t="s">
        <v>240</v>
      </c>
      <c r="B134" s="8" t="s">
        <v>101</v>
      </c>
      <c r="I134" s="228" t="s">
        <v>249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75"/>
        <v>0</v>
      </c>
      <c r="W134" s="73">
        <f t="shared" si="76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6"/>
        <v>0</v>
      </c>
      <c r="AL134" s="73">
        <f t="shared" si="38"/>
        <v>0</v>
      </c>
      <c r="AM134" s="14">
        <f t="shared" si="39"/>
        <v>0</v>
      </c>
      <c r="AN134" s="9"/>
    </row>
    <row r="135" spans="1:40" ht="14.45" customHeight="1" outlineLevel="1">
      <c r="A135" s="12"/>
      <c r="I135" s="228" t="s">
        <v>250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3050</v>
      </c>
      <c r="R135" s="65">
        <v>0</v>
      </c>
      <c r="S135" s="65">
        <v>6091</v>
      </c>
      <c r="T135" s="65">
        <v>0</v>
      </c>
      <c r="U135" s="65">
        <v>0</v>
      </c>
      <c r="V135" s="65">
        <f t="shared" si="75"/>
        <v>9141</v>
      </c>
      <c r="W135" s="73">
        <f t="shared" si="76"/>
        <v>1.2984869720257335E-4</v>
      </c>
      <c r="X135" s="89"/>
      <c r="Y135" s="65">
        <f>VLOOKUP($E$1,[7]Resumen!$V$100:$AH$103,Y1,0)</f>
        <v>0</v>
      </c>
      <c r="Z135" s="65">
        <f>VLOOKUP($E$1,[7]Resumen!$V$100:$AH$103,Z1,0)</f>
        <v>0</v>
      </c>
      <c r="AA135" s="65">
        <f>VLOOKUP($E$1,[7]Resumen!$V$100:$AH$103,AA1,0)</f>
        <v>0</v>
      </c>
      <c r="AB135" s="65">
        <f>VLOOKUP($E$1,[7]Resumen!$V$100:$AH$103,AB1,0)</f>
        <v>0</v>
      </c>
      <c r="AC135" s="65">
        <f>VLOOKUP($E$1,[7]Resumen!$V$100:$AH$103,AC1,0)</f>
        <v>0</v>
      </c>
      <c r="AD135" s="65">
        <f>VLOOKUP($E$1,[7]Resumen!$V$100:$AH$103,AD1,0)</f>
        <v>0</v>
      </c>
      <c r="AE135" s="65">
        <f>VLOOKUP($E$1,[7]Resumen!$V$100:$AH$103,AE1,0)</f>
        <v>15526.499999999998</v>
      </c>
      <c r="AF135" s="65">
        <f>VLOOKUP($E$1,[7]Resumen!$V$100:$AH$103,AF1,0)</f>
        <v>0</v>
      </c>
      <c r="AG135" s="65">
        <f>VLOOKUP($E$1,[7]Resumen!$V$100:$AH$103,AG1,0)</f>
        <v>0</v>
      </c>
      <c r="AH135" s="65">
        <f>VLOOKUP($E$1,[7]Resumen!$V$100:$AH$103,AH1,0)</f>
        <v>0</v>
      </c>
      <c r="AI135" s="65">
        <f>VLOOKUP($E$1,[7]Resumen!$V$100:$AH$103,AI1,0)</f>
        <v>0</v>
      </c>
      <c r="AJ135" s="65">
        <f>VLOOKUP($E$1,[7]Resumen!$V$100:$AH$103,AJ1,0)</f>
        <v>0</v>
      </c>
      <c r="AK135" s="65">
        <f t="shared" si="66"/>
        <v>15526.499999999998</v>
      </c>
      <c r="AL135" s="73">
        <f t="shared" si="38"/>
        <v>1.9723465599483938E-4</v>
      </c>
      <c r="AM135" s="14">
        <f t="shared" si="39"/>
        <v>0.69855595667870007</v>
      </c>
      <c r="AN135" s="9"/>
    </row>
    <row r="136" spans="1:40" ht="14.45" customHeight="1">
      <c r="I136" s="228" t="s">
        <v>251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75"/>
        <v>0</v>
      </c>
      <c r="W136" s="73">
        <f t="shared" si="76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6"/>
        <v>0</v>
      </c>
      <c r="AL136" s="73">
        <f t="shared" si="38"/>
        <v>0</v>
      </c>
      <c r="AM136" s="14">
        <f t="shared" si="39"/>
        <v>0</v>
      </c>
      <c r="AN136" s="9"/>
    </row>
    <row r="137" spans="1:40" ht="14.45" customHeight="1">
      <c r="I137" s="228" t="s">
        <v>252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/>
      <c r="U137" s="65"/>
      <c r="V137" s="65">
        <f t="shared" si="75"/>
        <v>0</v>
      </c>
      <c r="W137" s="73">
        <f t="shared" si="76"/>
        <v>0</v>
      </c>
      <c r="X137" s="89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>
        <f t="shared" si="66"/>
        <v>0</v>
      </c>
      <c r="AL137" s="73">
        <f t="shared" si="38"/>
        <v>0</v>
      </c>
      <c r="AM137" s="14">
        <f t="shared" si="39"/>
        <v>0</v>
      </c>
      <c r="AN137" s="9"/>
    </row>
    <row r="138" spans="1:40" ht="14.45" customHeight="1">
      <c r="I138" s="228" t="s">
        <v>253</v>
      </c>
      <c r="J138" s="65">
        <v>2000</v>
      </c>
      <c r="K138" s="65">
        <v>2000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f t="shared" si="75"/>
        <v>4000</v>
      </c>
      <c r="W138" s="73">
        <f t="shared" si="76"/>
        <v>5.6820346659040959E-5</v>
      </c>
      <c r="X138" s="89"/>
      <c r="Y138" s="65">
        <f>VLOOKUP($E$1,[7]Resumen!$V$109:$AH$112,Y1,0)</f>
        <v>0</v>
      </c>
      <c r="Z138" s="65">
        <f>VLOOKUP($E$1,[7]Resumen!$V$109:$AH$112,Z1,0)</f>
        <v>0</v>
      </c>
      <c r="AA138" s="65">
        <f>VLOOKUP($E$1,[7]Resumen!$V$109:$AH$112,AA1,0)</f>
        <v>4968.4799999999996</v>
      </c>
      <c r="AB138" s="65">
        <f>VLOOKUP($E$1,[7]Resumen!$V$109:$AH$112,AB1,0)</f>
        <v>0</v>
      </c>
      <c r="AC138" s="65">
        <f>VLOOKUP($E$1,[7]Resumen!$V$109:$AH$112,AC1,0)</f>
        <v>0</v>
      </c>
      <c r="AD138" s="65">
        <f>VLOOKUP($E$1,[7]Resumen!$V$109:$AH$112,AD1,0)</f>
        <v>0</v>
      </c>
      <c r="AE138" s="65">
        <f>VLOOKUP($E$1,[7]Resumen!$V$109:$AH$112,AE1,0)</f>
        <v>0</v>
      </c>
      <c r="AF138" s="65">
        <f>VLOOKUP($E$1,[7]Resumen!$V$109:$AH$112,AF1,0)</f>
        <v>0</v>
      </c>
      <c r="AG138" s="65">
        <f>VLOOKUP($E$1,[7]Resumen!$V$109:$AH$112,AG1,0)</f>
        <v>0</v>
      </c>
      <c r="AH138" s="65">
        <f>VLOOKUP($E$1,[7]Resumen!$V$109:$AH$112,AH1,0)</f>
        <v>0</v>
      </c>
      <c r="AI138" s="65">
        <f>VLOOKUP($E$1,[7]Resumen!$V$109:$AH$112,AI1,0)</f>
        <v>0</v>
      </c>
      <c r="AJ138" s="65">
        <f>VLOOKUP($E$1,[7]Resumen!$V$109:$AH$112,AJ1,0)</f>
        <v>0</v>
      </c>
      <c r="AK138" s="65">
        <f t="shared" si="66"/>
        <v>4968.4799999999996</v>
      </c>
      <c r="AL138" s="73">
        <f t="shared" si="38"/>
        <v>6.3115089918348613E-5</v>
      </c>
      <c r="AM138" s="14">
        <f t="shared" si="39"/>
        <v>0.24211999999999989</v>
      </c>
      <c r="AN138" s="9"/>
    </row>
    <row r="139" spans="1:40" ht="15.6" customHeight="1">
      <c r="I139" s="228" t="s">
        <v>254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f t="shared" si="75"/>
        <v>0</v>
      </c>
      <c r="W139" s="73">
        <f t="shared" si="76"/>
        <v>0</v>
      </c>
      <c r="X139" s="89"/>
      <c r="Y139" s="65">
        <f>VLOOKUP($E$1,[7]Resumen!$V$118:$AH$121,Y1,0)</f>
        <v>0</v>
      </c>
      <c r="Z139" s="65">
        <f>VLOOKUP($E$1,[7]Resumen!$V$118:$AH$121,Z1,0)</f>
        <v>0</v>
      </c>
      <c r="AA139" s="65">
        <f>VLOOKUP($E$1,[7]Resumen!$V$118:$AH$121,AA1,0)</f>
        <v>0</v>
      </c>
      <c r="AB139" s="65">
        <f>VLOOKUP($E$1,[7]Resumen!$V$118:$AH$121,AB1,0)</f>
        <v>0</v>
      </c>
      <c r="AC139" s="65">
        <f>VLOOKUP($E$1,[7]Resumen!$V$118:$AH$121,AC1,0)</f>
        <v>0</v>
      </c>
      <c r="AD139" s="65">
        <f>VLOOKUP($E$1,[7]Resumen!$V$118:$AH$121,AD1,0)</f>
        <v>0</v>
      </c>
      <c r="AE139" s="65">
        <f>VLOOKUP($E$1,[7]Resumen!$V$118:$AH$121,AE1,0)</f>
        <v>0</v>
      </c>
      <c r="AF139" s="65">
        <f>VLOOKUP($E$1,[7]Resumen!$V$118:$AH$121,AF1,0)</f>
        <v>0</v>
      </c>
      <c r="AG139" s="65">
        <f>VLOOKUP($E$1,[7]Resumen!$V$118:$AH$121,AG1,0)</f>
        <v>0</v>
      </c>
      <c r="AH139" s="65">
        <f>VLOOKUP($E$1,[7]Resumen!$V$118:$AH$121,AH1,0)</f>
        <v>0</v>
      </c>
      <c r="AI139" s="65">
        <f>VLOOKUP($E$1,[7]Resumen!$V$118:$AH$121,AI1,0)</f>
        <v>0</v>
      </c>
      <c r="AJ139" s="65">
        <f>VLOOKUP($E$1,[7]Resumen!$V$118:$AH$121,AJ1,0)</f>
        <v>0</v>
      </c>
      <c r="AK139" s="65">
        <f t="shared" si="66"/>
        <v>0</v>
      </c>
      <c r="AL139" s="73">
        <f t="shared" si="38"/>
        <v>0</v>
      </c>
      <c r="AM139" s="14">
        <f t="shared" si="39"/>
        <v>0</v>
      </c>
      <c r="AN139" s="9"/>
    </row>
    <row r="140" spans="1:40" ht="14.45" customHeight="1">
      <c r="I140" s="228" t="s">
        <v>255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5"/>
        <v>0</v>
      </c>
      <c r="W140" s="73">
        <f t="shared" si="76"/>
        <v>0</v>
      </c>
      <c r="X140" s="89"/>
      <c r="Y140" s="65">
        <f>VLOOKUP($E$1,[7]Resumen!$V$127:$AH$130,Y1,0)</f>
        <v>0</v>
      </c>
      <c r="Z140" s="65">
        <f>VLOOKUP($E$1,[7]Resumen!$V$127:$AH$130,Z1,0)</f>
        <v>0</v>
      </c>
      <c r="AA140" s="65">
        <f>VLOOKUP($E$1,[7]Resumen!$V$127:$AH$130,AA1,0)</f>
        <v>0</v>
      </c>
      <c r="AB140" s="65">
        <f>VLOOKUP($E$1,[7]Resumen!$V$127:$AH$130,AB1,0)</f>
        <v>0</v>
      </c>
      <c r="AC140" s="65">
        <f>VLOOKUP($E$1,[7]Resumen!$V$127:$AH$130,AC1,0)</f>
        <v>0</v>
      </c>
      <c r="AD140" s="65">
        <f>VLOOKUP($E$1,[7]Resumen!$V$127:$AH$130,AD1,0)</f>
        <v>0</v>
      </c>
      <c r="AE140" s="65">
        <f>VLOOKUP($E$1,[7]Resumen!$V$127:$AH$130,AE1,0)</f>
        <v>0</v>
      </c>
      <c r="AF140" s="65">
        <f>VLOOKUP($E$1,[7]Resumen!$V$127:$AH$130,AF1,0)</f>
        <v>0</v>
      </c>
      <c r="AG140" s="65">
        <f>VLOOKUP($E$1,[7]Resumen!$V$127:$AH$130,AG1,0)</f>
        <v>0</v>
      </c>
      <c r="AH140" s="65">
        <f>VLOOKUP($E$1,[7]Resumen!$V$127:$AH$130,AH1,0)</f>
        <v>0</v>
      </c>
      <c r="AI140" s="65">
        <f>VLOOKUP($E$1,[7]Resumen!$V$127:$AH$130,AI1,0)</f>
        <v>0</v>
      </c>
      <c r="AJ140" s="65">
        <f>VLOOKUP($E$1,[7]Resumen!$V$127:$AH$130,AJ1,0)</f>
        <v>0</v>
      </c>
      <c r="AK140" s="65">
        <f t="shared" si="66"/>
        <v>0</v>
      </c>
      <c r="AL140" s="73">
        <f t="shared" si="38"/>
        <v>0</v>
      </c>
      <c r="AM140" s="14">
        <f t="shared" si="39"/>
        <v>0</v>
      </c>
      <c r="AN140" s="9"/>
    </row>
    <row r="141" spans="1:40" ht="15">
      <c r="I141" s="228" t="s">
        <v>256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/>
      <c r="U141" s="65"/>
      <c r="V141" s="65">
        <f t="shared" si="75"/>
        <v>0</v>
      </c>
      <c r="W141" s="73">
        <f t="shared" si="76"/>
        <v>0</v>
      </c>
      <c r="X141" s="89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>
        <f t="shared" si="66"/>
        <v>0</v>
      </c>
      <c r="AL141" s="73">
        <f t="shared" si="38"/>
        <v>0</v>
      </c>
      <c r="AM141" s="14">
        <f t="shared" si="39"/>
        <v>0</v>
      </c>
    </row>
    <row r="142" spans="1:40" ht="15">
      <c r="I142" s="228" t="s">
        <v>257</v>
      </c>
      <c r="J142" s="65">
        <v>0</v>
      </c>
      <c r="K142" s="65">
        <v>0</v>
      </c>
      <c r="L142" s="65">
        <v>3000</v>
      </c>
      <c r="M142" s="65">
        <v>0</v>
      </c>
      <c r="N142" s="65">
        <v>0</v>
      </c>
      <c r="O142" s="65">
        <v>3000</v>
      </c>
      <c r="P142" s="65">
        <v>0</v>
      </c>
      <c r="Q142" s="65">
        <v>3000</v>
      </c>
      <c r="R142" s="65">
        <v>0</v>
      </c>
      <c r="S142" s="65">
        <v>0</v>
      </c>
      <c r="T142" s="65">
        <v>1872</v>
      </c>
      <c r="U142" s="65">
        <v>1872</v>
      </c>
      <c r="V142" s="65">
        <f t="shared" si="75"/>
        <v>12744</v>
      </c>
      <c r="W142" s="73">
        <f t="shared" si="76"/>
        <v>1.8102962445570449E-4</v>
      </c>
      <c r="X142" s="89"/>
      <c r="Y142" s="65">
        <f>VLOOKUP($E$1,[7]Resumen!$V$136:$AH$139,Y1,0)</f>
        <v>0</v>
      </c>
      <c r="Z142" s="65">
        <f>VLOOKUP($E$1,[7]Resumen!$V$136:$AH$139,Z1,0)</f>
        <v>3726.3599999999997</v>
      </c>
      <c r="AA142" s="65">
        <f>VLOOKUP($E$1,[7]Resumen!$V$136:$AH$139,AA1,0)</f>
        <v>0</v>
      </c>
      <c r="AB142" s="65">
        <f>VLOOKUP($E$1,[7]Resumen!$V$136:$AH$139,AB1,0)</f>
        <v>0</v>
      </c>
      <c r="AC142" s="65">
        <f>VLOOKUP($E$1,[7]Resumen!$V$136:$AH$139,AC1,0)</f>
        <v>3726.3599999999997</v>
      </c>
      <c r="AD142" s="65">
        <f>VLOOKUP($E$1,[7]Resumen!$V$136:$AH$139,AD1,0)</f>
        <v>0</v>
      </c>
      <c r="AE142" s="65">
        <f>VLOOKUP($E$1,[7]Resumen!$V$136:$AH$139,AE1,0)</f>
        <v>0</v>
      </c>
      <c r="AF142" s="65">
        <f>VLOOKUP($E$1,[7]Resumen!$V$136:$AH$139,AF1,0)</f>
        <v>3726.3599999999997</v>
      </c>
      <c r="AG142" s="65">
        <f>VLOOKUP($E$1,[7]Resumen!$V$136:$AH$139,AG1,0)</f>
        <v>0</v>
      </c>
      <c r="AH142" s="65">
        <f>VLOOKUP($E$1,[7]Resumen!$V$136:$AH$139,AH1,0)</f>
        <v>0</v>
      </c>
      <c r="AI142" s="65">
        <f>VLOOKUP($E$1,[7]Resumen!$V$136:$AH$139,AI1,0)</f>
        <v>3726.3599999999997</v>
      </c>
      <c r="AJ142" s="65">
        <f>VLOOKUP($E$1,[7]Resumen!$V$136:$AH$139,AJ1,0)</f>
        <v>0</v>
      </c>
      <c r="AK142" s="65">
        <f t="shared" si="66"/>
        <v>14905.439999999999</v>
      </c>
      <c r="AL142" s="73">
        <f t="shared" si="38"/>
        <v>1.8934526975504583E-4</v>
      </c>
      <c r="AM142" s="14">
        <f t="shared" si="39"/>
        <v>0.16960451977401125</v>
      </c>
    </row>
    <row r="143" spans="1:40" ht="15">
      <c r="I143" s="228" t="s">
        <v>258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4160</v>
      </c>
      <c r="V143" s="65">
        <f t="shared" si="75"/>
        <v>4160</v>
      </c>
      <c r="W143" s="73">
        <f t="shared" si="76"/>
        <v>5.9093160525402593E-5</v>
      </c>
      <c r="X143" s="89"/>
      <c r="Y143" s="65">
        <f>VLOOKUP($E$1,[7]Resumen!$V$145:$AH$148,Y1,0)</f>
        <v>0</v>
      </c>
      <c r="Z143" s="65">
        <f>VLOOKUP($E$1,[7]Resumen!$V$145:$AH$148,Z1,0)</f>
        <v>970.92379999999991</v>
      </c>
      <c r="AA143" s="65">
        <f>VLOOKUP($E$1,[7]Resumen!$V$145:$AH$148,AA1,0)</f>
        <v>0</v>
      </c>
      <c r="AB143" s="65">
        <f>VLOOKUP($E$1,[7]Resumen!$V$145:$AH$148,AB1,0)</f>
        <v>0</v>
      </c>
      <c r="AC143" s="65">
        <f>VLOOKUP($E$1,[7]Resumen!$V$145:$AH$148,AC1,0)</f>
        <v>970.92379999999991</v>
      </c>
      <c r="AD143" s="65">
        <f>VLOOKUP($E$1,[7]Resumen!$V$145:$AH$148,AD1,0)</f>
        <v>0</v>
      </c>
      <c r="AE143" s="65">
        <f>VLOOKUP($E$1,[7]Resumen!$V$145:$AH$148,AE1,0)</f>
        <v>0</v>
      </c>
      <c r="AF143" s="65">
        <f>VLOOKUP($E$1,[7]Resumen!$V$145:$AH$148,AF1,0)</f>
        <v>970.92379999999991</v>
      </c>
      <c r="AG143" s="65">
        <f>VLOOKUP($E$1,[7]Resumen!$V$145:$AH$148,AG1,0)</f>
        <v>0</v>
      </c>
      <c r="AH143" s="65">
        <f>VLOOKUP($E$1,[7]Resumen!$V$145:$AH$148,AH1,0)</f>
        <v>0</v>
      </c>
      <c r="AI143" s="65">
        <f>VLOOKUP($E$1,[7]Resumen!$V$145:$AH$148,AI1,0)</f>
        <v>970.92379999999991</v>
      </c>
      <c r="AJ143" s="65">
        <f>VLOOKUP($E$1,[7]Resumen!$V$145:$AH$148,AJ1,0)</f>
        <v>0</v>
      </c>
      <c r="AK143" s="65">
        <f t="shared" si="66"/>
        <v>3883.6951999999997</v>
      </c>
      <c r="AL143" s="73">
        <f t="shared" si="38"/>
        <v>4.9334961952842495E-5</v>
      </c>
      <c r="AM143" s="14">
        <f t="shared" ref="AM143:AM161" si="79">IFERROR(AK143/V143-1,0)</f>
        <v>-6.6419423076923167E-2</v>
      </c>
    </row>
    <row r="144" spans="1:40" ht="15">
      <c r="I144" s="228" t="s">
        <v>259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/>
      <c r="U144" s="65"/>
      <c r="V144" s="65">
        <f t="shared" si="75"/>
        <v>0</v>
      </c>
      <c r="W144" s="73">
        <f t="shared" si="76"/>
        <v>0</v>
      </c>
      <c r="X144" s="89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>
        <f t="shared" si="66"/>
        <v>0</v>
      </c>
      <c r="AL144" s="73">
        <f t="shared" si="38"/>
        <v>0</v>
      </c>
      <c r="AM144" s="14">
        <f t="shared" si="79"/>
        <v>0</v>
      </c>
    </row>
    <row r="145" spans="1:40" ht="15">
      <c r="I145" s="228" t="s">
        <v>260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/>
      <c r="U145" s="65"/>
      <c r="V145" s="65">
        <f t="shared" si="75"/>
        <v>0</v>
      </c>
      <c r="W145" s="73">
        <f t="shared" si="76"/>
        <v>0</v>
      </c>
      <c r="X145" s="89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>
        <f t="shared" si="66"/>
        <v>0</v>
      </c>
      <c r="AL145" s="73">
        <f t="shared" si="38"/>
        <v>0</v>
      </c>
      <c r="AM145" s="14">
        <f t="shared" si="79"/>
        <v>0</v>
      </c>
    </row>
    <row r="146" spans="1:40" ht="15">
      <c r="I146" s="228" t="s">
        <v>261</v>
      </c>
      <c r="J146" s="65"/>
      <c r="K146" s="65"/>
      <c r="L146" s="65"/>
      <c r="M146" s="65"/>
      <c r="N146" s="65"/>
      <c r="O146" s="65">
        <v>0</v>
      </c>
      <c r="P146" s="65">
        <v>2374</v>
      </c>
      <c r="Q146" s="65">
        <v>0</v>
      </c>
      <c r="R146" s="65">
        <v>0</v>
      </c>
      <c r="S146" s="65"/>
      <c r="T146" s="65">
        <v>0</v>
      </c>
      <c r="U146" s="65">
        <v>3640</v>
      </c>
      <c r="V146" s="65">
        <f t="shared" si="75"/>
        <v>6014</v>
      </c>
      <c r="W146" s="73">
        <f t="shared" si="76"/>
        <v>8.5429391201868085E-5</v>
      </c>
      <c r="X146" s="89"/>
      <c r="Y146" s="65">
        <f>VLOOKUP($E$1,[7]Resumen!$V$163:$AH$166,Y1,0)</f>
        <v>0</v>
      </c>
      <c r="Z146" s="65">
        <f>VLOOKUP($E$1,[7]Resumen!$V$163:$AH$166,Z1,0)</f>
        <v>0</v>
      </c>
      <c r="AA146" s="65">
        <f>VLOOKUP($E$1,[7]Resumen!$V$163:$AH$166,AA1,0)</f>
        <v>0</v>
      </c>
      <c r="AB146" s="65">
        <f>VLOOKUP($E$1,[7]Resumen!$V$163:$AH$166,AB1,0)</f>
        <v>0</v>
      </c>
      <c r="AC146" s="65">
        <f>VLOOKUP($E$1,[7]Resumen!$V$163:$AH$166,AC1,0)</f>
        <v>0</v>
      </c>
      <c r="AD146" s="65">
        <f>VLOOKUP($E$1,[7]Resumen!$V$163:$AH$166,AD1,0)</f>
        <v>0</v>
      </c>
      <c r="AE146" s="65">
        <f>VLOOKUP($E$1,[7]Resumen!$V$163:$AH$166,AE1,0)</f>
        <v>0</v>
      </c>
      <c r="AF146" s="65">
        <f>VLOOKUP($E$1,[7]Resumen!$V$163:$AH$166,AF1,0)</f>
        <v>0</v>
      </c>
      <c r="AG146" s="65">
        <f>VLOOKUP($E$1,[7]Resumen!$V$163:$AH$166,AG1,0)</f>
        <v>0</v>
      </c>
      <c r="AH146" s="65">
        <f>VLOOKUP($E$1,[7]Resumen!$V$163:$AH$166,AH1,0)</f>
        <v>0</v>
      </c>
      <c r="AI146" s="65">
        <f>VLOOKUP($E$1,[7]Resumen!$V$163:$AH$166,AI1,0)</f>
        <v>0</v>
      </c>
      <c r="AJ146" s="65">
        <f>VLOOKUP($E$1,[7]Resumen!$V$163:$AH$166,AJ1,0)</f>
        <v>3208.8099999999995</v>
      </c>
      <c r="AK146" s="65">
        <f t="shared" si="66"/>
        <v>3208.8099999999995</v>
      </c>
      <c r="AL146" s="73">
        <f t="shared" si="38"/>
        <v>4.0761828905600136E-5</v>
      </c>
      <c r="AM146" s="14">
        <f t="shared" si="79"/>
        <v>-0.46644329896907222</v>
      </c>
    </row>
    <row r="147" spans="1:40" ht="15">
      <c r="I147" s="228" t="s">
        <v>471</v>
      </c>
      <c r="J147" s="65">
        <v>0</v>
      </c>
      <c r="K147" s="65">
        <v>28000</v>
      </c>
      <c r="L147" s="65">
        <v>14000</v>
      </c>
      <c r="M147" s="65">
        <v>14000</v>
      </c>
      <c r="N147" s="65">
        <v>0</v>
      </c>
      <c r="O147" s="65">
        <v>0</v>
      </c>
      <c r="P147" s="65">
        <v>42000</v>
      </c>
      <c r="Q147" s="65">
        <v>14000</v>
      </c>
      <c r="R147" s="65">
        <v>14000</v>
      </c>
      <c r="S147" s="65">
        <v>14000</v>
      </c>
      <c r="T147" s="65">
        <v>14000</v>
      </c>
      <c r="U147" s="65">
        <v>14000</v>
      </c>
      <c r="V147" s="65">
        <f t="shared" si="75"/>
        <v>168000</v>
      </c>
      <c r="W147" s="73">
        <f t="shared" si="76"/>
        <v>2.3864545596797202E-3</v>
      </c>
      <c r="X147" s="89"/>
      <c r="Y147" s="65">
        <v>14000</v>
      </c>
      <c r="Z147" s="65">
        <v>14000</v>
      </c>
      <c r="AA147" s="65">
        <v>14000</v>
      </c>
      <c r="AB147" s="65">
        <v>14000</v>
      </c>
      <c r="AC147" s="65">
        <v>14000</v>
      </c>
      <c r="AD147" s="65">
        <v>14000</v>
      </c>
      <c r="AE147" s="65">
        <v>14000</v>
      </c>
      <c r="AF147" s="65">
        <v>14000</v>
      </c>
      <c r="AG147" s="65">
        <v>14000</v>
      </c>
      <c r="AH147" s="65">
        <v>14000</v>
      </c>
      <c r="AI147" s="65">
        <v>14000</v>
      </c>
      <c r="AJ147" s="65">
        <v>14000</v>
      </c>
      <c r="AK147" s="65">
        <f t="shared" si="66"/>
        <v>168000</v>
      </c>
      <c r="AL147" s="73">
        <f t="shared" si="38"/>
        <v>2.134120516995654E-3</v>
      </c>
      <c r="AM147" s="14">
        <f t="shared" si="79"/>
        <v>0</v>
      </c>
    </row>
    <row r="148" spans="1:40" ht="15">
      <c r="I148" s="120" t="s">
        <v>263</v>
      </c>
      <c r="J148" s="15">
        <v>192991</v>
      </c>
      <c r="K148" s="15">
        <v>193048</v>
      </c>
      <c r="L148" s="15">
        <v>191852</v>
      </c>
      <c r="M148" s="15">
        <v>191698</v>
      </c>
      <c r="N148" s="15">
        <v>195164</v>
      </c>
      <c r="O148" s="15">
        <v>186680</v>
      </c>
      <c r="P148" s="15">
        <v>193970</v>
      </c>
      <c r="Q148" s="15">
        <v>193944</v>
      </c>
      <c r="R148" s="15">
        <v>192592</v>
      </c>
      <c r="S148" s="15">
        <v>194999</v>
      </c>
      <c r="T148" s="15">
        <f t="shared" ref="K148:V148" si="80">SUM(T149:T155)</f>
        <v>200382.38</v>
      </c>
      <c r="U148" s="15">
        <f t="shared" si="80"/>
        <v>200349.38</v>
      </c>
      <c r="V148" s="15">
        <f t="shared" si="80"/>
        <v>2327669.7599999998</v>
      </c>
      <c r="W148" s="72">
        <f t="shared" si="37"/>
        <v>3.3064750667741664E-2</v>
      </c>
      <c r="X148" s="89"/>
      <c r="Y148" s="15">
        <f>SUM(Y149:Y155)</f>
        <v>201366.90986000001</v>
      </c>
      <c r="Z148" s="15">
        <f t="shared" ref="Z148:AJ148" si="81">SUM(Z149:Z155)</f>
        <v>200619.77468</v>
      </c>
      <c r="AA148" s="15">
        <f t="shared" si="81"/>
        <v>201366.90986000001</v>
      </c>
      <c r="AB148" s="15">
        <f t="shared" si="81"/>
        <v>201117.86480000001</v>
      </c>
      <c r="AC148" s="15">
        <f t="shared" si="81"/>
        <v>201366.90986000001</v>
      </c>
      <c r="AD148" s="15">
        <f t="shared" si="81"/>
        <v>201117.86480000001</v>
      </c>
      <c r="AE148" s="15">
        <f t="shared" si="81"/>
        <v>201366.90986000001</v>
      </c>
      <c r="AF148" s="15">
        <f t="shared" si="81"/>
        <v>201366.90986000001</v>
      </c>
      <c r="AG148" s="15">
        <f t="shared" si="81"/>
        <v>201117.86480000001</v>
      </c>
      <c r="AH148" s="15">
        <f t="shared" si="81"/>
        <v>209078.40506000002</v>
      </c>
      <c r="AI148" s="15">
        <f t="shared" si="81"/>
        <v>208829.36000000002</v>
      </c>
      <c r="AJ148" s="15">
        <f t="shared" si="81"/>
        <v>209078.40506000002</v>
      </c>
      <c r="AK148" s="15">
        <f t="shared" ref="Z148:AK148" si="82">SUM(AK149:AK155)</f>
        <v>2437794.0885000001</v>
      </c>
      <c r="AL148" s="72">
        <f t="shared" si="38"/>
        <v>3.0967537979039103E-2</v>
      </c>
      <c r="AM148" s="10">
        <f t="shared" si="79"/>
        <v>4.7310976149812722E-2</v>
      </c>
    </row>
    <row r="149" spans="1:40" ht="15">
      <c r="I149" s="228" t="s">
        <v>264</v>
      </c>
      <c r="J149" s="67">
        <v>0</v>
      </c>
      <c r="K149" s="67">
        <v>0</v>
      </c>
      <c r="L149" s="67">
        <v>0</v>
      </c>
      <c r="M149" s="67">
        <v>0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0</v>
      </c>
      <c r="T149" s="67">
        <v>0</v>
      </c>
      <c r="U149" s="67">
        <v>0</v>
      </c>
      <c r="V149" s="65">
        <f t="shared" ref="V149:V161" si="83">SUM(J149:U149)</f>
        <v>0</v>
      </c>
      <c r="W149" s="73">
        <f t="shared" si="37"/>
        <v>0</v>
      </c>
      <c r="X149" s="89"/>
      <c r="Y149" s="67">
        <f>VLOOKUP($E$1,[17]Resumen!$V$8:$AH$11,Y1,0)</f>
        <v>0</v>
      </c>
      <c r="Z149" s="67">
        <f>VLOOKUP($E$1,[17]Resumen!$V$8:$AH$11,Z1,0)</f>
        <v>0</v>
      </c>
      <c r="AA149" s="67">
        <f>VLOOKUP($E$1,[17]Resumen!$V$8:$AH$11,AA1,0)</f>
        <v>0</v>
      </c>
      <c r="AB149" s="67">
        <f>VLOOKUP($E$1,[17]Resumen!$V$8:$AH$11,AB1,0)</f>
        <v>0</v>
      </c>
      <c r="AC149" s="67">
        <f>VLOOKUP($E$1,[17]Resumen!$V$8:$AH$11,AC1,0)</f>
        <v>0</v>
      </c>
      <c r="AD149" s="67">
        <f>VLOOKUP($E$1,[17]Resumen!$V$8:$AH$11,AD1,0)</f>
        <v>0</v>
      </c>
      <c r="AE149" s="67">
        <f>VLOOKUP($E$1,[17]Resumen!$V$8:$AH$11,AE1,0)</f>
        <v>0</v>
      </c>
      <c r="AF149" s="67">
        <f>VLOOKUP($E$1,[17]Resumen!$V$8:$AH$11,AF1,0)</f>
        <v>0</v>
      </c>
      <c r="AG149" s="67">
        <f>VLOOKUP($E$1,[17]Resumen!$V$8:$AH$11,AG1,0)</f>
        <v>0</v>
      </c>
      <c r="AH149" s="67">
        <f>VLOOKUP($E$1,[17]Resumen!$V$8:$AH$11,AH1,0)</f>
        <v>0</v>
      </c>
      <c r="AI149" s="67">
        <f>VLOOKUP($E$1,[17]Resumen!$V$8:$AH$11,AI1,0)</f>
        <v>0</v>
      </c>
      <c r="AJ149" s="67">
        <f>VLOOKUP($E$1,[17]Resumen!$V$8:$AH$11,AJ1,0)</f>
        <v>0</v>
      </c>
      <c r="AK149" s="65">
        <f t="shared" si="66"/>
        <v>0</v>
      </c>
      <c r="AL149" s="73">
        <f t="shared" si="38"/>
        <v>0</v>
      </c>
      <c r="AM149" s="14">
        <f t="shared" si="79"/>
        <v>0</v>
      </c>
    </row>
    <row r="150" spans="1:40" ht="15">
      <c r="I150" s="228" t="s">
        <v>265</v>
      </c>
      <c r="J150" s="67">
        <v>186250</v>
      </c>
      <c r="K150" s="67">
        <v>186250</v>
      </c>
      <c r="L150" s="67">
        <v>186250</v>
      </c>
      <c r="M150" s="67">
        <v>186250</v>
      </c>
      <c r="N150" s="67">
        <v>186250</v>
      </c>
      <c r="O150" s="67">
        <v>186250</v>
      </c>
      <c r="P150" s="67">
        <v>186250</v>
      </c>
      <c r="Q150" s="67">
        <v>186250</v>
      </c>
      <c r="R150" s="67">
        <v>186250</v>
      </c>
      <c r="S150" s="67">
        <v>186250</v>
      </c>
      <c r="T150" s="67">
        <v>192787.38</v>
      </c>
      <c r="U150" s="67">
        <v>192787.38</v>
      </c>
      <c r="V150" s="65">
        <f t="shared" si="83"/>
        <v>2248074.7599999998</v>
      </c>
      <c r="W150" s="73">
        <f t="shared" si="37"/>
        <v>3.1934096794660069E-2</v>
      </c>
      <c r="X150" s="89"/>
      <c r="Y150" s="67">
        <f>+U150</f>
        <v>192787.38</v>
      </c>
      <c r="Z150" s="67">
        <f>+Y150</f>
        <v>192787.38</v>
      </c>
      <c r="AA150" s="67">
        <f t="shared" ref="AA150:AG150" si="84">+Z150</f>
        <v>192787.38</v>
      </c>
      <c r="AB150" s="67">
        <f t="shared" si="84"/>
        <v>192787.38</v>
      </c>
      <c r="AC150" s="67">
        <f t="shared" si="84"/>
        <v>192787.38</v>
      </c>
      <c r="AD150" s="67">
        <f t="shared" si="84"/>
        <v>192787.38</v>
      </c>
      <c r="AE150" s="67">
        <f t="shared" si="84"/>
        <v>192787.38</v>
      </c>
      <c r="AF150" s="67">
        <f t="shared" si="84"/>
        <v>192787.38</v>
      </c>
      <c r="AG150" s="67">
        <f t="shared" si="84"/>
        <v>192787.38</v>
      </c>
      <c r="AH150" s="67">
        <f>AG150*1.04</f>
        <v>200498.87520000001</v>
      </c>
      <c r="AI150" s="67">
        <f t="shared" ref="AI150:AJ150" si="85">+AH150</f>
        <v>200498.87520000001</v>
      </c>
      <c r="AJ150" s="67">
        <f t="shared" si="85"/>
        <v>200498.87520000001</v>
      </c>
      <c r="AK150" s="65">
        <f t="shared" si="66"/>
        <v>2336583.0456000003</v>
      </c>
      <c r="AL150" s="73">
        <f t="shared" si="38"/>
        <v>2.9681844150471145E-2</v>
      </c>
      <c r="AM150" s="14">
        <f t="shared" si="79"/>
        <v>3.9370703846165922E-2</v>
      </c>
    </row>
    <row r="151" spans="1:40" ht="15">
      <c r="I151" s="228" t="s">
        <v>266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/>
      <c r="U151" s="65"/>
      <c r="V151" s="65">
        <f t="shared" si="83"/>
        <v>0</v>
      </c>
      <c r="W151" s="73">
        <f t="shared" si="37"/>
        <v>0</v>
      </c>
      <c r="X151" s="89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>
        <f t="shared" si="66"/>
        <v>0</v>
      </c>
      <c r="AL151" s="73">
        <f t="shared" si="38"/>
        <v>0</v>
      </c>
      <c r="AM151" s="14">
        <f t="shared" si="79"/>
        <v>0</v>
      </c>
    </row>
    <row r="152" spans="1:40" ht="15">
      <c r="I152" s="228" t="s">
        <v>267</v>
      </c>
      <c r="J152" s="65">
        <v>5854</v>
      </c>
      <c r="K152" s="65">
        <v>6258</v>
      </c>
      <c r="L152" s="65">
        <v>5382</v>
      </c>
      <c r="M152" s="65">
        <v>5338</v>
      </c>
      <c r="N152" s="65">
        <v>8271</v>
      </c>
      <c r="O152" s="65">
        <v>0</v>
      </c>
      <c r="P152" s="65">
        <v>7286</v>
      </c>
      <c r="Q152" s="65">
        <v>7452</v>
      </c>
      <c r="R152" s="65">
        <v>6114</v>
      </c>
      <c r="S152" s="65">
        <v>7664</v>
      </c>
      <c r="T152" s="65">
        <f t="shared" ref="T152" si="86">+AVERAGE(Q152:S152)</f>
        <v>7076.666666666667</v>
      </c>
      <c r="U152" s="65">
        <f t="shared" ref="U152" si="87">+AVERAGE(R152:T152)</f>
        <v>6951.5555555555557</v>
      </c>
      <c r="V152" s="65">
        <f t="shared" si="83"/>
        <v>73647.222222222234</v>
      </c>
      <c r="W152" s="73">
        <f t="shared" si="37"/>
        <v>1.046165174285523E-3</v>
      </c>
      <c r="X152" s="89"/>
      <c r="Y152" s="65">
        <f>VLOOKUP($E$1,[6]Resumen!$V$80:$AH$83,Y1,0)</f>
        <v>7720.3968599999989</v>
      </c>
      <c r="Z152" s="65">
        <f>VLOOKUP($E$1,[6]Resumen!$V$80:$AH$83,Z1,0)</f>
        <v>6973.2616799999996</v>
      </c>
      <c r="AA152" s="65">
        <f>VLOOKUP($E$1,[6]Resumen!$V$80:$AH$83,AA1,0)</f>
        <v>7720.3968599999989</v>
      </c>
      <c r="AB152" s="65">
        <f>VLOOKUP($E$1,[6]Resumen!$V$80:$AH$83,AB1,0)</f>
        <v>7471.3517999999995</v>
      </c>
      <c r="AC152" s="65">
        <f>VLOOKUP($E$1,[6]Resumen!$V$80:$AH$83,AC1,0)</f>
        <v>7720.3968599999989</v>
      </c>
      <c r="AD152" s="65">
        <f>VLOOKUP($E$1,[6]Resumen!$V$80:$AH$83,AD1,0)</f>
        <v>7471.3517999999995</v>
      </c>
      <c r="AE152" s="65">
        <f>VLOOKUP($E$1,[6]Resumen!$V$80:$AH$83,AE1,0)</f>
        <v>7720.3968599999989</v>
      </c>
      <c r="AF152" s="65">
        <f>VLOOKUP($E$1,[6]Resumen!$V$80:$AH$83,AF1,0)</f>
        <v>7720.3968599999989</v>
      </c>
      <c r="AG152" s="65">
        <f>VLOOKUP($E$1,[6]Resumen!$V$80:$AH$83,AG1,0)</f>
        <v>7471.3517999999995</v>
      </c>
      <c r="AH152" s="65">
        <f>VLOOKUP($E$1,[6]Resumen!$V$80:$AH$83,AH1,0)</f>
        <v>7720.3968599999989</v>
      </c>
      <c r="AI152" s="65">
        <f>VLOOKUP($E$1,[6]Resumen!$V$80:$AH$83,AI1,0)</f>
        <v>7471.3517999999995</v>
      </c>
      <c r="AJ152" s="65">
        <f>VLOOKUP($E$1,[6]Resumen!$V$80:$AH$83,AJ1,0)</f>
        <v>7720.3968599999989</v>
      </c>
      <c r="AK152" s="65">
        <f t="shared" si="66"/>
        <v>90901.446899999981</v>
      </c>
      <c r="AL152" s="73">
        <f t="shared" si="38"/>
        <v>1.1547300169873866E-3</v>
      </c>
      <c r="AM152" s="14">
        <f t="shared" si="79"/>
        <v>0.23428208365707337</v>
      </c>
    </row>
    <row r="153" spans="1:40" ht="15">
      <c r="I153" s="228" t="s">
        <v>268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/>
      <c r="U153" s="65"/>
      <c r="V153" s="65">
        <f t="shared" si="83"/>
        <v>0</v>
      </c>
      <c r="W153" s="73">
        <f t="shared" si="37"/>
        <v>0</v>
      </c>
      <c r="X153" s="89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>
        <f t="shared" si="66"/>
        <v>0</v>
      </c>
      <c r="AL153" s="73">
        <f t="shared" si="38"/>
        <v>0</v>
      </c>
      <c r="AM153" s="14">
        <f t="shared" si="79"/>
        <v>0</v>
      </c>
    </row>
    <row r="154" spans="1:40" ht="15">
      <c r="I154" s="228" t="s">
        <v>269</v>
      </c>
      <c r="J154" s="65">
        <v>0</v>
      </c>
      <c r="K154" s="65">
        <v>540</v>
      </c>
      <c r="L154" s="65">
        <v>220</v>
      </c>
      <c r="M154" s="65">
        <v>110</v>
      </c>
      <c r="N154" s="65">
        <v>220</v>
      </c>
      <c r="O154" s="65">
        <v>0</v>
      </c>
      <c r="P154" s="65">
        <v>434</v>
      </c>
      <c r="Q154" s="65">
        <v>242</v>
      </c>
      <c r="R154" s="65">
        <v>228</v>
      </c>
      <c r="S154" s="65">
        <v>1085</v>
      </c>
      <c r="T154" s="65">
        <f t="shared" ref="T154:T155" si="88">+AVERAGE(Q154:S154)</f>
        <v>518.33333333333337</v>
      </c>
      <c r="U154" s="65">
        <f t="shared" ref="U154:U155" si="89">+AVERAGE(R154:T154)</f>
        <v>610.44444444444446</v>
      </c>
      <c r="V154" s="65">
        <f t="shared" si="83"/>
        <v>4207.7777777777783</v>
      </c>
      <c r="W154" s="73">
        <f t="shared" si="37"/>
        <v>5.977184799938559E-5</v>
      </c>
      <c r="X154" s="89"/>
      <c r="Y154" s="65">
        <f>VLOOKUP($E$1,[6]Resumen!$V$89:$AH$92,Y1,0)</f>
        <v>859.13299999999992</v>
      </c>
      <c r="Z154" s="65">
        <f>VLOOKUP($E$1,[6]Resumen!$V$89:$AH$92,Z1,0)</f>
        <v>859.13299999999992</v>
      </c>
      <c r="AA154" s="65">
        <f>VLOOKUP($E$1,[6]Resumen!$V$89:$AH$92,AA1,0)</f>
        <v>859.13299999999992</v>
      </c>
      <c r="AB154" s="65">
        <f>VLOOKUP($E$1,[6]Resumen!$V$89:$AH$92,AB1,0)</f>
        <v>859.13299999999992</v>
      </c>
      <c r="AC154" s="65">
        <f>VLOOKUP($E$1,[6]Resumen!$V$89:$AH$92,AC1,0)</f>
        <v>859.13299999999992</v>
      </c>
      <c r="AD154" s="65">
        <f>VLOOKUP($E$1,[6]Resumen!$V$89:$AH$92,AD1,0)</f>
        <v>859.13299999999992</v>
      </c>
      <c r="AE154" s="65">
        <f>VLOOKUP($E$1,[6]Resumen!$V$89:$AH$92,AE1,0)</f>
        <v>859.13299999999992</v>
      </c>
      <c r="AF154" s="65">
        <f>VLOOKUP($E$1,[6]Resumen!$V$89:$AH$92,AF1,0)</f>
        <v>859.13299999999992</v>
      </c>
      <c r="AG154" s="65">
        <f>VLOOKUP($E$1,[6]Resumen!$V$89:$AH$92,AG1,0)</f>
        <v>859.13299999999992</v>
      </c>
      <c r="AH154" s="65">
        <f>VLOOKUP($E$1,[6]Resumen!$V$89:$AH$92,AH1,0)</f>
        <v>859.13299999999992</v>
      </c>
      <c r="AI154" s="65">
        <f>VLOOKUP($E$1,[6]Resumen!$V$89:$AH$92,AI1,0)</f>
        <v>859.13299999999992</v>
      </c>
      <c r="AJ154" s="65">
        <f>VLOOKUP($E$1,[6]Resumen!$V$89:$AH$92,AJ1,0)</f>
        <v>859.13299999999992</v>
      </c>
      <c r="AK154" s="65">
        <f t="shared" si="66"/>
        <v>10309.596</v>
      </c>
      <c r="AL154" s="73">
        <f t="shared" si="38"/>
        <v>1.3096381158057336E-4</v>
      </c>
      <c r="AM154" s="14">
        <f t="shared" si="79"/>
        <v>1.4501284393979401</v>
      </c>
    </row>
    <row r="155" spans="1:40" ht="15">
      <c r="I155" s="228" t="s">
        <v>270</v>
      </c>
      <c r="J155" s="67">
        <v>887</v>
      </c>
      <c r="K155" s="67">
        <v>0</v>
      </c>
      <c r="L155" s="67">
        <v>0</v>
      </c>
      <c r="M155" s="67">
        <v>0</v>
      </c>
      <c r="N155" s="67">
        <v>423</v>
      </c>
      <c r="O155" s="67">
        <v>430</v>
      </c>
      <c r="P155" s="67">
        <v>0</v>
      </c>
      <c r="Q155" s="67">
        <v>0</v>
      </c>
      <c r="R155" s="65">
        <v>0</v>
      </c>
      <c r="S155" s="65">
        <v>0</v>
      </c>
      <c r="T155" s="65">
        <f t="shared" si="88"/>
        <v>0</v>
      </c>
      <c r="U155" s="65">
        <f t="shared" si="89"/>
        <v>0</v>
      </c>
      <c r="V155" s="65">
        <f t="shared" si="83"/>
        <v>1740</v>
      </c>
      <c r="W155" s="73">
        <f>V155/V$6</f>
        <v>2.4716850796682816E-5</v>
      </c>
      <c r="X155" s="89"/>
      <c r="Y155" s="67">
        <f>VLOOKUP($E$1,[18]Resumen!$V$8:$AH$14,Y1,0)</f>
        <v>0</v>
      </c>
      <c r="Z155" s="67">
        <f>VLOOKUP($E$1,[18]Resumen!$V$8:$AH$14,Z1,0)</f>
        <v>0</v>
      </c>
      <c r="AA155" s="67">
        <f>VLOOKUP($E$1,[18]Resumen!$V$8:$AH$14,AA1,0)</f>
        <v>0</v>
      </c>
      <c r="AB155" s="67">
        <f>VLOOKUP($E$1,[18]Resumen!$V$8:$AH$14,AB1,0)</f>
        <v>0</v>
      </c>
      <c r="AC155" s="67">
        <f>VLOOKUP($E$1,[18]Resumen!$V$8:$AH$14,AC1,0)</f>
        <v>0</v>
      </c>
      <c r="AD155" s="67">
        <f>VLOOKUP($E$1,[18]Resumen!$V$8:$AH$14,AD1,0)</f>
        <v>0</v>
      </c>
      <c r="AE155" s="67">
        <f>VLOOKUP($E$1,[18]Resumen!$V$8:$AH$14,AE1,0)</f>
        <v>0</v>
      </c>
      <c r="AF155" s="67">
        <f>VLOOKUP($E$1,[18]Resumen!$V$8:$AH$14,AF1,0)</f>
        <v>0</v>
      </c>
      <c r="AG155" s="67">
        <f>VLOOKUP($E$1,[18]Resumen!$V$8:$AH$14,AG1,0)</f>
        <v>0</v>
      </c>
      <c r="AH155" s="67">
        <f>VLOOKUP($E$1,[18]Resumen!$V$8:$AH$14,AH1,0)</f>
        <v>0</v>
      </c>
      <c r="AI155" s="67">
        <f>VLOOKUP($E$1,[18]Resumen!$V$8:$AH$14,AI1,0)</f>
        <v>0</v>
      </c>
      <c r="AJ155" s="67">
        <f>VLOOKUP($E$1,[18]Resumen!$V$8:$AH$14,AJ1,0)</f>
        <v>0</v>
      </c>
      <c r="AK155" s="65">
        <f t="shared" si="66"/>
        <v>0</v>
      </c>
      <c r="AL155" s="73">
        <f>AK155/AK$6</f>
        <v>0</v>
      </c>
      <c r="AM155" s="14">
        <f>IFERROR(AK155/V155-1,0)</f>
        <v>-1</v>
      </c>
    </row>
    <row r="156" spans="1:40" ht="15">
      <c r="A156" s="12"/>
      <c r="I156" s="120" t="s">
        <v>462</v>
      </c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15"/>
      <c r="W156" s="72"/>
      <c r="X156" s="89"/>
      <c r="Y156" s="27">
        <f>+'TOTAL ESTACIONES'!Y156*31%</f>
        <v>20649.289875000002</v>
      </c>
      <c r="Z156" s="27">
        <f>+'TOTAL ESTACIONES'!Z156*31%</f>
        <v>17254.216375</v>
      </c>
      <c r="AA156" s="27">
        <f>+'TOTAL ESTACIONES'!AA156*31%</f>
        <v>25647.664000000004</v>
      </c>
      <c r="AB156" s="27">
        <f>+'TOTAL ESTACIONES'!AB156*31%</f>
        <v>24804.684874999999</v>
      </c>
      <c r="AC156" s="27">
        <f>+'TOTAL ESTACIONES'!AC156*31%</f>
        <v>28761.958875000004</v>
      </c>
      <c r="AD156" s="27">
        <f>+'TOTAL ESTACIONES'!AD156*31%</f>
        <v>23093.961500000001</v>
      </c>
      <c r="AE156" s="27">
        <f>+'TOTAL ESTACIONES'!AE156*31%</f>
        <v>20681.130750000004</v>
      </c>
      <c r="AF156" s="27">
        <f>+'TOTAL ESTACIONES'!AF156*31%</f>
        <v>22970.779125000001</v>
      </c>
      <c r="AG156" s="27">
        <f>+'TOTAL ESTACIONES'!AG156*31%</f>
        <v>28405.598375000001</v>
      </c>
      <c r="AH156" s="27">
        <f>+'TOTAL ESTACIONES'!AH156*31%</f>
        <v>37987.128750000003</v>
      </c>
      <c r="AI156" s="27">
        <f>+'TOTAL ESTACIONES'!AI156*31%</f>
        <v>29787.835416666672</v>
      </c>
      <c r="AJ156" s="27">
        <f>+'TOTAL ESTACIONES'!AJ156*31%</f>
        <v>32060.187513888894</v>
      </c>
      <c r="AK156" s="27">
        <f t="shared" ref="AK156" si="90">SUM(Y156:AJ156)</f>
        <v>312104.4354305556</v>
      </c>
      <c r="AL156" s="76">
        <f>AK156/AK$6</f>
        <v>3.9646933279624645E-3</v>
      </c>
      <c r="AM156" s="10">
        <f>IFERROR(AK156/V156-1,0)</f>
        <v>0</v>
      </c>
      <c r="AN156" s="9"/>
    </row>
    <row r="157" spans="1:40" ht="15">
      <c r="I157" s="28" t="s">
        <v>271</v>
      </c>
      <c r="J157" s="27">
        <v>448429</v>
      </c>
      <c r="K157" s="27">
        <v>422481</v>
      </c>
      <c r="L157" s="27">
        <v>420219</v>
      </c>
      <c r="M157" s="27">
        <v>432011</v>
      </c>
      <c r="N157" s="27">
        <v>440874</v>
      </c>
      <c r="O157" s="27">
        <v>402211</v>
      </c>
      <c r="P157" s="27">
        <v>451006</v>
      </c>
      <c r="Q157" s="27">
        <v>429697</v>
      </c>
      <c r="R157" s="27">
        <v>501993</v>
      </c>
      <c r="S157" s="27">
        <v>489298</v>
      </c>
      <c r="T157" s="27">
        <f t="shared" ref="K157:U157" si="91">+T148+T112+T107+T91+T50</f>
        <v>484279.21117575758</v>
      </c>
      <c r="U157" s="27">
        <f t="shared" si="91"/>
        <v>513148.8624888889</v>
      </c>
      <c r="V157" s="27">
        <f>V50+V91+V107+V112+V148</f>
        <v>5435642.0736646466</v>
      </c>
      <c r="W157" s="76">
        <f t="shared" si="37"/>
        <v>7.7213766735023365E-2</v>
      </c>
      <c r="X157" s="89"/>
      <c r="Y157" s="27">
        <f>Y50+Y91+Y107+Y112+Y148+Y156</f>
        <v>558016.27403754531</v>
      </c>
      <c r="Z157" s="27">
        <f t="shared" ref="Z157:AK157" si="92">Z50+Z91+Z107+Z112+Z148+Z156</f>
        <v>488099.79234861356</v>
      </c>
      <c r="AA157" s="27">
        <f t="shared" si="92"/>
        <v>495034.15180951281</v>
      </c>
      <c r="AB157" s="27">
        <f t="shared" si="92"/>
        <v>580888.37850057171</v>
      </c>
      <c r="AC157" s="27">
        <f t="shared" si="92"/>
        <v>491942.60894074355</v>
      </c>
      <c r="AD157" s="27">
        <f t="shared" si="92"/>
        <v>458195.20852957165</v>
      </c>
      <c r="AE157" s="27">
        <f t="shared" si="92"/>
        <v>484321.95542334934</v>
      </c>
      <c r="AF157" s="27">
        <f t="shared" si="92"/>
        <v>469866.50281034934</v>
      </c>
      <c r="AG157" s="27">
        <f t="shared" si="92"/>
        <v>512215.84693044383</v>
      </c>
      <c r="AH157" s="27">
        <f t="shared" si="92"/>
        <v>476055.56123934942</v>
      </c>
      <c r="AI157" s="27">
        <f t="shared" si="92"/>
        <v>475545.73797211051</v>
      </c>
      <c r="AJ157" s="27">
        <f t="shared" si="92"/>
        <v>503999.77117163246</v>
      </c>
      <c r="AK157" s="27">
        <f t="shared" si="92"/>
        <v>5994181.7897137934</v>
      </c>
      <c r="AL157" s="76">
        <f t="shared" si="38"/>
        <v>7.6144680595416278E-2</v>
      </c>
      <c r="AM157" s="10">
        <f t="shared" si="79"/>
        <v>0.10275505790847372</v>
      </c>
    </row>
    <row r="158" spans="1:40" ht="15">
      <c r="I158" s="26" t="s">
        <v>272</v>
      </c>
      <c r="J158" s="17">
        <v>1.65</v>
      </c>
      <c r="K158" s="17">
        <v>1.81</v>
      </c>
      <c r="L158" s="17">
        <v>1.47</v>
      </c>
      <c r="M158" s="17">
        <v>1.63</v>
      </c>
      <c r="N158" s="17">
        <v>1.5</v>
      </c>
      <c r="O158" s="17">
        <v>1.39</v>
      </c>
      <c r="P158" s="17">
        <v>1.6</v>
      </c>
      <c r="Q158" s="17">
        <v>1.6</v>
      </c>
      <c r="R158" s="17">
        <v>1.75</v>
      </c>
      <c r="S158" s="17">
        <v>1.62</v>
      </c>
      <c r="T158" s="17">
        <v>1.2189254014142117</v>
      </c>
      <c r="U158" s="17">
        <v>1.2628135970456438</v>
      </c>
      <c r="V158" s="17">
        <f>IFERROR(V157/V39,0)</f>
        <v>1.6172312741428114</v>
      </c>
      <c r="W158" s="73">
        <f t="shared" si="37"/>
        <v>2.2972910406159261E-8</v>
      </c>
      <c r="X158" s="89"/>
      <c r="Y158" s="17">
        <f>IFERROR(Y157/Y39,0)</f>
        <v>1.8953292605316732</v>
      </c>
      <c r="Z158" s="17">
        <f>IFERROR(Z157/Z39,0)</f>
        <v>1.9170824070087393</v>
      </c>
      <c r="AA158" s="17">
        <f>IFERROR(AA157/AA39,0)</f>
        <v>1.6285650185557003</v>
      </c>
      <c r="AB158" s="17">
        <f>IFERROR(AB157/AB39,0)</f>
        <v>2.0158079008138268</v>
      </c>
      <c r="AC158" s="17">
        <f>IFERROR(AC157/AC39,0)</f>
        <v>1.5373709285879511</v>
      </c>
      <c r="AD158" s="17">
        <f>IFERROR(AD157/AD39,0)</f>
        <v>1.4575885820627286</v>
      </c>
      <c r="AE158" s="17">
        <f>IFERROR(AE157/AE39,0)</f>
        <v>1.5724200960701997</v>
      </c>
      <c r="AF158" s="17">
        <f>IFERROR(AF157/AF39,0)</f>
        <v>1.5831586489767397</v>
      </c>
      <c r="AG158" s="17">
        <f>IFERROR(AG157/AG39,0)</f>
        <v>1.6423937071562533</v>
      </c>
      <c r="AH158" s="17">
        <f>IFERROR(AH157/AH39,0)</f>
        <v>1.4593730326471304</v>
      </c>
      <c r="AI158" s="17">
        <f>IFERROR(AI157/AI39,0)</f>
        <v>1.4956265703942027</v>
      </c>
      <c r="AJ158" s="17">
        <f>IFERROR(AJ157/AJ39,0)</f>
        <v>1.6030754723538048</v>
      </c>
      <c r="AK158" s="17">
        <f>IFERROR(AK157/AK39,0)</f>
        <v>1.6419130133557835</v>
      </c>
      <c r="AL158" s="73">
        <f t="shared" si="38"/>
        <v>2.0857382434075813E-8</v>
      </c>
      <c r="AM158" s="16">
        <f t="shared" si="79"/>
        <v>1.5261725151867633E-2</v>
      </c>
    </row>
    <row r="159" spans="1:40" ht="15">
      <c r="I159" s="26" t="s">
        <v>273</v>
      </c>
      <c r="J159" s="17">
        <v>1.65</v>
      </c>
      <c r="K159" s="17">
        <v>1.81</v>
      </c>
      <c r="L159" s="17">
        <v>1.47</v>
      </c>
      <c r="M159" s="17">
        <v>1.63</v>
      </c>
      <c r="N159" s="17">
        <v>1.5</v>
      </c>
      <c r="O159" s="17">
        <v>1.39</v>
      </c>
      <c r="P159" s="17">
        <v>1.6</v>
      </c>
      <c r="Q159" s="17">
        <v>1.6</v>
      </c>
      <c r="R159" s="17">
        <v>1.75</v>
      </c>
      <c r="S159" s="17">
        <v>1.62</v>
      </c>
      <c r="T159" s="17">
        <v>0.78943537924126272</v>
      </c>
      <c r="U159" s="17">
        <v>0.8398878328535041</v>
      </c>
      <c r="V159" s="17">
        <f>IFERROR((V157-V149)/V39,0)</f>
        <v>1.6172312741428114</v>
      </c>
      <c r="W159" s="73">
        <f t="shared" si="37"/>
        <v>2.2972910406159261E-8</v>
      </c>
      <c r="X159" s="89"/>
      <c r="Y159" s="17">
        <f>(Y157-Y150)/Y39</f>
        <v>1.2405176011307619</v>
      </c>
      <c r="Z159" s="17">
        <f>(Z157-Z150)/Z39</f>
        <v>1.1598821371357739</v>
      </c>
      <c r="AA159" s="17">
        <f>(AA157-AA150)/AA39</f>
        <v>0.994332447046537</v>
      </c>
      <c r="AB159" s="17">
        <f>(AB157-AB150)/AB39</f>
        <v>1.3467941312763199</v>
      </c>
      <c r="AC159" s="17">
        <f>(AC157-AC150)/AC39</f>
        <v>0.93489066356512807</v>
      </c>
      <c r="AD159" s="17">
        <f>(AD157-AD150)/AD39</f>
        <v>0.84430263183295318</v>
      </c>
      <c r="AE159" s="17">
        <f>(AE157-AE150)/AE39</f>
        <v>0.94650845364683944</v>
      </c>
      <c r="AF159" s="17">
        <f>(AF157-AF150)/AF39</f>
        <v>0.93358476738476448</v>
      </c>
      <c r="AG159" s="17">
        <f>(AG157-AG150)/AG39</f>
        <v>1.0242309118647239</v>
      </c>
      <c r="AH159" s="17">
        <f>(AH157-AH150)/AH39</f>
        <v>0.84473332382572897</v>
      </c>
      <c r="AI159" s="17">
        <f>(AI157-AI150)/AI39</f>
        <v>0.86504275660159968</v>
      </c>
      <c r="AJ159" s="17">
        <f>(AJ157-AJ150)/AJ39</f>
        <v>0.96534734735790717</v>
      </c>
      <c r="AK159" s="17">
        <f>(AK157-AK150)/AK39</f>
        <v>1.0018813553335613</v>
      </c>
      <c r="AL159" s="73">
        <f t="shared" si="38"/>
        <v>1.2726997357218847E-8</v>
      </c>
      <c r="AM159" s="16">
        <f t="shared" si="79"/>
        <v>-0.38049593069822796</v>
      </c>
    </row>
    <row r="160" spans="1:40" ht="15.75">
      <c r="I160" s="25" t="s">
        <v>274</v>
      </c>
      <c r="J160" s="24">
        <v>17932</v>
      </c>
      <c r="K160" s="24">
        <v>85958</v>
      </c>
      <c r="L160" s="24">
        <v>184116</v>
      </c>
      <c r="M160" s="24">
        <v>203091</v>
      </c>
      <c r="N160" s="24">
        <v>232798</v>
      </c>
      <c r="O160" s="24">
        <v>264016</v>
      </c>
      <c r="P160" s="24">
        <v>205715</v>
      </c>
      <c r="Q160" s="24">
        <v>186694</v>
      </c>
      <c r="R160" s="24">
        <v>134725</v>
      </c>
      <c r="S160" s="24">
        <v>179567</v>
      </c>
      <c r="T160" s="24">
        <f t="shared" ref="K160:U160" si="93">+T34-T157</f>
        <v>156380.12215757638</v>
      </c>
      <c r="U160" s="24">
        <f t="shared" si="93"/>
        <v>135599.58195555606</v>
      </c>
      <c r="V160" s="24">
        <f>V34-V157</f>
        <v>1986592.9263353534</v>
      </c>
      <c r="W160" s="77">
        <f t="shared" si="37"/>
        <v>2.821972468619335E-2</v>
      </c>
      <c r="X160" s="89"/>
      <c r="Y160" s="24">
        <f>Y34-Y157</f>
        <v>49274.681103513809</v>
      </c>
      <c r="Z160" s="24">
        <f>Z34-Z157</f>
        <v>-6125.7274945690879</v>
      </c>
      <c r="AA160" s="24">
        <f>AA34-AA157</f>
        <v>181132.2196759645</v>
      </c>
      <c r="AB160" s="24">
        <f>AB34-AB157</f>
        <v>-6526.6254743181635</v>
      </c>
      <c r="AC160" s="24">
        <f>AC34-AC157</f>
        <v>198607.89507745887</v>
      </c>
      <c r="AD160" s="24">
        <f>AD34-AD157</f>
        <v>182562.31590655202</v>
      </c>
      <c r="AE160" s="24">
        <f>AE34-AE157</f>
        <v>140437.07901277411</v>
      </c>
      <c r="AF160" s="24">
        <f>AF34-AF157</f>
        <v>128807.63556837139</v>
      </c>
      <c r="AG160" s="24">
        <f>AG34-AG157</f>
        <v>152835.1235630833</v>
      </c>
      <c r="AH160" s="24">
        <f>AH34-AH157</f>
        <v>213950.95207391889</v>
      </c>
      <c r="AI160" s="24">
        <f>AI34-AI157</f>
        <v>173077.48646401335</v>
      </c>
      <c r="AJ160" s="24">
        <f>AJ34-AJ157</f>
        <v>142553.98861695989</v>
      </c>
      <c r="AK160" s="24">
        <f>AK34-AK157</f>
        <v>1550587.024093709</v>
      </c>
      <c r="AL160" s="77">
        <f t="shared" si="38"/>
        <v>1.9697259413723921E-2</v>
      </c>
      <c r="AM160" s="23">
        <f t="shared" si="79"/>
        <v>-0.21947420453466526</v>
      </c>
      <c r="AN160" s="131">
        <f>+AK160/AK39</f>
        <v>0.42473336687402002</v>
      </c>
    </row>
    <row r="161" spans="9:39" ht="15">
      <c r="I161" s="26" t="s">
        <v>472</v>
      </c>
      <c r="J161" s="17">
        <f t="shared" ref="J161:U161" si="94">+J160/J39</f>
        <v>6.588916569295325E-2</v>
      </c>
      <c r="K161" s="17">
        <f t="shared" si="94"/>
        <v>0.36846933351622913</v>
      </c>
      <c r="L161" s="17">
        <f t="shared" si="94"/>
        <v>0.64435251874094446</v>
      </c>
      <c r="M161" s="17">
        <f t="shared" si="94"/>
        <v>0.76627125166957188</v>
      </c>
      <c r="N161" s="17">
        <f t="shared" si="94"/>
        <v>0.79168452053024274</v>
      </c>
      <c r="O161" s="17">
        <f t="shared" si="94"/>
        <v>0.91290892556439596</v>
      </c>
      <c r="P161" s="17">
        <f t="shared" si="94"/>
        <v>0.72765635335274081</v>
      </c>
      <c r="Q161" s="17">
        <f t="shared" si="94"/>
        <v>0.69606359101314619</v>
      </c>
      <c r="R161" s="17">
        <f t="shared" si="94"/>
        <v>0.47076520967353058</v>
      </c>
      <c r="S161" s="17">
        <f t="shared" si="94"/>
        <v>0.59501237627863357</v>
      </c>
      <c r="T161" s="17">
        <f t="shared" si="94"/>
        <v>0.53404499032714881</v>
      </c>
      <c r="U161" s="17">
        <f t="shared" si="94"/>
        <v>0.46775735169719884</v>
      </c>
      <c r="V161" s="17">
        <f>+V160/V39</f>
        <v>0.59105808769605039</v>
      </c>
      <c r="W161" s="73">
        <f t="shared" ref="W161" si="95">V161/V$6</f>
        <v>8.3960313596298535E-9</v>
      </c>
      <c r="X161" s="89"/>
      <c r="Y161" s="17">
        <f t="shared" ref="Y161:AJ161" si="96">+Y160/Y39</f>
        <v>0.16736383730015211</v>
      </c>
      <c r="Z161" s="17">
        <f t="shared" si="96"/>
        <v>-2.4059679176385698E-2</v>
      </c>
      <c r="AA161" s="17">
        <f t="shared" si="96"/>
        <v>0.59588938585217377</v>
      </c>
      <c r="AB161" s="17">
        <f t="shared" si="96"/>
        <v>-2.2648797400188297E-2</v>
      </c>
      <c r="AC161" s="17">
        <f t="shared" si="96"/>
        <v>0.62066996948603415</v>
      </c>
      <c r="AD161" s="17">
        <f t="shared" si="96"/>
        <v>0.58075846762842143</v>
      </c>
      <c r="AE161" s="17">
        <f t="shared" si="96"/>
        <v>0.45594894635750888</v>
      </c>
      <c r="AF161" s="17">
        <f t="shared" si="96"/>
        <v>0.43400183048720081</v>
      </c>
      <c r="AG161" s="17">
        <f t="shared" si="96"/>
        <v>0.4900579446667197</v>
      </c>
      <c r="AH161" s="17">
        <f t="shared" si="96"/>
        <v>0.65587774870856275</v>
      </c>
      <c r="AI161" s="17">
        <f t="shared" si="96"/>
        <v>0.5443415150695825</v>
      </c>
      <c r="AJ161" s="17">
        <f t="shared" si="96"/>
        <v>0.45342243332136328</v>
      </c>
      <c r="AK161" s="17">
        <f>+AK160/AK39</f>
        <v>0.42473336687402002</v>
      </c>
      <c r="AL161" s="73">
        <f t="shared" ref="AL161" si="97">AK161/AK$6</f>
        <v>5.3954297172529074E-9</v>
      </c>
      <c r="AM161" s="16">
        <f t="shared" si="79"/>
        <v>-0.28140164948992674</v>
      </c>
    </row>
    <row r="162" spans="9:39" ht="15"/>
  </sheetData>
  <mergeCells count="4">
    <mergeCell ref="J2:U2"/>
    <mergeCell ref="V2:W2"/>
    <mergeCell ref="Y2:AJ2"/>
    <mergeCell ref="AK2:AL2"/>
  </mergeCells>
  <conditionalFormatting sqref="AM1:AM5">
    <cfRule type="cellIs" dxfId="37" priority="73" operator="lessThan">
      <formula>0</formula>
    </cfRule>
  </conditionalFormatting>
  <conditionalFormatting sqref="AM47:AM49 AM39:AM42 AM6:AM37">
    <cfRule type="cellIs" dxfId="36" priority="19" operator="lessThan">
      <formula>0</formula>
    </cfRule>
  </conditionalFormatting>
  <conditionalFormatting sqref="AM43:AM46">
    <cfRule type="cellIs" dxfId="35" priority="18" operator="lessThan">
      <formula>0</formula>
    </cfRule>
  </conditionalFormatting>
  <conditionalFormatting sqref="AM38">
    <cfRule type="cellIs" dxfId="34" priority="17" operator="lessThan">
      <formula>0</formula>
    </cfRule>
  </conditionalFormatting>
  <conditionalFormatting sqref="AM57:AM69 AM50:AM55 AM160 AM112:AM118 AM79:AM107 AM120:AM155 AM157:AM158">
    <cfRule type="cellIs" dxfId="33" priority="16" operator="lessThan">
      <formula>0</formula>
    </cfRule>
  </conditionalFormatting>
  <conditionalFormatting sqref="AM108">
    <cfRule type="cellIs" dxfId="32" priority="15" operator="lessThan">
      <formula>0</formula>
    </cfRule>
  </conditionalFormatting>
  <conditionalFormatting sqref="AM109">
    <cfRule type="cellIs" dxfId="31" priority="14" operator="lessThan">
      <formula>0</formula>
    </cfRule>
  </conditionalFormatting>
  <conditionalFormatting sqref="AM110">
    <cfRule type="cellIs" dxfId="30" priority="13" operator="lessThan">
      <formula>0</formula>
    </cfRule>
  </conditionalFormatting>
  <conditionalFormatting sqref="AM111">
    <cfRule type="cellIs" dxfId="29" priority="12" operator="lessThan">
      <formula>0</formula>
    </cfRule>
  </conditionalFormatting>
  <conditionalFormatting sqref="AM56">
    <cfRule type="cellIs" dxfId="28" priority="11" operator="lessThan">
      <formula>0</formula>
    </cfRule>
  </conditionalFormatting>
  <conditionalFormatting sqref="AM70">
    <cfRule type="cellIs" dxfId="27" priority="10" operator="lessThan">
      <formula>0</formula>
    </cfRule>
  </conditionalFormatting>
  <conditionalFormatting sqref="AM78">
    <cfRule type="cellIs" dxfId="26" priority="9" operator="lessThan">
      <formula>0</formula>
    </cfRule>
  </conditionalFormatting>
  <conditionalFormatting sqref="AM71:AM80">
    <cfRule type="cellIs" dxfId="25" priority="8" operator="lessThan">
      <formula>0</formula>
    </cfRule>
  </conditionalFormatting>
  <conditionalFormatting sqref="AM159">
    <cfRule type="cellIs" dxfId="24" priority="7" operator="lessThan">
      <formula>0</formula>
    </cfRule>
  </conditionalFormatting>
  <conditionalFormatting sqref="AM119:AM133">
    <cfRule type="cellIs" dxfId="23" priority="6" operator="lessThan">
      <formula>0</formula>
    </cfRule>
  </conditionalFormatting>
  <conditionalFormatting sqref="AM119:AM133">
    <cfRule type="cellIs" dxfId="22" priority="5" operator="lessThan">
      <formula>0</formula>
    </cfRule>
  </conditionalFormatting>
  <conditionalFormatting sqref="AM161">
    <cfRule type="cellIs" dxfId="21" priority="4" operator="lessThan">
      <formula>0</formula>
    </cfRule>
  </conditionalFormatting>
  <conditionalFormatting sqref="AO43:AO46">
    <cfRule type="cellIs" dxfId="20" priority="3" operator="lessThan">
      <formula>0</formula>
    </cfRule>
  </conditionalFormatting>
  <conditionalFormatting sqref="AM156">
    <cfRule type="cellIs" dxfId="19" priority="1" operator="lessThan">
      <formula>0</formula>
    </cfRule>
  </conditionalFormatting>
  <hyperlinks>
    <hyperlink ref="Z41" r:id="rId1" display="Otros Gastos Operaciones.xlsx" xr:uid="{B9C601C6-9DB7-4B79-9B0F-891A263EB9F7}"/>
  </hyperlinks>
  <pageMargins left="0.70866141732283472" right="0.70866141732283472" top="0.74803149606299213" bottom="0.74803149606299213" header="0.31496062992125984" footer="0.31496062992125984"/>
  <pageSetup scale="60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1">
    <outlinePr summaryBelow="0" summaryRight="0"/>
  </sheetPr>
  <dimension ref="A1:AO162"/>
  <sheetViews>
    <sheetView showGridLines="0" zoomScale="70" zoomScaleNormal="70" workbookViewId="0">
      <pane xSplit="9" ySplit="3" topLeftCell="AI4" activePane="bottomRight" state="frozen"/>
      <selection pane="bottomRight" activeCell="AK6" sqref="AK6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45.85546875" style="5" customWidth="1" collapsed="1"/>
    <col min="10" max="10" width="16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7.42578125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9" width="17.4257812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8" style="4" bestFit="1" customWidth="1"/>
    <col min="23" max="23" width="6.7109375" style="83" bestFit="1" customWidth="1"/>
    <col min="24" max="24" width="1.140625" style="93" customWidth="1"/>
    <col min="25" max="25" width="18.28515625" style="4" customWidth="1" outlineLevel="1"/>
    <col min="26" max="27" width="16.42578125" style="4" customWidth="1" outlineLevel="1"/>
    <col min="28" max="28" width="16.42578125" style="3" customWidth="1" outlineLevel="1"/>
    <col min="29" max="29" width="17.85546875" style="3" customWidth="1" outlineLevel="1"/>
    <col min="30" max="31" width="18.28515625" style="3" customWidth="1" outlineLevel="1"/>
    <col min="32" max="32" width="16.42578125" style="4" customWidth="1" outlineLevel="1"/>
    <col min="33" max="33" width="16.42578125" style="3" customWidth="1" outlineLevel="1"/>
    <col min="34" max="34" width="18.28515625" style="3" customWidth="1" outlineLevel="1"/>
    <col min="35" max="35" width="16.42578125" style="3" customWidth="1" outlineLevel="1"/>
    <col min="36" max="36" width="18.28515625" style="4" customWidth="1" outlineLevel="1"/>
    <col min="37" max="37" width="19.5703125" style="4" bestFit="1" customWidth="1"/>
    <col min="38" max="38" width="6.710937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477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284">
        <v>2025</v>
      </c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6"/>
      <c r="V2" s="287" t="s">
        <v>92</v>
      </c>
      <c r="W2" s="288"/>
      <c r="X2" s="85"/>
      <c r="Y2" s="284">
        <v>2026</v>
      </c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6"/>
      <c r="AK2" s="287" t="s">
        <v>92</v>
      </c>
      <c r="AL2" s="289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4" t="s">
        <v>69</v>
      </c>
      <c r="K3" s="64" t="s">
        <v>70</v>
      </c>
      <c r="L3" s="64" t="s">
        <v>71</v>
      </c>
      <c r="M3" s="61" t="s">
        <v>72</v>
      </c>
      <c r="N3" s="61" t="s">
        <v>73</v>
      </c>
      <c r="O3" s="61" t="s">
        <v>74</v>
      </c>
      <c r="P3" s="61" t="s">
        <v>75</v>
      </c>
      <c r="Q3" s="63" t="s">
        <v>76</v>
      </c>
      <c r="R3" s="61" t="s">
        <v>77</v>
      </c>
      <c r="S3" s="61" t="s">
        <v>78</v>
      </c>
      <c r="T3" s="61" t="s">
        <v>79</v>
      </c>
      <c r="U3" s="62" t="s">
        <v>80</v>
      </c>
      <c r="V3" s="46">
        <v>2025</v>
      </c>
      <c r="W3" s="69" t="s">
        <v>95</v>
      </c>
      <c r="X3" s="86"/>
      <c r="Y3" s="134" t="s">
        <v>69</v>
      </c>
      <c r="Z3" s="64" t="s">
        <v>70</v>
      </c>
      <c r="AA3" s="64" t="s">
        <v>71</v>
      </c>
      <c r="AB3" s="61" t="s">
        <v>72</v>
      </c>
      <c r="AC3" s="61" t="s">
        <v>73</v>
      </c>
      <c r="AD3" s="61" t="s">
        <v>74</v>
      </c>
      <c r="AE3" s="61" t="s">
        <v>75</v>
      </c>
      <c r="AF3" s="63" t="s">
        <v>76</v>
      </c>
      <c r="AG3" s="61" t="s">
        <v>77</v>
      </c>
      <c r="AH3" s="61" t="s">
        <v>78</v>
      </c>
      <c r="AI3" s="61" t="s">
        <v>79</v>
      </c>
      <c r="AJ3" s="62" t="s">
        <v>80</v>
      </c>
      <c r="AK3" s="46">
        <v>2026</v>
      </c>
      <c r="AL3" s="69" t="s">
        <v>95</v>
      </c>
      <c r="AM3" s="45" t="s">
        <v>96</v>
      </c>
    </row>
    <row r="4" spans="1:40" ht="14.45" customHeight="1">
      <c r="I4" s="43" t="s">
        <v>97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>
      <c r="A6" s="12" t="s">
        <v>98</v>
      </c>
      <c r="B6" s="19"/>
      <c r="C6" s="19"/>
      <c r="D6" s="12"/>
      <c r="E6" s="7" t="s">
        <v>99</v>
      </c>
      <c r="I6" s="170" t="s">
        <v>100</v>
      </c>
      <c r="J6" s="15">
        <v>3888920</v>
      </c>
      <c r="K6" s="15">
        <v>3282760</v>
      </c>
      <c r="L6" s="15">
        <v>4167519</v>
      </c>
      <c r="M6" s="15">
        <v>4008417</v>
      </c>
      <c r="N6" s="15">
        <v>4471371</v>
      </c>
      <c r="O6" s="15">
        <v>4645814</v>
      </c>
      <c r="P6" s="15">
        <v>4042783</v>
      </c>
      <c r="Q6" s="15">
        <v>4328014</v>
      </c>
      <c r="R6" s="15">
        <v>4948412</v>
      </c>
      <c r="S6" s="15">
        <v>5059627</v>
      </c>
      <c r="T6" s="15">
        <f>SUM(T7:T12)</f>
        <v>4778684.333333333</v>
      </c>
      <c r="U6" s="15">
        <f>SUM(U7:U12)</f>
        <v>4928907.777777778</v>
      </c>
      <c r="V6" s="15">
        <f t="shared" ref="J6:V6" si="1">SUM(V7:V12)</f>
        <v>52551229.111111112</v>
      </c>
      <c r="W6" s="72">
        <f t="shared" ref="W6:W34" si="2">V6/V$6</f>
        <v>1</v>
      </c>
      <c r="X6" s="89"/>
      <c r="Y6" s="15">
        <f t="shared" ref="Y6:AJ6" si="3">SUM(Y7:Y12)</f>
        <v>4248824.5244573299</v>
      </c>
      <c r="Z6" s="15">
        <f t="shared" si="3"/>
        <v>3612552.1244573295</v>
      </c>
      <c r="AA6" s="15">
        <f t="shared" si="3"/>
        <v>4675939.3444573302</v>
      </c>
      <c r="AB6" s="15">
        <f t="shared" si="3"/>
        <v>4509962.6644573295</v>
      </c>
      <c r="AC6" s="15">
        <f t="shared" si="3"/>
        <v>5070375.8844573293</v>
      </c>
      <c r="AD6" s="15">
        <f t="shared" si="3"/>
        <v>5249155.2444573296</v>
      </c>
      <c r="AE6" s="15">
        <f t="shared" si="3"/>
        <v>4611664.10445733</v>
      </c>
      <c r="AF6" s="15">
        <f t="shared" si="3"/>
        <v>4722040.68445733</v>
      </c>
      <c r="AG6" s="15">
        <f t="shared" si="3"/>
        <v>5584916.1244573295</v>
      </c>
      <c r="AH6" s="15">
        <f t="shared" si="3"/>
        <v>6194144.7444573296</v>
      </c>
      <c r="AI6" s="15">
        <f t="shared" si="3"/>
        <v>6037016.7244573291</v>
      </c>
      <c r="AJ6" s="15">
        <f t="shared" si="3"/>
        <v>5968299.3244573297</v>
      </c>
      <c r="AK6" s="15">
        <f>SUM(AK7:AK12)</f>
        <v>60484891.493487962</v>
      </c>
      <c r="AL6" s="72">
        <f t="shared" ref="AL6:AL34" si="4">AK6/AK$6</f>
        <v>1</v>
      </c>
      <c r="AM6" s="10">
        <f>IFERROR(AK6/V6-1,0)</f>
        <v>0.1509700632425246</v>
      </c>
      <c r="AN6" s="9"/>
    </row>
    <row r="7" spans="1:40" ht="15" customHeight="1" outlineLevel="1">
      <c r="A7" s="12" t="s">
        <v>98</v>
      </c>
      <c r="B7" s="19" t="s">
        <v>101</v>
      </c>
      <c r="C7" s="19" t="s">
        <v>102</v>
      </c>
      <c r="D7" s="12" t="s">
        <v>103</v>
      </c>
      <c r="E7" s="20"/>
      <c r="F7" s="12"/>
      <c r="G7" s="12"/>
      <c r="H7" s="12"/>
      <c r="I7" s="116" t="s">
        <v>27</v>
      </c>
      <c r="J7" s="65">
        <v>3284536</v>
      </c>
      <c r="K7" s="65">
        <v>2736345</v>
      </c>
      <c r="L7" s="65">
        <v>3559915</v>
      </c>
      <c r="M7" s="65">
        <v>3441100</v>
      </c>
      <c r="N7" s="65">
        <v>3806349</v>
      </c>
      <c r="O7" s="65">
        <v>3990471</v>
      </c>
      <c r="P7" s="65">
        <v>3449358</v>
      </c>
      <c r="Q7" s="65">
        <v>3623207</v>
      </c>
      <c r="R7" s="65">
        <v>4182885</v>
      </c>
      <c r="S7" s="65">
        <v>4259704</v>
      </c>
      <c r="T7" s="65">
        <f>AVERAGE(Q7:S7)</f>
        <v>4021932</v>
      </c>
      <c r="U7" s="65">
        <f>AVERAGE(R7:T7)</f>
        <v>4154840.3333333335</v>
      </c>
      <c r="V7" s="11">
        <f t="shared" ref="V7:V33" si="5">SUM(J7:U7)</f>
        <v>44510642.333333336</v>
      </c>
      <c r="W7" s="73">
        <f t="shared" si="2"/>
        <v>0.84699526702263706</v>
      </c>
      <c r="X7" s="89"/>
      <c r="Y7" s="244">
        <f>IFERROR(Y40*'Parametros AGS'!$O$7,0)</f>
        <v>3613095.3844573298</v>
      </c>
      <c r="Z7" s="244">
        <f>IFERROR(Z40*'Parametros AGS'!$O$7,0)</f>
        <v>3041629.7844573297</v>
      </c>
      <c r="AA7" s="244">
        <f>IFERROR(AA40*'Parametros AGS'!$O$7,0)</f>
        <v>4037243.3844573298</v>
      </c>
      <c r="AB7" s="244">
        <f>IFERROR(AB40*'Parametros AGS'!$O$7,0)</f>
        <v>3916889.7844573297</v>
      </c>
      <c r="AC7" s="244">
        <f>IFERROR(AC40*'Parametros AGS'!$O$7,0)</f>
        <v>4363336.5844573295</v>
      </c>
      <c r="AD7" s="244">
        <f>IFERROR(AD40*'Parametros AGS'!$O$7,0)</f>
        <v>4555444.3844573293</v>
      </c>
      <c r="AE7" s="244">
        <f>IFERROR(AE40*'Parametros AGS'!$O$7,0)</f>
        <v>3978671.5844573295</v>
      </c>
      <c r="AF7" s="244">
        <f>IFERROR(AF40*'Parametros AGS'!$O$7,0)</f>
        <v>4004865.1844573296</v>
      </c>
      <c r="AG7" s="244">
        <f>IFERROR(AG40*'Parametros AGS'!$O$7,0)</f>
        <v>4771669.9844573298</v>
      </c>
      <c r="AH7" s="244">
        <f>IFERROR(AH40*'Parametros AGS'!$O$7,0)</f>
        <v>5299864.7844573297</v>
      </c>
      <c r="AI7" s="244">
        <f>IFERROR(AI40*'Parametros AGS'!$O$7,0)</f>
        <v>5165772.3844573293</v>
      </c>
      <c r="AJ7" s="244">
        <f>IFERROR(AJ40*'Parametros AGS'!$O$7,0)</f>
        <v>5107863.9844573298</v>
      </c>
      <c r="AK7" s="65">
        <f t="shared" ref="AK7:AK33" si="6">SUM(Y7:AJ7)</f>
        <v>51856347.21348796</v>
      </c>
      <c r="AL7" s="73">
        <f t="shared" si="4"/>
        <v>0.85734380823136658</v>
      </c>
      <c r="AM7" s="14">
        <f t="shared" ref="AM7:AM46" si="7">IFERROR(AK7/V7-1,0)</f>
        <v>0.1650325516568325</v>
      </c>
      <c r="AN7" s="9"/>
    </row>
    <row r="8" spans="1:40" ht="15" customHeight="1" outlineLevel="1">
      <c r="A8" s="12" t="s">
        <v>98</v>
      </c>
      <c r="B8" s="19" t="s">
        <v>101</v>
      </c>
      <c r="C8" s="19" t="s">
        <v>104</v>
      </c>
      <c r="D8" s="12" t="s">
        <v>105</v>
      </c>
      <c r="E8" s="20"/>
      <c r="F8" s="12"/>
      <c r="G8" s="12"/>
      <c r="H8" s="12"/>
      <c r="I8" s="116" t="s">
        <v>28</v>
      </c>
      <c r="J8" s="65">
        <v>599050</v>
      </c>
      <c r="K8" s="65">
        <v>543309</v>
      </c>
      <c r="L8" s="65">
        <v>603994</v>
      </c>
      <c r="M8" s="65">
        <v>563643</v>
      </c>
      <c r="N8" s="65">
        <v>661681</v>
      </c>
      <c r="O8" s="65">
        <v>650488</v>
      </c>
      <c r="P8" s="65">
        <v>591097</v>
      </c>
      <c r="Q8" s="65">
        <v>700095</v>
      </c>
      <c r="R8" s="65">
        <v>762122</v>
      </c>
      <c r="S8" s="65">
        <v>794668</v>
      </c>
      <c r="T8" s="65">
        <f t="shared" ref="T8:U11" si="8">AVERAGE(Q8:S8)</f>
        <v>752295</v>
      </c>
      <c r="U8" s="65">
        <f t="shared" si="8"/>
        <v>769695</v>
      </c>
      <c r="V8" s="11">
        <f t="shared" si="5"/>
        <v>7992137</v>
      </c>
      <c r="W8" s="73">
        <f t="shared" si="2"/>
        <v>0.15208277970248638</v>
      </c>
      <c r="X8" s="89"/>
      <c r="Y8" s="244">
        <f>IFERROR(Y41*'Parametros AGS'!$O$8,0)</f>
        <v>631589.14</v>
      </c>
      <c r="Z8" s="244">
        <f>IFERROR(Z41*'Parametros AGS'!$O$8,0)</f>
        <v>569062.34</v>
      </c>
      <c r="AA8" s="244">
        <f>IFERROR(AA41*'Parametros AGS'!$O$8,0)</f>
        <v>636175.96</v>
      </c>
      <c r="AB8" s="244">
        <f>IFERROR(AB41*'Parametros AGS'!$O$8,0)</f>
        <v>590672.88</v>
      </c>
      <c r="AC8" s="244">
        <f>IFERROR(AC41*'Parametros AGS'!$O$8,0)</f>
        <v>704339.3</v>
      </c>
      <c r="AD8" s="244">
        <f>IFERROR(AD41*'Parametros AGS'!$O$8,0)</f>
        <v>691970.86</v>
      </c>
      <c r="AE8" s="244">
        <f>IFERROR(AE41*'Parametros AGS'!$O$8,0)</f>
        <v>629512.52</v>
      </c>
      <c r="AF8" s="244">
        <f>IFERROR(AF41*'Parametros AGS'!$O$8,0)</f>
        <v>713695.5</v>
      </c>
      <c r="AG8" s="244">
        <f>IFERROR(AG41*'Parametros AGS'!$O$8,0)</f>
        <v>810726.14</v>
      </c>
      <c r="AH8" s="244">
        <f>IFERROR(AH41*'Parametros AGS'!$O$8,0)</f>
        <v>891759.96</v>
      </c>
      <c r="AI8" s="244">
        <f>IFERROR(AI41*'Parametros AGS'!$O$8,0)</f>
        <v>868004.34</v>
      </c>
      <c r="AJ8" s="244">
        <f>IFERROR(AJ41*'Parametros AGS'!$O$8,0)</f>
        <v>857735.34</v>
      </c>
      <c r="AK8" s="65">
        <f t="shared" si="6"/>
        <v>8595244.2799999993</v>
      </c>
      <c r="AL8" s="73">
        <f t="shared" si="4"/>
        <v>0.14210564105790613</v>
      </c>
      <c r="AM8" s="14">
        <f t="shared" si="7"/>
        <v>7.5462580283596203E-2</v>
      </c>
      <c r="AN8" s="9"/>
    </row>
    <row r="9" spans="1:40" ht="15" customHeight="1" outlineLevel="1">
      <c r="A9" s="12" t="s">
        <v>98</v>
      </c>
      <c r="B9" s="19" t="s">
        <v>101</v>
      </c>
      <c r="C9" s="19" t="s">
        <v>106</v>
      </c>
      <c r="D9" s="12" t="s">
        <v>107</v>
      </c>
      <c r="E9" s="20"/>
      <c r="F9" s="12"/>
      <c r="G9" s="12"/>
      <c r="H9" s="12"/>
      <c r="I9" s="116" t="s">
        <v>5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f t="shared" si="8"/>
        <v>0</v>
      </c>
      <c r="U9" s="65">
        <f t="shared" si="8"/>
        <v>0</v>
      </c>
      <c r="V9" s="11">
        <f t="shared" si="5"/>
        <v>0</v>
      </c>
      <c r="W9" s="73">
        <f t="shared" si="2"/>
        <v>0</v>
      </c>
      <c r="X9" s="89"/>
      <c r="Y9" s="244">
        <f>IFERROR(Y42*'Parametros AGS'!$O$9,0)</f>
        <v>0</v>
      </c>
      <c r="Z9" s="244">
        <f>IFERROR(Z42*'Parametros AGS'!$O$9,0)</f>
        <v>0</v>
      </c>
      <c r="AA9" s="244">
        <f>IFERROR(AA42*'Parametros AGS'!$O$9,0)</f>
        <v>0</v>
      </c>
      <c r="AB9" s="244">
        <f>IFERROR(AB42*'Parametros AGS'!$O$9,0)</f>
        <v>0</v>
      </c>
      <c r="AC9" s="244">
        <f>IFERROR(AC42*'Parametros AGS'!$O$9,0)</f>
        <v>0</v>
      </c>
      <c r="AD9" s="244">
        <f>IFERROR(AD42*'Parametros AGS'!$O$9,0)</f>
        <v>0</v>
      </c>
      <c r="AE9" s="244">
        <f>IFERROR(AE42*'Parametros AGS'!$O$9,0)</f>
        <v>0</v>
      </c>
      <c r="AF9" s="244">
        <f>IFERROR(AF42*'Parametros AGS'!$O$9,0)</f>
        <v>0</v>
      </c>
      <c r="AG9" s="244">
        <f>IFERROR(AG42*'Parametros AGS'!$O$9,0)</f>
        <v>0</v>
      </c>
      <c r="AH9" s="244">
        <f>IFERROR(AH42*'Parametros AGS'!$O$9,0)</f>
        <v>0</v>
      </c>
      <c r="AI9" s="244">
        <f>IFERROR(AI42*'Parametros AGS'!$O$9,0)</f>
        <v>0</v>
      </c>
      <c r="AJ9" s="244">
        <f>IFERROR(AJ42*'Parametros AGS'!$O$9,0)</f>
        <v>0</v>
      </c>
      <c r="AK9" s="65">
        <f t="shared" si="6"/>
        <v>0</v>
      </c>
      <c r="AL9" s="73">
        <f t="shared" si="4"/>
        <v>0</v>
      </c>
      <c r="AM9" s="14">
        <f t="shared" si="7"/>
        <v>0</v>
      </c>
      <c r="AN9" s="9"/>
    </row>
    <row r="10" spans="1:40" ht="15" customHeight="1" outlineLevel="1">
      <c r="A10" s="12"/>
      <c r="B10" s="19"/>
      <c r="C10" s="19"/>
      <c r="D10" s="12"/>
      <c r="E10" s="20"/>
      <c r="F10" s="12"/>
      <c r="G10" s="12"/>
      <c r="H10" s="12"/>
      <c r="I10" s="116" t="s">
        <v>108</v>
      </c>
      <c r="J10" s="65">
        <v>5334</v>
      </c>
      <c r="K10" s="65">
        <v>3106</v>
      </c>
      <c r="L10" s="65">
        <v>3610</v>
      </c>
      <c r="M10" s="65">
        <v>3674</v>
      </c>
      <c r="N10" s="65">
        <v>3341</v>
      </c>
      <c r="O10" s="65">
        <v>4855</v>
      </c>
      <c r="P10" s="65">
        <v>2328</v>
      </c>
      <c r="Q10" s="65">
        <v>4712</v>
      </c>
      <c r="R10" s="65">
        <v>3405</v>
      </c>
      <c r="S10" s="65">
        <v>5255</v>
      </c>
      <c r="T10" s="65">
        <f t="shared" si="8"/>
        <v>4457.333333333333</v>
      </c>
      <c r="U10" s="65">
        <f t="shared" si="8"/>
        <v>4372.4444444444443</v>
      </c>
      <c r="V10" s="11">
        <f t="shared" si="5"/>
        <v>48449.777777777781</v>
      </c>
      <c r="W10" s="73">
        <f t="shared" si="2"/>
        <v>9.2195327487656908E-4</v>
      </c>
      <c r="X10" s="89"/>
      <c r="Y10" s="244">
        <f>VLOOKUP($E$1,'[2]Resumen x Tipo Combustible'!$C$45:$P$48,Y1,0)</f>
        <v>4140</v>
      </c>
      <c r="Z10" s="244">
        <f>VLOOKUP($E$1,'[2]Resumen x Tipo Combustible'!$C$45:$P$48,Z1,0)</f>
        <v>1860</v>
      </c>
      <c r="AA10" s="244">
        <f>VLOOKUP($E$1,'[2]Resumen x Tipo Combustible'!$C$45:$P$48,AA1,0)</f>
        <v>2520</v>
      </c>
      <c r="AB10" s="244">
        <f>VLOOKUP($E$1,'[2]Resumen x Tipo Combustible'!$C$45:$P$48,AB1,0)</f>
        <v>2400</v>
      </c>
      <c r="AC10" s="244">
        <f>VLOOKUP($E$1,'[2]Resumen x Tipo Combustible'!$C$45:$P$48,AC1,0)</f>
        <v>2700</v>
      </c>
      <c r="AD10" s="244">
        <f>VLOOKUP($E$1,'[2]Resumen x Tipo Combustible'!$C$45:$P$48,AD1,0)</f>
        <v>1740</v>
      </c>
      <c r="AE10" s="244">
        <f>VLOOKUP($E$1,'[2]Resumen x Tipo Combustible'!$C$45:$P$48,AE1,0)</f>
        <v>3480</v>
      </c>
      <c r="AF10" s="244">
        <f>VLOOKUP($E$1,'[2]Resumen x Tipo Combustible'!$C$45:$P$48,AF1,0)</f>
        <v>3480</v>
      </c>
      <c r="AG10" s="244">
        <f>VLOOKUP($E$1,'[2]Resumen x Tipo Combustible'!$C$45:$P$48,AG1,0)</f>
        <v>2520</v>
      </c>
      <c r="AH10" s="244">
        <f>VLOOKUP($E$1,'[2]Resumen x Tipo Combustible'!$C$45:$P$48,AH1,0)</f>
        <v>2520</v>
      </c>
      <c r="AI10" s="244">
        <f>VLOOKUP($E$1,'[2]Resumen x Tipo Combustible'!$C$45:$P$48,AI1,0)</f>
        <v>3240</v>
      </c>
      <c r="AJ10" s="244">
        <f>VLOOKUP($E$1,'[2]Resumen x Tipo Combustible'!$C$45:$P$48,AJ1,0)</f>
        <v>2700</v>
      </c>
      <c r="AK10" s="65">
        <f t="shared" si="6"/>
        <v>33300</v>
      </c>
      <c r="AL10" s="73">
        <f t="shared" si="4"/>
        <v>5.5055071072724346E-4</v>
      </c>
      <c r="AM10" s="14">
        <f t="shared" si="7"/>
        <v>-0.31269034601695234</v>
      </c>
      <c r="AN10" s="9"/>
    </row>
    <row r="11" spans="1:40" ht="15" customHeight="1" outlineLevel="1">
      <c r="A11" s="12"/>
      <c r="B11" s="19"/>
      <c r="C11" s="19"/>
      <c r="D11" s="12"/>
      <c r="E11" s="20"/>
      <c r="F11" s="12"/>
      <c r="G11" s="12"/>
      <c r="H11" s="12"/>
      <c r="I11" s="116" t="s">
        <v>467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f t="shared" si="8"/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customHeight="1" outlineLevel="1">
      <c r="A12" s="12"/>
      <c r="B12" s="19"/>
      <c r="C12" s="19"/>
      <c r="D12" s="12"/>
      <c r="E12" s="20"/>
      <c r="F12" s="12"/>
      <c r="G12" s="12"/>
      <c r="H12" s="12"/>
      <c r="I12" s="116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>
        <v>0</v>
      </c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>
      <c r="A13" s="12" t="s">
        <v>110</v>
      </c>
      <c r="B13" s="19"/>
      <c r="E13" s="7" t="s">
        <v>111</v>
      </c>
      <c r="I13" s="170" t="s">
        <v>112</v>
      </c>
      <c r="J13" s="15">
        <v>3540885</v>
      </c>
      <c r="K13" s="15">
        <v>2950793</v>
      </c>
      <c r="L13" s="15">
        <v>3745100</v>
      </c>
      <c r="M13" s="15">
        <v>3566085</v>
      </c>
      <c r="N13" s="15">
        <v>3986979</v>
      </c>
      <c r="O13" s="15">
        <v>4169981</v>
      </c>
      <c r="P13" s="15">
        <v>3623850</v>
      </c>
      <c r="Q13" s="15">
        <v>3898849</v>
      </c>
      <c r="R13" s="15">
        <v>4465666</v>
      </c>
      <c r="S13" s="15">
        <v>4530701</v>
      </c>
      <c r="T13" s="15">
        <f>SUM(T14:T33)</f>
        <v>4298405.333333333</v>
      </c>
      <c r="U13" s="15">
        <f>SUM(U14:U33)</f>
        <v>4431590.777777778</v>
      </c>
      <c r="V13" s="15">
        <f t="shared" ref="K13:V13" si="9">SUM(V14:V33)</f>
        <v>47208886.111111104</v>
      </c>
      <c r="W13" s="72">
        <f t="shared" si="2"/>
        <v>0.89834028451162418</v>
      </c>
      <c r="X13" s="89"/>
      <c r="Y13" s="15">
        <f>SUM(Y14:Y33)</f>
        <v>3874843.3205455379</v>
      </c>
      <c r="Z13" s="15">
        <f t="shared" ref="Z13:AK13" si="10">SUM(Z14:Z33)</f>
        <v>3326740.2394584371</v>
      </c>
      <c r="AA13" s="15">
        <f t="shared" si="10"/>
        <v>4213614.1599867111</v>
      </c>
      <c r="AB13" s="15">
        <f t="shared" si="10"/>
        <v>4122321.7675330951</v>
      </c>
      <c r="AC13" s="15">
        <f t="shared" si="10"/>
        <v>4597922.9149244959</v>
      </c>
      <c r="AD13" s="15">
        <f t="shared" si="10"/>
        <v>4779175.7588996096</v>
      </c>
      <c r="AE13" s="15">
        <f t="shared" si="10"/>
        <v>4237586.9054833231</v>
      </c>
      <c r="AF13" s="15">
        <f t="shared" si="10"/>
        <v>4300685.0682163518</v>
      </c>
      <c r="AG13" s="15">
        <f t="shared" si="10"/>
        <v>5051873.910949382</v>
      </c>
      <c r="AH13" s="15">
        <f t="shared" si="10"/>
        <v>5619139.6249244958</v>
      </c>
      <c r="AI13" s="15">
        <f t="shared" si="10"/>
        <v>5514891.4675330939</v>
      </c>
      <c r="AJ13" s="15">
        <f t="shared" si="10"/>
        <v>5446657.862874724</v>
      </c>
      <c r="AK13" s="15">
        <f t="shared" si="10"/>
        <v>55085453.001329266</v>
      </c>
      <c r="AL13" s="72">
        <f t="shared" si="4"/>
        <v>0.91073078980822808</v>
      </c>
      <c r="AM13" s="10">
        <f t="shared" si="7"/>
        <v>0.16684500607957209</v>
      </c>
      <c r="AN13" s="9"/>
    </row>
    <row r="14" spans="1:40" ht="14.45" customHeight="1" outlineLevel="1">
      <c r="A14" s="37" t="s">
        <v>110</v>
      </c>
      <c r="B14" s="39"/>
      <c r="C14" s="39" t="s">
        <v>113</v>
      </c>
      <c r="D14" s="37" t="s">
        <v>114</v>
      </c>
      <c r="E14" s="38"/>
      <c r="F14" s="37"/>
      <c r="G14" s="37"/>
      <c r="H14" s="37"/>
      <c r="I14" s="174" t="s">
        <v>115</v>
      </c>
      <c r="J14" s="65">
        <v>3045382</v>
      </c>
      <c r="K14" s="65">
        <v>2510525</v>
      </c>
      <c r="L14" s="65">
        <v>3267641</v>
      </c>
      <c r="M14" s="65">
        <v>3143257</v>
      </c>
      <c r="N14" s="65">
        <v>3503074</v>
      </c>
      <c r="O14" s="65">
        <v>3675279</v>
      </c>
      <c r="P14" s="65">
        <v>3176982</v>
      </c>
      <c r="Q14" s="65">
        <v>3337112</v>
      </c>
      <c r="R14" s="65">
        <v>3852553</v>
      </c>
      <c r="S14" s="65">
        <v>3923291</v>
      </c>
      <c r="T14" s="65">
        <f>AVERAGE(Q14:S14)</f>
        <v>3704318.6666666665</v>
      </c>
      <c r="U14" s="65">
        <f>AVERAGE(R14:T14)</f>
        <v>3826720.8888888885</v>
      </c>
      <c r="V14" s="11">
        <f t="shared" si="5"/>
        <v>40966135.555555552</v>
      </c>
      <c r="W14" s="73">
        <f t="shared" si="2"/>
        <v>0.77954666805107931</v>
      </c>
      <c r="X14" s="89"/>
      <c r="Y14" s="244">
        <f>Y7-Y28-Y35</f>
        <v>3305813.440545538</v>
      </c>
      <c r="Z14" s="244">
        <f t="shared" ref="Z14:AJ15" si="11">Z7-Z28-Z35</f>
        <v>2812796.889458437</v>
      </c>
      <c r="AA14" s="244">
        <f t="shared" si="11"/>
        <v>3644838.4199867109</v>
      </c>
      <c r="AB14" s="244">
        <f t="shared" si="11"/>
        <v>3589262.0875330949</v>
      </c>
      <c r="AC14" s="244">
        <f t="shared" si="11"/>
        <v>3969820.7149244957</v>
      </c>
      <c r="AD14" s="244">
        <f t="shared" si="11"/>
        <v>4157375.1788996095</v>
      </c>
      <c r="AE14" s="244">
        <f t="shared" si="11"/>
        <v>3668186.4654833227</v>
      </c>
      <c r="AF14" s="244">
        <f t="shared" si="11"/>
        <v>3662393.0682163523</v>
      </c>
      <c r="AG14" s="244">
        <f t="shared" si="11"/>
        <v>4327949.2709493823</v>
      </c>
      <c r="AH14" s="244">
        <f t="shared" si="11"/>
        <v>4821886.324924496</v>
      </c>
      <c r="AI14" s="244">
        <f t="shared" si="11"/>
        <v>4733682.0775330942</v>
      </c>
      <c r="AJ14" s="244">
        <f t="shared" si="11"/>
        <v>4675843.7128747236</v>
      </c>
      <c r="AK14" s="65">
        <f t="shared" si="6"/>
        <v>47369847.651329264</v>
      </c>
      <c r="AL14" s="73">
        <f t="shared" si="4"/>
        <v>0.78316826701142861</v>
      </c>
      <c r="AM14" s="14">
        <f t="shared" si="7"/>
        <v>0.15631721198328363</v>
      </c>
      <c r="AN14" s="9"/>
    </row>
    <row r="15" spans="1:40" ht="14.45" customHeight="1" outlineLevel="1">
      <c r="A15" s="37" t="s">
        <v>110</v>
      </c>
      <c r="B15" s="39"/>
      <c r="C15" s="39" t="s">
        <v>116</v>
      </c>
      <c r="D15" s="37" t="s">
        <v>117</v>
      </c>
      <c r="E15" s="38"/>
      <c r="F15" s="37"/>
      <c r="G15" s="37"/>
      <c r="H15" s="37"/>
      <c r="I15" s="175" t="s">
        <v>118</v>
      </c>
      <c r="J15" s="65">
        <v>540960</v>
      </c>
      <c r="K15" s="65">
        <v>494862</v>
      </c>
      <c r="L15" s="65">
        <v>550281</v>
      </c>
      <c r="M15" s="65">
        <v>512104</v>
      </c>
      <c r="N15" s="65">
        <v>595364</v>
      </c>
      <c r="O15" s="65">
        <v>582916</v>
      </c>
      <c r="P15" s="65">
        <v>537593</v>
      </c>
      <c r="Q15" s="65">
        <v>651330</v>
      </c>
      <c r="R15" s="65">
        <v>709313</v>
      </c>
      <c r="S15" s="65">
        <v>729972</v>
      </c>
      <c r="T15" s="65">
        <f t="shared" ref="T15:U30" si="12">AVERAGE(Q15:S15)</f>
        <v>696871.66666666663</v>
      </c>
      <c r="U15" s="65">
        <f t="shared" si="12"/>
        <v>712052.22222222213</v>
      </c>
      <c r="V15" s="11">
        <f t="shared" si="5"/>
        <v>7313618.888888889</v>
      </c>
      <c r="W15" s="73">
        <f t="shared" si="2"/>
        <v>0.13917122420534483</v>
      </c>
      <c r="X15" s="89"/>
      <c r="Y15" s="244">
        <f>Y8-Y29-Y36</f>
        <v>565717.88</v>
      </c>
      <c r="Z15" s="244">
        <f t="shared" si="11"/>
        <v>512455.35</v>
      </c>
      <c r="AA15" s="244">
        <f t="shared" si="11"/>
        <v>566759.74</v>
      </c>
      <c r="AB15" s="244">
        <f t="shared" si="11"/>
        <v>531139.68000000005</v>
      </c>
      <c r="AC15" s="244">
        <f t="shared" si="11"/>
        <v>625942.20000000007</v>
      </c>
      <c r="AD15" s="244">
        <f t="shared" si="11"/>
        <v>620408.57999999996</v>
      </c>
      <c r="AE15" s="244">
        <f t="shared" si="11"/>
        <v>566616.44000000006</v>
      </c>
      <c r="AF15" s="244">
        <f t="shared" si="11"/>
        <v>635508</v>
      </c>
      <c r="AG15" s="244">
        <f t="shared" si="11"/>
        <v>721908.64</v>
      </c>
      <c r="AH15" s="244">
        <f t="shared" si="11"/>
        <v>795237.29999999993</v>
      </c>
      <c r="AI15" s="244">
        <f t="shared" si="11"/>
        <v>778617.39</v>
      </c>
      <c r="AJ15" s="244">
        <f t="shared" si="11"/>
        <v>768654.14999999991</v>
      </c>
      <c r="AK15" s="65">
        <f t="shared" si="6"/>
        <v>7688965.3499999996</v>
      </c>
      <c r="AL15" s="73">
        <f t="shared" si="4"/>
        <v>0.12712208222821766</v>
      </c>
      <c r="AM15" s="14">
        <f t="shared" si="7"/>
        <v>5.132157784176461E-2</v>
      </c>
      <c r="AN15" s="9"/>
    </row>
    <row r="16" spans="1:40" ht="14.45" customHeight="1" outlineLevel="1">
      <c r="A16" s="37" t="s">
        <v>110</v>
      </c>
      <c r="B16" s="39"/>
      <c r="C16" s="39" t="s">
        <v>119</v>
      </c>
      <c r="D16" s="37" t="s">
        <v>120</v>
      </c>
      <c r="E16" s="38"/>
      <c r="F16" s="37"/>
      <c r="G16" s="37"/>
      <c r="H16" s="37"/>
      <c r="I16" s="170" t="s">
        <v>5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f t="shared" si="12"/>
        <v>0</v>
      </c>
      <c r="U16" s="65">
        <f t="shared" si="12"/>
        <v>0</v>
      </c>
      <c r="V16" s="11">
        <f t="shared" si="5"/>
        <v>0</v>
      </c>
      <c r="W16" s="73">
        <f t="shared" si="2"/>
        <v>0</v>
      </c>
      <c r="X16" s="89"/>
      <c r="Y16" s="244">
        <f>IFERROR(Y9-Y37,0)</f>
        <v>0</v>
      </c>
      <c r="Z16" s="244">
        <f t="shared" ref="Z16:AJ16" si="13">IFERROR(Z9-Z37,0)</f>
        <v>0</v>
      </c>
      <c r="AA16" s="244">
        <f t="shared" si="13"/>
        <v>0</v>
      </c>
      <c r="AB16" s="244">
        <f t="shared" si="13"/>
        <v>0</v>
      </c>
      <c r="AC16" s="244">
        <f t="shared" si="13"/>
        <v>0</v>
      </c>
      <c r="AD16" s="244">
        <f t="shared" si="13"/>
        <v>0</v>
      </c>
      <c r="AE16" s="244">
        <f t="shared" si="13"/>
        <v>0</v>
      </c>
      <c r="AF16" s="244">
        <f t="shared" si="13"/>
        <v>0</v>
      </c>
      <c r="AG16" s="244">
        <f t="shared" si="13"/>
        <v>0</v>
      </c>
      <c r="AH16" s="244">
        <f t="shared" si="13"/>
        <v>0</v>
      </c>
      <c r="AI16" s="244">
        <f t="shared" si="13"/>
        <v>0</v>
      </c>
      <c r="AJ16" s="244">
        <f t="shared" si="13"/>
        <v>0</v>
      </c>
      <c r="AK16" s="65">
        <f t="shared" si="6"/>
        <v>0</v>
      </c>
      <c r="AL16" s="73">
        <f t="shared" si="4"/>
        <v>0</v>
      </c>
      <c r="AM16" s="14">
        <f t="shared" si="7"/>
        <v>0</v>
      </c>
      <c r="AN16" s="9"/>
    </row>
    <row r="17" spans="1:40" ht="14.45" customHeight="1" outlineLevel="1">
      <c r="A17" s="37" t="s">
        <v>110</v>
      </c>
      <c r="B17" s="39"/>
      <c r="C17" s="39" t="s">
        <v>121</v>
      </c>
      <c r="D17" s="37"/>
      <c r="E17" s="38"/>
      <c r="F17" s="37"/>
      <c r="G17" s="37"/>
      <c r="H17" s="37"/>
      <c r="I17" s="174" t="s">
        <v>122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f t="shared" si="12"/>
        <v>0</v>
      </c>
      <c r="U17" s="65">
        <f t="shared" si="12"/>
        <v>0</v>
      </c>
      <c r="V17" s="11">
        <f t="shared" si="5"/>
        <v>0</v>
      </c>
      <c r="W17" s="73">
        <f t="shared" si="2"/>
        <v>0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0</v>
      </c>
      <c r="AN17" s="9"/>
    </row>
    <row r="18" spans="1:40" ht="14.45" customHeight="1" outlineLevel="1">
      <c r="A18" s="37" t="s">
        <v>110</v>
      </c>
      <c r="B18" s="39"/>
      <c r="C18" s="39" t="s">
        <v>123</v>
      </c>
      <c r="D18" s="37"/>
      <c r="E18" s="38"/>
      <c r="F18" s="37"/>
      <c r="G18" s="37"/>
      <c r="H18" s="37"/>
      <c r="I18" s="175" t="s">
        <v>124</v>
      </c>
      <c r="J18" s="65">
        <v>5705</v>
      </c>
      <c r="K18" s="65">
        <v>2540</v>
      </c>
      <c r="L18" s="65">
        <v>1136</v>
      </c>
      <c r="M18" s="65">
        <v>235</v>
      </c>
      <c r="N18" s="65">
        <v>0</v>
      </c>
      <c r="O18" s="65">
        <v>3736</v>
      </c>
      <c r="P18" s="65">
        <v>802</v>
      </c>
      <c r="Q18" s="65">
        <v>0</v>
      </c>
      <c r="R18" s="65">
        <v>0</v>
      </c>
      <c r="S18" s="65">
        <v>0</v>
      </c>
      <c r="T18" s="65">
        <f t="shared" si="12"/>
        <v>0</v>
      </c>
      <c r="U18" s="65">
        <f t="shared" si="12"/>
        <v>0</v>
      </c>
      <c r="V18" s="11">
        <f t="shared" si="5"/>
        <v>14154</v>
      </c>
      <c r="W18" s="73">
        <f t="shared" si="2"/>
        <v>2.693371827721412E-4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customHeight="1" outlineLevel="1">
      <c r="A19" s="37" t="s">
        <v>110</v>
      </c>
      <c r="B19" s="39"/>
      <c r="C19" s="39" t="s">
        <v>125</v>
      </c>
      <c r="D19" s="37"/>
      <c r="E19" s="38"/>
      <c r="F19" s="37"/>
      <c r="G19" s="37"/>
      <c r="H19" s="37"/>
      <c r="I19" s="170" t="s">
        <v>126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f t="shared" si="12"/>
        <v>0</v>
      </c>
      <c r="U19" s="65">
        <f t="shared" si="12"/>
        <v>0</v>
      </c>
      <c r="V19" s="11">
        <f t="shared" si="5"/>
        <v>0</v>
      </c>
      <c r="W19" s="73">
        <f t="shared" si="2"/>
        <v>0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0</v>
      </c>
      <c r="AN19" s="9"/>
    </row>
    <row r="20" spans="1:40" ht="14.45" customHeight="1" outlineLevel="1">
      <c r="A20" s="37" t="s">
        <v>110</v>
      </c>
      <c r="B20" s="39"/>
      <c r="C20" s="39" t="s">
        <v>127</v>
      </c>
      <c r="D20" s="37" t="s">
        <v>128</v>
      </c>
      <c r="E20" s="38"/>
      <c r="F20" s="37"/>
      <c r="G20" s="37"/>
      <c r="H20" s="37"/>
      <c r="I20" s="170" t="s">
        <v>129</v>
      </c>
      <c r="J20" s="65">
        <v>-2334</v>
      </c>
      <c r="K20" s="65">
        <v>-3767</v>
      </c>
      <c r="L20" s="65">
        <v>-15132</v>
      </c>
      <c r="M20" s="65">
        <v>-22080</v>
      </c>
      <c r="N20" s="65">
        <v>-33023</v>
      </c>
      <c r="O20" s="65">
        <v>-20163</v>
      </c>
      <c r="P20" s="65">
        <v>-19320</v>
      </c>
      <c r="Q20" s="65">
        <v>-23422</v>
      </c>
      <c r="R20" s="65">
        <v>-20526</v>
      </c>
      <c r="S20" s="65">
        <v>-30606</v>
      </c>
      <c r="T20" s="65">
        <f t="shared" si="12"/>
        <v>-24851.333333333332</v>
      </c>
      <c r="U20" s="65">
        <f t="shared" si="12"/>
        <v>-25327.777777777777</v>
      </c>
      <c r="V20" s="11">
        <f t="shared" si="5"/>
        <v>-240552.11111111112</v>
      </c>
      <c r="W20" s="73">
        <f t="shared" si="2"/>
        <v>-4.5774783041230569E-3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customHeight="1" outlineLevel="1">
      <c r="A21" s="37" t="s">
        <v>110</v>
      </c>
      <c r="B21" s="39"/>
      <c r="C21" s="39" t="s">
        <v>130</v>
      </c>
      <c r="D21" s="37"/>
      <c r="E21" s="38"/>
      <c r="F21" s="37"/>
      <c r="G21" s="37"/>
      <c r="H21" s="37"/>
      <c r="I21" s="170" t="s">
        <v>131</v>
      </c>
      <c r="J21" s="65">
        <v>0</v>
      </c>
      <c r="K21" s="65">
        <v>0</v>
      </c>
      <c r="L21" s="65">
        <v>0</v>
      </c>
      <c r="M21" s="65">
        <v>0</v>
      </c>
      <c r="N21" s="65">
        <v>-4269</v>
      </c>
      <c r="O21" s="65">
        <v>0</v>
      </c>
      <c r="P21" s="65">
        <v>0</v>
      </c>
      <c r="Q21" s="65">
        <v>-852</v>
      </c>
      <c r="R21" s="65">
        <v>-2226</v>
      </c>
      <c r="S21" s="65">
        <v>-3879</v>
      </c>
      <c r="T21" s="65">
        <f t="shared" si="12"/>
        <v>-2319</v>
      </c>
      <c r="U21" s="65">
        <f t="shared" si="12"/>
        <v>-2808</v>
      </c>
      <c r="V21" s="11">
        <f t="shared" si="5"/>
        <v>-16353</v>
      </c>
      <c r="W21" s="73">
        <f t="shared" si="2"/>
        <v>-3.1118206513161117E-4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-1</v>
      </c>
      <c r="AN21" s="9"/>
    </row>
    <row r="22" spans="1:40" ht="14.45" customHeight="1" outlineLevel="1">
      <c r="A22" s="37" t="s">
        <v>110</v>
      </c>
      <c r="B22" s="39"/>
      <c r="C22" s="39" t="s">
        <v>132</v>
      </c>
      <c r="D22" s="37"/>
      <c r="E22" s="38"/>
      <c r="F22" s="37"/>
      <c r="G22" s="37"/>
      <c r="H22" s="37"/>
      <c r="I22" s="170" t="s">
        <v>133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f t="shared" si="12"/>
        <v>0</v>
      </c>
      <c r="U22" s="65">
        <f t="shared" si="12"/>
        <v>0</v>
      </c>
      <c r="V22" s="11">
        <f t="shared" si="5"/>
        <v>0</v>
      </c>
      <c r="W22" s="73">
        <f t="shared" si="2"/>
        <v>0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0</v>
      </c>
      <c r="AN22" s="9"/>
    </row>
    <row r="23" spans="1:40" ht="14.45" customHeight="1" outlineLevel="1">
      <c r="A23" s="37" t="s">
        <v>110</v>
      </c>
      <c r="B23" s="39"/>
      <c r="C23" s="39" t="s">
        <v>134</v>
      </c>
      <c r="D23" s="37"/>
      <c r="E23" s="38"/>
      <c r="F23" s="37"/>
      <c r="G23" s="37"/>
      <c r="H23" s="37"/>
      <c r="I23" s="174" t="s">
        <v>135</v>
      </c>
      <c r="J23" s="65">
        <v>0</v>
      </c>
      <c r="K23" s="65">
        <v>0</v>
      </c>
      <c r="L23" s="65">
        <v>6353</v>
      </c>
      <c r="M23" s="65">
        <v>-6353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f t="shared" si="12"/>
        <v>0</v>
      </c>
      <c r="U23" s="65">
        <f t="shared" si="12"/>
        <v>0</v>
      </c>
      <c r="V23" s="11">
        <f t="shared" si="5"/>
        <v>0</v>
      </c>
      <c r="W23" s="73">
        <f t="shared" si="2"/>
        <v>0</v>
      </c>
      <c r="X23" s="89"/>
      <c r="Y23" s="65">
        <f>0*Y40</f>
        <v>0</v>
      </c>
      <c r="Z23" s="65">
        <f t="shared" ref="Z23:AJ24" si="14">0*Z40</f>
        <v>0</v>
      </c>
      <c r="AA23" s="65">
        <f t="shared" si="14"/>
        <v>0</v>
      </c>
      <c r="AB23" s="65">
        <f t="shared" si="14"/>
        <v>0</v>
      </c>
      <c r="AC23" s="65">
        <f t="shared" si="14"/>
        <v>0</v>
      </c>
      <c r="AD23" s="65">
        <f t="shared" si="14"/>
        <v>0</v>
      </c>
      <c r="AE23" s="65">
        <f t="shared" si="14"/>
        <v>0</v>
      </c>
      <c r="AF23" s="65">
        <f t="shared" si="14"/>
        <v>0</v>
      </c>
      <c r="AG23" s="65">
        <f t="shared" si="14"/>
        <v>0</v>
      </c>
      <c r="AH23" s="65">
        <f t="shared" si="14"/>
        <v>0</v>
      </c>
      <c r="AI23" s="65">
        <f t="shared" si="14"/>
        <v>0</v>
      </c>
      <c r="AJ23" s="65">
        <f t="shared" si="14"/>
        <v>0</v>
      </c>
      <c r="AK23" s="65">
        <f t="shared" si="6"/>
        <v>0</v>
      </c>
      <c r="AL23" s="73">
        <f t="shared" si="4"/>
        <v>0</v>
      </c>
      <c r="AM23" s="14">
        <f t="shared" si="7"/>
        <v>0</v>
      </c>
      <c r="AN23" s="9"/>
    </row>
    <row r="24" spans="1:40" ht="14.45" customHeight="1" outlineLevel="1">
      <c r="A24" s="37" t="s">
        <v>110</v>
      </c>
      <c r="B24" s="39"/>
      <c r="C24" s="39" t="s">
        <v>136</v>
      </c>
      <c r="D24" s="37"/>
      <c r="E24" s="38"/>
      <c r="F24" s="37"/>
      <c r="G24" s="37"/>
      <c r="H24" s="37"/>
      <c r="I24" s="175" t="s">
        <v>137</v>
      </c>
      <c r="J24" s="65">
        <v>0</v>
      </c>
      <c r="K24" s="65">
        <v>0</v>
      </c>
      <c r="L24" s="65">
        <v>1596</v>
      </c>
      <c r="M24" s="65">
        <v>-1596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f t="shared" si="12"/>
        <v>0</v>
      </c>
      <c r="U24" s="65">
        <f t="shared" si="12"/>
        <v>0</v>
      </c>
      <c r="V24" s="11">
        <f t="shared" si="5"/>
        <v>0</v>
      </c>
      <c r="W24" s="73">
        <f t="shared" si="2"/>
        <v>0</v>
      </c>
      <c r="X24" s="89"/>
      <c r="Y24" s="65">
        <f>0*Y41</f>
        <v>0</v>
      </c>
      <c r="Z24" s="65">
        <f t="shared" si="14"/>
        <v>0</v>
      </c>
      <c r="AA24" s="65">
        <f t="shared" si="14"/>
        <v>0</v>
      </c>
      <c r="AB24" s="65">
        <f t="shared" si="14"/>
        <v>0</v>
      </c>
      <c r="AC24" s="65">
        <f t="shared" si="14"/>
        <v>0</v>
      </c>
      <c r="AD24" s="65">
        <f t="shared" si="14"/>
        <v>0</v>
      </c>
      <c r="AE24" s="65">
        <f t="shared" si="14"/>
        <v>0</v>
      </c>
      <c r="AF24" s="65">
        <f t="shared" si="14"/>
        <v>0</v>
      </c>
      <c r="AG24" s="65">
        <f t="shared" si="14"/>
        <v>0</v>
      </c>
      <c r="AH24" s="65">
        <f t="shared" si="14"/>
        <v>0</v>
      </c>
      <c r="AI24" s="65">
        <f t="shared" si="14"/>
        <v>0</v>
      </c>
      <c r="AJ24" s="65">
        <f t="shared" si="14"/>
        <v>0</v>
      </c>
      <c r="AK24" s="65">
        <f t="shared" si="6"/>
        <v>0</v>
      </c>
      <c r="AL24" s="73">
        <f t="shared" si="4"/>
        <v>0</v>
      </c>
      <c r="AM24" s="14">
        <f t="shared" si="7"/>
        <v>0</v>
      </c>
      <c r="AN24" s="9"/>
    </row>
    <row r="25" spans="1:40" ht="14.45" customHeight="1" outlineLevel="1">
      <c r="A25" s="37" t="s">
        <v>110</v>
      </c>
      <c r="B25" s="39"/>
      <c r="C25" s="39" t="s">
        <v>138</v>
      </c>
      <c r="D25" s="37" t="s">
        <v>103</v>
      </c>
      <c r="E25" s="38"/>
      <c r="F25" s="37"/>
      <c r="G25" s="37"/>
      <c r="H25" s="37"/>
      <c r="I25" s="174" t="s">
        <v>139</v>
      </c>
      <c r="J25" s="65">
        <v>0</v>
      </c>
      <c r="K25" s="65">
        <v>0</v>
      </c>
      <c r="L25" s="65">
        <v>0</v>
      </c>
      <c r="M25" s="65">
        <v>0</v>
      </c>
      <c r="N25" s="65">
        <v>2511</v>
      </c>
      <c r="O25" s="65">
        <v>0</v>
      </c>
      <c r="P25" s="65">
        <v>0</v>
      </c>
      <c r="Q25" s="65">
        <v>0</v>
      </c>
      <c r="R25" s="65">
        <v>0</v>
      </c>
      <c r="S25" s="65">
        <v>1267</v>
      </c>
      <c r="T25" s="65">
        <f t="shared" si="12"/>
        <v>422.33333333333331</v>
      </c>
      <c r="U25" s="65">
        <f t="shared" si="12"/>
        <v>563.11111111111109</v>
      </c>
      <c r="V25" s="11">
        <f t="shared" si="5"/>
        <v>4763.4444444444443</v>
      </c>
      <c r="W25" s="73">
        <f t="shared" si="2"/>
        <v>9.0643825558730663E-5</v>
      </c>
      <c r="X25" s="89"/>
      <c r="Y25" s="65">
        <f>(Y40*'Parametros AGS'!$N$48)*'Parametros AGS'!$B$59</f>
        <v>0</v>
      </c>
      <c r="Z25" s="65">
        <f>(Z40*'Parametros AGS'!$N$48)*'Parametros AGS'!$B$59</f>
        <v>0</v>
      </c>
      <c r="AA25" s="65">
        <f>(AA40*'Parametros AGS'!$N$48)*'Parametros AGS'!$B$59</f>
        <v>0</v>
      </c>
      <c r="AB25" s="65">
        <f>(AB40*'Parametros AGS'!$N$48)*'Parametros AGS'!$B$59</f>
        <v>0</v>
      </c>
      <c r="AC25" s="65">
        <f>(AC40*'Parametros AGS'!$N$48)*'Parametros AGS'!$B$59</f>
        <v>0</v>
      </c>
      <c r="AD25" s="65">
        <f>(AD40*'Parametros AGS'!$N$48)*'Parametros AGS'!$B$59</f>
        <v>0</v>
      </c>
      <c r="AE25" s="65">
        <f>(AE40*'Parametros AGS'!$N$48)*'Parametros AGS'!$B$59</f>
        <v>0</v>
      </c>
      <c r="AF25" s="65">
        <f>(AF40*'Parametros AGS'!$N$48)*'Parametros AGS'!$B$59</f>
        <v>0</v>
      </c>
      <c r="AG25" s="65">
        <f>(AG40*'Parametros AGS'!$N$48)*'Parametros AGS'!$B$59</f>
        <v>0</v>
      </c>
      <c r="AH25" s="65">
        <f>(AH40*'Parametros AGS'!$N$48)*'Parametros AGS'!$B$59</f>
        <v>0</v>
      </c>
      <c r="AI25" s="65">
        <f>(AI40*'Parametros AGS'!$N$48)*'Parametros AGS'!$B$59</f>
        <v>0</v>
      </c>
      <c r="AJ25" s="65">
        <f>(AJ40*'Parametros AGS'!$N$48)*'Parametros AGS'!$B$59</f>
        <v>0</v>
      </c>
      <c r="AK25" s="65">
        <f t="shared" si="6"/>
        <v>0</v>
      </c>
      <c r="AL25" s="73">
        <f t="shared" si="4"/>
        <v>0</v>
      </c>
      <c r="AM25" s="14">
        <f t="shared" si="7"/>
        <v>-1</v>
      </c>
      <c r="AN25" s="9"/>
    </row>
    <row r="26" spans="1:40" ht="14.45" customHeight="1" outlineLevel="1">
      <c r="A26" s="37" t="s">
        <v>110</v>
      </c>
      <c r="B26" s="39"/>
      <c r="C26" s="39" t="s">
        <v>399</v>
      </c>
      <c r="D26" s="37" t="s">
        <v>103</v>
      </c>
      <c r="E26" s="38"/>
      <c r="F26" s="37"/>
      <c r="G26" s="37"/>
      <c r="H26" s="37"/>
      <c r="I26" s="175" t="s">
        <v>140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f t="shared" si="12"/>
        <v>0</v>
      </c>
      <c r="U26" s="65">
        <f t="shared" si="12"/>
        <v>0</v>
      </c>
      <c r="V26" s="11">
        <f t="shared" si="5"/>
        <v>0</v>
      </c>
      <c r="W26" s="73">
        <f t="shared" si="2"/>
        <v>0</v>
      </c>
      <c r="X26" s="89"/>
      <c r="Y26" s="65">
        <f>(Y41*'Parametros AGS'!$N$49)*'Parametros AGS'!$B$60</f>
        <v>0</v>
      </c>
      <c r="Z26" s="65">
        <f>(Z41*'Parametros AGS'!$N$49)*'Parametros AGS'!$B$60</f>
        <v>0</v>
      </c>
      <c r="AA26" s="65">
        <f>(AA41*'Parametros AGS'!$N$49)*'Parametros AGS'!$B$60</f>
        <v>0</v>
      </c>
      <c r="AB26" s="65">
        <f>(AB41*'Parametros AGS'!$N$49)*'Parametros AGS'!$B$60</f>
        <v>0</v>
      </c>
      <c r="AC26" s="65">
        <f>(AC41*'Parametros AGS'!$N$49)*'Parametros AGS'!$B$60</f>
        <v>0</v>
      </c>
      <c r="AD26" s="65">
        <f>(AD41*'Parametros AGS'!$N$49)*'Parametros AGS'!$B$60</f>
        <v>0</v>
      </c>
      <c r="AE26" s="65">
        <f>(AE41*'Parametros AGS'!$N$49)*'Parametros AGS'!$B$60</f>
        <v>0</v>
      </c>
      <c r="AF26" s="65">
        <f>(AF41*'Parametros AGS'!$N$49)*'Parametros AGS'!$B$60</f>
        <v>0</v>
      </c>
      <c r="AG26" s="65">
        <f>(AG41*'Parametros AGS'!$N$49)*'Parametros AGS'!$B$60</f>
        <v>0</v>
      </c>
      <c r="AH26" s="65">
        <f>(AH41*'Parametros AGS'!$N$49)*'Parametros AGS'!$B$60</f>
        <v>0</v>
      </c>
      <c r="AI26" s="65">
        <f>(AI41*'Parametros AGS'!$N$49)*'Parametros AGS'!$B$60</f>
        <v>0</v>
      </c>
      <c r="AJ26" s="65">
        <f>(AJ41*'Parametros AGS'!$N$49)*'Parametros AGS'!$B$60</f>
        <v>0</v>
      </c>
      <c r="AK26" s="65">
        <f t="shared" si="6"/>
        <v>0</v>
      </c>
      <c r="AL26" s="73">
        <f t="shared" si="4"/>
        <v>0</v>
      </c>
      <c r="AM26" s="14">
        <f t="shared" si="7"/>
        <v>0</v>
      </c>
      <c r="AN26" s="9"/>
    </row>
    <row r="27" spans="1:40" ht="14.45" customHeight="1" outlineLevel="1">
      <c r="A27" s="37"/>
      <c r="B27" s="39"/>
      <c r="C27" s="39"/>
      <c r="D27" s="37"/>
      <c r="E27" s="38"/>
      <c r="F27" s="37"/>
      <c r="G27" s="37"/>
      <c r="H27" s="37"/>
      <c r="I27" s="170" t="s">
        <v>136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f t="shared" si="12"/>
        <v>0</v>
      </c>
      <c r="U27" s="65">
        <f t="shared" si="12"/>
        <v>0</v>
      </c>
      <c r="V27" s="11">
        <f t="shared" si="5"/>
        <v>0</v>
      </c>
      <c r="W27" s="73">
        <f t="shared" si="2"/>
        <v>0</v>
      </c>
      <c r="X27" s="89"/>
      <c r="Y27" s="65">
        <f>(Y42*'Parametros AGS'!$N$50)*'Parametros AGS'!$B$61</f>
        <v>0</v>
      </c>
      <c r="Z27" s="65">
        <f>(Z42*'Parametros AGS'!$N$50)*'Parametros AGS'!$B$61</f>
        <v>0</v>
      </c>
      <c r="AA27" s="65">
        <f>(AA42*'Parametros AGS'!$N$50)*'Parametros AGS'!$B$61</f>
        <v>0</v>
      </c>
      <c r="AB27" s="65">
        <f>(AB42*'Parametros AGS'!$N$50)*'Parametros AGS'!$B$61</f>
        <v>0</v>
      </c>
      <c r="AC27" s="65">
        <f>(AC42*'Parametros AGS'!$N$50)*'Parametros AGS'!$B$61</f>
        <v>0</v>
      </c>
      <c r="AD27" s="65">
        <f>(AD42*'Parametros AGS'!$N$50)*'Parametros AGS'!$B$61</f>
        <v>0</v>
      </c>
      <c r="AE27" s="65">
        <f>(AE42*'Parametros AGS'!$N$50)*'Parametros AGS'!$B$61</f>
        <v>0</v>
      </c>
      <c r="AF27" s="65">
        <f>(AF42*'Parametros AGS'!$N$50)*'Parametros AGS'!$B$61</f>
        <v>0</v>
      </c>
      <c r="AG27" s="65">
        <f>(AG42*'Parametros AGS'!$N$50)*'Parametros AGS'!$B$61</f>
        <v>0</v>
      </c>
      <c r="AH27" s="65">
        <f>(AH42*'Parametros AGS'!$N$50)*'Parametros AGS'!$B$61</f>
        <v>0</v>
      </c>
      <c r="AI27" s="65">
        <f>(AI42*'Parametros AGS'!$N$50)*'Parametros AGS'!$B$61</f>
        <v>0</v>
      </c>
      <c r="AJ27" s="65">
        <f>(AJ42*'Parametros AGS'!$N$50)*'Parametros AGS'!$B$61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customHeight="1">
      <c r="I28" s="174" t="s">
        <v>141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f t="shared" si="12"/>
        <v>0</v>
      </c>
      <c r="U28" s="65">
        <f t="shared" si="12"/>
        <v>0</v>
      </c>
      <c r="V28" s="11">
        <f t="shared" si="5"/>
        <v>0</v>
      </c>
      <c r="W28" s="73">
        <f t="shared" si="2"/>
        <v>0</v>
      </c>
      <c r="X28" s="89"/>
      <c r="Y28" s="66">
        <f>+-Y40*'Parametros AGS'!$B$2</f>
        <v>0</v>
      </c>
      <c r="Z28" s="66">
        <f>+-Z40*'Parametros AGS'!$B$2</f>
        <v>0</v>
      </c>
      <c r="AA28" s="66">
        <f>+-AA40*'Parametros AGS'!$B$2</f>
        <v>0</v>
      </c>
      <c r="AB28" s="66">
        <f>+-AB40*'Parametros AGS'!$B$2</f>
        <v>0</v>
      </c>
      <c r="AC28" s="66">
        <f>+-AC40*'Parametros AGS'!$B$2</f>
        <v>0</v>
      </c>
      <c r="AD28" s="66">
        <f>+-AD40*'Parametros AGS'!$B$2</f>
        <v>0</v>
      </c>
      <c r="AE28" s="66">
        <f>+-AE40*'Parametros AGS'!$B$2</f>
        <v>0</v>
      </c>
      <c r="AF28" s="66">
        <f>+-AF40*'Parametros AGS'!$B$2</f>
        <v>0</v>
      </c>
      <c r="AG28" s="66">
        <f>+-AG40*'Parametros AGS'!$B$2</f>
        <v>0</v>
      </c>
      <c r="AH28" s="66">
        <f>+-AH40*'Parametros AGS'!$B$2</f>
        <v>0</v>
      </c>
      <c r="AI28" s="66">
        <f>+-AI40*'Parametros AGS'!$B$2</f>
        <v>0</v>
      </c>
      <c r="AJ28" s="66">
        <f>+-AJ40*'Parametros AGS'!$B$2</f>
        <v>0</v>
      </c>
      <c r="AK28" s="65">
        <f t="shared" si="6"/>
        <v>0</v>
      </c>
      <c r="AL28" s="73">
        <f t="shared" si="4"/>
        <v>0</v>
      </c>
      <c r="AM28" s="14">
        <f t="shared" si="7"/>
        <v>0</v>
      </c>
      <c r="AN28" s="9"/>
    </row>
    <row r="29" spans="1:40" ht="14.45" customHeight="1" outlineLevel="1">
      <c r="I29" s="175" t="s">
        <v>142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f t="shared" si="12"/>
        <v>0</v>
      </c>
      <c r="U29" s="65">
        <f t="shared" si="12"/>
        <v>0</v>
      </c>
      <c r="V29" s="11">
        <f t="shared" si="5"/>
        <v>0</v>
      </c>
      <c r="W29" s="73">
        <f t="shared" si="2"/>
        <v>0</v>
      </c>
      <c r="X29" s="89"/>
      <c r="Y29" s="66">
        <f>+-Y41*'Parametros AGS'!$B$3</f>
        <v>0</v>
      </c>
      <c r="Z29" s="66">
        <f>+-Z41*'Parametros AGS'!$B$3</f>
        <v>0</v>
      </c>
      <c r="AA29" s="66">
        <f>+-AA41*'Parametros AGS'!$B$3</f>
        <v>0</v>
      </c>
      <c r="AB29" s="66">
        <f>+-AB41*'Parametros AGS'!$B$3</f>
        <v>0</v>
      </c>
      <c r="AC29" s="66">
        <f>+-AC41*'Parametros AGS'!$B$3</f>
        <v>0</v>
      </c>
      <c r="AD29" s="66">
        <f>+-AD41*'Parametros AGS'!$B$3</f>
        <v>0</v>
      </c>
      <c r="AE29" s="66">
        <f>+-AE41*'Parametros AGS'!$B$3</f>
        <v>0</v>
      </c>
      <c r="AF29" s="66">
        <f>+-AF41*'Parametros AGS'!$B$3</f>
        <v>0</v>
      </c>
      <c r="AG29" s="66">
        <f>+-AG41*'Parametros AGS'!$B$3</f>
        <v>0</v>
      </c>
      <c r="AH29" s="66">
        <f>+-AH41*'Parametros AGS'!$B$3</f>
        <v>0</v>
      </c>
      <c r="AI29" s="66">
        <f>+-AI41*'Parametros AGS'!$B$3</f>
        <v>0</v>
      </c>
      <c r="AJ29" s="66">
        <f>+-AJ41*'Parametros AGS'!$B$3</f>
        <v>0</v>
      </c>
      <c r="AK29" s="65">
        <f t="shared" si="6"/>
        <v>0</v>
      </c>
      <c r="AL29" s="73">
        <f t="shared" si="4"/>
        <v>0</v>
      </c>
      <c r="AM29" s="14">
        <f t="shared" si="7"/>
        <v>0</v>
      </c>
      <c r="AN29" s="9"/>
    </row>
    <row r="30" spans="1:40" ht="14.45" customHeight="1" outlineLevel="1">
      <c r="I30" s="175" t="s">
        <v>143</v>
      </c>
      <c r="J30" s="65">
        <v>3491</v>
      </c>
      <c r="K30" s="65">
        <v>2206</v>
      </c>
      <c r="L30" s="65">
        <v>2610</v>
      </c>
      <c r="M30" s="65">
        <v>2627</v>
      </c>
      <c r="N30" s="65">
        <v>2634</v>
      </c>
      <c r="O30" s="65">
        <v>-2648</v>
      </c>
      <c r="P30" s="65">
        <v>-2950</v>
      </c>
      <c r="Q30" s="65">
        <v>11013</v>
      </c>
      <c r="R30" s="65">
        <v>2723</v>
      </c>
      <c r="S30" s="65">
        <v>4180</v>
      </c>
      <c r="T30" s="65">
        <f t="shared" si="12"/>
        <v>5972</v>
      </c>
      <c r="U30" s="65">
        <f t="shared" si="12"/>
        <v>4291.666666666667</v>
      </c>
      <c r="V30" s="11">
        <f t="shared" si="5"/>
        <v>36149.666666666664</v>
      </c>
      <c r="W30" s="73">
        <f t="shared" si="2"/>
        <v>6.8789383765380664E-4</v>
      </c>
      <c r="X30" s="89"/>
      <c r="Y30" s="65">
        <f>+Y10*0.8</f>
        <v>3312</v>
      </c>
      <c r="Z30" s="65">
        <f t="shared" ref="Z30:AJ30" si="15">+Z10*0.8</f>
        <v>1488</v>
      </c>
      <c r="AA30" s="65">
        <f t="shared" si="15"/>
        <v>2016</v>
      </c>
      <c r="AB30" s="65">
        <f t="shared" si="15"/>
        <v>1920</v>
      </c>
      <c r="AC30" s="65">
        <f t="shared" si="15"/>
        <v>2160</v>
      </c>
      <c r="AD30" s="65">
        <f t="shared" si="15"/>
        <v>1392</v>
      </c>
      <c r="AE30" s="65">
        <f t="shared" si="15"/>
        <v>2784</v>
      </c>
      <c r="AF30" s="65">
        <f t="shared" si="15"/>
        <v>2784</v>
      </c>
      <c r="AG30" s="65">
        <f t="shared" si="15"/>
        <v>2016</v>
      </c>
      <c r="AH30" s="65">
        <f t="shared" si="15"/>
        <v>2016</v>
      </c>
      <c r="AI30" s="65">
        <f t="shared" si="15"/>
        <v>2592</v>
      </c>
      <c r="AJ30" s="65">
        <f t="shared" si="15"/>
        <v>2160</v>
      </c>
      <c r="AK30" s="65">
        <f t="shared" si="6"/>
        <v>26640</v>
      </c>
      <c r="AL30" s="73">
        <f t="shared" si="4"/>
        <v>4.4044056858179477E-4</v>
      </c>
      <c r="AM30" s="14">
        <f t="shared" si="7"/>
        <v>-0.26306374424844858</v>
      </c>
      <c r="AN30" s="9"/>
    </row>
    <row r="31" spans="1:40" ht="14.45" customHeight="1" outlineLevel="1">
      <c r="I31" s="175" t="s">
        <v>144</v>
      </c>
      <c r="J31" s="65">
        <v>-45350</v>
      </c>
      <c r="K31" s="65">
        <v>-48626</v>
      </c>
      <c r="L31" s="65">
        <v>-55501</v>
      </c>
      <c r="M31" s="65">
        <v>-58671</v>
      </c>
      <c r="N31" s="65">
        <v>-65514</v>
      </c>
      <c r="O31" s="65">
        <v>-62197</v>
      </c>
      <c r="P31" s="65">
        <v>-58843</v>
      </c>
      <c r="Q31" s="65">
        <v>-65895</v>
      </c>
      <c r="R31" s="65">
        <v>-62322</v>
      </c>
      <c r="S31" s="65">
        <v>-79695</v>
      </c>
      <c r="T31" s="65">
        <f t="shared" ref="T31:T33" si="16">AVERAGE(Q31:S31)</f>
        <v>-69304</v>
      </c>
      <c r="U31" s="65">
        <f t="shared" ref="U31:U33" si="17">AVERAGE(R31:T31)</f>
        <v>-70440.333333333328</v>
      </c>
      <c r="V31" s="11">
        <f t="shared" si="5"/>
        <v>-742358.33333333337</v>
      </c>
      <c r="W31" s="73">
        <f t="shared" si="2"/>
        <v>-1.4126374318738316E-2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-1</v>
      </c>
      <c r="AN31" s="9"/>
    </row>
    <row r="32" spans="1:40" ht="14.25" customHeight="1" outlineLevel="1">
      <c r="I32" s="175" t="s">
        <v>145</v>
      </c>
      <c r="J32" s="65">
        <v>-6969</v>
      </c>
      <c r="K32" s="65">
        <v>-6946</v>
      </c>
      <c r="L32" s="65">
        <v>-13884</v>
      </c>
      <c r="M32" s="65">
        <v>-3439</v>
      </c>
      <c r="N32" s="65">
        <v>-13797</v>
      </c>
      <c r="O32" s="65">
        <v>-6942</v>
      </c>
      <c r="P32" s="65">
        <v>-10414</v>
      </c>
      <c r="Q32" s="65">
        <v>-10437</v>
      </c>
      <c r="R32" s="65">
        <v>-13848</v>
      </c>
      <c r="S32" s="65">
        <v>-13830</v>
      </c>
      <c r="T32" s="65">
        <f t="shared" si="16"/>
        <v>-12705</v>
      </c>
      <c r="U32" s="65">
        <f t="shared" si="17"/>
        <v>-13461</v>
      </c>
      <c r="V32" s="11">
        <f t="shared" si="5"/>
        <v>-126672</v>
      </c>
      <c r="W32" s="73">
        <f t="shared" si="2"/>
        <v>-2.4104479027916253E-3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-1</v>
      </c>
      <c r="AN32" s="9"/>
    </row>
    <row r="33" spans="1:41" ht="14.45" customHeight="1">
      <c r="I33" s="175" t="s">
        <v>146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f t="shared" si="16"/>
        <v>0</v>
      </c>
      <c r="U33" s="65">
        <f t="shared" si="17"/>
        <v>0</v>
      </c>
      <c r="V33" s="11">
        <f t="shared" si="5"/>
        <v>0</v>
      </c>
      <c r="W33" s="73">
        <f t="shared" si="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0</v>
      </c>
      <c r="AN33" s="9"/>
    </row>
    <row r="34" spans="1:41" ht="14.45" customHeight="1" outlineLevel="1">
      <c r="E34" s="129"/>
      <c r="I34" s="36" t="s">
        <v>147</v>
      </c>
      <c r="J34" s="35">
        <v>348035</v>
      </c>
      <c r="K34" s="35">
        <v>331966</v>
      </c>
      <c r="L34" s="35">
        <v>422419</v>
      </c>
      <c r="M34" s="35">
        <v>442332</v>
      </c>
      <c r="N34" s="35">
        <v>484392</v>
      </c>
      <c r="O34" s="35">
        <v>475832</v>
      </c>
      <c r="P34" s="35">
        <v>418933</v>
      </c>
      <c r="Q34" s="35">
        <v>429165</v>
      </c>
      <c r="R34" s="35">
        <v>482746</v>
      </c>
      <c r="S34" s="35">
        <v>528926</v>
      </c>
      <c r="T34" s="35">
        <f>+T6-T13</f>
        <v>480279</v>
      </c>
      <c r="U34" s="35">
        <f>+U6-U13</f>
        <v>497317</v>
      </c>
      <c r="V34" s="35">
        <f t="shared" ref="S34:V34" si="18">SUM(V35:V38)</f>
        <v>5342340.777777778</v>
      </c>
      <c r="W34" s="73">
        <f t="shared" si="2"/>
        <v>0.10165967320159645</v>
      </c>
      <c r="X34" s="89"/>
      <c r="Y34" s="35">
        <f t="shared" ref="Y34:AJ34" si="19">Y6-Y13</f>
        <v>373981.20391179202</v>
      </c>
      <c r="Z34" s="35">
        <f t="shared" si="19"/>
        <v>285811.88499889243</v>
      </c>
      <c r="AA34" s="35">
        <f t="shared" si="19"/>
        <v>462325.18447061908</v>
      </c>
      <c r="AB34" s="35">
        <f t="shared" si="19"/>
        <v>387640.89692423446</v>
      </c>
      <c r="AC34" s="35">
        <f t="shared" si="19"/>
        <v>472452.96953283343</v>
      </c>
      <c r="AD34" s="35">
        <f t="shared" si="19"/>
        <v>469979.48555772007</v>
      </c>
      <c r="AE34" s="35">
        <f t="shared" si="19"/>
        <v>374077.19897400681</v>
      </c>
      <c r="AF34" s="35">
        <f t="shared" si="19"/>
        <v>421355.61624097824</v>
      </c>
      <c r="AG34" s="35">
        <f t="shared" si="19"/>
        <v>533042.21350794751</v>
      </c>
      <c r="AH34" s="35">
        <f t="shared" si="19"/>
        <v>575005.11953283381</v>
      </c>
      <c r="AI34" s="35">
        <f t="shared" si="19"/>
        <v>522125.25692423526</v>
      </c>
      <c r="AJ34" s="35">
        <f t="shared" si="19"/>
        <v>521641.46158260573</v>
      </c>
      <c r="AK34" s="35">
        <f>AK6-AK13</f>
        <v>5399438.4921586961</v>
      </c>
      <c r="AL34" s="73">
        <f t="shared" si="4"/>
        <v>8.9269210191771947E-2</v>
      </c>
      <c r="AM34" s="34">
        <f t="shared" si="7"/>
        <v>1.0687770914656669E-2</v>
      </c>
      <c r="AN34" s="9"/>
    </row>
    <row r="35" spans="1:41" ht="14.45" customHeight="1" outlineLevel="1">
      <c r="E35" s="129"/>
      <c r="I35" s="227" t="s">
        <v>148</v>
      </c>
      <c r="J35" s="30">
        <v>286839</v>
      </c>
      <c r="K35" s="30">
        <v>278213</v>
      </c>
      <c r="L35" s="30">
        <v>356554</v>
      </c>
      <c r="M35" s="30">
        <v>384948</v>
      </c>
      <c r="N35" s="30">
        <v>399302</v>
      </c>
      <c r="O35" s="30">
        <v>397551</v>
      </c>
      <c r="P35" s="30">
        <v>350539</v>
      </c>
      <c r="Q35" s="30">
        <v>375412</v>
      </c>
      <c r="R35" s="30">
        <v>413180</v>
      </c>
      <c r="S35" s="30">
        <v>445447</v>
      </c>
      <c r="T35" s="30">
        <f t="shared" ref="S35:U35" si="20">+AVERAGE(Q35:S35)</f>
        <v>411346.33333333331</v>
      </c>
      <c r="U35" s="30">
        <f t="shared" si="20"/>
        <v>423324.44444444444</v>
      </c>
      <c r="V35" s="32">
        <f t="shared" ref="V35:V37" si="21">SUM(J35:U35)</f>
        <v>4522655.777777778</v>
      </c>
      <c r="W35" s="74">
        <f t="shared" ref="W35:W46" si="22">V35/V$39</f>
        <v>1.7642090599704232</v>
      </c>
      <c r="X35" s="90"/>
      <c r="Y35" s="30">
        <f>+Y40*Y44</f>
        <v>307281.9439117916</v>
      </c>
      <c r="Z35" s="30">
        <f t="shared" ref="Z35:AJ35" si="23">+Z40*Z44</f>
        <v>228832.89499889259</v>
      </c>
      <c r="AA35" s="30">
        <f t="shared" si="23"/>
        <v>392404.96447061899</v>
      </c>
      <c r="AB35" s="30">
        <f t="shared" si="23"/>
        <v>327627.69692423462</v>
      </c>
      <c r="AC35" s="30">
        <f t="shared" si="23"/>
        <v>393515.86953283392</v>
      </c>
      <c r="AD35" s="30">
        <f t="shared" si="23"/>
        <v>398069.20555771998</v>
      </c>
      <c r="AE35" s="30">
        <f t="shared" si="23"/>
        <v>310485.11897400656</v>
      </c>
      <c r="AF35" s="30">
        <f t="shared" si="23"/>
        <v>342472.11624097731</v>
      </c>
      <c r="AG35" s="30">
        <f t="shared" si="23"/>
        <v>443720.71350794798</v>
      </c>
      <c r="AH35" s="30">
        <f t="shared" si="23"/>
        <v>477978.45953283395</v>
      </c>
      <c r="AI35" s="30">
        <f t="shared" si="23"/>
        <v>432090.30692423461</v>
      </c>
      <c r="AJ35" s="30">
        <f t="shared" si="23"/>
        <v>432020.27158260596</v>
      </c>
      <c r="AK35" s="30">
        <f t="shared" ref="AK35:AK42" si="24">SUM(Y35:AJ35)</f>
        <v>4486499.5621586982</v>
      </c>
      <c r="AL35" s="74">
        <f t="shared" ref="AL35:AL46" si="25">AK35/AK$39</f>
        <v>1.6024083773890143</v>
      </c>
      <c r="AM35" s="29">
        <f>IFERROR(AK35/V35-1,0)</f>
        <v>-7.9944655077962556E-3</v>
      </c>
      <c r="AN35" s="9"/>
    </row>
    <row r="36" spans="1:41" ht="14.45" customHeight="1" outlineLevel="1">
      <c r="E36" s="129"/>
      <c r="I36" s="227" t="s">
        <v>149</v>
      </c>
      <c r="J36" s="30">
        <v>59354</v>
      </c>
      <c r="K36" s="30">
        <v>52853</v>
      </c>
      <c r="L36" s="30">
        <v>64865</v>
      </c>
      <c r="M36" s="30">
        <v>56337</v>
      </c>
      <c r="N36" s="30">
        <v>84384</v>
      </c>
      <c r="O36" s="30">
        <v>70778</v>
      </c>
      <c r="P36" s="30">
        <v>63116</v>
      </c>
      <c r="Q36" s="30">
        <v>60053</v>
      </c>
      <c r="R36" s="30">
        <v>68883</v>
      </c>
      <c r="S36" s="30">
        <v>82404</v>
      </c>
      <c r="T36" s="30">
        <f t="shared" ref="R36:U36" si="26">+AVERAGE(Q36:S36)</f>
        <v>70446.666666666672</v>
      </c>
      <c r="U36" s="30">
        <f t="shared" si="26"/>
        <v>73911.222222222234</v>
      </c>
      <c r="V36" s="32">
        <f t="shared" si="21"/>
        <v>807384.88888888888</v>
      </c>
      <c r="W36" s="74">
        <f t="shared" si="22"/>
        <v>0.31494674939883943</v>
      </c>
      <c r="X36" s="90"/>
      <c r="Y36" s="30">
        <f t="shared" ref="Y36:AJ37" si="27">+Y41*Y45</f>
        <v>65871.259999999995</v>
      </c>
      <c r="Z36" s="30">
        <f t="shared" si="27"/>
        <v>56606.99</v>
      </c>
      <c r="AA36" s="30">
        <f t="shared" si="27"/>
        <v>69416.22</v>
      </c>
      <c r="AB36" s="30">
        <f t="shared" si="27"/>
        <v>59533.2</v>
      </c>
      <c r="AC36" s="30">
        <f t="shared" si="27"/>
        <v>78397.100000000006</v>
      </c>
      <c r="AD36" s="30">
        <f t="shared" si="27"/>
        <v>71562.28</v>
      </c>
      <c r="AE36" s="30">
        <f t="shared" si="27"/>
        <v>62896.079999999994</v>
      </c>
      <c r="AF36" s="30">
        <f t="shared" si="27"/>
        <v>78187.5</v>
      </c>
      <c r="AG36" s="30">
        <f t="shared" si="27"/>
        <v>88817.5</v>
      </c>
      <c r="AH36" s="30">
        <f t="shared" si="27"/>
        <v>96522.66</v>
      </c>
      <c r="AI36" s="30">
        <f t="shared" si="27"/>
        <v>89386.95</v>
      </c>
      <c r="AJ36" s="30">
        <f t="shared" si="27"/>
        <v>89081.19</v>
      </c>
      <c r="AK36" s="30">
        <f t="shared" si="24"/>
        <v>906278.93000000017</v>
      </c>
      <c r="AL36" s="74">
        <f t="shared" si="25"/>
        <v>0.32368864179369411</v>
      </c>
      <c r="AM36" s="29">
        <f>IFERROR(AK36/V36-1,0)</f>
        <v>0.12248686156017574</v>
      </c>
      <c r="AN36" s="9"/>
    </row>
    <row r="37" spans="1:41" ht="14.45" customHeight="1">
      <c r="I37" s="227" t="s">
        <v>150</v>
      </c>
      <c r="J37" s="30" t="s">
        <v>468</v>
      </c>
      <c r="K37" s="30" t="s">
        <v>468</v>
      </c>
      <c r="L37" s="30" t="s">
        <v>468</v>
      </c>
      <c r="M37" s="30" t="s">
        <v>468</v>
      </c>
      <c r="N37" s="30" t="s">
        <v>468</v>
      </c>
      <c r="O37" s="30" t="s">
        <v>468</v>
      </c>
      <c r="P37" s="30" t="s">
        <v>468</v>
      </c>
      <c r="Q37" s="30" t="s">
        <v>468</v>
      </c>
      <c r="R37" s="30" t="s">
        <v>468</v>
      </c>
      <c r="S37" s="30" t="s">
        <v>468</v>
      </c>
      <c r="T37" s="30">
        <v>0</v>
      </c>
      <c r="U37" s="30">
        <f t="shared" ref="R37:U37" si="28">+AVERAGE(R37:T37)</f>
        <v>0</v>
      </c>
      <c r="V37" s="32">
        <f t="shared" si="21"/>
        <v>0</v>
      </c>
      <c r="W37" s="74">
        <f t="shared" si="22"/>
        <v>0</v>
      </c>
      <c r="X37" s="90"/>
      <c r="Y37" s="30">
        <f t="shared" si="27"/>
        <v>0</v>
      </c>
      <c r="Z37" s="30">
        <f t="shared" si="27"/>
        <v>0</v>
      </c>
      <c r="AA37" s="30">
        <f t="shared" si="27"/>
        <v>0</v>
      </c>
      <c r="AB37" s="30">
        <f t="shared" si="27"/>
        <v>0</v>
      </c>
      <c r="AC37" s="30">
        <f t="shared" si="27"/>
        <v>0</v>
      </c>
      <c r="AD37" s="30">
        <f t="shared" si="27"/>
        <v>0</v>
      </c>
      <c r="AE37" s="30">
        <f t="shared" si="27"/>
        <v>0</v>
      </c>
      <c r="AF37" s="30">
        <f t="shared" si="27"/>
        <v>0</v>
      </c>
      <c r="AG37" s="30">
        <f t="shared" si="27"/>
        <v>0</v>
      </c>
      <c r="AH37" s="30">
        <f t="shared" si="27"/>
        <v>0</v>
      </c>
      <c r="AI37" s="30">
        <f t="shared" si="27"/>
        <v>0</v>
      </c>
      <c r="AJ37" s="30">
        <f t="shared" si="27"/>
        <v>0</v>
      </c>
      <c r="AK37" s="30">
        <f t="shared" si="24"/>
        <v>0</v>
      </c>
      <c r="AL37" s="74">
        <f t="shared" si="25"/>
        <v>0</v>
      </c>
      <c r="AM37" s="29">
        <f>IFERROR(AK37/V37-1,0)</f>
        <v>0</v>
      </c>
      <c r="AN37" s="9"/>
    </row>
    <row r="38" spans="1:41" ht="14.45" customHeight="1" outlineLevel="1">
      <c r="I38" s="227" t="s">
        <v>151</v>
      </c>
      <c r="J38" s="32">
        <v>1843</v>
      </c>
      <c r="K38" s="32">
        <v>900</v>
      </c>
      <c r="L38" s="32">
        <v>1001</v>
      </c>
      <c r="M38" s="32">
        <v>1047</v>
      </c>
      <c r="N38" s="32">
        <v>706</v>
      </c>
      <c r="O38" s="32">
        <v>7503</v>
      </c>
      <c r="P38" s="32">
        <v>5278</v>
      </c>
      <c r="Q38" s="32">
        <v>-6301</v>
      </c>
      <c r="R38" s="30">
        <v>682</v>
      </c>
      <c r="S38" s="30">
        <v>1075</v>
      </c>
      <c r="T38" s="30">
        <f t="shared" ref="R38:U38" si="29">+AVERAGE(Q38:S38)</f>
        <v>-1514.6666666666667</v>
      </c>
      <c r="U38" s="30">
        <f t="shared" si="29"/>
        <v>80.777777777777757</v>
      </c>
      <c r="V38" s="32">
        <f>SUM(J38:U38)</f>
        <v>12300.111111111111</v>
      </c>
      <c r="W38" s="74">
        <f t="shared" si="22"/>
        <v>4.7980586025336298E-3</v>
      </c>
      <c r="X38" s="90"/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0">
        <f t="shared" si="24"/>
        <v>0</v>
      </c>
      <c r="AL38" s="74">
        <f t="shared" si="25"/>
        <v>0</v>
      </c>
      <c r="AM38" s="29">
        <f>IFERROR(AK38/V38-1,0)</f>
        <v>-1</v>
      </c>
      <c r="AN38" s="9"/>
    </row>
    <row r="39" spans="1:41" ht="14.45" customHeight="1" outlineLevel="1">
      <c r="I39" s="18" t="s">
        <v>152</v>
      </c>
      <c r="J39" s="33">
        <v>180289</v>
      </c>
      <c r="K39" s="33">
        <v>151527</v>
      </c>
      <c r="L39" s="33">
        <v>198651</v>
      </c>
      <c r="M39" s="33">
        <v>191734</v>
      </c>
      <c r="N39" s="33">
        <v>215462</v>
      </c>
      <c r="O39" s="33">
        <v>224121</v>
      </c>
      <c r="P39" s="33">
        <v>195035</v>
      </c>
      <c r="Q39" s="33">
        <v>208454</v>
      </c>
      <c r="R39" s="33">
        <v>238492</v>
      </c>
      <c r="S39" s="33">
        <v>243507</v>
      </c>
      <c r="T39" s="33">
        <f t="shared" ref="S39:U39" si="30">SUM(T40:T42)</f>
        <v>259441</v>
      </c>
      <c r="U39" s="33">
        <f t="shared" si="30"/>
        <v>256847</v>
      </c>
      <c r="V39" s="33">
        <f>SUM(J39:U39)</f>
        <v>2563560</v>
      </c>
      <c r="W39" s="74">
        <f t="shared" si="22"/>
        <v>1</v>
      </c>
      <c r="X39" s="90"/>
      <c r="Y39" s="33">
        <f t="shared" ref="Y39:AJ39" si="31">SUM(Y40:Y42)</f>
        <v>196513.23291856682</v>
      </c>
      <c r="Z39" s="33">
        <f t="shared" si="31"/>
        <v>167069.23291856682</v>
      </c>
      <c r="AA39" s="33">
        <f t="shared" si="31"/>
        <v>216534.23291856682</v>
      </c>
      <c r="AB39" s="33">
        <f t="shared" si="31"/>
        <v>208916.23291856682</v>
      </c>
      <c r="AC39" s="33">
        <f t="shared" si="31"/>
        <v>234759.23291856682</v>
      </c>
      <c r="AD39" s="33">
        <f t="shared" si="31"/>
        <v>243194.23291856682</v>
      </c>
      <c r="AE39" s="33">
        <f t="shared" si="31"/>
        <v>213505.23291856682</v>
      </c>
      <c r="AF39" s="33">
        <f t="shared" si="31"/>
        <v>218418.23291856682</v>
      </c>
      <c r="AG39" s="33">
        <f t="shared" si="31"/>
        <v>258502.23291856682</v>
      </c>
      <c r="AH39" s="33">
        <f t="shared" si="31"/>
        <v>286735.23291856679</v>
      </c>
      <c r="AI39" s="33">
        <f t="shared" si="31"/>
        <v>279428.23291856679</v>
      </c>
      <c r="AJ39" s="33">
        <f t="shared" si="31"/>
        <v>276272.23291856679</v>
      </c>
      <c r="AK39" s="33">
        <f t="shared" si="24"/>
        <v>2799847.7950228024</v>
      </c>
      <c r="AL39" s="74">
        <f t="shared" si="25"/>
        <v>1</v>
      </c>
      <c r="AM39" s="16">
        <f>IFERROR(AK39/V39-1,0)</f>
        <v>9.2171743599838596E-2</v>
      </c>
      <c r="AN39" s="9" t="s">
        <v>452</v>
      </c>
    </row>
    <row r="40" spans="1:41" ht="14.45" customHeight="1" outlineLevel="1">
      <c r="I40" s="31" t="s">
        <v>153</v>
      </c>
      <c r="J40" s="32">
        <v>153155</v>
      </c>
      <c r="K40" s="32">
        <v>127062</v>
      </c>
      <c r="L40" s="32">
        <v>171493</v>
      </c>
      <c r="M40" s="32">
        <v>166452</v>
      </c>
      <c r="N40" s="32">
        <v>185525</v>
      </c>
      <c r="O40" s="32">
        <v>194647</v>
      </c>
      <c r="P40" s="32">
        <v>168253</v>
      </c>
      <c r="Q40" s="32">
        <v>176733</v>
      </c>
      <c r="R40" s="32">
        <v>204033</v>
      </c>
      <c r="S40" s="32">
        <v>207780</v>
      </c>
      <c r="T40" s="32">
        <v>222455</v>
      </c>
      <c r="U40" s="32">
        <v>220231</v>
      </c>
      <c r="V40" s="32">
        <f>SUM(J40:U40)</f>
        <v>2197819</v>
      </c>
      <c r="W40" s="74">
        <f t="shared" si="22"/>
        <v>0.85733082120176629</v>
      </c>
      <c r="X40" s="90"/>
      <c r="Y40" s="32">
        <f>VLOOKUP($E$1,'[2]Resumen x Tipo Combustible'!$C$4:$P$8,Y$1,0)</f>
        <v>168836.23291856682</v>
      </c>
      <c r="Z40" s="32">
        <f>VLOOKUP($E$1,'[2]Resumen x Tipo Combustible'!$C$4:$P$8,Z$1,0)</f>
        <v>142132.23291856682</v>
      </c>
      <c r="AA40" s="32">
        <f>VLOOKUP($E$1,'[2]Resumen x Tipo Combustible'!$C$4:$P$8,AA$1,0)</f>
        <v>188656.23291856682</v>
      </c>
      <c r="AB40" s="32">
        <f>VLOOKUP($E$1,'[2]Resumen x Tipo Combustible'!$C$4:$P$8,AB$1,0)</f>
        <v>183032.23291856682</v>
      </c>
      <c r="AC40" s="32">
        <f>VLOOKUP($E$1,'[2]Resumen x Tipo Combustible'!$C$4:$P$8,AC$1,0)</f>
        <v>203894.23291856682</v>
      </c>
      <c r="AD40" s="32">
        <f>VLOOKUP($E$1,'[2]Resumen x Tipo Combustible'!$C$4:$P$8,AD$1,0)</f>
        <v>212871.23291856682</v>
      </c>
      <c r="AE40" s="32">
        <f>VLOOKUP($E$1,'[2]Resumen x Tipo Combustible'!$C$4:$P$8,AE$1,0)</f>
        <v>185919.23291856682</v>
      </c>
      <c r="AF40" s="32">
        <f>VLOOKUP($E$1,'[2]Resumen x Tipo Combustible'!$C$4:$P$8,AF$1,0)</f>
        <v>187143.23291856682</v>
      </c>
      <c r="AG40" s="32">
        <f>VLOOKUP($E$1,'[2]Resumen x Tipo Combustible'!$C$4:$P$8,AG$1,0)</f>
        <v>222975.23291856682</v>
      </c>
      <c r="AH40" s="32">
        <f>VLOOKUP($E$1,'[2]Resumen x Tipo Combustible'!$C$4:$P$8,AH$1,0)</f>
        <v>247657.23291856682</v>
      </c>
      <c r="AI40" s="32">
        <f>VLOOKUP($E$1,'[2]Resumen x Tipo Combustible'!$C$4:$P$8,AI$1,0)</f>
        <v>241391.23291856682</v>
      </c>
      <c r="AJ40" s="32">
        <f>VLOOKUP($E$1,'[2]Resumen x Tipo Combustible'!$C$4:$P$8,AJ$1,0)</f>
        <v>238685.23291856682</v>
      </c>
      <c r="AK40" s="32">
        <f t="shared" si="24"/>
        <v>2423193.795022802</v>
      </c>
      <c r="AL40" s="74">
        <f t="shared" si="25"/>
        <v>0.86547340156505437</v>
      </c>
      <c r="AM40" s="29">
        <f t="shared" si="7"/>
        <v>0.10254474778077816</v>
      </c>
      <c r="AN40" s="9"/>
    </row>
    <row r="41" spans="1:41" ht="14.45" customHeight="1">
      <c r="I41" s="31" t="s">
        <v>154</v>
      </c>
      <c r="J41" s="32">
        <v>27134</v>
      </c>
      <c r="K41" s="32">
        <v>24465</v>
      </c>
      <c r="L41" s="32">
        <v>27158</v>
      </c>
      <c r="M41" s="32">
        <v>25282</v>
      </c>
      <c r="N41" s="32">
        <v>29937</v>
      </c>
      <c r="O41" s="32">
        <v>29474</v>
      </c>
      <c r="P41" s="32">
        <v>26783</v>
      </c>
      <c r="Q41" s="32">
        <v>31722</v>
      </c>
      <c r="R41" s="32">
        <v>34460</v>
      </c>
      <c r="S41" s="32">
        <v>35728</v>
      </c>
      <c r="T41" s="32">
        <v>36986</v>
      </c>
      <c r="U41" s="32">
        <v>36616</v>
      </c>
      <c r="V41" s="32">
        <f>SUM(J41:U41)</f>
        <v>365745</v>
      </c>
      <c r="W41" s="74">
        <f t="shared" si="22"/>
        <v>0.14267073912839956</v>
      </c>
      <c r="X41" s="90"/>
      <c r="Y41" s="32">
        <f>VLOOKUP($E$1,'[2]Resumen x Tipo Combustible'!$C$12:$P$16,Y$1,0)</f>
        <v>27677</v>
      </c>
      <c r="Z41" s="32">
        <f>VLOOKUP($E$1,'[2]Resumen x Tipo Combustible'!$C$12:$P$16,Z$1,0)</f>
        <v>24937</v>
      </c>
      <c r="AA41" s="32">
        <f>VLOOKUP($E$1,'[2]Resumen x Tipo Combustible'!$C$12:$P$16,AA$1,0)</f>
        <v>27878</v>
      </c>
      <c r="AB41" s="32">
        <f>VLOOKUP($E$1,'[2]Resumen x Tipo Combustible'!$C$12:$P$16,AB$1,0)</f>
        <v>25884</v>
      </c>
      <c r="AC41" s="32">
        <f>VLOOKUP($E$1,'[2]Resumen x Tipo Combustible'!$C$12:$P$16,AC$1,0)</f>
        <v>30865</v>
      </c>
      <c r="AD41" s="32">
        <f>VLOOKUP($E$1,'[2]Resumen x Tipo Combustible'!$C$12:$P$16,AD$1,0)</f>
        <v>30323</v>
      </c>
      <c r="AE41" s="32">
        <f>VLOOKUP($E$1,'[2]Resumen x Tipo Combustible'!$C$12:$P$16,AE$1,0)</f>
        <v>27586</v>
      </c>
      <c r="AF41" s="32">
        <f>VLOOKUP($E$1,'[2]Resumen x Tipo Combustible'!$C$12:$P$16,AF$1,0)</f>
        <v>31275</v>
      </c>
      <c r="AG41" s="32">
        <f>VLOOKUP($E$1,'[2]Resumen x Tipo Combustible'!$C$12:$P$16,AG$1,0)</f>
        <v>35527</v>
      </c>
      <c r="AH41" s="32">
        <f>VLOOKUP($E$1,'[2]Resumen x Tipo Combustible'!$C$12:$P$16,AH$1,0)</f>
        <v>39078</v>
      </c>
      <c r="AI41" s="32">
        <f>VLOOKUP($E$1,'[2]Resumen x Tipo Combustible'!$C$12:$P$16,AI$1,0)</f>
        <v>38037</v>
      </c>
      <c r="AJ41" s="32">
        <f>VLOOKUP($E$1,'[2]Resumen x Tipo Combustible'!$C$12:$P$16,AJ$1,0)</f>
        <v>37587</v>
      </c>
      <c r="AK41" s="32">
        <f t="shared" si="24"/>
        <v>376654</v>
      </c>
      <c r="AL41" s="74">
        <f t="shared" si="25"/>
        <v>0.13452659843494544</v>
      </c>
      <c r="AM41" s="29">
        <f t="shared" si="7"/>
        <v>2.982679189052484E-2</v>
      </c>
      <c r="AN41" s="9"/>
    </row>
    <row r="42" spans="1:41" ht="14.45" customHeight="1">
      <c r="A42" s="21"/>
      <c r="B42" s="21"/>
      <c r="C42" s="21"/>
      <c r="D42" s="21"/>
      <c r="E42" s="7" t="s">
        <v>111</v>
      </c>
      <c r="I42" s="31" t="s">
        <v>155</v>
      </c>
      <c r="J42" s="32" t="s">
        <v>468</v>
      </c>
      <c r="K42" s="32" t="s">
        <v>468</v>
      </c>
      <c r="L42" s="32" t="s">
        <v>468</v>
      </c>
      <c r="M42" s="32" t="s">
        <v>468</v>
      </c>
      <c r="N42" s="32" t="s">
        <v>468</v>
      </c>
      <c r="O42" s="32" t="s">
        <v>468</v>
      </c>
      <c r="P42" s="32" t="s">
        <v>468</v>
      </c>
      <c r="Q42" s="32" t="s">
        <v>468</v>
      </c>
      <c r="R42" s="32" t="s">
        <v>468</v>
      </c>
      <c r="S42" s="32" t="s">
        <v>468</v>
      </c>
      <c r="T42" s="32" t="s">
        <v>476</v>
      </c>
      <c r="U42" s="32" t="s">
        <v>476</v>
      </c>
      <c r="V42" s="32">
        <f>SUM(J42:U42)</f>
        <v>0</v>
      </c>
      <c r="W42" s="74">
        <f t="shared" si="22"/>
        <v>0</v>
      </c>
      <c r="X42" s="90"/>
      <c r="Y42" s="32">
        <f>IFERROR(VLOOKUP($E$1,'[2]Resumen x Tipo Combustible'!$C$20:$P$24,Y$1,0),0)</f>
        <v>0</v>
      </c>
      <c r="Z42" s="32">
        <f>IFERROR(VLOOKUP($E$1,'[2]Resumen x Tipo Combustible'!$C$20:$P$24,Z$1,0),0)</f>
        <v>0</v>
      </c>
      <c r="AA42" s="32">
        <f>IFERROR(VLOOKUP($E$1,'[2]Resumen x Tipo Combustible'!$C$20:$P$24,AA$1,0),0)</f>
        <v>0</v>
      </c>
      <c r="AB42" s="32">
        <f>IFERROR(VLOOKUP($E$1,'[2]Resumen x Tipo Combustible'!$C$20:$P$24,AB$1,0),0)</f>
        <v>0</v>
      </c>
      <c r="AC42" s="32">
        <f>IFERROR(VLOOKUP($E$1,'[2]Resumen x Tipo Combustible'!$C$20:$P$24,AC$1,0),0)</f>
        <v>0</v>
      </c>
      <c r="AD42" s="32">
        <f>IFERROR(VLOOKUP($E$1,'[2]Resumen x Tipo Combustible'!$C$20:$P$24,AD$1,0),0)</f>
        <v>0</v>
      </c>
      <c r="AE42" s="32">
        <f>IFERROR(VLOOKUP($E$1,'[2]Resumen x Tipo Combustible'!$C$20:$P$24,AE$1,0),0)</f>
        <v>0</v>
      </c>
      <c r="AF42" s="32">
        <f>IFERROR(VLOOKUP($E$1,'[2]Resumen x Tipo Combustible'!$C$20:$P$24,AF$1,0),0)</f>
        <v>0</v>
      </c>
      <c r="AG42" s="32">
        <f>IFERROR(VLOOKUP($E$1,'[2]Resumen x Tipo Combustible'!$C$20:$P$24,AG$1,0),0)</f>
        <v>0</v>
      </c>
      <c r="AH42" s="32">
        <f>IFERROR(VLOOKUP($E$1,'[2]Resumen x Tipo Combustible'!$C$20:$P$24,AH$1,0),0)</f>
        <v>0</v>
      </c>
      <c r="AI42" s="32">
        <f>IFERROR(VLOOKUP($E$1,'[2]Resumen x Tipo Combustible'!$C$20:$P$24,AI$1,0),0)</f>
        <v>0</v>
      </c>
      <c r="AJ42" s="32">
        <f>IFERROR(VLOOKUP($E$1,'[2]Resumen x Tipo Combustible'!$C$20:$P$24,AJ$1,0),0)</f>
        <v>0</v>
      </c>
      <c r="AK42" s="32">
        <f t="shared" si="24"/>
        <v>0</v>
      </c>
      <c r="AL42" s="74">
        <f t="shared" si="25"/>
        <v>0</v>
      </c>
      <c r="AM42" s="29">
        <f t="shared" si="7"/>
        <v>0</v>
      </c>
      <c r="AN42" s="9"/>
    </row>
    <row r="43" spans="1:41" ht="15.75" customHeight="1">
      <c r="A43" s="21"/>
      <c r="B43" s="21"/>
      <c r="C43" s="21"/>
      <c r="D43" s="21"/>
      <c r="E43" s="22"/>
      <c r="F43" s="21"/>
      <c r="G43" s="21"/>
      <c r="H43" s="21"/>
      <c r="I43" s="18" t="s">
        <v>405</v>
      </c>
      <c r="J43" s="17">
        <v>1.93</v>
      </c>
      <c r="K43" s="17">
        <v>2.19</v>
      </c>
      <c r="L43" s="17">
        <v>2.13</v>
      </c>
      <c r="M43" s="17">
        <v>2.31</v>
      </c>
      <c r="N43" s="17">
        <v>2.25</v>
      </c>
      <c r="O43" s="17">
        <v>2.12</v>
      </c>
      <c r="P43" s="17">
        <v>2.15</v>
      </c>
      <c r="Q43" s="17">
        <v>2.06</v>
      </c>
      <c r="R43" s="17">
        <v>2.02</v>
      </c>
      <c r="S43" s="17">
        <v>2.17</v>
      </c>
      <c r="T43" s="17">
        <f t="shared" ref="Q43:U45" si="32">+T34/T39</f>
        <v>1.8512070181659799</v>
      </c>
      <c r="U43" s="17">
        <f t="shared" si="32"/>
        <v>1.9362383052945917</v>
      </c>
      <c r="V43" s="17">
        <f>+V34/V39</f>
        <v>2.0839538679717964</v>
      </c>
      <c r="W43" s="74">
        <f t="shared" si="22"/>
        <v>8.1291402111586873E-7</v>
      </c>
      <c r="X43" s="90"/>
      <c r="Y43" s="17">
        <f>AVERAGE(Y44:Y44)</f>
        <v>1.82</v>
      </c>
      <c r="Z43" s="17">
        <f t="shared" ref="Z43:AJ43" si="33">AVERAGE(Z44:Z44)</f>
        <v>1.61</v>
      </c>
      <c r="AA43" s="17">
        <f t="shared" si="33"/>
        <v>2.08</v>
      </c>
      <c r="AB43" s="17">
        <f t="shared" si="33"/>
        <v>1.79</v>
      </c>
      <c r="AC43" s="17">
        <f t="shared" si="33"/>
        <v>1.93</v>
      </c>
      <c r="AD43" s="17">
        <f t="shared" si="33"/>
        <v>1.87</v>
      </c>
      <c r="AE43" s="17">
        <f t="shared" si="33"/>
        <v>1.67</v>
      </c>
      <c r="AF43" s="17">
        <f t="shared" si="33"/>
        <v>1.83</v>
      </c>
      <c r="AG43" s="17">
        <f t="shared" si="33"/>
        <v>1.99</v>
      </c>
      <c r="AH43" s="17">
        <f t="shared" si="33"/>
        <v>1.93</v>
      </c>
      <c r="AI43" s="17">
        <f t="shared" si="33"/>
        <v>1.79</v>
      </c>
      <c r="AJ43" s="17">
        <f t="shared" si="33"/>
        <v>1.81</v>
      </c>
      <c r="AK43" s="17">
        <f>+AK34/AK39</f>
        <v>1.9284757199148828</v>
      </c>
      <c r="AL43" s="74">
        <f t="shared" si="25"/>
        <v>6.8877876981137004E-7</v>
      </c>
      <c r="AM43" s="16">
        <f t="shared" si="7"/>
        <v>-7.4607288791969428E-2</v>
      </c>
      <c r="AN43" s="176" t="s">
        <v>452</v>
      </c>
      <c r="AO43" s="276">
        <f>+AK43-V43</f>
        <v>-0.15547814805691362</v>
      </c>
    </row>
    <row r="44" spans="1:41" ht="14.45" customHeight="1">
      <c r="A44" s="12" t="s">
        <v>157</v>
      </c>
      <c r="B44" s="19" t="s">
        <v>101</v>
      </c>
      <c r="I44" s="31" t="s">
        <v>153</v>
      </c>
      <c r="J44" s="30">
        <v>1.87</v>
      </c>
      <c r="K44" s="30">
        <v>2.19</v>
      </c>
      <c r="L44" s="30">
        <v>2.08</v>
      </c>
      <c r="M44" s="30">
        <v>2.31</v>
      </c>
      <c r="N44" s="30">
        <v>2.15</v>
      </c>
      <c r="O44" s="30">
        <v>2.04</v>
      </c>
      <c r="P44" s="30">
        <v>2.08</v>
      </c>
      <c r="Q44" s="30">
        <v>2.12</v>
      </c>
      <c r="R44" s="30">
        <v>2.0299999999999998</v>
      </c>
      <c r="S44" s="30">
        <v>1.76</v>
      </c>
      <c r="T44" s="30">
        <f t="shared" si="32"/>
        <v>1.8491215451814225</v>
      </c>
      <c r="U44" s="30">
        <f t="shared" si="32"/>
        <v>1.9221837272883673</v>
      </c>
      <c r="V44" s="30">
        <f t="shared" ref="V44:V45" si="34">+V35/V40</f>
        <v>2.0577926470641024</v>
      </c>
      <c r="W44" s="74">
        <f t="shared" si="22"/>
        <v>8.0270898557634784E-7</v>
      </c>
      <c r="X44" s="90"/>
      <c r="Y44" s="248">
        <f>VLOOKUP(Y$3,[2]Margen!$I$61:$O$73,$Y$1,0)</f>
        <v>1.82</v>
      </c>
      <c r="Z44" s="248">
        <f>VLOOKUP(Z$3,[2]Margen!$I$61:$O$73,$Y$1,0)</f>
        <v>1.61</v>
      </c>
      <c r="AA44" s="248">
        <f>VLOOKUP(AA$3,[2]Margen!$I$61:$O$73,$Y$1,0)</f>
        <v>2.08</v>
      </c>
      <c r="AB44" s="248">
        <f>VLOOKUP(AB$3,[2]Margen!$I$61:$O$73,$Y$1,0)</f>
        <v>1.79</v>
      </c>
      <c r="AC44" s="248">
        <f>VLOOKUP(AC$3,[2]Margen!$I$61:$O$73,$Y$1,0)</f>
        <v>1.93</v>
      </c>
      <c r="AD44" s="248">
        <f>VLOOKUP(AD$3,[2]Margen!$I$61:$O$73,$Y$1,0)</f>
        <v>1.87</v>
      </c>
      <c r="AE44" s="248">
        <f>VLOOKUP(AE$3,[2]Margen!$I$61:$O$73,$Y$1,0)</f>
        <v>1.67</v>
      </c>
      <c r="AF44" s="248">
        <f>VLOOKUP(AF$3,[2]Margen!$I$61:$O$73,$Y$1,0)</f>
        <v>1.83</v>
      </c>
      <c r="AG44" s="248">
        <f>VLOOKUP(AG$3,[2]Margen!$I$61:$O$73,$Y$1,0)</f>
        <v>1.99</v>
      </c>
      <c r="AH44" s="248">
        <f>VLOOKUP(AH$3,[2]Margen!$I$61:$O$73,$Y$1,0)</f>
        <v>1.93</v>
      </c>
      <c r="AI44" s="248">
        <f>VLOOKUP(AI$3,[2]Margen!$I$61:$O$73,$Y$1,0)</f>
        <v>1.79</v>
      </c>
      <c r="AJ44" s="248">
        <f>VLOOKUP(AJ$3,[2]Margen!$I$61:$O$73,$Y$1,0)</f>
        <v>1.81</v>
      </c>
      <c r="AK44" s="30">
        <f>+AK35/AK40</f>
        <v>1.8514819455934108</v>
      </c>
      <c r="AL44" s="74">
        <f t="shared" si="25"/>
        <v>6.6127949843728275E-7</v>
      </c>
      <c r="AM44" s="29">
        <f t="shared" si="7"/>
        <v>-0.10025825574070324</v>
      </c>
      <c r="AN44" s="9"/>
      <c r="AO44" s="276">
        <f>+AK44-V44</f>
        <v>-0.20631070147069153</v>
      </c>
    </row>
    <row r="45" spans="1:41" ht="14.45" customHeight="1" outlineLevel="1">
      <c r="A45" s="12" t="s">
        <v>157</v>
      </c>
      <c r="B45" s="8" t="s">
        <v>101</v>
      </c>
      <c r="C45" s="19" t="s">
        <v>158</v>
      </c>
      <c r="D45" s="12"/>
      <c r="E45" s="20"/>
      <c r="F45" s="12"/>
      <c r="G45" s="12"/>
      <c r="H45" s="12"/>
      <c r="I45" s="31" t="s">
        <v>154</v>
      </c>
      <c r="J45" s="30">
        <v>2.19</v>
      </c>
      <c r="K45" s="30">
        <v>2.16</v>
      </c>
      <c r="L45" s="30">
        <v>2.39</v>
      </c>
      <c r="M45" s="30">
        <v>2.23</v>
      </c>
      <c r="N45" s="30">
        <v>2.82</v>
      </c>
      <c r="O45" s="30">
        <v>2.4</v>
      </c>
      <c r="P45" s="30">
        <v>2.36</v>
      </c>
      <c r="Q45" s="30">
        <v>1.89</v>
      </c>
      <c r="R45" s="30">
        <v>2</v>
      </c>
      <c r="S45" s="30">
        <v>1.81</v>
      </c>
      <c r="T45" s="30">
        <f t="shared" si="32"/>
        <v>1.9046846554552175</v>
      </c>
      <c r="U45" s="30">
        <f t="shared" si="32"/>
        <v>2.0185498749787589</v>
      </c>
      <c r="V45" s="30">
        <f t="shared" si="34"/>
        <v>2.2075076594044729</v>
      </c>
      <c r="W45" s="74">
        <f t="shared" si="22"/>
        <v>8.6111019808565932E-7</v>
      </c>
      <c r="X45" s="90"/>
      <c r="Y45" s="248">
        <f>VLOOKUP(Y$3,[2]Margen!$I$61:$O$73,$AA$1,0)</f>
        <v>2.38</v>
      </c>
      <c r="Z45" s="248">
        <f>VLOOKUP(Z$3,[2]Margen!$I$61:$O$73,$AA$1,0)</f>
        <v>2.27</v>
      </c>
      <c r="AA45" s="248">
        <f>VLOOKUP(AA$3,[2]Margen!$I$61:$O$73,$AA$1,0)</f>
        <v>2.4900000000000002</v>
      </c>
      <c r="AB45" s="248">
        <f>VLOOKUP(AB$3,[2]Margen!$I$61:$O$73,$AA$1,0)</f>
        <v>2.2999999999999998</v>
      </c>
      <c r="AC45" s="248">
        <f>VLOOKUP(AC$3,[2]Margen!$I$61:$O$73,$AA$1,0)</f>
        <v>2.54</v>
      </c>
      <c r="AD45" s="248">
        <f>VLOOKUP(AD$3,[2]Margen!$I$61:$O$73,$AA$1,0)</f>
        <v>2.36</v>
      </c>
      <c r="AE45" s="248">
        <f>VLOOKUP(AE$3,[2]Margen!$I$61:$O$73,$AA$1,0)</f>
        <v>2.2799999999999998</v>
      </c>
      <c r="AF45" s="248">
        <f>VLOOKUP(AF$3,[2]Margen!$I$61:$O$73,$AA$1,0)</f>
        <v>2.5</v>
      </c>
      <c r="AG45" s="248">
        <f>VLOOKUP(AG$3,[2]Margen!$I$61:$O$73,$AA$1,0)</f>
        <v>2.5</v>
      </c>
      <c r="AH45" s="248">
        <f>VLOOKUP(AH$3,[2]Margen!$I$61:$O$73,$AA$1,0)</f>
        <v>2.4700000000000002</v>
      </c>
      <c r="AI45" s="248">
        <f>VLOOKUP(AI$3,[2]Margen!$I$61:$O$73,$AA$1,0)</f>
        <v>2.35</v>
      </c>
      <c r="AJ45" s="248">
        <f>VLOOKUP(AJ$3,[2]Margen!$I$61:$O$73,$AA$1,0)</f>
        <v>2.37</v>
      </c>
      <c r="AK45" s="30">
        <f>+AK36/AK41</f>
        <v>2.4061311707827349</v>
      </c>
      <c r="AL45" s="74">
        <f t="shared" si="25"/>
        <v>8.59379275923511E-7</v>
      </c>
      <c r="AM45" s="29">
        <f t="shared" si="7"/>
        <v>8.9976363403353021E-2</v>
      </c>
      <c r="AN45" s="9"/>
      <c r="AO45" s="276">
        <f>+AK45-V45</f>
        <v>0.19862351137826195</v>
      </c>
    </row>
    <row r="46" spans="1:41" ht="14.45" customHeight="1" outlineLevel="1">
      <c r="A46" s="12" t="s">
        <v>157</v>
      </c>
      <c r="B46" s="8" t="s">
        <v>101</v>
      </c>
      <c r="I46" s="31" t="s">
        <v>155</v>
      </c>
      <c r="J46" s="32" t="s">
        <v>468</v>
      </c>
      <c r="K46" s="32" t="s">
        <v>468</v>
      </c>
      <c r="L46" s="32" t="s">
        <v>468</v>
      </c>
      <c r="M46" s="32" t="s">
        <v>468</v>
      </c>
      <c r="N46" s="32" t="s">
        <v>468</v>
      </c>
      <c r="O46" s="32" t="s">
        <v>468</v>
      </c>
      <c r="P46" s="32" t="s">
        <v>468</v>
      </c>
      <c r="Q46" s="32" t="s">
        <v>468</v>
      </c>
      <c r="R46" s="32" t="s">
        <v>468</v>
      </c>
      <c r="S46" s="32" t="s">
        <v>468</v>
      </c>
      <c r="T46" s="32">
        <f t="shared" ref="Q46:U46" si="35">SUM(H46:S46)</f>
        <v>0</v>
      </c>
      <c r="U46" s="32">
        <f t="shared" si="35"/>
        <v>0</v>
      </c>
      <c r="V46" s="32">
        <f>SUM(J46:U46)</f>
        <v>0</v>
      </c>
      <c r="W46" s="74">
        <f t="shared" si="22"/>
        <v>0</v>
      </c>
      <c r="X46" s="90"/>
      <c r="Y46" s="248">
        <f>VLOOKUP(Y$3,[2]Margen!$I$61:$O$73,$AC$1,0)</f>
        <v>0</v>
      </c>
      <c r="Z46" s="248">
        <f>VLOOKUP(Z$3,[2]Margen!$I$61:$O$73,$AC$1,0)</f>
        <v>0</v>
      </c>
      <c r="AA46" s="248">
        <f>VLOOKUP(AA$3,[2]Margen!$I$61:$O$73,$AC$1,0)</f>
        <v>0</v>
      </c>
      <c r="AB46" s="248">
        <f>VLOOKUP(AB$3,[2]Margen!$I$61:$O$73,$AC$1,0)</f>
        <v>0</v>
      </c>
      <c r="AC46" s="248">
        <f>VLOOKUP(AC$3,[2]Margen!$I$61:$O$73,$AC$1,0)</f>
        <v>0</v>
      </c>
      <c r="AD46" s="248">
        <f>VLOOKUP(AD$3,[2]Margen!$I$61:$O$73,$AC$1,0)</f>
        <v>0</v>
      </c>
      <c r="AE46" s="248">
        <f>VLOOKUP(AE$3,[2]Margen!$I$61:$O$73,$AC$1,0)</f>
        <v>0</v>
      </c>
      <c r="AF46" s="248">
        <f>VLOOKUP(AF$3,[2]Margen!$I$61:$O$73,$AC$1,0)</f>
        <v>0</v>
      </c>
      <c r="AG46" s="248">
        <f>VLOOKUP(AG$3,[2]Margen!$I$61:$O$73,$AC$1,0)</f>
        <v>0</v>
      </c>
      <c r="AH46" s="248">
        <f>VLOOKUP(AH$3,[2]Margen!$I$61:$O$73,$AC$1,0)</f>
        <v>0</v>
      </c>
      <c r="AI46" s="248">
        <f>VLOOKUP(AI$3,[2]Margen!$I$61:$O$73,$AC$1,0)</f>
        <v>0</v>
      </c>
      <c r="AJ46" s="248">
        <f>VLOOKUP(AJ$3,[2]Margen!$I$61:$O$73,$AC$1,0)</f>
        <v>0</v>
      </c>
      <c r="AK46" s="30">
        <f>IFERROR(+AK38/AK42,0)</f>
        <v>0</v>
      </c>
      <c r="AL46" s="74">
        <f t="shared" si="25"/>
        <v>0</v>
      </c>
      <c r="AM46" s="29">
        <f t="shared" si="7"/>
        <v>0</v>
      </c>
      <c r="AN46" s="9"/>
      <c r="AO46" s="276">
        <f>+AK46-V46</f>
        <v>0</v>
      </c>
    </row>
    <row r="47" spans="1:41" ht="14.45" customHeight="1" outlineLevel="1">
      <c r="A47" s="12" t="s">
        <v>157</v>
      </c>
      <c r="B47" s="8" t="s">
        <v>101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 outlineLevel="1">
      <c r="A48" s="12" t="s">
        <v>157</v>
      </c>
      <c r="B48" s="8" t="s">
        <v>101</v>
      </c>
      <c r="I48" s="141" t="s">
        <v>159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 outlineLevel="1">
      <c r="A49" s="12" t="s">
        <v>157</v>
      </c>
      <c r="B49" s="8" t="s">
        <v>101</v>
      </c>
      <c r="C49" s="8" t="s">
        <v>160</v>
      </c>
      <c r="I49" s="141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 outlineLevel="1">
      <c r="A50" s="12" t="s">
        <v>157</v>
      </c>
      <c r="B50" s="8" t="s">
        <v>101</v>
      </c>
      <c r="I50" s="169" t="s">
        <v>161</v>
      </c>
      <c r="J50" s="15">
        <v>22636</v>
      </c>
      <c r="K50" s="15">
        <v>23517</v>
      </c>
      <c r="L50" s="15">
        <v>23344</v>
      </c>
      <c r="M50" s="15">
        <v>24408</v>
      </c>
      <c r="N50" s="15">
        <v>55681</v>
      </c>
      <c r="O50" s="15">
        <v>55823</v>
      </c>
      <c r="P50" s="15">
        <v>55521</v>
      </c>
      <c r="Q50" s="15">
        <v>27652</v>
      </c>
      <c r="R50" s="15">
        <v>67124</v>
      </c>
      <c r="S50" s="15">
        <v>72708</v>
      </c>
      <c r="T50" s="15">
        <f t="shared" ref="R50:U50" si="36">SUM(T51:T90)</f>
        <v>80150.415757575756</v>
      </c>
      <c r="U50" s="15">
        <f t="shared" si="36"/>
        <v>97357.362488888888</v>
      </c>
      <c r="V50" s="15">
        <f>SUM(V51:V90)</f>
        <v>605921.77824646467</v>
      </c>
      <c r="W50" s="72">
        <f t="shared" ref="W50:W160" si="37">V50/V$6</f>
        <v>1.1530116202712227E-2</v>
      </c>
      <c r="X50" s="89"/>
      <c r="Y50" s="15">
        <f>SUM(Y51:Y90)</f>
        <v>91392.175966656476</v>
      </c>
      <c r="Z50" s="15">
        <f>SUM(Z51:Z90)</f>
        <v>83882.505342741846</v>
      </c>
      <c r="AA50" s="15">
        <f>SUM(AA51:AA90)</f>
        <v>53212.236970810329</v>
      </c>
      <c r="AB50" s="15">
        <f>SUM(AB51:AB90)</f>
        <v>52743.129312684927</v>
      </c>
      <c r="AC50" s="15">
        <f>SUM(AC51:AC90)</f>
        <v>56271.413711041096</v>
      </c>
      <c r="AD50" s="15">
        <f>SUM(AD51:AD90)</f>
        <v>42381.819716684928</v>
      </c>
      <c r="AE50" s="15">
        <f>SUM(AE51:AE90)</f>
        <v>45775.458307041095</v>
      </c>
      <c r="AF50" s="15">
        <f>SUM(AF51:AF90)</f>
        <v>49470.765307041089</v>
      </c>
      <c r="AG50" s="15">
        <f>SUM(AG51:AG90)</f>
        <v>68000.420504684938</v>
      </c>
      <c r="AH50" s="15">
        <f>SUM(AH51:AH90)</f>
        <v>38032.993115041092</v>
      </c>
      <c r="AI50" s="15">
        <f>SUM(AI51:AI90)</f>
        <v>35746.870120684929</v>
      </c>
      <c r="AJ50" s="15">
        <f>SUM(AJ51:AJ90)</f>
        <v>56095.488115041095</v>
      </c>
      <c r="AK50" s="15">
        <f>SUM(AK51:AK90)</f>
        <v>673005.27649015386</v>
      </c>
      <c r="AL50" s="72">
        <f t="shared" ref="AL50:AL160" si="38">AK50/AK$6</f>
        <v>1.1126832831676854E-2</v>
      </c>
      <c r="AM50" s="10">
        <f t="shared" ref="AM50:AM142" si="39">IFERROR(AK50/V50-1,0)</f>
        <v>0.11071313270473393</v>
      </c>
      <c r="AN50" s="9"/>
    </row>
    <row r="51" spans="1:40" ht="14.45" customHeight="1" outlineLevel="1">
      <c r="A51" s="12" t="s">
        <v>157</v>
      </c>
      <c r="B51" s="8" t="s">
        <v>101</v>
      </c>
      <c r="I51" s="228" t="s">
        <v>162</v>
      </c>
      <c r="J51" s="65">
        <v>15599</v>
      </c>
      <c r="K51" s="65">
        <v>12433</v>
      </c>
      <c r="L51" s="65">
        <v>11108</v>
      </c>
      <c r="M51" s="65">
        <v>11576</v>
      </c>
      <c r="N51" s="65">
        <v>13323</v>
      </c>
      <c r="O51" s="65">
        <v>12878</v>
      </c>
      <c r="P51" s="65">
        <v>13555</v>
      </c>
      <c r="Q51" s="65">
        <v>14673</v>
      </c>
      <c r="R51" s="65">
        <v>12559</v>
      </c>
      <c r="S51" s="65">
        <v>13373</v>
      </c>
      <c r="T51" s="65">
        <f t="shared" ref="S51:U51" si="40">+AVERAGE(Q51:S51)</f>
        <v>13535</v>
      </c>
      <c r="U51" s="65">
        <f t="shared" si="40"/>
        <v>13155.666666666666</v>
      </c>
      <c r="V51" s="65">
        <f>SUM(J51:U51)</f>
        <v>157767.66666666666</v>
      </c>
      <c r="W51" s="73">
        <f t="shared" si="37"/>
        <v>3.0021689185060225E-3</v>
      </c>
      <c r="X51" s="89"/>
      <c r="Y51" s="65">
        <f>VLOOKUP($E$1,[3]Resumen!$C$8:$O$11,Y1,0)</f>
        <v>12976.738169999999</v>
      </c>
      <c r="Z51" s="65">
        <f>VLOOKUP($E$1,[3]Resumen!$C$8:$O$11,Z1,0)</f>
        <v>12976.738169999999</v>
      </c>
      <c r="AA51" s="65">
        <f>VLOOKUP($E$1,[3]Resumen!$C$8:$O$11,AA1,0)</f>
        <v>12976.738169999999</v>
      </c>
      <c r="AB51" s="65">
        <f>VLOOKUP($E$1,[3]Resumen!$C$8:$O$11,AB1,0)</f>
        <v>12976.738169999999</v>
      </c>
      <c r="AC51" s="65">
        <f>VLOOKUP($E$1,[3]Resumen!$C$8:$O$11,AC1,0)</f>
        <v>12976.738169999999</v>
      </c>
      <c r="AD51" s="65">
        <f>VLOOKUP($E$1,[3]Resumen!$C$8:$O$11,AD1,0)</f>
        <v>12976.738169999999</v>
      </c>
      <c r="AE51" s="65">
        <f>VLOOKUP($E$1,[3]Resumen!$C$8:$O$11,AE1,0)</f>
        <v>12976.738169999999</v>
      </c>
      <c r="AF51" s="65">
        <f>VLOOKUP($E$1,[3]Resumen!$C$8:$O$11,AF1,0)</f>
        <v>12976.738169999999</v>
      </c>
      <c r="AG51" s="65">
        <f>VLOOKUP($E$1,[3]Resumen!$C$8:$O$11,AG1,0)</f>
        <v>12976.738169999999</v>
      </c>
      <c r="AH51" s="65">
        <f>VLOOKUP($E$1,[3]Resumen!$C$8:$O$11,AH1,0)</f>
        <v>12976.738169999999</v>
      </c>
      <c r="AI51" s="65">
        <f>VLOOKUP($E$1,[3]Resumen!$C$8:$O$11,AI1,0)</f>
        <v>12976.738169999999</v>
      </c>
      <c r="AJ51" s="65">
        <f>VLOOKUP($E$1,[3]Resumen!$C$8:$O$11,AJ1,0)</f>
        <v>12976.738169999999</v>
      </c>
      <c r="AK51" s="65">
        <f>SUM(Y51:AJ51)</f>
        <v>155720.85803999999</v>
      </c>
      <c r="AL51" s="73">
        <f t="shared" si="38"/>
        <v>2.5745414134828283E-3</v>
      </c>
      <c r="AM51" s="14">
        <f t="shared" si="39"/>
        <v>-1.2973562136728511E-2</v>
      </c>
      <c r="AN51" s="9"/>
    </row>
    <row r="52" spans="1:40" ht="14.45" customHeight="1" outlineLevel="1">
      <c r="A52" s="12" t="s">
        <v>157</v>
      </c>
      <c r="B52" s="8" t="s">
        <v>101</v>
      </c>
      <c r="I52" s="228" t="s">
        <v>158</v>
      </c>
      <c r="J52" s="65">
        <v>0</v>
      </c>
      <c r="K52" s="65">
        <v>0</v>
      </c>
      <c r="L52" s="65">
        <v>1840</v>
      </c>
      <c r="M52" s="65">
        <v>1840</v>
      </c>
      <c r="N52" s="65">
        <v>1840</v>
      </c>
      <c r="O52" s="65">
        <v>1840</v>
      </c>
      <c r="P52" s="65">
        <v>1840</v>
      </c>
      <c r="Q52" s="65">
        <v>1840</v>
      </c>
      <c r="R52" s="65">
        <v>1840</v>
      </c>
      <c r="S52" s="65">
        <v>1840</v>
      </c>
      <c r="T52" s="65">
        <f t="shared" ref="T52" si="41">+AVERAGE(Q52:S52)</f>
        <v>1840</v>
      </c>
      <c r="U52" s="65">
        <f t="shared" ref="U52" si="42">+AVERAGE(R52:T52)</f>
        <v>1840</v>
      </c>
      <c r="V52" s="65">
        <f t="shared" ref="V52:V86" si="43">SUM(J52:U52)</f>
        <v>18400</v>
      </c>
      <c r="W52" s="73">
        <f t="shared" si="37"/>
        <v>3.5013453179365533E-4</v>
      </c>
      <c r="X52" s="89"/>
      <c r="Y52" s="65">
        <f>VLOOKUP($E$1,[4]Resumen!$C$9:$O$12,Y1,0)</f>
        <v>1840</v>
      </c>
      <c r="Z52" s="65">
        <f>VLOOKUP($E$1,[4]Resumen!$C$9:$O$12,Z1,0)</f>
        <v>1840</v>
      </c>
      <c r="AA52" s="65">
        <f>VLOOKUP($E$1,[4]Resumen!$C$9:$O$12,AA1,0)</f>
        <v>1840</v>
      </c>
      <c r="AB52" s="65">
        <f>VLOOKUP($E$1,[4]Resumen!$C$9:$O$12,AB1,0)</f>
        <v>1840</v>
      </c>
      <c r="AC52" s="65">
        <f>VLOOKUP($E$1,[4]Resumen!$C$9:$O$12,AC1,0)</f>
        <v>1840</v>
      </c>
      <c r="AD52" s="65">
        <f>VLOOKUP($E$1,[4]Resumen!$C$9:$O$12,AD1,0)</f>
        <v>1840</v>
      </c>
      <c r="AE52" s="65">
        <f>VLOOKUP($E$1,[4]Resumen!$C$9:$O$12,AE1,0)</f>
        <v>1840</v>
      </c>
      <c r="AF52" s="65">
        <f>VLOOKUP($E$1,[4]Resumen!$C$9:$O$12,AF1,0)</f>
        <v>1840</v>
      </c>
      <c r="AG52" s="65">
        <f>VLOOKUP($E$1,[4]Resumen!$C$9:$O$12,AG1,0)</f>
        <v>1840</v>
      </c>
      <c r="AH52" s="65">
        <f>VLOOKUP($E$1,[4]Resumen!$C$9:$O$12,AH1,0)</f>
        <v>1840</v>
      </c>
      <c r="AI52" s="65">
        <f>VLOOKUP($E$1,[4]Resumen!$C$9:$O$12,AI1,0)</f>
        <v>1840</v>
      </c>
      <c r="AJ52" s="65">
        <f>VLOOKUP($E$1,[4]Resumen!$C$9:$O$12,AJ1,0)</f>
        <v>1840</v>
      </c>
      <c r="AK52" s="65">
        <f t="shared" ref="AK52:AK90" si="44">SUM(Y52:AJ52)</f>
        <v>22080</v>
      </c>
      <c r="AL52" s="73">
        <f t="shared" si="38"/>
        <v>3.6504984062635243E-4</v>
      </c>
      <c r="AM52" s="14">
        <f t="shared" si="39"/>
        <v>0.19999999999999996</v>
      </c>
      <c r="AN52" s="9"/>
    </row>
    <row r="53" spans="1:40" ht="14.45" customHeight="1" outlineLevel="1">
      <c r="A53" s="12" t="s">
        <v>157</v>
      </c>
      <c r="B53" s="8" t="s">
        <v>101</v>
      </c>
      <c r="I53" s="228" t="s">
        <v>163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43"/>
        <v>0</v>
      </c>
      <c r="W53" s="73">
        <f t="shared" si="37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44"/>
        <v>0</v>
      </c>
      <c r="AL53" s="73">
        <f t="shared" si="38"/>
        <v>0</v>
      </c>
      <c r="AM53" s="14">
        <f t="shared" si="39"/>
        <v>0</v>
      </c>
      <c r="AN53" s="9"/>
    </row>
    <row r="54" spans="1:40" ht="14.45" customHeight="1" outlineLevel="1">
      <c r="A54" s="12" t="s">
        <v>157</v>
      </c>
      <c r="B54" s="8" t="s">
        <v>101</v>
      </c>
      <c r="I54" s="228" t="s">
        <v>164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47</v>
      </c>
      <c r="S54" s="65">
        <v>1806</v>
      </c>
      <c r="T54" s="65">
        <f t="shared" ref="T54" si="45">+AVERAGE(Q54:S54)</f>
        <v>617.66666666666663</v>
      </c>
      <c r="U54" s="65">
        <f t="shared" ref="U54" si="46">+AVERAGE(R54:T54)</f>
        <v>823.55555555555554</v>
      </c>
      <c r="V54" s="65">
        <f t="shared" si="43"/>
        <v>3294.2222222222222</v>
      </c>
      <c r="W54" s="73">
        <f t="shared" si="37"/>
        <v>6.2685921489240897E-5</v>
      </c>
      <c r="X54" s="89"/>
      <c r="Y54" s="65">
        <f>VLOOKUP($E$1,[5]Resumen!$C$9:$O$12,Y1,0)</f>
        <v>0</v>
      </c>
      <c r="Z54" s="65">
        <f>VLOOKUP($E$1,[5]Resumen!$C$9:$O$12,Z1,0)</f>
        <v>0</v>
      </c>
      <c r="AA54" s="65">
        <f>VLOOKUP($E$1,[5]Resumen!$C$9:$O$12,AA1,0)</f>
        <v>0</v>
      </c>
      <c r="AB54" s="65">
        <f>VLOOKUP($E$1,[5]Resumen!$C$9:$O$12,AB1,0)</f>
        <v>0</v>
      </c>
      <c r="AC54" s="65">
        <f>VLOOKUP($E$1,[5]Resumen!$C$9:$O$12,AC1,0)</f>
        <v>0</v>
      </c>
      <c r="AD54" s="65">
        <f>VLOOKUP($E$1,[5]Resumen!$C$9:$O$12,AD1,0)</f>
        <v>0</v>
      </c>
      <c r="AE54" s="65">
        <f>VLOOKUP($E$1,[5]Resumen!$C$9:$O$12,AE1,0)</f>
        <v>0</v>
      </c>
      <c r="AF54" s="65">
        <f>VLOOKUP($E$1,[5]Resumen!$C$9:$O$12,AF1,0)</f>
        <v>0</v>
      </c>
      <c r="AG54" s="65">
        <f>VLOOKUP($E$1,[5]Resumen!$C$9:$O$12,AG1,0)</f>
        <v>0</v>
      </c>
      <c r="AH54" s="65">
        <f>VLOOKUP($E$1,[5]Resumen!$C$9:$O$12,AH1,0)</f>
        <v>0</v>
      </c>
      <c r="AI54" s="65">
        <f>VLOOKUP($E$1,[5]Resumen!$C$9:$O$12,AI1,0)</f>
        <v>0</v>
      </c>
      <c r="AJ54" s="65">
        <f>VLOOKUP($E$1,[5]Resumen!$C$9:$O$12,AJ1,0)</f>
        <v>1242.1199999999999</v>
      </c>
      <c r="AK54" s="65">
        <f t="shared" si="44"/>
        <v>1242.1199999999999</v>
      </c>
      <c r="AL54" s="73">
        <f t="shared" si="38"/>
        <v>2.0536037501757465E-5</v>
      </c>
      <c r="AM54" s="14">
        <f t="shared" si="39"/>
        <v>-0.62293982730706965</v>
      </c>
      <c r="AN54" s="9"/>
    </row>
    <row r="55" spans="1:40" ht="14.45" customHeight="1" outlineLevel="1">
      <c r="A55" s="12" t="s">
        <v>157</v>
      </c>
      <c r="B55" s="8" t="s">
        <v>101</v>
      </c>
      <c r="I55" s="228" t="s">
        <v>165</v>
      </c>
      <c r="J55" s="65">
        <v>0</v>
      </c>
      <c r="K55" s="65">
        <v>584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43"/>
        <v>584</v>
      </c>
      <c r="W55" s="73">
        <f t="shared" si="37"/>
        <v>1.1112965574320366E-5</v>
      </c>
      <c r="X55" s="89"/>
      <c r="Y55" s="65">
        <f>VLOOKUP($E$1,[6]Resumen!$V$107:$AH$110,Y1,0)</f>
        <v>11892.263899999998</v>
      </c>
      <c r="Z55" s="65">
        <f>VLOOKUP($E$1,[6]Resumen!$V$107:$AH$110,Z1,0)</f>
        <v>0</v>
      </c>
      <c r="AA55" s="65">
        <f>VLOOKUP($E$1,[6]Resumen!$V$107:$AH$110,AA1,0)</f>
        <v>0</v>
      </c>
      <c r="AB55" s="65">
        <f>VLOOKUP($E$1,[6]Resumen!$V$107:$AH$110,AB1,0)</f>
        <v>0</v>
      </c>
      <c r="AC55" s="65">
        <f>VLOOKUP($E$1,[6]Resumen!$V$107:$AH$110,AC1,0)</f>
        <v>0</v>
      </c>
      <c r="AD55" s="65">
        <f>VLOOKUP($E$1,[6]Resumen!$V$107:$AH$110,AD1,0)</f>
        <v>0</v>
      </c>
      <c r="AE55" s="65">
        <f>VLOOKUP($E$1,[6]Resumen!$V$107:$AH$110,AE1,0)</f>
        <v>0</v>
      </c>
      <c r="AF55" s="65">
        <f>VLOOKUP($E$1,[6]Resumen!$V$107:$AH$110,AF1,0)</f>
        <v>0</v>
      </c>
      <c r="AG55" s="65">
        <f>VLOOKUP($E$1,[6]Resumen!$V$107:$AH$110,AG1,0)</f>
        <v>0</v>
      </c>
      <c r="AH55" s="65">
        <f>VLOOKUP($E$1,[6]Resumen!$V$107:$AH$110,AH1,0)</f>
        <v>0</v>
      </c>
      <c r="AI55" s="65">
        <f>VLOOKUP($E$1,[6]Resumen!$V$107:$AH$110,AI1,0)</f>
        <v>0</v>
      </c>
      <c r="AJ55" s="65">
        <f>VLOOKUP($E$1,[6]Resumen!$V$107:$AH$110,AJ1,0)</f>
        <v>0</v>
      </c>
      <c r="AK55" s="65">
        <f t="shared" si="44"/>
        <v>11892.263899999998</v>
      </c>
      <c r="AL55" s="73">
        <f t="shared" si="38"/>
        <v>1.9661544571474292E-4</v>
      </c>
      <c r="AM55" s="14">
        <f t="shared" si="39"/>
        <v>19.363465582191779</v>
      </c>
      <c r="AN55" s="9"/>
    </row>
    <row r="56" spans="1:40" ht="14.45" customHeight="1" outlineLevel="1">
      <c r="A56" s="12" t="s">
        <v>157</v>
      </c>
      <c r="B56" s="8" t="s">
        <v>101</v>
      </c>
      <c r="I56" s="228" t="s">
        <v>166</v>
      </c>
      <c r="J56" s="65">
        <v>2123</v>
      </c>
      <c r="K56" s="65">
        <v>3631</v>
      </c>
      <c r="L56" s="65">
        <v>0</v>
      </c>
      <c r="M56" s="65">
        <v>2016</v>
      </c>
      <c r="N56" s="65">
        <v>0</v>
      </c>
      <c r="O56" s="65">
        <v>1355</v>
      </c>
      <c r="P56" s="65">
        <v>1166</v>
      </c>
      <c r="Q56" s="65">
        <v>145</v>
      </c>
      <c r="R56" s="65">
        <v>1585</v>
      </c>
      <c r="S56" s="65">
        <v>1549</v>
      </c>
      <c r="T56" s="65">
        <f t="shared" ref="T56" si="47">+AVERAGE(Q56:S56)</f>
        <v>1093</v>
      </c>
      <c r="U56" s="65">
        <f t="shared" ref="U56" si="48">+AVERAGE(R56:T56)</f>
        <v>1409</v>
      </c>
      <c r="V56" s="65">
        <f t="shared" si="43"/>
        <v>16072</v>
      </c>
      <c r="W56" s="73">
        <f t="shared" si="37"/>
        <v>3.0583490190150156E-4</v>
      </c>
      <c r="X56" s="89"/>
      <c r="Y56" s="65">
        <f>VLOOKUP($E$1,[7]Resumen!$V$181:$AH$184,Y1,0)</f>
        <v>1500.895</v>
      </c>
      <c r="Z56" s="65">
        <f>VLOOKUP($E$1,[7]Resumen!$V$181:$AH$184,Z1,0)</f>
        <v>1500.895</v>
      </c>
      <c r="AA56" s="65">
        <f>VLOOKUP($E$1,[7]Resumen!$V$181:$AH$184,AA1,0)</f>
        <v>1500.895</v>
      </c>
      <c r="AB56" s="65">
        <f>VLOOKUP($E$1,[7]Resumen!$V$181:$AH$184,AB1,0)</f>
        <v>1500.895</v>
      </c>
      <c r="AC56" s="65">
        <f>VLOOKUP($E$1,[7]Resumen!$V$181:$AH$184,AC1,0)</f>
        <v>1500.895</v>
      </c>
      <c r="AD56" s="65">
        <f>VLOOKUP($E$1,[7]Resumen!$V$181:$AH$184,AD1,0)</f>
        <v>1500.895</v>
      </c>
      <c r="AE56" s="65">
        <f>VLOOKUP($E$1,[7]Resumen!$V$181:$AH$184,AE1,0)</f>
        <v>1500.895</v>
      </c>
      <c r="AF56" s="65">
        <f>VLOOKUP($E$1,[7]Resumen!$V$181:$AH$184,AF1,0)</f>
        <v>1500.895</v>
      </c>
      <c r="AG56" s="65">
        <f>VLOOKUP($E$1,[7]Resumen!$V$181:$AH$184,AG1,0)</f>
        <v>1500.895</v>
      </c>
      <c r="AH56" s="65">
        <f>VLOOKUP($E$1,[7]Resumen!$V$181:$AH$184,AH1,0)</f>
        <v>1500.895</v>
      </c>
      <c r="AI56" s="65">
        <f>VLOOKUP($E$1,[7]Resumen!$V$181:$AH$184,AI1,0)</f>
        <v>1500.895</v>
      </c>
      <c r="AJ56" s="65">
        <f>VLOOKUP($E$1,[7]Resumen!$V$181:$AH$184,AJ1,0)</f>
        <v>1500.895</v>
      </c>
      <c r="AK56" s="65">
        <f t="shared" si="44"/>
        <v>18010.740000000002</v>
      </c>
      <c r="AL56" s="73">
        <f t="shared" si="38"/>
        <v>2.9777254377548332E-4</v>
      </c>
      <c r="AM56" s="14">
        <f t="shared" si="39"/>
        <v>0.12062842210054758</v>
      </c>
      <c r="AN56" s="9"/>
    </row>
    <row r="57" spans="1:40" ht="14.45" customHeight="1" outlineLevel="1">
      <c r="A57" s="12" t="s">
        <v>157</v>
      </c>
      <c r="B57" s="8" t="s">
        <v>101</v>
      </c>
      <c r="I57" s="228" t="s">
        <v>167</v>
      </c>
      <c r="J57" s="65">
        <v>0</v>
      </c>
      <c r="K57" s="65">
        <v>2400</v>
      </c>
      <c r="L57" s="65">
        <v>7106</v>
      </c>
      <c r="M57" s="65">
        <v>2613</v>
      </c>
      <c r="N57" s="65">
        <v>8681</v>
      </c>
      <c r="O57" s="65">
        <v>6438</v>
      </c>
      <c r="P57" s="65">
        <v>0</v>
      </c>
      <c r="Q57" s="65">
        <v>-33896</v>
      </c>
      <c r="R57" s="65">
        <v>878</v>
      </c>
      <c r="S57" s="65">
        <v>0</v>
      </c>
      <c r="T57" s="65">
        <v>20000</v>
      </c>
      <c r="U57" s="65">
        <v>20000</v>
      </c>
      <c r="V57" s="65">
        <f t="shared" si="43"/>
        <v>34220</v>
      </c>
      <c r="W57" s="73">
        <f t="shared" si="37"/>
        <v>6.5117411293363512E-4</v>
      </c>
      <c r="X57" s="89"/>
      <c r="Y57" s="65">
        <f>+[8]Resumen!W11</f>
        <v>0</v>
      </c>
      <c r="Z57" s="65">
        <f>+[8]Resumen!X11</f>
        <v>310.52999999999997</v>
      </c>
      <c r="AA57" s="65">
        <f>+[8]Resumen!Y11</f>
        <v>16768.62</v>
      </c>
      <c r="AB57" s="65">
        <f>+[8]Resumen!Z11</f>
        <v>12938.749999999998</v>
      </c>
      <c r="AC57" s="65">
        <f>+[8]Resumen!AA11</f>
        <v>12938.749999999998</v>
      </c>
      <c r="AD57" s="65">
        <f>+[8]Resumen!AB11</f>
        <v>0</v>
      </c>
      <c r="AE57" s="65">
        <f>+[8]Resumen!AC11</f>
        <v>0</v>
      </c>
      <c r="AF57" s="65">
        <f>+[8]Resumen!AD11</f>
        <v>310.52999999999997</v>
      </c>
      <c r="AG57" s="65">
        <f>+[8]Resumen!AE11</f>
        <v>0</v>
      </c>
      <c r="AH57" s="65">
        <f>+[8]Resumen!AF11</f>
        <v>0</v>
      </c>
      <c r="AI57" s="65">
        <f>+[8]Resumen!AG11</f>
        <v>0</v>
      </c>
      <c r="AJ57" s="65">
        <f>+[8]Resumen!AH11</f>
        <v>0</v>
      </c>
      <c r="AK57" s="65">
        <f t="shared" si="44"/>
        <v>43267.179999999993</v>
      </c>
      <c r="AL57" s="73">
        <f t="shared" si="38"/>
        <v>7.1533863964455167E-4</v>
      </c>
      <c r="AM57" s="14">
        <f t="shared" si="39"/>
        <v>0.26438281706604294</v>
      </c>
      <c r="AN57" s="9"/>
    </row>
    <row r="58" spans="1:40" ht="14.45" customHeight="1" outlineLevel="1">
      <c r="A58" s="12" t="s">
        <v>157</v>
      </c>
      <c r="B58" s="8" t="s">
        <v>101</v>
      </c>
      <c r="I58" s="228" t="s">
        <v>168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7090.9090909090919</v>
      </c>
      <c r="U58" s="65">
        <v>0</v>
      </c>
      <c r="V58" s="65">
        <f t="shared" si="43"/>
        <v>7090.9090909090919</v>
      </c>
      <c r="W58" s="73">
        <f t="shared" si="37"/>
        <v>1.3493326818134942E-4</v>
      </c>
      <c r="X58" s="89"/>
      <c r="Y58" s="65">
        <f>VLOOKUP($E$1,[9]Resumen!$V$8:$AH$11,Y1,0)</f>
        <v>559.84975961538464</v>
      </c>
      <c r="Z58" s="65">
        <f>VLOOKUP($E$1,[9]Resumen!$V$8:$AH$11,Z1,0)</f>
        <v>1791.5192307692307</v>
      </c>
      <c r="AA58" s="65">
        <f>VLOOKUP($E$1,[9]Resumen!$V$8:$AH$11,AA1,0)</f>
        <v>335.90985576923072</v>
      </c>
      <c r="AB58" s="65">
        <f>VLOOKUP($E$1,[9]Resumen!$V$8:$AH$11,AB1,0)</f>
        <v>0</v>
      </c>
      <c r="AC58" s="65">
        <f>VLOOKUP($E$1,[9]Resumen!$V$8:$AH$11,AC1,0)</f>
        <v>0</v>
      </c>
      <c r="AD58" s="65">
        <f>VLOOKUP($E$1,[9]Resumen!$V$8:$AH$11,AD1,0)</f>
        <v>0</v>
      </c>
      <c r="AE58" s="65">
        <f>VLOOKUP($E$1,[9]Resumen!$V$8:$AH$11,AE1,0)</f>
        <v>0</v>
      </c>
      <c r="AF58" s="65">
        <f>VLOOKUP($E$1,[9]Resumen!$V$8:$AH$11,AF1,0)</f>
        <v>0</v>
      </c>
      <c r="AG58" s="65">
        <f>VLOOKUP($E$1,[9]Resumen!$V$8:$AH$11,AG1,0)</f>
        <v>0</v>
      </c>
      <c r="AH58" s="65">
        <f>VLOOKUP($E$1,[9]Resumen!$V$8:$AH$11,AH1,0)</f>
        <v>0</v>
      </c>
      <c r="AI58" s="65">
        <f>VLOOKUP($E$1,[9]Resumen!$V$8:$AH$11,AI1,0)</f>
        <v>0</v>
      </c>
      <c r="AJ58" s="65">
        <f>VLOOKUP($E$1,[9]Resumen!$V$8:$AH$11,AJ1,0)</f>
        <v>0</v>
      </c>
      <c r="AK58" s="65">
        <f t="shared" si="44"/>
        <v>2687.2788461538457</v>
      </c>
      <c r="AL58" s="73">
        <f t="shared" si="38"/>
        <v>4.4428927287456051E-5</v>
      </c>
      <c r="AM58" s="14">
        <f t="shared" si="39"/>
        <v>-0.62102477810650902</v>
      </c>
      <c r="AN58" s="9"/>
    </row>
    <row r="59" spans="1:40" ht="14.45" customHeight="1" outlineLevel="1">
      <c r="A59" s="12" t="s">
        <v>157</v>
      </c>
      <c r="B59" s="8" t="s">
        <v>101</v>
      </c>
      <c r="I59" s="228" t="s">
        <v>169</v>
      </c>
      <c r="J59" s="65"/>
      <c r="K59" s="65"/>
      <c r="L59" s="65"/>
      <c r="M59" s="65"/>
      <c r="N59" s="65"/>
      <c r="O59" s="65"/>
      <c r="P59" s="65"/>
      <c r="Q59" s="65"/>
      <c r="R59" s="65"/>
      <c r="S59" s="65">
        <v>0</v>
      </c>
      <c r="T59" s="65"/>
      <c r="U59" s="65"/>
      <c r="V59" s="65">
        <f t="shared" si="43"/>
        <v>0</v>
      </c>
      <c r="W59" s="73">
        <f t="shared" si="37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44"/>
        <v>0</v>
      </c>
      <c r="AL59" s="73">
        <f t="shared" si="38"/>
        <v>0</v>
      </c>
      <c r="AM59" s="14">
        <f t="shared" si="39"/>
        <v>0</v>
      </c>
      <c r="AN59" s="9"/>
    </row>
    <row r="60" spans="1:40" ht="14.45" customHeight="1" outlineLevel="1">
      <c r="A60" s="12" t="s">
        <v>157</v>
      </c>
      <c r="B60" s="8" t="s">
        <v>101</v>
      </c>
      <c r="I60" s="228" t="s">
        <v>170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/>
      <c r="U60" s="65"/>
      <c r="V60" s="65">
        <f t="shared" si="43"/>
        <v>0</v>
      </c>
      <c r="W60" s="73">
        <f t="shared" si="37"/>
        <v>0</v>
      </c>
      <c r="X60" s="89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>
        <f t="shared" si="44"/>
        <v>0</v>
      </c>
      <c r="AL60" s="73">
        <f t="shared" si="38"/>
        <v>0</v>
      </c>
      <c r="AM60" s="14">
        <f t="shared" si="39"/>
        <v>0</v>
      </c>
      <c r="AN60" s="9"/>
    </row>
    <row r="61" spans="1:40" ht="14.45" customHeight="1" outlineLevel="1">
      <c r="A61" s="12" t="s">
        <v>157</v>
      </c>
      <c r="B61" s="8" t="s">
        <v>101</v>
      </c>
      <c r="I61" s="228" t="s">
        <v>171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/>
      <c r="U61" s="65"/>
      <c r="V61" s="65">
        <f t="shared" si="43"/>
        <v>0</v>
      </c>
      <c r="W61" s="73">
        <f t="shared" si="37"/>
        <v>0</v>
      </c>
      <c r="X61" s="89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>
        <f t="shared" si="44"/>
        <v>0</v>
      </c>
      <c r="AL61" s="73">
        <f t="shared" si="38"/>
        <v>0</v>
      </c>
      <c r="AM61" s="14">
        <f t="shared" si="39"/>
        <v>0</v>
      </c>
      <c r="AN61" s="9"/>
    </row>
    <row r="62" spans="1:40" ht="14.45" customHeight="1" outlineLevel="1">
      <c r="A62" s="12" t="s">
        <v>157</v>
      </c>
      <c r="B62" s="8" t="s">
        <v>101</v>
      </c>
      <c r="I62" s="228" t="s">
        <v>172</v>
      </c>
      <c r="J62" s="65">
        <v>27</v>
      </c>
      <c r="K62" s="65">
        <v>0</v>
      </c>
      <c r="L62" s="65">
        <v>0</v>
      </c>
      <c r="M62" s="65">
        <v>0</v>
      </c>
      <c r="N62" s="65">
        <v>27</v>
      </c>
      <c r="O62" s="65">
        <v>1</v>
      </c>
      <c r="P62" s="65">
        <v>0</v>
      </c>
      <c r="Q62" s="65">
        <v>205</v>
      </c>
      <c r="R62" s="65">
        <v>0</v>
      </c>
      <c r="S62" s="65">
        <v>0</v>
      </c>
      <c r="T62" s="65"/>
      <c r="U62" s="65"/>
      <c r="V62" s="65">
        <f t="shared" si="43"/>
        <v>260</v>
      </c>
      <c r="W62" s="73">
        <f t="shared" si="37"/>
        <v>4.9475531666494773E-6</v>
      </c>
      <c r="X62" s="89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>
        <f t="shared" si="44"/>
        <v>0</v>
      </c>
      <c r="AL62" s="73">
        <f t="shared" si="38"/>
        <v>0</v>
      </c>
      <c r="AM62" s="14">
        <f t="shared" si="39"/>
        <v>-1</v>
      </c>
      <c r="AN62" s="9"/>
    </row>
    <row r="63" spans="1:40" ht="14.45" customHeight="1" outlineLevel="1">
      <c r="A63" s="12" t="s">
        <v>157</v>
      </c>
      <c r="B63" s="8" t="s">
        <v>101</v>
      </c>
      <c r="I63" s="228" t="s">
        <v>173</v>
      </c>
      <c r="J63" s="65">
        <v>2943</v>
      </c>
      <c r="K63" s="65">
        <v>410</v>
      </c>
      <c r="L63" s="65">
        <v>156</v>
      </c>
      <c r="M63" s="65">
        <v>1320</v>
      </c>
      <c r="N63" s="65">
        <v>1666</v>
      </c>
      <c r="O63" s="65">
        <v>1020</v>
      </c>
      <c r="P63" s="65">
        <v>1379</v>
      </c>
      <c r="Q63" s="65">
        <v>1831</v>
      </c>
      <c r="R63" s="65">
        <v>1320</v>
      </c>
      <c r="S63" s="65">
        <v>1190</v>
      </c>
      <c r="T63" s="65">
        <f t="shared" ref="T63" si="49">+AVERAGE(Q63:S63)</f>
        <v>1447</v>
      </c>
      <c r="U63" s="65">
        <f t="shared" ref="U63" si="50">+AVERAGE(R63:T63)</f>
        <v>1319</v>
      </c>
      <c r="V63" s="65">
        <f t="shared" si="43"/>
        <v>16001</v>
      </c>
      <c r="W63" s="73">
        <f t="shared" si="37"/>
        <v>3.0448383930599344E-4</v>
      </c>
      <c r="X63" s="89"/>
      <c r="Y63" s="65">
        <f>VLOOKUP($E$1,[7]Detalle!$C$168:$O$171,Y1,0)</f>
        <v>810</v>
      </c>
      <c r="Z63" s="65">
        <f>VLOOKUP($E$1,[7]Detalle!$C$168:$O$171,Z1,0)</f>
        <v>810</v>
      </c>
      <c r="AA63" s="65">
        <f>VLOOKUP($E$1,[7]Detalle!$C$168:$O$171,AA1,0)</f>
        <v>810</v>
      </c>
      <c r="AB63" s="65">
        <f>VLOOKUP($E$1,[7]Detalle!$C$168:$O$171,AB1,0)</f>
        <v>810</v>
      </c>
      <c r="AC63" s="65">
        <f>VLOOKUP($E$1,[7]Detalle!$C$168:$O$171,AC1,0)</f>
        <v>810</v>
      </c>
      <c r="AD63" s="65">
        <f>VLOOKUP($E$1,[7]Detalle!$C$168:$O$171,AD1,0)</f>
        <v>810</v>
      </c>
      <c r="AE63" s="65">
        <f>VLOOKUP($E$1,[7]Detalle!$C$168:$O$171,AE1,0)</f>
        <v>810</v>
      </c>
      <c r="AF63" s="65">
        <f>VLOOKUP($E$1,[7]Detalle!$C$168:$O$171,AF1,0)</f>
        <v>810</v>
      </c>
      <c r="AG63" s="65">
        <f>VLOOKUP($E$1,[7]Detalle!$C$168:$O$171,AG1,0)</f>
        <v>810</v>
      </c>
      <c r="AH63" s="65">
        <f>VLOOKUP($E$1,[7]Detalle!$C$168:$O$171,AH1,0)</f>
        <v>810</v>
      </c>
      <c r="AI63" s="65">
        <f>VLOOKUP($E$1,[7]Detalle!$C$168:$O$171,AI1,0)</f>
        <v>810</v>
      </c>
      <c r="AJ63" s="65">
        <f>VLOOKUP($E$1,[7]Detalle!$C$168:$O$171,AJ1,0)</f>
        <v>810</v>
      </c>
      <c r="AK63" s="65">
        <f t="shared" si="44"/>
        <v>9720</v>
      </c>
      <c r="AL63" s="73">
        <f t="shared" si="38"/>
        <v>1.607012885366008E-4</v>
      </c>
      <c r="AM63" s="14">
        <f t="shared" si="39"/>
        <v>-0.39253796637710148</v>
      </c>
      <c r="AN63" s="9"/>
    </row>
    <row r="64" spans="1:40" ht="14.45" customHeight="1" outlineLevel="1">
      <c r="A64" s="12" t="s">
        <v>157</v>
      </c>
      <c r="B64" s="8" t="s">
        <v>101</v>
      </c>
      <c r="I64" s="228" t="s">
        <v>174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/>
      <c r="U64" s="65"/>
      <c r="V64" s="65">
        <f t="shared" si="43"/>
        <v>0</v>
      </c>
      <c r="W64" s="73">
        <f t="shared" si="37"/>
        <v>0</v>
      </c>
      <c r="X64" s="89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>
        <f t="shared" si="44"/>
        <v>0</v>
      </c>
      <c r="AL64" s="73">
        <f t="shared" si="38"/>
        <v>0</v>
      </c>
      <c r="AM64" s="14">
        <f t="shared" si="39"/>
        <v>0</v>
      </c>
      <c r="AN64" s="9"/>
    </row>
    <row r="65" spans="1:40" ht="14.45" customHeight="1" outlineLevel="1">
      <c r="A65" s="12" t="s">
        <v>157</v>
      </c>
      <c r="B65" s="8" t="s">
        <v>101</v>
      </c>
      <c r="I65" s="228" t="s">
        <v>175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f t="shared" si="43"/>
        <v>0</v>
      </c>
      <c r="W65" s="73">
        <f t="shared" si="37"/>
        <v>0</v>
      </c>
      <c r="X65" s="89"/>
      <c r="Y65" s="65">
        <f>VLOOKUP($E$1,[6]Resumen!$V$26:$AH$29,Y1,0)</f>
        <v>35400.42</v>
      </c>
      <c r="Z65" s="65">
        <f>VLOOKUP($E$1,[6]Resumen!$V$26:$AH$29,Z1,0)</f>
        <v>38298.699999999997</v>
      </c>
      <c r="AA65" s="65">
        <f>VLOOKUP($E$1,[6]Resumen!$V$26:$AH$29,AA1,0)</f>
        <v>0</v>
      </c>
      <c r="AB65" s="65">
        <f>VLOOKUP($E$1,[6]Resumen!$V$26:$AH$29,AB1,0)</f>
        <v>0</v>
      </c>
      <c r="AC65" s="65">
        <f>VLOOKUP($E$1,[6]Resumen!$V$26:$AH$29,AC1,0)</f>
        <v>0</v>
      </c>
      <c r="AD65" s="65">
        <f>VLOOKUP($E$1,[6]Resumen!$V$26:$AH$29,AD1,0)</f>
        <v>0</v>
      </c>
      <c r="AE65" s="65">
        <f>VLOOKUP($E$1,[6]Resumen!$V$26:$AH$29,AE1,0)</f>
        <v>0</v>
      </c>
      <c r="AF65" s="65">
        <f>VLOOKUP($E$1,[6]Resumen!$V$26:$AH$29,AF1,0)</f>
        <v>0</v>
      </c>
      <c r="AG65" s="65">
        <f>VLOOKUP($E$1,[6]Resumen!$V$26:$AH$29,AG1,0)</f>
        <v>0</v>
      </c>
      <c r="AH65" s="65">
        <f>VLOOKUP($E$1,[6]Resumen!$V$26:$AH$29,AH1,0)</f>
        <v>0</v>
      </c>
      <c r="AI65" s="65">
        <f>VLOOKUP($E$1,[6]Resumen!$V$26:$AH$29,AI1,0)</f>
        <v>0</v>
      </c>
      <c r="AJ65" s="65">
        <f>VLOOKUP($E$1,[6]Resumen!$V$26:$AH$29,AJ1,0)</f>
        <v>0</v>
      </c>
      <c r="AK65" s="65">
        <f t="shared" si="44"/>
        <v>73699.12</v>
      </c>
      <c r="AL65" s="73">
        <f t="shared" si="38"/>
        <v>1.2184715584376096E-3</v>
      </c>
      <c r="AM65" s="14">
        <f t="shared" si="39"/>
        <v>0</v>
      </c>
      <c r="AN65" s="9"/>
    </row>
    <row r="66" spans="1:40" ht="14.45" customHeight="1" outlineLevel="1">
      <c r="A66" s="12"/>
      <c r="I66" s="228" t="s">
        <v>176</v>
      </c>
      <c r="J66" s="65">
        <v>0</v>
      </c>
      <c r="K66" s="65">
        <v>0</v>
      </c>
      <c r="L66" s="65">
        <v>0</v>
      </c>
      <c r="M66" s="65">
        <v>1790</v>
      </c>
      <c r="N66" s="65">
        <v>25050</v>
      </c>
      <c r="O66" s="65">
        <v>25050</v>
      </c>
      <c r="P66" s="65">
        <v>25050</v>
      </c>
      <c r="Q66" s="65">
        <v>25050</v>
      </c>
      <c r="R66" s="65">
        <v>25050</v>
      </c>
      <c r="S66" s="65">
        <v>25050</v>
      </c>
      <c r="T66" s="65">
        <f t="shared" ref="T66" si="51">+AVERAGE(Q66:S66)</f>
        <v>25050</v>
      </c>
      <c r="U66" s="65">
        <f t="shared" ref="U66" si="52">+AVERAGE(R66:T66)</f>
        <v>25050</v>
      </c>
      <c r="V66" s="65">
        <f t="shared" si="43"/>
        <v>202190</v>
      </c>
      <c r="W66" s="73">
        <f t="shared" si="37"/>
        <v>3.8474837490956072E-3</v>
      </c>
      <c r="X66" s="89"/>
      <c r="Y66" s="65">
        <f>VLOOKUP($E$1,[10]Resumen!$V$8:$AH$11,Y1,0)</f>
        <v>5834.8586999999998</v>
      </c>
      <c r="Z66" s="65">
        <f>VLOOKUP($E$1,[10]Resumen!$V$8:$AH$11,Z1,0)</f>
        <v>5834.8586999999998</v>
      </c>
      <c r="AA66" s="65">
        <f>VLOOKUP($E$1,[10]Resumen!$V$8:$AH$11,AA1,0)</f>
        <v>5834.8586999999998</v>
      </c>
      <c r="AB66" s="65">
        <f>VLOOKUP($E$1,[10]Resumen!$V$8:$AH$11,AB1,0)</f>
        <v>5834.8586999999998</v>
      </c>
      <c r="AC66" s="65">
        <f>VLOOKUP($E$1,[10]Resumen!$V$8:$AH$11,AC1,0)</f>
        <v>7687.6876999999995</v>
      </c>
      <c r="AD66" s="65">
        <f>VLOOKUP($E$1,[10]Resumen!$V$8:$AH$11,AD1,0)</f>
        <v>7687.6876999999995</v>
      </c>
      <c r="AE66" s="65">
        <f>VLOOKUP($E$1,[10]Resumen!$V$8:$AH$11,AE1,0)</f>
        <v>7687.6876999999995</v>
      </c>
      <c r="AF66" s="65">
        <f>VLOOKUP($E$1,[10]Resumen!$V$8:$AH$11,AF1,0)</f>
        <v>7687.6876999999995</v>
      </c>
      <c r="AG66" s="65">
        <f>VLOOKUP($E$1,[10]Resumen!$V$8:$AH$11,AG1,0)</f>
        <v>7687.6876999999995</v>
      </c>
      <c r="AH66" s="65">
        <f>VLOOKUP($E$1,[10]Resumen!$V$8:$AH$11,AH1,0)</f>
        <v>7687.6876999999995</v>
      </c>
      <c r="AI66" s="65">
        <f>VLOOKUP($E$1,[10]Resumen!$V$8:$AH$11,AI1,0)</f>
        <v>7687.6876999999995</v>
      </c>
      <c r="AJ66" s="65">
        <f>VLOOKUP($E$1,[10]Resumen!$V$8:$AH$11,AJ1,0)</f>
        <v>7687.6876999999995</v>
      </c>
      <c r="AK66" s="65">
        <f t="shared" si="44"/>
        <v>84840.936399999991</v>
      </c>
      <c r="AL66" s="73">
        <f t="shared" si="38"/>
        <v>1.402679814828374E-3</v>
      </c>
      <c r="AM66" s="14">
        <f t="shared" si="39"/>
        <v>-0.58039004698550878</v>
      </c>
      <c r="AN66" s="9"/>
    </row>
    <row r="67" spans="1:40" ht="14.45" customHeight="1" outlineLevel="1">
      <c r="A67" s="12"/>
      <c r="I67" s="228" t="s">
        <v>177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/>
      <c r="U67" s="65"/>
      <c r="V67" s="65">
        <f t="shared" si="43"/>
        <v>0</v>
      </c>
      <c r="W67" s="73">
        <f t="shared" si="37"/>
        <v>0</v>
      </c>
      <c r="X67" s="89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>
        <f t="shared" si="44"/>
        <v>0</v>
      </c>
      <c r="AL67" s="73">
        <f t="shared" si="38"/>
        <v>0</v>
      </c>
      <c r="AM67" s="14">
        <f t="shared" si="39"/>
        <v>0</v>
      </c>
      <c r="AN67" s="9"/>
    </row>
    <row r="68" spans="1:40" ht="14.45" customHeight="1" outlineLevel="1">
      <c r="A68" s="12"/>
      <c r="I68" s="228" t="s">
        <v>178</v>
      </c>
      <c r="J68" s="65">
        <v>0</v>
      </c>
      <c r="K68" s="65">
        <v>0</v>
      </c>
      <c r="L68" s="65">
        <v>0</v>
      </c>
      <c r="M68" s="65">
        <v>591</v>
      </c>
      <c r="N68" s="65">
        <v>1272</v>
      </c>
      <c r="O68" s="65">
        <v>1517</v>
      </c>
      <c r="P68" s="65">
        <v>0</v>
      </c>
      <c r="Q68" s="65">
        <v>1940</v>
      </c>
      <c r="R68" s="65">
        <v>0</v>
      </c>
      <c r="S68" s="65">
        <v>0</v>
      </c>
      <c r="T68" s="65"/>
      <c r="U68" s="65"/>
      <c r="V68" s="65">
        <f t="shared" si="43"/>
        <v>5320</v>
      </c>
      <c r="W68" s="73">
        <f t="shared" si="37"/>
        <v>1.012345494099047E-4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44"/>
        <v>0</v>
      </c>
      <c r="AL68" s="73">
        <f t="shared" si="38"/>
        <v>0</v>
      </c>
      <c r="AM68" s="14">
        <f t="shared" si="39"/>
        <v>-1</v>
      </c>
      <c r="AN68" s="9"/>
    </row>
    <row r="69" spans="1:40" ht="14.45" customHeight="1" outlineLevel="1">
      <c r="A69" s="12"/>
      <c r="I69" s="228" t="s">
        <v>179</v>
      </c>
      <c r="J69" s="65">
        <v>0</v>
      </c>
      <c r="K69" s="65">
        <v>0</v>
      </c>
      <c r="L69" s="65">
        <v>0</v>
      </c>
      <c r="M69" s="65">
        <v>0</v>
      </c>
      <c r="N69" s="65">
        <v>977</v>
      </c>
      <c r="O69" s="65">
        <v>1953</v>
      </c>
      <c r="P69" s="65">
        <v>1953</v>
      </c>
      <c r="Q69" s="65">
        <v>1953</v>
      </c>
      <c r="R69" s="65">
        <v>2442</v>
      </c>
      <c r="S69" s="65">
        <v>1953</v>
      </c>
      <c r="T69" s="65">
        <f t="shared" ref="T69" si="53">+AVERAGE(Q69:S69)</f>
        <v>2116</v>
      </c>
      <c r="U69" s="65">
        <f t="shared" ref="U69" si="54">+AVERAGE(R69:T69)</f>
        <v>2170.3333333333335</v>
      </c>
      <c r="V69" s="65">
        <f t="shared" si="43"/>
        <v>15517.333333333334</v>
      </c>
      <c r="W69" s="73">
        <f t="shared" si="37"/>
        <v>2.9528012181264936E-4</v>
      </c>
      <c r="X69" s="89"/>
      <c r="Y69" s="65">
        <f>VLOOKUP($E$1,[6]Resumen!$V$35:$AH$38,Y1,0)</f>
        <v>2021.5502999999999</v>
      </c>
      <c r="Z69" s="65">
        <f>VLOOKUP($E$1,[6]Resumen!$V$35:$AH$38,Z1,0)</f>
        <v>2021.5502999999999</v>
      </c>
      <c r="AA69" s="65">
        <f>VLOOKUP($E$1,[6]Resumen!$V$35:$AH$38,AA1,0)</f>
        <v>2021.5502999999999</v>
      </c>
      <c r="AB69" s="65">
        <f>VLOOKUP($E$1,[6]Resumen!$V$35:$AH$38,AB1,0)</f>
        <v>2021.5502999999999</v>
      </c>
      <c r="AC69" s="65">
        <f>VLOOKUP($E$1,[6]Resumen!$V$35:$AH$38,AC1,0)</f>
        <v>2021.5502999999999</v>
      </c>
      <c r="AD69" s="65">
        <f>VLOOKUP($E$1,[6]Resumen!$V$35:$AH$38,AD1,0)</f>
        <v>2021.5502999999999</v>
      </c>
      <c r="AE69" s="65">
        <f>VLOOKUP($E$1,[6]Resumen!$V$35:$AH$38,AE1,0)</f>
        <v>2021.5502999999999</v>
      </c>
      <c r="AF69" s="65">
        <f>VLOOKUP($E$1,[6]Resumen!$V$35:$AH$38,AF1,0)</f>
        <v>2021.5502999999999</v>
      </c>
      <c r="AG69" s="65">
        <f>VLOOKUP($E$1,[6]Resumen!$V$35:$AH$38,AG1,0)</f>
        <v>2021.5502999999999</v>
      </c>
      <c r="AH69" s="65">
        <f>VLOOKUP($E$1,[6]Resumen!$V$35:$AH$38,AH1,0)</f>
        <v>2021.5502999999999</v>
      </c>
      <c r="AI69" s="65">
        <f>VLOOKUP($E$1,[6]Resumen!$V$35:$AH$38,AI1,0)</f>
        <v>2021.5502999999999</v>
      </c>
      <c r="AJ69" s="65">
        <f>VLOOKUP($E$1,[6]Resumen!$V$35:$AH$38,AJ1,0)</f>
        <v>2021.5502999999999</v>
      </c>
      <c r="AK69" s="65">
        <f t="shared" si="44"/>
        <v>24258.603599999991</v>
      </c>
      <c r="AL69" s="73">
        <f t="shared" si="38"/>
        <v>4.0106881240932317E-4</v>
      </c>
      <c r="AM69" s="14">
        <f t="shared" si="39"/>
        <v>0.56332296786389358</v>
      </c>
      <c r="AN69" s="9"/>
    </row>
    <row r="70" spans="1:40" ht="14.45" customHeight="1" outlineLevel="1">
      <c r="A70" s="12"/>
      <c r="I70" s="228" t="s">
        <v>180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/>
      <c r="U70" s="65"/>
      <c r="V70" s="65">
        <f t="shared" si="43"/>
        <v>0</v>
      </c>
      <c r="W70" s="73">
        <f t="shared" si="37"/>
        <v>0</v>
      </c>
      <c r="X70" s="89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>
        <f t="shared" si="44"/>
        <v>0</v>
      </c>
      <c r="AL70" s="73">
        <f t="shared" si="38"/>
        <v>0</v>
      </c>
      <c r="AM70" s="14">
        <f t="shared" si="39"/>
        <v>0</v>
      </c>
      <c r="AN70" s="9"/>
    </row>
    <row r="71" spans="1:40" ht="14.45" customHeight="1" outlineLevel="1">
      <c r="A71" s="12"/>
      <c r="I71" s="228" t="s">
        <v>181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f t="shared" ref="T71" si="55">+AVERAGE(Q71:S71)</f>
        <v>0</v>
      </c>
      <c r="U71" s="65">
        <f t="shared" ref="U71" si="56">+AVERAGE(R71:T71)</f>
        <v>0</v>
      </c>
      <c r="V71" s="65">
        <f t="shared" si="43"/>
        <v>0</v>
      </c>
      <c r="W71" s="73">
        <f t="shared" si="37"/>
        <v>0</v>
      </c>
      <c r="X71" s="89"/>
      <c r="Y71" s="65">
        <f>VLOOKUP($E$1,[6]Resumen!$V$98:$AH$101,Y1,0)</f>
        <v>598.15734904109581</v>
      </c>
      <c r="Z71" s="65">
        <f>VLOOKUP($E$1,[6]Resumen!$V$98:$AH$101,Z1,0)</f>
        <v>540.27115397260275</v>
      </c>
      <c r="AA71" s="65">
        <f>VLOOKUP($E$1,[6]Resumen!$V$98:$AH$101,AA1,0)</f>
        <v>598.15734904109581</v>
      </c>
      <c r="AB71" s="65">
        <f>VLOOKUP($E$1,[6]Resumen!$V$98:$AH$101,AB1,0)</f>
        <v>578.86195068493146</v>
      </c>
      <c r="AC71" s="65">
        <f>VLOOKUP($E$1,[6]Resumen!$V$98:$AH$101,AC1,0)</f>
        <v>598.15734904109581</v>
      </c>
      <c r="AD71" s="65">
        <f>VLOOKUP($E$1,[6]Resumen!$V$98:$AH$101,AD1,0)</f>
        <v>578.86195068493146</v>
      </c>
      <c r="AE71" s="65">
        <f>VLOOKUP($E$1,[6]Resumen!$V$98:$AH$101,AE1,0)</f>
        <v>598.15734904109581</v>
      </c>
      <c r="AF71" s="65">
        <f>VLOOKUP($E$1,[6]Resumen!$V$98:$AH$101,AF1,0)</f>
        <v>598.15734904109581</v>
      </c>
      <c r="AG71" s="65">
        <f>VLOOKUP($E$1,[6]Resumen!$V$98:$AH$101,AG1,0)</f>
        <v>578.86195068493146</v>
      </c>
      <c r="AH71" s="65">
        <f>VLOOKUP($E$1,[6]Resumen!$V$98:$AH$101,AH1,0)</f>
        <v>598.15734904109581</v>
      </c>
      <c r="AI71" s="65">
        <f>VLOOKUP($E$1,[6]Resumen!$V$98:$AH$101,AI1,0)</f>
        <v>578.86195068493146</v>
      </c>
      <c r="AJ71" s="65">
        <f>VLOOKUP($E$1,[6]Resumen!$V$98:$AH$101,AJ1,0)</f>
        <v>598.15734904109581</v>
      </c>
      <c r="AK71" s="65">
        <f t="shared" si="44"/>
        <v>7042.8203999999996</v>
      </c>
      <c r="AL71" s="73">
        <f t="shared" si="38"/>
        <v>1.1643933263496483E-4</v>
      </c>
      <c r="AM71" s="14">
        <f t="shared" si="39"/>
        <v>0</v>
      </c>
      <c r="AN71" s="9"/>
    </row>
    <row r="72" spans="1:40" ht="14.45" customHeight="1" outlineLevel="1">
      <c r="A72" s="12" t="s">
        <v>157</v>
      </c>
      <c r="B72" s="8" t="s">
        <v>101</v>
      </c>
      <c r="I72" s="228" t="s">
        <v>182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/>
      <c r="U72" s="65"/>
      <c r="V72" s="65">
        <f t="shared" si="43"/>
        <v>0</v>
      </c>
      <c r="W72" s="73">
        <f t="shared" si="37"/>
        <v>0</v>
      </c>
      <c r="X72" s="89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>
        <f t="shared" si="44"/>
        <v>0</v>
      </c>
      <c r="AL72" s="73">
        <f t="shared" si="38"/>
        <v>0</v>
      </c>
      <c r="AM72" s="14">
        <f t="shared" si="39"/>
        <v>0</v>
      </c>
      <c r="AN72" s="9"/>
    </row>
    <row r="73" spans="1:40" ht="14.45" customHeight="1" outlineLevel="1">
      <c r="A73" s="12" t="s">
        <v>157</v>
      </c>
      <c r="B73" s="8" t="s">
        <v>101</v>
      </c>
      <c r="I73" s="228" t="s">
        <v>183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43"/>
        <v>0</v>
      </c>
      <c r="W73" s="73">
        <f t="shared" si="37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44"/>
        <v>0</v>
      </c>
      <c r="AL73" s="73">
        <f t="shared" si="38"/>
        <v>0</v>
      </c>
      <c r="AM73" s="14">
        <f t="shared" si="39"/>
        <v>0</v>
      </c>
      <c r="AN73" s="9"/>
    </row>
    <row r="74" spans="1:40" ht="14.45" customHeight="1" outlineLevel="1">
      <c r="A74" s="12"/>
      <c r="I74" s="228" t="s">
        <v>184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/>
      <c r="U74" s="65"/>
      <c r="V74" s="65">
        <f t="shared" si="43"/>
        <v>0</v>
      </c>
      <c r="W74" s="73">
        <f t="shared" si="37"/>
        <v>0</v>
      </c>
      <c r="X74" s="89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>
        <f t="shared" si="44"/>
        <v>0</v>
      </c>
      <c r="AL74" s="73">
        <f t="shared" si="38"/>
        <v>0</v>
      </c>
      <c r="AM74" s="14">
        <f t="shared" si="39"/>
        <v>0</v>
      </c>
      <c r="AN74" s="9"/>
    </row>
    <row r="75" spans="1:40" ht="14.45" customHeight="1" outlineLevel="1">
      <c r="A75" s="12" t="s">
        <v>157</v>
      </c>
      <c r="B75" s="8" t="s">
        <v>101</v>
      </c>
      <c r="I75" s="228" t="s">
        <v>185</v>
      </c>
      <c r="J75" s="65">
        <v>0</v>
      </c>
      <c r="K75" s="65">
        <v>1600</v>
      </c>
      <c r="L75" s="65">
        <v>718</v>
      </c>
      <c r="M75" s="65">
        <v>718</v>
      </c>
      <c r="N75" s="65">
        <v>718</v>
      </c>
      <c r="O75" s="65">
        <v>718</v>
      </c>
      <c r="P75" s="65">
        <v>718</v>
      </c>
      <c r="Q75" s="65">
        <v>718</v>
      </c>
      <c r="R75" s="65">
        <v>734</v>
      </c>
      <c r="S75" s="65">
        <v>904</v>
      </c>
      <c r="T75" s="65">
        <f t="shared" ref="T75:T76" si="57">+AVERAGE(Q75:S75)</f>
        <v>785.33333333333337</v>
      </c>
      <c r="U75" s="65">
        <f t="shared" ref="U75:U76" si="58">+AVERAGE(R75:T75)</f>
        <v>807.77777777777783</v>
      </c>
      <c r="V75" s="65">
        <f t="shared" si="43"/>
        <v>9139.1111111111113</v>
      </c>
      <c r="W75" s="73">
        <f t="shared" si="37"/>
        <v>1.7390860814668925E-4</v>
      </c>
      <c r="X75" s="89"/>
      <c r="Y75" s="65">
        <f>VLOOKUP($E$1,[11]Resumen!$V$10:$AH$13,Y1,0)</f>
        <v>1035.0999999999999</v>
      </c>
      <c r="Z75" s="65">
        <f>VLOOKUP($E$1,[11]Resumen!$V$10:$AH$13,Z1,0)</f>
        <v>1035.0999999999999</v>
      </c>
      <c r="AA75" s="65">
        <f>VLOOKUP($E$1,[11]Resumen!$V$10:$AH$13,AA1,0)</f>
        <v>1035.0999999999999</v>
      </c>
      <c r="AB75" s="65">
        <f>VLOOKUP($E$1,[11]Resumen!$V$10:$AH$13,AB1,0)</f>
        <v>1035.0999999999999</v>
      </c>
      <c r="AC75" s="65">
        <f>VLOOKUP($E$1,[11]Resumen!$V$10:$AH$13,AC1,0)</f>
        <v>1035.0999999999999</v>
      </c>
      <c r="AD75" s="65">
        <f>VLOOKUP($E$1,[11]Resumen!$V$10:$AH$13,AD1,0)</f>
        <v>1035.0999999999999</v>
      </c>
      <c r="AE75" s="65">
        <f>VLOOKUP($E$1,[11]Resumen!$V$10:$AH$13,AE1,0)</f>
        <v>1035.0999999999999</v>
      </c>
      <c r="AF75" s="65">
        <f>VLOOKUP($E$1,[11]Resumen!$V$10:$AH$13,AF1,0)</f>
        <v>1035.0999999999999</v>
      </c>
      <c r="AG75" s="65">
        <f>VLOOKUP($E$1,[11]Resumen!$V$10:$AH$13,AG1,0)</f>
        <v>1035.0999999999999</v>
      </c>
      <c r="AH75" s="65">
        <f>VLOOKUP($E$1,[11]Resumen!$V$10:$AH$13,AH1,0)</f>
        <v>1035.0999999999999</v>
      </c>
      <c r="AI75" s="65">
        <f>VLOOKUP($E$1,[11]Resumen!$V$10:$AH$13,AI1,0)</f>
        <v>1035.0999999999999</v>
      </c>
      <c r="AJ75" s="65">
        <f>VLOOKUP($E$1,[11]Resumen!$V$10:$AH$13,AJ1,0)</f>
        <v>1035.0999999999999</v>
      </c>
      <c r="AK75" s="65">
        <f t="shared" si="44"/>
        <v>12421.200000000003</v>
      </c>
      <c r="AL75" s="73">
        <f t="shared" si="38"/>
        <v>2.0536037501757472E-4</v>
      </c>
      <c r="AM75" s="14">
        <f t="shared" si="39"/>
        <v>0.35912561396683396</v>
      </c>
      <c r="AN75" s="9"/>
    </row>
    <row r="76" spans="1:40" ht="14.45" customHeight="1" outlineLevel="1">
      <c r="A76" s="12"/>
      <c r="I76" s="228" t="s">
        <v>186</v>
      </c>
      <c r="J76" s="65">
        <v>0</v>
      </c>
      <c r="K76" s="65">
        <v>515</v>
      </c>
      <c r="L76" s="65">
        <v>472</v>
      </c>
      <c r="M76" s="65">
        <v>0</v>
      </c>
      <c r="N76" s="65">
        <v>0</v>
      </c>
      <c r="O76" s="65">
        <v>744</v>
      </c>
      <c r="P76" s="65">
        <v>7733</v>
      </c>
      <c r="Q76" s="65">
        <v>5180</v>
      </c>
      <c r="R76" s="65">
        <v>0</v>
      </c>
      <c r="S76" s="65">
        <v>0</v>
      </c>
      <c r="T76" s="65">
        <f t="shared" si="57"/>
        <v>1726.6666666666667</v>
      </c>
      <c r="U76" s="65">
        <f t="shared" si="58"/>
        <v>575.55555555555554</v>
      </c>
      <c r="V76" s="65">
        <f t="shared" si="43"/>
        <v>16946.222222222223</v>
      </c>
      <c r="W76" s="73">
        <f t="shared" si="37"/>
        <v>3.224705208396204E-4</v>
      </c>
      <c r="X76" s="89"/>
      <c r="Y76" s="65">
        <f>VLOOKUP($E$1,[21]Resumen!$V$8:$AH$11,Y1,0)</f>
        <v>1248</v>
      </c>
      <c r="Z76" s="65">
        <f>VLOOKUP($E$1,[21]Resumen!$V$8:$AH$11,Z1,0)</f>
        <v>1248</v>
      </c>
      <c r="AA76" s="65">
        <f>VLOOKUP($E$1,[21]Resumen!$V$8:$AH$11,AA1,0)</f>
        <v>1248</v>
      </c>
      <c r="AB76" s="65">
        <f>VLOOKUP($E$1,[21]Resumen!$V$8:$AH$11,AB1,0)</f>
        <v>1248</v>
      </c>
      <c r="AC76" s="65">
        <f>VLOOKUP($E$1,[21]Resumen!$V$8:$AH$11,AC1,0)</f>
        <v>1248</v>
      </c>
      <c r="AD76" s="65">
        <f>VLOOKUP($E$1,[21]Resumen!$V$8:$AH$11,AD1,0)</f>
        <v>1248</v>
      </c>
      <c r="AE76" s="65">
        <f>VLOOKUP($E$1,[21]Resumen!$V$8:$AH$11,AE1,0)</f>
        <v>1248</v>
      </c>
      <c r="AF76" s="65">
        <f>VLOOKUP($E$1,[21]Resumen!$V$8:$AH$11,AF1,0)</f>
        <v>1248</v>
      </c>
      <c r="AG76" s="65">
        <f>VLOOKUP($E$1,[21]Resumen!$V$8:$AH$11,AG1,0)</f>
        <v>1248</v>
      </c>
      <c r="AH76" s="65">
        <f>VLOOKUP($E$1,[21]Resumen!$V$8:$AH$11,AH1,0)</f>
        <v>1248</v>
      </c>
      <c r="AI76" s="65">
        <f>VLOOKUP($E$1,[21]Resumen!$V$8:$AH$11,AI1,0)</f>
        <v>1248</v>
      </c>
      <c r="AJ76" s="65">
        <f>VLOOKUP($E$1,[21]Resumen!$V$8:$AH$11,AJ1,0)</f>
        <v>1248</v>
      </c>
      <c r="AK76" s="65">
        <f t="shared" si="44"/>
        <v>14976</v>
      </c>
      <c r="AL76" s="73">
        <f t="shared" si="38"/>
        <v>2.4759902233787383E-4</v>
      </c>
      <c r="AM76" s="14">
        <f t="shared" si="39"/>
        <v>-0.11626321172860554</v>
      </c>
      <c r="AN76" s="9"/>
    </row>
    <row r="77" spans="1:40" ht="14.45" customHeight="1" outlineLevel="1">
      <c r="A77" s="12"/>
      <c r="I77" s="228" t="s">
        <v>187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/>
      <c r="U77" s="65"/>
      <c r="V77" s="65">
        <f t="shared" si="43"/>
        <v>0</v>
      </c>
      <c r="W77" s="73">
        <f t="shared" si="37"/>
        <v>0</v>
      </c>
      <c r="X77" s="89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>
        <f t="shared" si="44"/>
        <v>0</v>
      </c>
      <c r="AL77" s="73">
        <f t="shared" si="38"/>
        <v>0</v>
      </c>
      <c r="AM77" s="14">
        <f t="shared" si="39"/>
        <v>0</v>
      </c>
      <c r="AN77" s="9"/>
    </row>
    <row r="78" spans="1:40" ht="14.45" customHeight="1" outlineLevel="1">
      <c r="A78" s="12"/>
      <c r="I78" s="228" t="s">
        <v>188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1822</v>
      </c>
      <c r="R78" s="65">
        <v>16184</v>
      </c>
      <c r="S78" s="65">
        <v>1316</v>
      </c>
      <c r="T78" s="65">
        <v>0</v>
      </c>
      <c r="U78" s="65">
        <v>4308.0336000000007</v>
      </c>
      <c r="V78" s="65">
        <f t="shared" si="43"/>
        <v>23630.033600000002</v>
      </c>
      <c r="W78" s="73">
        <f t="shared" si="37"/>
        <v>4.4965710602197528E-4</v>
      </c>
      <c r="X78" s="89"/>
      <c r="Y78" s="65">
        <f>VLOOKUP($E$1,[12]Resumen!$V$8:$AH$11,Y1,0)</f>
        <v>11147.902787999999</v>
      </c>
      <c r="Z78" s="65">
        <f>VLOOKUP($E$1,[12]Resumen!$V$8:$AH$11,Z1,0)</f>
        <v>11147.902787999999</v>
      </c>
      <c r="AA78" s="65">
        <f>VLOOKUP($E$1,[12]Resumen!$V$8:$AH$11,AA1,0)</f>
        <v>3715.9675959999995</v>
      </c>
      <c r="AB78" s="65">
        <f>VLOOKUP($E$1,[12]Resumen!$V$8:$AH$11,AB1,0)</f>
        <v>7431.935191999999</v>
      </c>
      <c r="AC78" s="65">
        <f>VLOOKUP($E$1,[12]Resumen!$V$8:$AH$11,AC1,0)</f>
        <v>6759.1201919999994</v>
      </c>
      <c r="AD78" s="65">
        <f>VLOOKUP($E$1,[12]Resumen!$V$8:$AH$11,AD1,0)</f>
        <v>3715.9675959999995</v>
      </c>
      <c r="AE78" s="65">
        <f>VLOOKUP($E$1,[12]Resumen!$V$8:$AH$11,AE1,0)</f>
        <v>10475.087788000001</v>
      </c>
      <c r="AF78" s="65">
        <f>VLOOKUP($E$1,[12]Resumen!$V$8:$AH$11,AF1,0)</f>
        <v>10475.087788000001</v>
      </c>
      <c r="AG78" s="65">
        <f>VLOOKUP($E$1,[12]Resumen!$V$8:$AH$11,AG1,0)</f>
        <v>14191.055383999999</v>
      </c>
      <c r="AH78" s="65">
        <f>VLOOKUP($E$1,[12]Resumen!$V$8:$AH$11,AH1,0)</f>
        <v>3043.1525959999999</v>
      </c>
      <c r="AI78" s="65">
        <f>VLOOKUP($E$1,[12]Resumen!$V$8:$AH$11,AI1,0)</f>
        <v>0</v>
      </c>
      <c r="AJ78" s="65">
        <f>VLOOKUP($E$1,[12]Resumen!$V$8:$AH$11,AJ1,0)</f>
        <v>3715.9675959999995</v>
      </c>
      <c r="AK78" s="65">
        <f t="shared" si="44"/>
        <v>85819.147304000013</v>
      </c>
      <c r="AL78" s="73">
        <f t="shared" si="38"/>
        <v>1.4188526288955918E-3</v>
      </c>
      <c r="AM78" s="14">
        <f t="shared" si="39"/>
        <v>2.6317827031782133</v>
      </c>
      <c r="AN78" s="9"/>
    </row>
    <row r="79" spans="1:40" ht="14.45" customHeight="1" outlineLevel="1">
      <c r="A79" s="12"/>
      <c r="I79" s="228" t="s">
        <v>189</v>
      </c>
      <c r="J79" s="65">
        <v>0</v>
      </c>
      <c r="K79" s="65">
        <v>0</v>
      </c>
      <c r="L79" s="65">
        <v>0</v>
      </c>
      <c r="M79" s="65">
        <v>0</v>
      </c>
      <c r="N79" s="65">
        <v>183</v>
      </c>
      <c r="O79" s="65">
        <v>365</v>
      </c>
      <c r="P79" s="65">
        <v>183</v>
      </c>
      <c r="Q79" s="65">
        <v>0</v>
      </c>
      <c r="R79" s="65">
        <v>0</v>
      </c>
      <c r="S79" s="65">
        <v>0</v>
      </c>
      <c r="T79" s="65">
        <v>0</v>
      </c>
      <c r="U79" s="65">
        <v>260</v>
      </c>
      <c r="V79" s="65">
        <f t="shared" si="43"/>
        <v>991</v>
      </c>
      <c r="W79" s="73">
        <f t="shared" si="37"/>
        <v>1.8857789185190893E-5</v>
      </c>
      <c r="X79" s="89"/>
      <c r="Y79" s="65">
        <f>VLOOKUP($E$1,[13]Resumen!$V$8:$AH$11,Y1,0)</f>
        <v>0</v>
      </c>
      <c r="Z79" s="65">
        <f>VLOOKUP($E$1,[13]Resumen!$V$8:$AH$11,Z1,0)</f>
        <v>0</v>
      </c>
      <c r="AA79" s="65">
        <f>VLOOKUP($E$1,[13]Resumen!$V$8:$AH$11,AA1,0)</f>
        <v>0</v>
      </c>
      <c r="AB79" s="65">
        <f>VLOOKUP($E$1,[13]Resumen!$V$8:$AH$11,AB1,0)</f>
        <v>0</v>
      </c>
      <c r="AC79" s="65">
        <f>VLOOKUP($E$1,[13]Resumen!$V$8:$AH$11,AC1,0)</f>
        <v>0</v>
      </c>
      <c r="AD79" s="65">
        <f>VLOOKUP($E$1,[13]Resumen!$V$8:$AH$11,AD1,0)</f>
        <v>2111.6039999999998</v>
      </c>
      <c r="AE79" s="65">
        <f>VLOOKUP($E$1,[13]Resumen!$V$8:$AH$11,AE1,0)</f>
        <v>1055.8019999999999</v>
      </c>
      <c r="AF79" s="65">
        <f>VLOOKUP($E$1,[13]Resumen!$V$8:$AH$11,AF1,0)</f>
        <v>2111.6039999999998</v>
      </c>
      <c r="AG79" s="65">
        <f>VLOOKUP($E$1,[13]Resumen!$V$8:$AH$11,AG1,0)</f>
        <v>1055.8019999999999</v>
      </c>
      <c r="AH79" s="65">
        <f>VLOOKUP($E$1,[13]Resumen!$V$8:$AH$11,AH1,0)</f>
        <v>0</v>
      </c>
      <c r="AI79" s="65">
        <f>VLOOKUP($E$1,[13]Resumen!$V$8:$AH$11,AI1,0)</f>
        <v>1055.8019999999999</v>
      </c>
      <c r="AJ79" s="65">
        <f>VLOOKUP($E$1,[13]Resumen!$V$8:$AH$11,AJ1,0)</f>
        <v>1055.8019999999999</v>
      </c>
      <c r="AK79" s="65">
        <f t="shared" si="44"/>
        <v>8446.4159999999993</v>
      </c>
      <c r="AL79" s="73">
        <f t="shared" si="38"/>
        <v>1.3964505501195076E-4</v>
      </c>
      <c r="AM79" s="14">
        <f t="shared" si="39"/>
        <v>7.5231241170534808</v>
      </c>
      <c r="AN79" s="9"/>
    </row>
    <row r="80" spans="1:40" ht="14.45" customHeight="1" outlineLevel="1">
      <c r="A80" s="12"/>
      <c r="I80" s="228" t="s">
        <v>190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/>
      <c r="U80" s="65"/>
      <c r="V80" s="65">
        <f t="shared" si="43"/>
        <v>0</v>
      </c>
      <c r="W80" s="73">
        <f t="shared" si="37"/>
        <v>0</v>
      </c>
      <c r="X80" s="89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>
        <f t="shared" si="44"/>
        <v>0</v>
      </c>
      <c r="AL80" s="73">
        <f t="shared" si="38"/>
        <v>0</v>
      </c>
      <c r="AM80" s="14">
        <f t="shared" si="39"/>
        <v>0</v>
      </c>
      <c r="AN80" s="9"/>
    </row>
    <row r="81" spans="1:40" ht="14.45" customHeight="1" outlineLevel="1">
      <c r="A81" s="12"/>
      <c r="I81" s="228" t="s">
        <v>192</v>
      </c>
      <c r="J81" s="65">
        <v>895</v>
      </c>
      <c r="K81" s="65">
        <v>895</v>
      </c>
      <c r="L81" s="65">
        <v>895</v>
      </c>
      <c r="M81" s="65">
        <v>895</v>
      </c>
      <c r="N81" s="65">
        <v>895</v>
      </c>
      <c r="O81" s="65">
        <v>895</v>
      </c>
      <c r="P81" s="65">
        <v>895</v>
      </c>
      <c r="Q81" s="65">
        <v>3437</v>
      </c>
      <c r="R81" s="65">
        <v>3437</v>
      </c>
      <c r="S81" s="65">
        <v>3437</v>
      </c>
      <c r="T81" s="65">
        <v>4526.4399999999996</v>
      </c>
      <c r="U81" s="65">
        <v>4526.4399999999996</v>
      </c>
      <c r="V81" s="65">
        <f t="shared" si="43"/>
        <v>25628.879999999997</v>
      </c>
      <c r="W81" s="73">
        <f t="shared" si="37"/>
        <v>4.8769325539107481E-4</v>
      </c>
      <c r="X81" s="89"/>
      <c r="Y81" s="65">
        <v>4526.4399999999996</v>
      </c>
      <c r="Z81" s="65">
        <v>4526.4399999999996</v>
      </c>
      <c r="AA81" s="65">
        <v>4526.4399999999996</v>
      </c>
      <c r="AB81" s="65">
        <v>4526.4399999999996</v>
      </c>
      <c r="AC81" s="65">
        <v>4526.4399999999996</v>
      </c>
      <c r="AD81" s="65">
        <v>4526.4399999999996</v>
      </c>
      <c r="AE81" s="65">
        <v>4526.4399999999996</v>
      </c>
      <c r="AF81" s="65">
        <v>4526.4399999999996</v>
      </c>
      <c r="AG81" s="65">
        <v>4526.4399999999996</v>
      </c>
      <c r="AH81" s="65">
        <v>4526.4399999999996</v>
      </c>
      <c r="AI81" s="65">
        <v>4526.4399999999996</v>
      </c>
      <c r="AJ81" s="65">
        <v>4526.4399999999996</v>
      </c>
      <c r="AK81" s="65">
        <f t="shared" si="44"/>
        <v>54317.280000000006</v>
      </c>
      <c r="AL81" s="73">
        <f t="shared" si="38"/>
        <v>8.9803054380692762E-4</v>
      </c>
      <c r="AM81" s="14">
        <f t="shared" si="39"/>
        <v>1.1193778268890413</v>
      </c>
      <c r="AN81" s="9"/>
    </row>
    <row r="82" spans="1:40" ht="14.45" customHeight="1">
      <c r="A82" s="12" t="s">
        <v>191</v>
      </c>
      <c r="B82" s="8" t="s">
        <v>101</v>
      </c>
      <c r="I82" s="228" t="s">
        <v>193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/>
      <c r="U82" s="65"/>
      <c r="V82" s="65">
        <f t="shared" si="43"/>
        <v>0</v>
      </c>
      <c r="W82" s="73">
        <f t="shared" si="37"/>
        <v>0</v>
      </c>
      <c r="X82" s="89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>
        <f t="shared" si="44"/>
        <v>0</v>
      </c>
      <c r="AL82" s="73">
        <f t="shared" si="38"/>
        <v>0</v>
      </c>
      <c r="AM82" s="14">
        <f t="shared" si="39"/>
        <v>0</v>
      </c>
      <c r="AN82" s="9"/>
    </row>
    <row r="83" spans="1:40" ht="14.45" customHeight="1" outlineLevel="1">
      <c r="A83" s="12" t="s">
        <v>191</v>
      </c>
      <c r="B83" s="8" t="s">
        <v>101</v>
      </c>
      <c r="I83" s="228" t="s">
        <v>194</v>
      </c>
      <c r="J83" s="65">
        <v>1049</v>
      </c>
      <c r="K83" s="65">
        <v>1049</v>
      </c>
      <c r="L83" s="65">
        <v>1049</v>
      </c>
      <c r="M83" s="65">
        <v>1049</v>
      </c>
      <c r="N83" s="65">
        <v>1049</v>
      </c>
      <c r="O83" s="65">
        <v>1049</v>
      </c>
      <c r="P83" s="65">
        <v>1049</v>
      </c>
      <c r="Q83" s="65">
        <v>1311</v>
      </c>
      <c r="R83" s="65">
        <v>1049</v>
      </c>
      <c r="S83" s="65">
        <v>1049</v>
      </c>
      <c r="T83" s="65"/>
      <c r="U83" s="65"/>
      <c r="V83" s="65">
        <f t="shared" si="43"/>
        <v>10752</v>
      </c>
      <c r="W83" s="73">
        <f t="shared" si="37"/>
        <v>2.0460035249159685E-4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44"/>
        <v>0</v>
      </c>
      <c r="AL83" s="73">
        <f t="shared" si="38"/>
        <v>0</v>
      </c>
      <c r="AM83" s="14">
        <f t="shared" si="39"/>
        <v>-1</v>
      </c>
      <c r="AN83" s="9"/>
    </row>
    <row r="84" spans="1:40" ht="14.45" customHeight="1" outlineLevel="1">
      <c r="A84" s="12" t="s">
        <v>191</v>
      </c>
      <c r="B84" s="8" t="s">
        <v>101</v>
      </c>
      <c r="I84" s="228" t="s">
        <v>195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43"/>
        <v>0</v>
      </c>
      <c r="W84" s="73">
        <f t="shared" si="37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44"/>
        <v>0</v>
      </c>
      <c r="AL84" s="73">
        <f t="shared" si="38"/>
        <v>0</v>
      </c>
      <c r="AM84" s="14">
        <f t="shared" si="39"/>
        <v>0</v>
      </c>
      <c r="AN84" s="9"/>
    </row>
    <row r="85" spans="1:40" ht="14.45" customHeight="1" outlineLevel="1">
      <c r="A85" s="12" t="s">
        <v>191</v>
      </c>
      <c r="B85" s="8" t="s">
        <v>101</v>
      </c>
      <c r="I85" s="228" t="s">
        <v>196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f t="shared" si="43"/>
        <v>0</v>
      </c>
      <c r="W85" s="73">
        <f t="shared" si="37"/>
        <v>0</v>
      </c>
      <c r="X85" s="89"/>
      <c r="Y85" s="65">
        <f>VLOOKUP($E$1,[7]Resumen!$V$154:$AH$157,Y1,0)</f>
        <v>0</v>
      </c>
      <c r="Z85" s="65">
        <f>VLOOKUP($E$1,[7]Resumen!$V$154:$AH$157,Z1,0)</f>
        <v>0</v>
      </c>
      <c r="AA85" s="65">
        <f>VLOOKUP($E$1,[7]Resumen!$V$154:$AH$157,AA1,0)</f>
        <v>0</v>
      </c>
      <c r="AB85" s="65">
        <f>VLOOKUP($E$1,[7]Resumen!$V$154:$AH$157,AB1,0)</f>
        <v>0</v>
      </c>
      <c r="AC85" s="65">
        <f>VLOOKUP($E$1,[7]Resumen!$V$154:$AH$157,AC1,0)</f>
        <v>0</v>
      </c>
      <c r="AD85" s="65">
        <f>VLOOKUP($E$1,[7]Resumen!$V$154:$AH$157,AD1,0)</f>
        <v>0</v>
      </c>
      <c r="AE85" s="65">
        <f>VLOOKUP($E$1,[7]Resumen!$V$154:$AH$157,AE1,0)</f>
        <v>0</v>
      </c>
      <c r="AF85" s="65">
        <f>VLOOKUP($E$1,[7]Resumen!$V$154:$AH$157,AF1,0)</f>
        <v>0</v>
      </c>
      <c r="AG85" s="65">
        <f>VLOOKUP($E$1,[7]Resumen!$V$154:$AH$157,AG1,0)</f>
        <v>0</v>
      </c>
      <c r="AH85" s="65">
        <f>VLOOKUP($E$1,[7]Resumen!$V$154:$AH$157,AH1,0)</f>
        <v>0</v>
      </c>
      <c r="AI85" s="65">
        <f>VLOOKUP($E$1,[7]Resumen!$V$154:$AH$157,AI1,0)</f>
        <v>0</v>
      </c>
      <c r="AJ85" s="65">
        <f>VLOOKUP($E$1,[7]Resumen!$V$154:$AH$157,AJ1,0)</f>
        <v>0</v>
      </c>
      <c r="AK85" s="65">
        <f t="shared" si="44"/>
        <v>0</v>
      </c>
      <c r="AL85" s="73">
        <f t="shared" si="38"/>
        <v>0</v>
      </c>
      <c r="AM85" s="14">
        <f t="shared" si="39"/>
        <v>0</v>
      </c>
      <c r="AN85" s="9"/>
    </row>
    <row r="86" spans="1:40" ht="14.45" customHeight="1" outlineLevel="1">
      <c r="A86" s="12" t="s">
        <v>191</v>
      </c>
      <c r="B86" s="8" t="s">
        <v>101</v>
      </c>
      <c r="I86" s="228" t="s">
        <v>197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/>
      <c r="U86" s="65"/>
      <c r="V86" s="65">
        <f t="shared" si="43"/>
        <v>0</v>
      </c>
      <c r="W86" s="73">
        <f t="shared" si="37"/>
        <v>0</v>
      </c>
      <c r="X86" s="89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>
        <f t="shared" si="44"/>
        <v>0</v>
      </c>
      <c r="AL86" s="73">
        <f t="shared" si="38"/>
        <v>0</v>
      </c>
      <c r="AM86" s="14">
        <f t="shared" si="39"/>
        <v>0</v>
      </c>
      <c r="AN86" s="9"/>
    </row>
    <row r="87" spans="1:40" ht="14.45" customHeight="1" outlineLevel="1">
      <c r="A87" s="12" t="s">
        <v>191</v>
      </c>
      <c r="B87" s="8" t="s">
        <v>101</v>
      </c>
      <c r="I87" s="228" t="s">
        <v>198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19240</v>
      </c>
      <c r="T87" s="65">
        <v>0</v>
      </c>
      <c r="U87" s="65">
        <v>0</v>
      </c>
      <c r="V87" s="65">
        <f t="shared" ref="V87:V90" si="59">SUM(J87:U87)</f>
        <v>19240</v>
      </c>
      <c r="W87" s="73">
        <f t="shared" ref="W87:W90" si="60">V87/V$6</f>
        <v>3.6611893433206134E-4</v>
      </c>
      <c r="X87" s="89"/>
      <c r="Y87" s="65">
        <f>VLOOKUP($E$1,[7]Resumen!$V$10:$AH$13,Y1,0)</f>
        <v>0</v>
      </c>
      <c r="Z87" s="65">
        <f>VLOOKUP($E$1,[7]Resumen!$V$10:$AH$13,Z1,0)</f>
        <v>0</v>
      </c>
      <c r="AA87" s="65">
        <f>VLOOKUP($E$1,[7]Resumen!$V$10:$AH$13,AA1,0)</f>
        <v>0</v>
      </c>
      <c r="AB87" s="65">
        <f>VLOOKUP($E$1,[7]Resumen!$V$10:$AH$13,AB1,0)</f>
        <v>0</v>
      </c>
      <c r="AC87" s="65">
        <f>VLOOKUP($E$1,[7]Resumen!$V$10:$AH$13,AC1,0)</f>
        <v>0</v>
      </c>
      <c r="AD87" s="65">
        <f>VLOOKUP($E$1,[7]Resumen!$V$10:$AH$13,AD1,0)</f>
        <v>0</v>
      </c>
      <c r="AE87" s="65">
        <f>VLOOKUP($E$1,[7]Resumen!$V$10:$AH$13,AE1,0)</f>
        <v>0</v>
      </c>
      <c r="AF87" s="65">
        <f>VLOOKUP($E$1,[7]Resumen!$V$10:$AH$13,AF1,0)</f>
        <v>0</v>
      </c>
      <c r="AG87" s="65">
        <f>VLOOKUP($E$1,[7]Resumen!$V$10:$AH$13,AG1,0)</f>
        <v>18528.289999999997</v>
      </c>
      <c r="AH87" s="65">
        <f>VLOOKUP($E$1,[7]Resumen!$V$10:$AH$13,AH1,0)</f>
        <v>0</v>
      </c>
      <c r="AI87" s="65">
        <f>VLOOKUP($E$1,[7]Resumen!$V$10:$AH$13,AI1,0)</f>
        <v>0</v>
      </c>
      <c r="AJ87" s="65">
        <f>VLOOKUP($E$1,[7]Resumen!$V$10:$AH$13,AJ1,0)</f>
        <v>0</v>
      </c>
      <c r="AK87" s="65">
        <f t="shared" si="44"/>
        <v>18528.289999999997</v>
      </c>
      <c r="AL87" s="73">
        <f t="shared" si="38"/>
        <v>3.0632922606788217E-4</v>
      </c>
      <c r="AM87" s="14">
        <f t="shared" si="39"/>
        <v>-3.6991164241164332E-2</v>
      </c>
      <c r="AN87" s="9"/>
    </row>
    <row r="88" spans="1:40" ht="14.45" customHeight="1" outlineLevel="1">
      <c r="A88" s="12" t="s">
        <v>191</v>
      </c>
      <c r="B88" s="8" t="s">
        <v>101</v>
      </c>
      <c r="I88" s="228" t="s">
        <v>199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1443</v>
      </c>
      <c r="R88" s="65">
        <v>0</v>
      </c>
      <c r="S88" s="65">
        <v>0</v>
      </c>
      <c r="T88" s="65">
        <v>322.40000000000003</v>
      </c>
      <c r="U88" s="65">
        <v>21112</v>
      </c>
      <c r="V88" s="65">
        <f t="shared" si="59"/>
        <v>22877.4</v>
      </c>
      <c r="W88" s="73">
        <f t="shared" si="60"/>
        <v>4.3533520313348759E-4</v>
      </c>
      <c r="X88" s="89"/>
      <c r="Y88" s="65">
        <f>VLOOKUP($E$1,[14]Resumen!$V$8:$AH$11,Y1,0)</f>
        <v>0</v>
      </c>
      <c r="Z88" s="65">
        <f>VLOOKUP($E$1,[14]Resumen!$V$8:$AH$11,Z1,0)</f>
        <v>0</v>
      </c>
      <c r="AA88" s="65">
        <f>VLOOKUP($E$1,[14]Resumen!$V$8:$AH$11,AA1,0)</f>
        <v>0</v>
      </c>
      <c r="AB88" s="65">
        <f>VLOOKUP($E$1,[14]Resumen!$V$8:$AH$11,AB1,0)</f>
        <v>0</v>
      </c>
      <c r="AC88" s="65">
        <f>VLOOKUP($E$1,[14]Resumen!$V$8:$AH$11,AC1,0)</f>
        <v>2328.9749999999999</v>
      </c>
      <c r="AD88" s="65">
        <f>VLOOKUP($E$1,[14]Resumen!$V$8:$AH$11,AD1,0)</f>
        <v>2328.9749999999999</v>
      </c>
      <c r="AE88" s="65">
        <f>VLOOKUP($E$1,[14]Resumen!$V$8:$AH$11,AE1,0)</f>
        <v>0</v>
      </c>
      <c r="AF88" s="65">
        <f>VLOOKUP($E$1,[14]Resumen!$V$8:$AH$11,AF1,0)</f>
        <v>2328.9749999999999</v>
      </c>
      <c r="AG88" s="65">
        <f>VLOOKUP($E$1,[14]Resumen!$V$8:$AH$11,AG1,0)</f>
        <v>0</v>
      </c>
      <c r="AH88" s="65">
        <f>VLOOKUP($E$1,[14]Resumen!$V$8:$AH$11,AH1,0)</f>
        <v>745.27199999999993</v>
      </c>
      <c r="AI88" s="65">
        <f>VLOOKUP($E$1,[14]Resumen!$V$8:$AH$11,AI1,0)</f>
        <v>465.79499999999996</v>
      </c>
      <c r="AJ88" s="65">
        <f>VLOOKUP($E$1,[14]Resumen!$V$8:$AH$11,AJ1,0)</f>
        <v>15837.029999999999</v>
      </c>
      <c r="AK88" s="65">
        <f t="shared" si="44"/>
        <v>24035.021999999997</v>
      </c>
      <c r="AL88" s="73">
        <f t="shared" si="38"/>
        <v>3.9737232565900693E-4</v>
      </c>
      <c r="AM88" s="14">
        <f t="shared" si="39"/>
        <v>5.0601117259828188E-2</v>
      </c>
      <c r="AN88" s="9"/>
    </row>
    <row r="89" spans="1:40" ht="14.45" customHeight="1" outlineLevel="1">
      <c r="A89" s="12" t="s">
        <v>191</v>
      </c>
      <c r="B89" s="8" t="s">
        <v>101</v>
      </c>
      <c r="I89" s="228" t="s">
        <v>200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/>
      <c r="U89" s="65"/>
      <c r="V89" s="65">
        <f t="shared" si="59"/>
        <v>0</v>
      </c>
      <c r="W89" s="73">
        <f t="shared" si="60"/>
        <v>0</v>
      </c>
      <c r="X89" s="89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>
        <f t="shared" si="44"/>
        <v>0</v>
      </c>
      <c r="AL89" s="73">
        <f t="shared" si="38"/>
        <v>0</v>
      </c>
      <c r="AM89" s="14">
        <f t="shared" si="39"/>
        <v>0</v>
      </c>
      <c r="AN89" s="9"/>
    </row>
    <row r="90" spans="1:40" ht="14.45" customHeight="1" outlineLevel="1">
      <c r="A90" s="12" t="s">
        <v>191</v>
      </c>
      <c r="B90" s="8" t="s">
        <v>101</v>
      </c>
      <c r="I90" s="228" t="s">
        <v>201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f t="shared" si="59"/>
        <v>0</v>
      </c>
      <c r="W90" s="73">
        <f t="shared" si="60"/>
        <v>0</v>
      </c>
      <c r="X90" s="89"/>
      <c r="Y90" s="65">
        <f>VLOOKUP($E$1,[6]Resumen!$V$44:$AH$47,Y1,0)</f>
        <v>0</v>
      </c>
      <c r="Z90" s="65">
        <f>VLOOKUP($E$1,[6]Resumen!$V$44:$AH$47,Z1,0)</f>
        <v>0</v>
      </c>
      <c r="AA90" s="65">
        <f>VLOOKUP($E$1,[6]Resumen!$V$44:$AH$47,AA1,0)</f>
        <v>0</v>
      </c>
      <c r="AB90" s="65">
        <f>VLOOKUP($E$1,[6]Resumen!$V$44:$AH$47,AB1,0)</f>
        <v>0</v>
      </c>
      <c r="AC90" s="65">
        <f>VLOOKUP($E$1,[6]Resumen!$V$44:$AH$47,AC1,0)</f>
        <v>0</v>
      </c>
      <c r="AD90" s="65">
        <f>VLOOKUP($E$1,[6]Resumen!$V$44:$AH$47,AD1,0)</f>
        <v>0</v>
      </c>
      <c r="AE90" s="65">
        <f>VLOOKUP($E$1,[6]Resumen!$V$44:$AH$47,AE1,0)</f>
        <v>0</v>
      </c>
      <c r="AF90" s="65">
        <f>VLOOKUP($E$1,[6]Resumen!$V$44:$AH$47,AF1,0)</f>
        <v>0</v>
      </c>
      <c r="AG90" s="65">
        <f>VLOOKUP($E$1,[6]Resumen!$V$44:$AH$47,AG1,0)</f>
        <v>0</v>
      </c>
      <c r="AH90" s="65">
        <f>VLOOKUP($E$1,[6]Resumen!$V$44:$AH$47,AH1,0)</f>
        <v>0</v>
      </c>
      <c r="AI90" s="65">
        <f>VLOOKUP($E$1,[6]Resumen!$V$44:$AH$47,AI1,0)</f>
        <v>0</v>
      </c>
      <c r="AJ90" s="65">
        <f>VLOOKUP($E$1,[6]Resumen!$V$44:$AH$47,AJ1,0)</f>
        <v>0</v>
      </c>
      <c r="AK90" s="65">
        <f t="shared" si="44"/>
        <v>0</v>
      </c>
      <c r="AL90" s="73">
        <f t="shared" si="38"/>
        <v>0</v>
      </c>
      <c r="AM90" s="14">
        <f t="shared" si="39"/>
        <v>0</v>
      </c>
      <c r="AN90" s="9"/>
    </row>
    <row r="91" spans="1:40" ht="14.45" customHeight="1" outlineLevel="1">
      <c r="A91" s="12" t="s">
        <v>191</v>
      </c>
      <c r="B91" s="8" t="s">
        <v>101</v>
      </c>
      <c r="I91" s="170" t="s">
        <v>202</v>
      </c>
      <c r="J91" s="15">
        <v>150478</v>
      </c>
      <c r="K91" s="15">
        <v>149513</v>
      </c>
      <c r="L91" s="15">
        <v>170395</v>
      </c>
      <c r="M91" s="15">
        <v>129553</v>
      </c>
      <c r="N91" s="15">
        <v>140248</v>
      </c>
      <c r="O91" s="15">
        <v>115060</v>
      </c>
      <c r="P91" s="15">
        <v>123457</v>
      </c>
      <c r="Q91" s="15">
        <v>110390</v>
      </c>
      <c r="R91" s="15">
        <v>141853</v>
      </c>
      <c r="S91" s="15">
        <v>126285</v>
      </c>
      <c r="T91" s="15">
        <f t="shared" ref="J91:V91" si="61">SUM(T92:T106)</f>
        <v>126176.33333333333</v>
      </c>
      <c r="U91" s="15">
        <f t="shared" si="61"/>
        <v>131438.11111111109</v>
      </c>
      <c r="V91" s="15">
        <f t="shared" si="61"/>
        <v>1614847.4444444445</v>
      </c>
      <c r="W91" s="72">
        <f t="shared" si="37"/>
        <v>3.0729013797757415E-2</v>
      </c>
      <c r="X91" s="89"/>
      <c r="Y91" s="15">
        <f t="shared" ref="Y91:AK91" si="62">SUM(Y92:Y106)</f>
        <v>144590.09686184512</v>
      </c>
      <c r="Z91" s="15">
        <f t="shared" si="62"/>
        <v>127380.98281210451</v>
      </c>
      <c r="AA91" s="15">
        <f t="shared" si="62"/>
        <v>139354.33482235039</v>
      </c>
      <c r="AB91" s="15">
        <f t="shared" si="62"/>
        <v>131664.43695960176</v>
      </c>
      <c r="AC91" s="15">
        <f t="shared" si="62"/>
        <v>139354.33482235039</v>
      </c>
      <c r="AD91" s="15">
        <f t="shared" si="62"/>
        <v>131664.43695960176</v>
      </c>
      <c r="AE91" s="15">
        <f t="shared" si="62"/>
        <v>135655.5542963504</v>
      </c>
      <c r="AF91" s="15">
        <f t="shared" si="62"/>
        <v>135655.5542963504</v>
      </c>
      <c r="AG91" s="15">
        <f t="shared" si="62"/>
        <v>135363.21748560178</v>
      </c>
      <c r="AH91" s="15">
        <f t="shared" si="62"/>
        <v>135655.5542963504</v>
      </c>
      <c r="AI91" s="15">
        <f t="shared" si="62"/>
        <v>135363.21748560178</v>
      </c>
      <c r="AJ91" s="15">
        <f t="shared" si="62"/>
        <v>139354.33482235039</v>
      </c>
      <c r="AK91" s="15">
        <f t="shared" si="62"/>
        <v>1631056.0559204593</v>
      </c>
      <c r="AL91" s="72">
        <f t="shared" si="38"/>
        <v>2.6966338463152655E-2</v>
      </c>
      <c r="AM91" s="10">
        <f t="shared" si="39"/>
        <v>1.0037240069814102E-2</v>
      </c>
      <c r="AN91" s="9"/>
    </row>
    <row r="92" spans="1:40" ht="14.45" customHeight="1" outlineLevel="1">
      <c r="A92" s="12" t="s">
        <v>191</v>
      </c>
      <c r="B92" s="8" t="s">
        <v>101</v>
      </c>
      <c r="I92" s="228" t="s">
        <v>203</v>
      </c>
      <c r="J92" s="65">
        <v>5322</v>
      </c>
      <c r="K92" s="65">
        <v>4097</v>
      </c>
      <c r="L92" s="65">
        <v>4848</v>
      </c>
      <c r="M92" s="65">
        <v>2995</v>
      </c>
      <c r="N92" s="65">
        <v>4051</v>
      </c>
      <c r="O92" s="65">
        <v>3927</v>
      </c>
      <c r="P92" s="65">
        <v>2976</v>
      </c>
      <c r="Q92" s="65">
        <v>3954</v>
      </c>
      <c r="R92" s="65">
        <v>4127</v>
      </c>
      <c r="S92" s="65">
        <v>3406</v>
      </c>
      <c r="T92" s="65">
        <f t="shared" ref="T92:T106" si="63">+AVERAGE(Q92:S92)</f>
        <v>3829</v>
      </c>
      <c r="U92" s="65">
        <f t="shared" ref="U92:U106" si="64">+AVERAGE(R92:T92)</f>
        <v>3787.3333333333335</v>
      </c>
      <c r="V92" s="65">
        <f t="shared" ref="V92:V155" si="65">SUM(J92:U92)</f>
        <v>47319.333333333336</v>
      </c>
      <c r="W92" s="73">
        <f t="shared" si="37"/>
        <v>9.0044199029644433E-4</v>
      </c>
      <c r="X92" s="89"/>
      <c r="Y92" s="65">
        <f>VLOOKUP($I92,'[15]Gasto Real Vs Presupuesto 2026'!$A$88:$N$110,Y$1,0)</f>
        <v>4126.7541980958895</v>
      </c>
      <c r="Z92" s="65">
        <f>VLOOKUP($I92,'[15]Gasto Real Vs Presupuesto 2026'!$A$88:$N$110,Z$1,0)</f>
        <v>3546.7758468493153</v>
      </c>
      <c r="AA92" s="65">
        <f>VLOOKUP($I92,'[15]Gasto Real Vs Presupuesto 2026'!$A$88:$N$110,AA$1,0)</f>
        <v>3926.7875447260271</v>
      </c>
      <c r="AB92" s="65">
        <f>VLOOKUP($I92,'[15]Gasto Real Vs Presupuesto 2026'!$A$88:$N$110,AB$1,0)</f>
        <v>3800.1169787671233</v>
      </c>
      <c r="AC92" s="65">
        <f>VLOOKUP($I92,'[15]Gasto Real Vs Presupuesto 2026'!$A$88:$N$110,AC$1,0)</f>
        <v>3926.7875447260271</v>
      </c>
      <c r="AD92" s="65">
        <f>VLOOKUP($I92,'[15]Gasto Real Vs Presupuesto 2026'!$A$88:$N$110,AD$1,0)</f>
        <v>3800.1169787671233</v>
      </c>
      <c r="AE92" s="65">
        <f>VLOOKUP($I92,'[15]Gasto Real Vs Presupuesto 2026'!$A$88:$N$110,AE$1,0)</f>
        <v>3926.7875447260271</v>
      </c>
      <c r="AF92" s="65">
        <f>VLOOKUP($I92,'[15]Gasto Real Vs Presupuesto 2026'!$A$88:$N$110,AF$1,0)</f>
        <v>3926.7875447260271</v>
      </c>
      <c r="AG92" s="65">
        <f>VLOOKUP($I92,'[15]Gasto Real Vs Presupuesto 2026'!$A$88:$N$110,AG$1,0)</f>
        <v>3800.1169787671233</v>
      </c>
      <c r="AH92" s="65">
        <f>VLOOKUP($I92,'[15]Gasto Real Vs Presupuesto 2026'!$A$88:$N$110,AH$1,0)</f>
        <v>3926.7875447260271</v>
      </c>
      <c r="AI92" s="65">
        <f>VLOOKUP($I92,'[15]Gasto Real Vs Presupuesto 2026'!$A$88:$N$110,AI$1,0)</f>
        <v>3800.1169787671233</v>
      </c>
      <c r="AJ92" s="65">
        <f>VLOOKUP($I92,'[15]Gasto Real Vs Presupuesto 2026'!$A$88:$N$110,AJ$1,0)</f>
        <v>3926.7875447260271</v>
      </c>
      <c r="AK92" s="65">
        <f t="shared" ref="AK92:AK155" si="66">SUM(Y92:AJ92)</f>
        <v>46434.723228369869</v>
      </c>
      <c r="AL92" s="73">
        <f t="shared" si="38"/>
        <v>7.6770780407813433E-4</v>
      </c>
      <c r="AM92" s="14">
        <f t="shared" si="39"/>
        <v>-1.8694475231338825E-2</v>
      </c>
      <c r="AN92" s="9"/>
    </row>
    <row r="93" spans="1:40" ht="14.45" customHeight="1" outlineLevel="1">
      <c r="A93" s="12" t="s">
        <v>191</v>
      </c>
      <c r="B93" s="8" t="s">
        <v>101</v>
      </c>
      <c r="I93" s="228" t="s">
        <v>204</v>
      </c>
      <c r="J93" s="65">
        <v>6000</v>
      </c>
      <c r="K93" s="65">
        <v>6850</v>
      </c>
      <c r="L93" s="65">
        <v>9929</v>
      </c>
      <c r="M93" s="65">
        <v>13338</v>
      </c>
      <c r="N93" s="65">
        <v>18245</v>
      </c>
      <c r="O93" s="65">
        <v>12257</v>
      </c>
      <c r="P93" s="65">
        <v>12991</v>
      </c>
      <c r="Q93" s="65">
        <v>5517</v>
      </c>
      <c r="R93" s="65">
        <v>13612</v>
      </c>
      <c r="S93" s="65">
        <v>19534</v>
      </c>
      <c r="T93" s="65">
        <f t="shared" si="63"/>
        <v>12887.666666666666</v>
      </c>
      <c r="U93" s="65">
        <f t="shared" si="64"/>
        <v>15344.555555555555</v>
      </c>
      <c r="V93" s="65">
        <f t="shared" si="65"/>
        <v>146505.22222222222</v>
      </c>
      <c r="W93" s="73">
        <f t="shared" si="37"/>
        <v>2.7878552928316961E-3</v>
      </c>
      <c r="X93" s="89"/>
      <c r="Y93" s="65">
        <f>VLOOKUP($I93,'[15]Gasto Real Vs Presupuesto 2026'!$A$88:$N$110,Y$1,0)</f>
        <v>11930.916857142856</v>
      </c>
      <c r="Z93" s="65">
        <f>VLOOKUP($I93,'[15]Gasto Real Vs Presupuesto 2026'!$A$88:$N$110,Z$1,0)</f>
        <v>11930.916857142856</v>
      </c>
      <c r="AA93" s="65">
        <f>VLOOKUP($I93,'[15]Gasto Real Vs Presupuesto 2026'!$A$88:$N$110,AA$1,0)</f>
        <v>11930.916857142856</v>
      </c>
      <c r="AB93" s="65">
        <f>VLOOKUP($I93,'[15]Gasto Real Vs Presupuesto 2026'!$A$88:$N$110,AB$1,0)</f>
        <v>11930.916857142856</v>
      </c>
      <c r="AC93" s="65">
        <f>VLOOKUP($I93,'[15]Gasto Real Vs Presupuesto 2026'!$A$88:$N$110,AC$1,0)</f>
        <v>11930.916857142856</v>
      </c>
      <c r="AD93" s="65">
        <f>VLOOKUP($I93,'[15]Gasto Real Vs Presupuesto 2026'!$A$88:$N$110,AD$1,0)</f>
        <v>11930.916857142856</v>
      </c>
      <c r="AE93" s="65">
        <f>VLOOKUP($I93,'[15]Gasto Real Vs Presupuesto 2026'!$A$88:$N$110,AE$1,0)</f>
        <v>11930.916857142856</v>
      </c>
      <c r="AF93" s="65">
        <f>VLOOKUP($I93,'[15]Gasto Real Vs Presupuesto 2026'!$A$88:$N$110,AF$1,0)</f>
        <v>11930.916857142856</v>
      </c>
      <c r="AG93" s="65">
        <f>VLOOKUP($I93,'[15]Gasto Real Vs Presupuesto 2026'!$A$88:$N$110,AG$1,0)</f>
        <v>11930.916857142856</v>
      </c>
      <c r="AH93" s="65">
        <f>VLOOKUP($I93,'[15]Gasto Real Vs Presupuesto 2026'!$A$88:$N$110,AH$1,0)</f>
        <v>11930.916857142856</v>
      </c>
      <c r="AI93" s="65">
        <f>VLOOKUP($I93,'[15]Gasto Real Vs Presupuesto 2026'!$A$88:$N$110,AI$1,0)</f>
        <v>11930.916857142856</v>
      </c>
      <c r="AJ93" s="65">
        <f>VLOOKUP($I93,'[15]Gasto Real Vs Presupuesto 2026'!$A$88:$N$110,AJ$1,0)</f>
        <v>11930.916857142856</v>
      </c>
      <c r="AK93" s="65">
        <f t="shared" si="66"/>
        <v>143171.00228571429</v>
      </c>
      <c r="AL93" s="73">
        <f t="shared" si="38"/>
        <v>2.3670539658838378E-3</v>
      </c>
      <c r="AM93" s="14">
        <f t="shared" si="39"/>
        <v>-2.2758369196222317E-2</v>
      </c>
      <c r="AN93" s="9"/>
    </row>
    <row r="94" spans="1:40" ht="14.45" customHeight="1" outlineLevel="1">
      <c r="A94" s="12" t="s">
        <v>191</v>
      </c>
      <c r="B94" s="8" t="s">
        <v>101</v>
      </c>
      <c r="I94" s="228" t="s">
        <v>205</v>
      </c>
      <c r="J94" s="65">
        <v>4045</v>
      </c>
      <c r="K94" s="65">
        <v>4288</v>
      </c>
      <c r="L94" s="65">
        <v>4288</v>
      </c>
      <c r="M94" s="65">
        <v>0</v>
      </c>
      <c r="N94" s="65">
        <v>3710</v>
      </c>
      <c r="O94" s="65">
        <v>0</v>
      </c>
      <c r="P94" s="65">
        <v>0</v>
      </c>
      <c r="Q94" s="65">
        <v>0</v>
      </c>
      <c r="R94" s="65">
        <v>4288</v>
      </c>
      <c r="S94" s="65">
        <v>0</v>
      </c>
      <c r="T94" s="65">
        <f t="shared" si="63"/>
        <v>1429.3333333333333</v>
      </c>
      <c r="U94" s="65">
        <f t="shared" si="64"/>
        <v>1905.7777777777776</v>
      </c>
      <c r="V94" s="65">
        <f t="shared" si="65"/>
        <v>23954.111111111109</v>
      </c>
      <c r="W94" s="73">
        <f t="shared" si="37"/>
        <v>4.5582399339250465E-4</v>
      </c>
      <c r="X94" s="89"/>
      <c r="Y94" s="65">
        <f>VLOOKUP($I94,'[15]Gasto Real Vs Presupuesto 2026'!$A$88:$N$110,Y$1,0)</f>
        <v>3887.1362123999997</v>
      </c>
      <c r="Z94" s="65">
        <f>VLOOKUP($I94,'[15]Gasto Real Vs Presupuesto 2026'!$A$88:$N$110,Z$1,0)</f>
        <v>3698.780526</v>
      </c>
      <c r="AA94" s="65">
        <f>VLOOKUP($I94,'[15]Gasto Real Vs Presupuesto 2026'!$A$88:$N$110,AA$1,0)</f>
        <v>3698.780526</v>
      </c>
      <c r="AB94" s="65">
        <f>VLOOKUP($I94,'[15]Gasto Real Vs Presupuesto 2026'!$A$88:$N$110,AB$1,0)</f>
        <v>0</v>
      </c>
      <c r="AC94" s="65">
        <f>VLOOKUP($I94,'[15]Gasto Real Vs Presupuesto 2026'!$A$88:$N$110,AC$1,0)</f>
        <v>3698.780526</v>
      </c>
      <c r="AD94" s="65">
        <f>VLOOKUP($I94,'[15]Gasto Real Vs Presupuesto 2026'!$A$88:$N$110,AD$1,0)</f>
        <v>0</v>
      </c>
      <c r="AE94" s="65">
        <f>VLOOKUP($I94,'[15]Gasto Real Vs Presupuesto 2026'!$A$88:$N$110,AE$1,0)</f>
        <v>0</v>
      </c>
      <c r="AF94" s="65">
        <f>VLOOKUP($I94,'[15]Gasto Real Vs Presupuesto 2026'!$A$88:$N$110,AF$1,0)</f>
        <v>0</v>
      </c>
      <c r="AG94" s="65">
        <f>VLOOKUP($I94,'[15]Gasto Real Vs Presupuesto 2026'!$A$88:$N$110,AG$1,0)</f>
        <v>3698.780526</v>
      </c>
      <c r="AH94" s="65">
        <f>VLOOKUP($I94,'[15]Gasto Real Vs Presupuesto 2026'!$A$88:$N$110,AH$1,0)</f>
        <v>0</v>
      </c>
      <c r="AI94" s="65">
        <f>VLOOKUP($I94,'[15]Gasto Real Vs Presupuesto 2026'!$A$88:$N$110,AI$1,0)</f>
        <v>3698.780526</v>
      </c>
      <c r="AJ94" s="65">
        <f>VLOOKUP($I94,'[15]Gasto Real Vs Presupuesto 2026'!$A$88:$N$110,AJ$1,0)</f>
        <v>3698.780526</v>
      </c>
      <c r="AK94" s="65">
        <f t="shared" si="66"/>
        <v>26079.819368399996</v>
      </c>
      <c r="AL94" s="73">
        <f t="shared" si="38"/>
        <v>4.3117907173906148E-4</v>
      </c>
      <c r="AM94" s="14">
        <f t="shared" si="39"/>
        <v>8.8740853185024893E-2</v>
      </c>
      <c r="AN94" s="9"/>
    </row>
    <row r="95" spans="1:40" ht="14.45" customHeight="1" outlineLevel="1">
      <c r="A95" s="12" t="s">
        <v>191</v>
      </c>
      <c r="B95" s="8" t="s">
        <v>101</v>
      </c>
      <c r="I95" s="228" t="s">
        <v>206</v>
      </c>
      <c r="J95" s="65">
        <v>7314</v>
      </c>
      <c r="K95" s="65">
        <v>5939</v>
      </c>
      <c r="L95" s="65">
        <v>7091</v>
      </c>
      <c r="M95" s="65">
        <v>4167</v>
      </c>
      <c r="N95" s="65">
        <v>5529</v>
      </c>
      <c r="O95" s="65">
        <v>5350</v>
      </c>
      <c r="P95" s="65">
        <v>3937</v>
      </c>
      <c r="Q95" s="65">
        <v>5160</v>
      </c>
      <c r="R95" s="65">
        <v>5936</v>
      </c>
      <c r="S95" s="65">
        <v>3947</v>
      </c>
      <c r="T95" s="65">
        <f t="shared" si="63"/>
        <v>5014.333333333333</v>
      </c>
      <c r="U95" s="65">
        <f t="shared" si="64"/>
        <v>4965.7777777777774</v>
      </c>
      <c r="V95" s="65">
        <f t="shared" si="65"/>
        <v>64350.111111111109</v>
      </c>
      <c r="W95" s="73">
        <f t="shared" si="37"/>
        <v>1.2245215230847059E-3</v>
      </c>
      <c r="X95" s="89"/>
      <c r="Y95" s="65">
        <f>VLOOKUP($I95,'[15]Gasto Real Vs Presupuesto 2026'!$A$88:$N$110,Y$1,0)</f>
        <v>5543.0562388824001</v>
      </c>
      <c r="Z95" s="65">
        <f>VLOOKUP($I95,'[15]Gasto Real Vs Presupuesto 2026'!$A$88:$N$110,Z$1,0)</f>
        <v>5178.2927364000006</v>
      </c>
      <c r="AA95" s="65">
        <f>VLOOKUP($I95,'[15]Gasto Real Vs Presupuesto 2026'!$A$88:$N$110,AA$1,0)</f>
        <v>5733.1098152999994</v>
      </c>
      <c r="AB95" s="65">
        <f>VLOOKUP($I95,'[15]Gasto Real Vs Presupuesto 2026'!$A$88:$N$110,AB$1,0)</f>
        <v>5548.1707890000007</v>
      </c>
      <c r="AC95" s="65">
        <f>VLOOKUP($I95,'[15]Gasto Real Vs Presupuesto 2026'!$A$88:$N$110,AC$1,0)</f>
        <v>5733.1098152999994</v>
      </c>
      <c r="AD95" s="65">
        <f>VLOOKUP($I95,'[15]Gasto Real Vs Presupuesto 2026'!$A$88:$N$110,AD$1,0)</f>
        <v>5548.1707890000007</v>
      </c>
      <c r="AE95" s="65">
        <f>VLOOKUP($I95,'[15]Gasto Real Vs Presupuesto 2026'!$A$88:$N$110,AE$1,0)</f>
        <v>5733.1098152999994</v>
      </c>
      <c r="AF95" s="65">
        <f>VLOOKUP($I95,'[15]Gasto Real Vs Presupuesto 2026'!$A$88:$N$110,AF$1,0)</f>
        <v>5733.1098152999994</v>
      </c>
      <c r="AG95" s="65">
        <f>VLOOKUP($I95,'[15]Gasto Real Vs Presupuesto 2026'!$A$88:$N$110,AG$1,0)</f>
        <v>5548.1707890000007</v>
      </c>
      <c r="AH95" s="65">
        <f>VLOOKUP($I95,'[15]Gasto Real Vs Presupuesto 2026'!$A$88:$N$110,AH$1,0)</f>
        <v>5733.1098152999994</v>
      </c>
      <c r="AI95" s="65">
        <f>VLOOKUP($I95,'[15]Gasto Real Vs Presupuesto 2026'!$A$88:$N$110,AI$1,0)</f>
        <v>5548.1707890000007</v>
      </c>
      <c r="AJ95" s="65">
        <f>VLOOKUP($I95,'[15]Gasto Real Vs Presupuesto 2026'!$A$88:$N$110,AJ$1,0)</f>
        <v>5733.1098152999994</v>
      </c>
      <c r="AK95" s="65">
        <f t="shared" si="66"/>
        <v>67312.6910230824</v>
      </c>
      <c r="AL95" s="73">
        <f t="shared" si="38"/>
        <v>1.1128843808925332E-3</v>
      </c>
      <c r="AM95" s="14">
        <f t="shared" si="39"/>
        <v>4.603845837742071E-2</v>
      </c>
      <c r="AN95" s="9"/>
    </row>
    <row r="96" spans="1:40" ht="14.45" customHeight="1" outlineLevel="1">
      <c r="A96" s="12" t="s">
        <v>191</v>
      </c>
      <c r="B96" s="8" t="s">
        <v>101</v>
      </c>
      <c r="I96" s="228" t="s">
        <v>207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>
        <v>0</v>
      </c>
      <c r="U96" s="65">
        <f t="shared" si="64"/>
        <v>0</v>
      </c>
      <c r="V96" s="65">
        <f t="shared" si="65"/>
        <v>0</v>
      </c>
      <c r="W96" s="73">
        <f t="shared" si="37"/>
        <v>0</v>
      </c>
      <c r="X96" s="89"/>
      <c r="Y96" s="65">
        <f>VLOOKUP($I96,'[15]Gasto Real Vs Presupuesto 2026'!$A$88:$N$110,Y$1,0)</f>
        <v>0</v>
      </c>
      <c r="Z96" s="65">
        <f>VLOOKUP($I96,'[15]Gasto Real Vs Presupuesto 2026'!$A$88:$N$110,Z$1,0)</f>
        <v>0</v>
      </c>
      <c r="AA96" s="65">
        <f>VLOOKUP($I96,'[15]Gasto Real Vs Presupuesto 2026'!$A$88:$N$110,AA$1,0)</f>
        <v>0</v>
      </c>
      <c r="AB96" s="65">
        <f>VLOOKUP($I96,'[15]Gasto Real Vs Presupuesto 2026'!$A$88:$N$110,AB$1,0)</f>
        <v>0</v>
      </c>
      <c r="AC96" s="65">
        <f>VLOOKUP($I96,'[15]Gasto Real Vs Presupuesto 2026'!$A$88:$N$110,AC$1,0)</f>
        <v>0</v>
      </c>
      <c r="AD96" s="65">
        <f>VLOOKUP($I96,'[15]Gasto Real Vs Presupuesto 2026'!$A$88:$N$110,AD$1,0)</f>
        <v>0</v>
      </c>
      <c r="AE96" s="65">
        <f>VLOOKUP($I96,'[15]Gasto Real Vs Presupuesto 2026'!$A$88:$N$110,AE$1,0)</f>
        <v>0</v>
      </c>
      <c r="AF96" s="65">
        <f>VLOOKUP($I96,'[15]Gasto Real Vs Presupuesto 2026'!$A$88:$N$110,AF$1,0)</f>
        <v>0</v>
      </c>
      <c r="AG96" s="65">
        <f>VLOOKUP($I96,'[15]Gasto Real Vs Presupuesto 2026'!$A$88:$N$110,AG$1,0)</f>
        <v>0</v>
      </c>
      <c r="AH96" s="65">
        <f>VLOOKUP($I96,'[15]Gasto Real Vs Presupuesto 2026'!$A$88:$N$110,AH$1,0)</f>
        <v>0</v>
      </c>
      <c r="AI96" s="65">
        <f>VLOOKUP($I96,'[15]Gasto Real Vs Presupuesto 2026'!$A$88:$N$110,AI$1,0)</f>
        <v>0</v>
      </c>
      <c r="AJ96" s="65">
        <f>VLOOKUP($I96,'[15]Gasto Real Vs Presupuesto 2026'!$A$88:$N$110,AJ$1,0)</f>
        <v>0</v>
      </c>
      <c r="AK96" s="65">
        <f t="shared" si="66"/>
        <v>0</v>
      </c>
      <c r="AL96" s="73">
        <f t="shared" si="38"/>
        <v>0</v>
      </c>
      <c r="AM96" s="14">
        <f t="shared" si="39"/>
        <v>0</v>
      </c>
      <c r="AN96" s="9"/>
    </row>
    <row r="97" spans="1:40" ht="14.45" customHeight="1" outlineLevel="1">
      <c r="A97" s="12" t="s">
        <v>191</v>
      </c>
      <c r="B97" s="8" t="s">
        <v>101</v>
      </c>
      <c r="I97" s="228" t="s">
        <v>209</v>
      </c>
      <c r="J97" s="65">
        <v>9949</v>
      </c>
      <c r="K97" s="65">
        <v>10235</v>
      </c>
      <c r="L97" s="65">
        <v>12365</v>
      </c>
      <c r="M97" s="65">
        <v>9038</v>
      </c>
      <c r="N97" s="65">
        <v>8328</v>
      </c>
      <c r="O97" s="65">
        <v>7186</v>
      </c>
      <c r="P97" s="65">
        <v>8777</v>
      </c>
      <c r="Q97" s="65">
        <v>6903</v>
      </c>
      <c r="R97" s="65">
        <v>9920</v>
      </c>
      <c r="S97" s="65">
        <v>7721</v>
      </c>
      <c r="T97" s="65">
        <f t="shared" si="63"/>
        <v>8181.333333333333</v>
      </c>
      <c r="U97" s="65">
        <f t="shared" si="64"/>
        <v>8607.4444444444434</v>
      </c>
      <c r="V97" s="65">
        <f t="shared" si="65"/>
        <v>107210.77777777777</v>
      </c>
      <c r="W97" s="73">
        <f t="shared" si="37"/>
        <v>2.0401193195899916E-3</v>
      </c>
      <c r="X97" s="89"/>
      <c r="Y97" s="65">
        <f>VLOOKUP($I97,'[15]Gasto Real Vs Presupuesto 2026'!$A$88:$N$110,Y$1,0)</f>
        <v>8832.2806799999998</v>
      </c>
      <c r="Z97" s="65">
        <f>VLOOKUP($I97,'[15]Gasto Real Vs Presupuesto 2026'!$A$88:$N$110,Z$1,0)</f>
        <v>7977.5438399999985</v>
      </c>
      <c r="AA97" s="65">
        <f>VLOOKUP($I97,'[15]Gasto Real Vs Presupuesto 2026'!$A$88:$N$110,AA$1,0)</f>
        <v>8832.2806799999998</v>
      </c>
      <c r="AB97" s="65">
        <f>VLOOKUP($I97,'[15]Gasto Real Vs Presupuesto 2026'!$A$88:$N$110,AB$1,0)</f>
        <v>8547.3684000000012</v>
      </c>
      <c r="AC97" s="65">
        <f>VLOOKUP($I97,'[15]Gasto Real Vs Presupuesto 2026'!$A$88:$N$110,AC$1,0)</f>
        <v>8832.2806799999998</v>
      </c>
      <c r="AD97" s="65">
        <f>VLOOKUP($I97,'[15]Gasto Real Vs Presupuesto 2026'!$A$88:$N$110,AD$1,0)</f>
        <v>8547.3684000000012</v>
      </c>
      <c r="AE97" s="65">
        <f>VLOOKUP($I97,'[15]Gasto Real Vs Presupuesto 2026'!$A$88:$N$110,AE$1,0)</f>
        <v>8832.2806799999998</v>
      </c>
      <c r="AF97" s="65">
        <f>VLOOKUP($I97,'[15]Gasto Real Vs Presupuesto 2026'!$A$88:$N$110,AF$1,0)</f>
        <v>8832.2806799999998</v>
      </c>
      <c r="AG97" s="65">
        <f>VLOOKUP($I97,'[15]Gasto Real Vs Presupuesto 2026'!$A$88:$N$110,AG$1,0)</f>
        <v>8547.3684000000012</v>
      </c>
      <c r="AH97" s="65">
        <f>VLOOKUP($I97,'[15]Gasto Real Vs Presupuesto 2026'!$A$88:$N$110,AH$1,0)</f>
        <v>8832.2806799999998</v>
      </c>
      <c r="AI97" s="65">
        <f>VLOOKUP($I97,'[15]Gasto Real Vs Presupuesto 2026'!$A$88:$N$110,AI$1,0)</f>
        <v>8547.3684000000012</v>
      </c>
      <c r="AJ97" s="65">
        <f>VLOOKUP($I97,'[15]Gasto Real Vs Presupuesto 2026'!$A$88:$N$110,AJ$1,0)</f>
        <v>8832.2806799999998</v>
      </c>
      <c r="AK97" s="65">
        <f t="shared" si="66"/>
        <v>103992.9822</v>
      </c>
      <c r="AL97" s="73">
        <f t="shared" si="38"/>
        <v>1.7193216294551226E-3</v>
      </c>
      <c r="AM97" s="14">
        <f t="shared" si="39"/>
        <v>-3.0013732242923252E-2</v>
      </c>
      <c r="AN97" s="9"/>
    </row>
    <row r="98" spans="1:40" ht="14.45" customHeight="1">
      <c r="A98" s="12" t="s">
        <v>208</v>
      </c>
      <c r="B98" s="8" t="s">
        <v>101</v>
      </c>
      <c r="I98" s="228" t="s">
        <v>210</v>
      </c>
      <c r="J98" s="65">
        <v>9418</v>
      </c>
      <c r="K98" s="65">
        <v>9555</v>
      </c>
      <c r="L98" s="65">
        <v>11503</v>
      </c>
      <c r="M98" s="65">
        <v>7694</v>
      </c>
      <c r="N98" s="65">
        <v>6956</v>
      </c>
      <c r="O98" s="65">
        <v>6360</v>
      </c>
      <c r="P98" s="65">
        <v>6693</v>
      </c>
      <c r="Q98" s="65">
        <v>5593</v>
      </c>
      <c r="R98" s="65">
        <v>8380</v>
      </c>
      <c r="S98" s="65">
        <v>7087</v>
      </c>
      <c r="T98" s="65">
        <f t="shared" si="63"/>
        <v>7020</v>
      </c>
      <c r="U98" s="65">
        <f t="shared" si="64"/>
        <v>7495.666666666667</v>
      </c>
      <c r="V98" s="65">
        <f t="shared" si="65"/>
        <v>93754.666666666672</v>
      </c>
      <c r="W98" s="73">
        <f t="shared" si="37"/>
        <v>1.7840622998262804E-3</v>
      </c>
      <c r="X98" s="89"/>
      <c r="Y98" s="65">
        <f>VLOOKUP($I98,'[15]Gasto Real Vs Presupuesto 2026'!$A$88:$N$110,Y$1,0)</f>
        <v>6778.3793999999998</v>
      </c>
      <c r="Z98" s="65">
        <f>VLOOKUP($I98,'[15]Gasto Real Vs Presupuesto 2026'!$A$88:$N$110,Z$1,0)</f>
        <v>6122.4071999999996</v>
      </c>
      <c r="AA98" s="65">
        <f>VLOOKUP($I98,'[15]Gasto Real Vs Presupuesto 2026'!$A$88:$N$110,AA$1,0)</f>
        <v>6778.3793999999998</v>
      </c>
      <c r="AB98" s="65">
        <f>VLOOKUP($I98,'[15]Gasto Real Vs Presupuesto 2026'!$A$88:$N$110,AB$1,0)</f>
        <v>6559.7219999999988</v>
      </c>
      <c r="AC98" s="65">
        <f>VLOOKUP($I98,'[15]Gasto Real Vs Presupuesto 2026'!$A$88:$N$110,AC$1,0)</f>
        <v>6778.3793999999998</v>
      </c>
      <c r="AD98" s="65">
        <f>VLOOKUP($I98,'[15]Gasto Real Vs Presupuesto 2026'!$A$88:$N$110,AD$1,0)</f>
        <v>6559.7219999999988</v>
      </c>
      <c r="AE98" s="65">
        <f>VLOOKUP($I98,'[15]Gasto Real Vs Presupuesto 2026'!$A$88:$N$110,AE$1,0)</f>
        <v>6778.3793999999998</v>
      </c>
      <c r="AF98" s="65">
        <f>VLOOKUP($I98,'[15]Gasto Real Vs Presupuesto 2026'!$A$88:$N$110,AF$1,0)</f>
        <v>6778.3793999999998</v>
      </c>
      <c r="AG98" s="65">
        <f>VLOOKUP($I98,'[15]Gasto Real Vs Presupuesto 2026'!$A$88:$N$110,AG$1,0)</f>
        <v>6559.7219999999988</v>
      </c>
      <c r="AH98" s="65">
        <f>VLOOKUP($I98,'[15]Gasto Real Vs Presupuesto 2026'!$A$88:$N$110,AH$1,0)</f>
        <v>6778.3793999999998</v>
      </c>
      <c r="AI98" s="65">
        <f>VLOOKUP($I98,'[15]Gasto Real Vs Presupuesto 2026'!$A$88:$N$110,AI$1,0)</f>
        <v>6559.7219999999988</v>
      </c>
      <c r="AJ98" s="65">
        <f>VLOOKUP($I98,'[15]Gasto Real Vs Presupuesto 2026'!$A$88:$N$110,AJ$1,0)</f>
        <v>6778.3793999999998</v>
      </c>
      <c r="AK98" s="65">
        <f t="shared" si="66"/>
        <v>79809.951000000001</v>
      </c>
      <c r="AL98" s="73">
        <f t="shared" si="38"/>
        <v>1.3195022596443385E-3</v>
      </c>
      <c r="AM98" s="14">
        <f t="shared" si="39"/>
        <v>-0.14873623001877245</v>
      </c>
      <c r="AN98" s="237"/>
    </row>
    <row r="99" spans="1:40" ht="15" customHeight="1" outlineLevel="1">
      <c r="A99" s="12" t="s">
        <v>208</v>
      </c>
      <c r="B99" s="8" t="s">
        <v>101</v>
      </c>
      <c r="I99" s="231" t="s">
        <v>211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f t="shared" si="63"/>
        <v>0</v>
      </c>
      <c r="U99" s="65">
        <f t="shared" si="64"/>
        <v>0</v>
      </c>
      <c r="V99" s="65">
        <f t="shared" si="65"/>
        <v>0</v>
      </c>
      <c r="W99" s="73">
        <f t="shared" si="37"/>
        <v>0</v>
      </c>
      <c r="X99" s="89"/>
      <c r="Y99" s="65">
        <f>VLOOKUP($I99,'[15]Gasto Real Vs Presupuesto 2026'!$A$88:$N$110,Y$1,0)</f>
        <v>0</v>
      </c>
      <c r="Z99" s="65">
        <f>VLOOKUP($I99,'[15]Gasto Real Vs Presupuesto 2026'!$A$88:$N$110,Z$1,0)</f>
        <v>0</v>
      </c>
      <c r="AA99" s="65">
        <f>VLOOKUP($I99,'[15]Gasto Real Vs Presupuesto 2026'!$A$88:$N$110,AA$1,0)</f>
        <v>0</v>
      </c>
      <c r="AB99" s="65">
        <f>VLOOKUP($I99,'[15]Gasto Real Vs Presupuesto 2026'!$A$88:$N$110,AB$1,0)</f>
        <v>0</v>
      </c>
      <c r="AC99" s="65">
        <f>VLOOKUP($I99,'[15]Gasto Real Vs Presupuesto 2026'!$A$88:$N$110,AC$1,0)</f>
        <v>0</v>
      </c>
      <c r="AD99" s="65">
        <f>VLOOKUP($I99,'[15]Gasto Real Vs Presupuesto 2026'!$A$88:$N$110,AD$1,0)</f>
        <v>0</v>
      </c>
      <c r="AE99" s="65">
        <f>VLOOKUP($I99,'[15]Gasto Real Vs Presupuesto 2026'!$A$88:$N$110,AE$1,0)</f>
        <v>0</v>
      </c>
      <c r="AF99" s="65">
        <f>VLOOKUP($I99,'[15]Gasto Real Vs Presupuesto 2026'!$A$88:$N$110,AF$1,0)</f>
        <v>0</v>
      </c>
      <c r="AG99" s="65">
        <f>VLOOKUP($I99,'[15]Gasto Real Vs Presupuesto 2026'!$A$88:$N$110,AG$1,0)</f>
        <v>0</v>
      </c>
      <c r="AH99" s="65">
        <f>VLOOKUP($I99,'[15]Gasto Real Vs Presupuesto 2026'!$A$88:$N$110,AH$1,0)</f>
        <v>0</v>
      </c>
      <c r="AI99" s="65">
        <f>VLOOKUP($I99,'[15]Gasto Real Vs Presupuesto 2026'!$A$88:$N$110,AI$1,0)</f>
        <v>0</v>
      </c>
      <c r="AJ99" s="65">
        <f>VLOOKUP($I99,'[15]Gasto Real Vs Presupuesto 2026'!$A$88:$N$110,AJ$1,0)</f>
        <v>0</v>
      </c>
      <c r="AK99" s="65">
        <f t="shared" si="66"/>
        <v>0</v>
      </c>
      <c r="AL99" s="73">
        <f t="shared" si="38"/>
        <v>0</v>
      </c>
      <c r="AM99" s="14">
        <f t="shared" si="39"/>
        <v>0</v>
      </c>
      <c r="AN99" s="9"/>
    </row>
    <row r="100" spans="1:40" ht="15" customHeight="1" outlineLevel="1">
      <c r="A100" s="12" t="s">
        <v>208</v>
      </c>
      <c r="B100" s="8" t="s">
        <v>101</v>
      </c>
      <c r="I100" s="228" t="s">
        <v>212</v>
      </c>
      <c r="J100" s="65">
        <v>2673</v>
      </c>
      <c r="K100" s="65">
        <v>2599</v>
      </c>
      <c r="L100" s="65">
        <v>2807</v>
      </c>
      <c r="M100" s="65">
        <v>2134</v>
      </c>
      <c r="N100" s="65">
        <v>2088</v>
      </c>
      <c r="O100" s="65">
        <v>1977</v>
      </c>
      <c r="P100" s="65">
        <v>2160</v>
      </c>
      <c r="Q100" s="65">
        <v>1950</v>
      </c>
      <c r="R100" s="65">
        <v>2454</v>
      </c>
      <c r="S100" s="65">
        <v>2392</v>
      </c>
      <c r="T100" s="65">
        <f t="shared" si="63"/>
        <v>2265.3333333333335</v>
      </c>
      <c r="U100" s="65">
        <f t="shared" si="64"/>
        <v>2370.4444444444448</v>
      </c>
      <c r="V100" s="65">
        <f t="shared" si="65"/>
        <v>27869.777777777777</v>
      </c>
      <c r="W100" s="73">
        <f t="shared" si="37"/>
        <v>5.3033541268562184E-4</v>
      </c>
      <c r="X100" s="89"/>
      <c r="Y100" s="65">
        <f>VLOOKUP($I100,'[15]Gasto Real Vs Presupuesto 2026'!$A$88:$N$110,Y$1,0)</f>
        <v>2042.1992387999994</v>
      </c>
      <c r="Z100" s="65">
        <f>VLOOKUP($I100,'[15]Gasto Real Vs Presupuesto 2026'!$A$88:$N$110,Z$1,0)</f>
        <v>1734.692904</v>
      </c>
      <c r="AA100" s="65">
        <f>VLOOKUP($I100,'[15]Gasto Real Vs Presupuesto 2026'!$A$88:$N$110,AA$1,0)</f>
        <v>1920.552858</v>
      </c>
      <c r="AB100" s="65">
        <f>VLOOKUP($I100,'[15]Gasto Real Vs Presupuesto 2026'!$A$88:$N$110,AB$1,0)</f>
        <v>1858.5995400000002</v>
      </c>
      <c r="AC100" s="65">
        <f>VLOOKUP($I100,'[15]Gasto Real Vs Presupuesto 2026'!$A$88:$N$110,AC$1,0)</f>
        <v>1920.552858</v>
      </c>
      <c r="AD100" s="65">
        <f>VLOOKUP($I100,'[15]Gasto Real Vs Presupuesto 2026'!$A$88:$N$110,AD$1,0)</f>
        <v>1858.5995400000002</v>
      </c>
      <c r="AE100" s="65">
        <f>VLOOKUP($I100,'[15]Gasto Real Vs Presupuesto 2026'!$A$88:$N$110,AE$1,0)</f>
        <v>1920.552858</v>
      </c>
      <c r="AF100" s="65">
        <f>VLOOKUP($I100,'[15]Gasto Real Vs Presupuesto 2026'!$A$88:$N$110,AF$1,0)</f>
        <v>1920.552858</v>
      </c>
      <c r="AG100" s="65">
        <f>VLOOKUP($I100,'[15]Gasto Real Vs Presupuesto 2026'!$A$88:$N$110,AG$1,0)</f>
        <v>1858.5995400000002</v>
      </c>
      <c r="AH100" s="65">
        <f>VLOOKUP($I100,'[15]Gasto Real Vs Presupuesto 2026'!$A$88:$N$110,AH$1,0)</f>
        <v>1920.552858</v>
      </c>
      <c r="AI100" s="65">
        <f>VLOOKUP($I100,'[15]Gasto Real Vs Presupuesto 2026'!$A$88:$N$110,AI$1,0)</f>
        <v>1858.5995400000002</v>
      </c>
      <c r="AJ100" s="65">
        <f>VLOOKUP($I100,'[15]Gasto Real Vs Presupuesto 2026'!$A$88:$N$110,AJ$1,0)</f>
        <v>1920.552858</v>
      </c>
      <c r="AK100" s="65">
        <f t="shared" si="66"/>
        <v>22734.607450799995</v>
      </c>
      <c r="AL100" s="73">
        <f t="shared" si="38"/>
        <v>3.7587250120549017E-4</v>
      </c>
      <c r="AM100" s="14">
        <f t="shared" si="39"/>
        <v>-0.1842558763088652</v>
      </c>
      <c r="AN100" s="9"/>
    </row>
    <row r="101" spans="1:40" ht="15" customHeight="1" outlineLevel="1">
      <c r="A101" s="12" t="s">
        <v>208</v>
      </c>
      <c r="B101" s="8" t="s">
        <v>101</v>
      </c>
      <c r="I101" s="228" t="s">
        <v>213</v>
      </c>
      <c r="J101" s="65">
        <v>1070</v>
      </c>
      <c r="K101" s="65">
        <v>818</v>
      </c>
      <c r="L101" s="65">
        <v>1002</v>
      </c>
      <c r="M101" s="65">
        <v>572</v>
      </c>
      <c r="N101" s="65">
        <v>804</v>
      </c>
      <c r="O101" s="65">
        <v>794</v>
      </c>
      <c r="P101" s="65">
        <v>594</v>
      </c>
      <c r="Q101" s="65">
        <v>797</v>
      </c>
      <c r="R101" s="65">
        <v>829</v>
      </c>
      <c r="S101" s="65">
        <v>707</v>
      </c>
      <c r="T101" s="65">
        <f t="shared" si="63"/>
        <v>777.66666666666663</v>
      </c>
      <c r="U101" s="65">
        <f t="shared" si="64"/>
        <v>771.22222222222217</v>
      </c>
      <c r="V101" s="65">
        <f t="shared" si="65"/>
        <v>9535.8888888888887</v>
      </c>
      <c r="W101" s="73">
        <f t="shared" si="37"/>
        <v>1.8145891257322997E-4</v>
      </c>
      <c r="X101" s="89"/>
      <c r="Y101" s="65">
        <f>VLOOKUP($I101,'[15]Gasto Real Vs Presupuesto 2026'!$A$88:$N$110,Y$1,0)</f>
        <v>1031.6885495239724</v>
      </c>
      <c r="Z101" s="65">
        <f>VLOOKUP($I101,'[15]Gasto Real Vs Presupuesto 2026'!$A$88:$N$110,Z$1,0)</f>
        <v>886.69396171232881</v>
      </c>
      <c r="AA101" s="65">
        <f>VLOOKUP($I101,'[15]Gasto Real Vs Presupuesto 2026'!$A$88:$N$110,AA$1,0)</f>
        <v>981.69688618150678</v>
      </c>
      <c r="AB101" s="65">
        <f>VLOOKUP($I101,'[15]Gasto Real Vs Presupuesto 2026'!$A$88:$N$110,AB$1,0)</f>
        <v>950.02924469178083</v>
      </c>
      <c r="AC101" s="65">
        <f>VLOOKUP($I101,'[15]Gasto Real Vs Presupuesto 2026'!$A$88:$N$110,AC$1,0)</f>
        <v>981.69688618150678</v>
      </c>
      <c r="AD101" s="65">
        <f>VLOOKUP($I101,'[15]Gasto Real Vs Presupuesto 2026'!$A$88:$N$110,AD$1,0)</f>
        <v>950.02924469178083</v>
      </c>
      <c r="AE101" s="65">
        <f>VLOOKUP($I101,'[15]Gasto Real Vs Presupuesto 2026'!$A$88:$N$110,AE$1,0)</f>
        <v>981.69688618150678</v>
      </c>
      <c r="AF101" s="65">
        <f>VLOOKUP($I101,'[15]Gasto Real Vs Presupuesto 2026'!$A$88:$N$110,AF$1,0)</f>
        <v>981.69688618150678</v>
      </c>
      <c r="AG101" s="65">
        <f>VLOOKUP($I101,'[15]Gasto Real Vs Presupuesto 2026'!$A$88:$N$110,AG$1,0)</f>
        <v>950.02924469178083</v>
      </c>
      <c r="AH101" s="65">
        <f>VLOOKUP($I101,'[15]Gasto Real Vs Presupuesto 2026'!$A$88:$N$110,AH$1,0)</f>
        <v>981.69688618150678</v>
      </c>
      <c r="AI101" s="65">
        <f>VLOOKUP($I101,'[15]Gasto Real Vs Presupuesto 2026'!$A$88:$N$110,AI$1,0)</f>
        <v>950.02924469178083</v>
      </c>
      <c r="AJ101" s="65">
        <f>VLOOKUP($I101,'[15]Gasto Real Vs Presupuesto 2026'!$A$88:$N$110,AJ$1,0)</f>
        <v>981.69688618150678</v>
      </c>
      <c r="AK101" s="65">
        <f t="shared" si="66"/>
        <v>11608.680807092467</v>
      </c>
      <c r="AL101" s="73">
        <f t="shared" si="38"/>
        <v>1.9192695101953358E-4</v>
      </c>
      <c r="AM101" s="14">
        <f t="shared" si="39"/>
        <v>0.21736745702005522</v>
      </c>
      <c r="AN101" s="9"/>
    </row>
    <row r="102" spans="1:40" ht="15" customHeight="1" outlineLevel="1">
      <c r="A102" s="12" t="s">
        <v>208</v>
      </c>
      <c r="B102" s="8" t="s">
        <v>101</v>
      </c>
      <c r="I102" s="228" t="s">
        <v>215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f t="shared" si="63"/>
        <v>0</v>
      </c>
      <c r="U102" s="65">
        <f t="shared" si="64"/>
        <v>0</v>
      </c>
      <c r="V102" s="65">
        <f t="shared" si="65"/>
        <v>0</v>
      </c>
      <c r="W102" s="73">
        <f t="shared" si="37"/>
        <v>0</v>
      </c>
      <c r="X102" s="89"/>
      <c r="Y102" s="65">
        <f>VLOOKUP($I102,'[15]Gasto Real Vs Presupuesto 2026'!$A$88:$N$110,Y$1,0)</f>
        <v>0</v>
      </c>
      <c r="Z102" s="65">
        <f>VLOOKUP($I102,'[15]Gasto Real Vs Presupuesto 2026'!$A$88:$N$110,Z$1,0)</f>
        <v>0</v>
      </c>
      <c r="AA102" s="65">
        <f>VLOOKUP($I102,'[15]Gasto Real Vs Presupuesto 2026'!$A$88:$N$110,AA$1,0)</f>
        <v>0</v>
      </c>
      <c r="AB102" s="65">
        <f>VLOOKUP($I102,'[15]Gasto Real Vs Presupuesto 2026'!$A$88:$N$110,AB$1,0)</f>
        <v>0</v>
      </c>
      <c r="AC102" s="65">
        <f>VLOOKUP($I102,'[15]Gasto Real Vs Presupuesto 2026'!$A$88:$N$110,AC$1,0)</f>
        <v>0</v>
      </c>
      <c r="AD102" s="65">
        <f>VLOOKUP($I102,'[15]Gasto Real Vs Presupuesto 2026'!$A$88:$N$110,AD$1,0)</f>
        <v>0</v>
      </c>
      <c r="AE102" s="65">
        <f>VLOOKUP($I102,'[15]Gasto Real Vs Presupuesto 2026'!$A$88:$N$110,AE$1,0)</f>
        <v>0</v>
      </c>
      <c r="AF102" s="65">
        <f>VLOOKUP($I102,'[15]Gasto Real Vs Presupuesto 2026'!$A$88:$N$110,AF$1,0)</f>
        <v>0</v>
      </c>
      <c r="AG102" s="65">
        <f>VLOOKUP($I102,'[15]Gasto Real Vs Presupuesto 2026'!$A$88:$N$110,AG$1,0)</f>
        <v>0</v>
      </c>
      <c r="AH102" s="65">
        <f>VLOOKUP($I102,'[15]Gasto Real Vs Presupuesto 2026'!$A$88:$N$110,AH$1,0)</f>
        <v>0</v>
      </c>
      <c r="AI102" s="65">
        <f>VLOOKUP($I102,'[15]Gasto Real Vs Presupuesto 2026'!$A$88:$N$110,AI$1,0)</f>
        <v>0</v>
      </c>
      <c r="AJ102" s="65">
        <f>VLOOKUP($I102,'[15]Gasto Real Vs Presupuesto 2026'!$A$88:$N$110,AJ$1,0)</f>
        <v>0</v>
      </c>
      <c r="AK102" s="65">
        <f t="shared" si="66"/>
        <v>0</v>
      </c>
      <c r="AL102" s="73">
        <f t="shared" si="38"/>
        <v>0</v>
      </c>
      <c r="AM102" s="14">
        <f t="shared" si="39"/>
        <v>0</v>
      </c>
      <c r="AN102" s="9"/>
    </row>
    <row r="103" spans="1:40" ht="14.45" customHeight="1">
      <c r="A103" s="12" t="s">
        <v>214</v>
      </c>
      <c r="B103" s="8" t="s">
        <v>101</v>
      </c>
      <c r="C103" s="8" t="s">
        <v>91</v>
      </c>
      <c r="I103" s="228" t="s">
        <v>216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/>
      <c r="T103" s="65"/>
      <c r="U103" s="65"/>
      <c r="V103" s="65"/>
      <c r="W103" s="73">
        <f t="shared" si="37"/>
        <v>0</v>
      </c>
      <c r="X103" s="89"/>
      <c r="Y103" s="65">
        <f>VLOOKUP($I103,'[15]Gasto Real Vs Presupuesto 2026'!$A$88:$N$110,Y$1,0)</f>
        <v>0</v>
      </c>
      <c r="Z103" s="65">
        <f>VLOOKUP($I103,'[15]Gasto Real Vs Presupuesto 2026'!$A$88:$N$110,Z$1,0)</f>
        <v>0</v>
      </c>
      <c r="AA103" s="65">
        <f>VLOOKUP($I103,'[15]Gasto Real Vs Presupuesto 2026'!$A$88:$N$110,AA$1,0)</f>
        <v>0</v>
      </c>
      <c r="AB103" s="65">
        <f>VLOOKUP($I103,'[15]Gasto Real Vs Presupuesto 2026'!$A$88:$N$110,AB$1,0)</f>
        <v>0</v>
      </c>
      <c r="AC103" s="65">
        <f>VLOOKUP($I103,'[15]Gasto Real Vs Presupuesto 2026'!$A$88:$N$110,AC$1,0)</f>
        <v>0</v>
      </c>
      <c r="AD103" s="65">
        <f>VLOOKUP($I103,'[15]Gasto Real Vs Presupuesto 2026'!$A$88:$N$110,AD$1,0)</f>
        <v>0</v>
      </c>
      <c r="AE103" s="65">
        <f>VLOOKUP($I103,'[15]Gasto Real Vs Presupuesto 2026'!$A$88:$N$110,AE$1,0)</f>
        <v>0</v>
      </c>
      <c r="AF103" s="65">
        <f>VLOOKUP($I103,'[15]Gasto Real Vs Presupuesto 2026'!$A$88:$N$110,AF$1,0)</f>
        <v>0</v>
      </c>
      <c r="AG103" s="65">
        <f>VLOOKUP($I103,'[15]Gasto Real Vs Presupuesto 2026'!$A$88:$N$110,AG$1,0)</f>
        <v>0</v>
      </c>
      <c r="AH103" s="65">
        <f>VLOOKUP($I103,'[15]Gasto Real Vs Presupuesto 2026'!$A$88:$N$110,AH$1,0)</f>
        <v>0</v>
      </c>
      <c r="AI103" s="65">
        <f>VLOOKUP($I103,'[15]Gasto Real Vs Presupuesto 2026'!$A$88:$N$110,AI$1,0)</f>
        <v>0</v>
      </c>
      <c r="AJ103" s="65">
        <f>VLOOKUP($I103,'[15]Gasto Real Vs Presupuesto 2026'!$A$88:$N$110,AJ$1,0)</f>
        <v>0</v>
      </c>
      <c r="AK103" s="65">
        <f t="shared" si="66"/>
        <v>0</v>
      </c>
      <c r="AL103" s="73">
        <f t="shared" si="38"/>
        <v>0</v>
      </c>
      <c r="AM103" s="14">
        <f t="shared" si="39"/>
        <v>0</v>
      </c>
      <c r="AN103" s="9"/>
    </row>
    <row r="104" spans="1:40" ht="14.45" customHeight="1" outlineLevel="1">
      <c r="A104" s="12" t="s">
        <v>214</v>
      </c>
      <c r="B104" s="8" t="s">
        <v>101</v>
      </c>
      <c r="I104" s="228" t="s">
        <v>217</v>
      </c>
      <c r="J104" s="65">
        <v>100264</v>
      </c>
      <c r="K104" s="65">
        <v>101283</v>
      </c>
      <c r="L104" s="65">
        <v>111977</v>
      </c>
      <c r="M104" s="65">
        <v>86751</v>
      </c>
      <c r="N104" s="65">
        <v>86742</v>
      </c>
      <c r="O104" s="65">
        <v>74035</v>
      </c>
      <c r="P104" s="65">
        <v>82955</v>
      </c>
      <c r="Q104" s="65">
        <v>76753</v>
      </c>
      <c r="R104" s="65">
        <v>88989</v>
      </c>
      <c r="S104" s="65">
        <v>78666</v>
      </c>
      <c r="T104" s="65">
        <f t="shared" si="63"/>
        <v>81469.333333333328</v>
      </c>
      <c r="U104" s="65">
        <f t="shared" si="64"/>
        <v>83041.444444444438</v>
      </c>
      <c r="V104" s="65">
        <f t="shared" si="65"/>
        <v>1052925.7777777778</v>
      </c>
      <c r="W104" s="73">
        <f t="shared" si="37"/>
        <v>2.0036177946505033E-2</v>
      </c>
      <c r="X104" s="89"/>
      <c r="Y104" s="65">
        <f>VLOOKUP($I104,'[15]Gasto Real Vs Presupuesto 2026'!$A$88:$N$110,Y$1,0)</f>
        <v>100417.68548700001</v>
      </c>
      <c r="Z104" s="65">
        <f>VLOOKUP($I104,'[15]Gasto Real Vs Presupuesto 2026'!$A$88:$N$110,Z$1,0)</f>
        <v>86304.87894000001</v>
      </c>
      <c r="AA104" s="65">
        <f>VLOOKUP($I104,'[15]Gasto Real Vs Presupuesto 2026'!$A$88:$N$110,AA$1,0)</f>
        <v>95551.830255000008</v>
      </c>
      <c r="AB104" s="65">
        <f>VLOOKUP($I104,'[15]Gasto Real Vs Presupuesto 2026'!$A$88:$N$110,AB$1,0)</f>
        <v>92469.513149999999</v>
      </c>
      <c r="AC104" s="65">
        <f>VLOOKUP($I104,'[15]Gasto Real Vs Presupuesto 2026'!$A$88:$N$110,AC$1,0)</f>
        <v>95551.830255000008</v>
      </c>
      <c r="AD104" s="65">
        <f>VLOOKUP($I104,'[15]Gasto Real Vs Presupuesto 2026'!$A$88:$N$110,AD$1,0)</f>
        <v>92469.513149999999</v>
      </c>
      <c r="AE104" s="65">
        <f>VLOOKUP($I104,'[15]Gasto Real Vs Presupuesto 2026'!$A$88:$N$110,AE$1,0)</f>
        <v>95551.830255000008</v>
      </c>
      <c r="AF104" s="65">
        <f>VLOOKUP($I104,'[15]Gasto Real Vs Presupuesto 2026'!$A$88:$N$110,AF$1,0)</f>
        <v>95551.830255000008</v>
      </c>
      <c r="AG104" s="65">
        <f>VLOOKUP($I104,'[15]Gasto Real Vs Presupuesto 2026'!$A$88:$N$110,AG$1,0)</f>
        <v>92469.513149999999</v>
      </c>
      <c r="AH104" s="65">
        <f>VLOOKUP($I104,'[15]Gasto Real Vs Presupuesto 2026'!$A$88:$N$110,AH$1,0)</f>
        <v>95551.830255000008</v>
      </c>
      <c r="AI104" s="65">
        <f>VLOOKUP($I104,'[15]Gasto Real Vs Presupuesto 2026'!$A$88:$N$110,AI$1,0)</f>
        <v>92469.513149999999</v>
      </c>
      <c r="AJ104" s="65">
        <f>VLOOKUP($I104,'[15]Gasto Real Vs Presupuesto 2026'!$A$88:$N$110,AJ$1,0)</f>
        <v>95551.830255000008</v>
      </c>
      <c r="AK104" s="65">
        <f t="shared" si="66"/>
        <v>1129911.5985570003</v>
      </c>
      <c r="AL104" s="73">
        <f t="shared" si="38"/>
        <v>1.8680889899234603E-2</v>
      </c>
      <c r="AM104" s="14">
        <f t="shared" si="39"/>
        <v>7.3116094604220638E-2</v>
      </c>
      <c r="AN104" s="9"/>
    </row>
    <row r="105" spans="1:40" ht="14.45" customHeight="1" outlineLevel="1">
      <c r="A105" s="12"/>
      <c r="I105" s="228" t="s">
        <v>218</v>
      </c>
      <c r="J105" s="65">
        <v>144</v>
      </c>
      <c r="K105" s="65">
        <v>578</v>
      </c>
      <c r="L105" s="65">
        <v>578</v>
      </c>
      <c r="M105" s="65">
        <v>578</v>
      </c>
      <c r="N105" s="65">
        <v>578</v>
      </c>
      <c r="O105" s="65">
        <v>0</v>
      </c>
      <c r="P105" s="65">
        <v>0</v>
      </c>
      <c r="Q105" s="65">
        <v>578</v>
      </c>
      <c r="R105" s="65">
        <v>0</v>
      </c>
      <c r="S105" s="65">
        <v>0</v>
      </c>
      <c r="T105" s="65">
        <f t="shared" si="63"/>
        <v>192.66666666666666</v>
      </c>
      <c r="U105" s="65">
        <f t="shared" si="64"/>
        <v>64.222222222222214</v>
      </c>
      <c r="V105" s="65">
        <f t="shared" si="65"/>
        <v>3290.8888888888887</v>
      </c>
      <c r="W105" s="73">
        <f t="shared" si="37"/>
        <v>6.2622491320437701E-5</v>
      </c>
      <c r="X105" s="89"/>
      <c r="Y105" s="65">
        <f>VLOOKUP($I105,'[15]Gasto Real Vs Presupuesto 2026'!$A$88:$N$110,Y$1,0)</f>
        <v>0</v>
      </c>
      <c r="Z105" s="65">
        <f>VLOOKUP($I105,'[15]Gasto Real Vs Presupuesto 2026'!$A$88:$N$110,Z$1,0)</f>
        <v>0</v>
      </c>
      <c r="AA105" s="65">
        <f>VLOOKUP($I105,'[15]Gasto Real Vs Presupuesto 2026'!$A$88:$N$110,AA$1,0)</f>
        <v>0</v>
      </c>
      <c r="AB105" s="65">
        <f>VLOOKUP($I105,'[15]Gasto Real Vs Presupuesto 2026'!$A$88:$N$110,AB$1,0)</f>
        <v>0</v>
      </c>
      <c r="AC105" s="65">
        <f>VLOOKUP($I105,'[15]Gasto Real Vs Presupuesto 2026'!$A$88:$N$110,AC$1,0)</f>
        <v>0</v>
      </c>
      <c r="AD105" s="65">
        <f>VLOOKUP($I105,'[15]Gasto Real Vs Presupuesto 2026'!$A$88:$N$110,AD$1,0)</f>
        <v>0</v>
      </c>
      <c r="AE105" s="65">
        <f>VLOOKUP($I105,'[15]Gasto Real Vs Presupuesto 2026'!$A$88:$N$110,AE$1,0)</f>
        <v>0</v>
      </c>
      <c r="AF105" s="65">
        <f>VLOOKUP($I105,'[15]Gasto Real Vs Presupuesto 2026'!$A$88:$N$110,AF$1,0)</f>
        <v>0</v>
      </c>
      <c r="AG105" s="65">
        <f>VLOOKUP($I105,'[15]Gasto Real Vs Presupuesto 2026'!$A$88:$N$110,AG$1,0)</f>
        <v>0</v>
      </c>
      <c r="AH105" s="65">
        <f>VLOOKUP($I105,'[15]Gasto Real Vs Presupuesto 2026'!$A$88:$N$110,AH$1,0)</f>
        <v>0</v>
      </c>
      <c r="AI105" s="65">
        <f>VLOOKUP($I105,'[15]Gasto Real Vs Presupuesto 2026'!$A$88:$N$110,AI$1,0)</f>
        <v>0</v>
      </c>
      <c r="AJ105" s="65">
        <f>VLOOKUP($I105,'[15]Gasto Real Vs Presupuesto 2026'!$A$88:$N$110,AJ$1,0)</f>
        <v>0</v>
      </c>
      <c r="AK105" s="65">
        <f t="shared" si="66"/>
        <v>0</v>
      </c>
      <c r="AL105" s="73">
        <f t="shared" si="38"/>
        <v>0</v>
      </c>
      <c r="AM105" s="14">
        <f t="shared" si="39"/>
        <v>-1</v>
      </c>
      <c r="AN105" s="9"/>
    </row>
    <row r="106" spans="1:40" ht="14.45" customHeight="1" outlineLevel="1">
      <c r="A106" s="12"/>
      <c r="I106" s="228" t="s">
        <v>219</v>
      </c>
      <c r="J106" s="65">
        <v>4279</v>
      </c>
      <c r="K106" s="65">
        <v>3270</v>
      </c>
      <c r="L106" s="65">
        <v>4006</v>
      </c>
      <c r="M106" s="65">
        <v>2287</v>
      </c>
      <c r="N106" s="65">
        <v>3217</v>
      </c>
      <c r="O106" s="65">
        <v>3174</v>
      </c>
      <c r="P106" s="65">
        <v>2375</v>
      </c>
      <c r="Q106" s="65">
        <v>3186</v>
      </c>
      <c r="R106" s="65">
        <v>3317</v>
      </c>
      <c r="S106" s="65">
        <v>2826</v>
      </c>
      <c r="T106" s="65">
        <f t="shared" si="63"/>
        <v>3109.6666666666665</v>
      </c>
      <c r="U106" s="65">
        <f t="shared" si="64"/>
        <v>3084.2222222222222</v>
      </c>
      <c r="V106" s="65">
        <f t="shared" si="65"/>
        <v>38130.888888888883</v>
      </c>
      <c r="W106" s="73">
        <f t="shared" si="37"/>
        <v>7.2559461565146761E-4</v>
      </c>
      <c r="X106" s="89"/>
      <c r="Y106" s="65">
        <f>VLOOKUP($I106,'[15]Gasto Real Vs Presupuesto 2026'!$A$88:$N$110,Y$1,0)</f>
        <v>0</v>
      </c>
      <c r="Z106" s="65">
        <f>VLOOKUP($I106,'[15]Gasto Real Vs Presupuesto 2026'!$A$88:$N$110,Z$1,0)</f>
        <v>0</v>
      </c>
      <c r="AA106" s="65">
        <f>VLOOKUP($I106,'[15]Gasto Real Vs Presupuesto 2026'!$A$88:$N$110,AA$1,0)</f>
        <v>0</v>
      </c>
      <c r="AB106" s="65">
        <f>VLOOKUP($I106,'[15]Gasto Real Vs Presupuesto 2026'!$A$88:$N$110,AB$1,0)</f>
        <v>0</v>
      </c>
      <c r="AC106" s="65">
        <f>VLOOKUP($I106,'[15]Gasto Real Vs Presupuesto 2026'!$A$88:$N$110,AC$1,0)</f>
        <v>0</v>
      </c>
      <c r="AD106" s="65">
        <f>VLOOKUP($I106,'[15]Gasto Real Vs Presupuesto 2026'!$A$88:$N$110,AD$1,0)</f>
        <v>0</v>
      </c>
      <c r="AE106" s="65">
        <f>VLOOKUP($I106,'[15]Gasto Real Vs Presupuesto 2026'!$A$88:$N$110,AE$1,0)</f>
        <v>0</v>
      </c>
      <c r="AF106" s="65">
        <f>VLOOKUP($I106,'[15]Gasto Real Vs Presupuesto 2026'!$A$88:$N$110,AF$1,0)</f>
        <v>0</v>
      </c>
      <c r="AG106" s="65">
        <f>VLOOKUP($I106,'[15]Gasto Real Vs Presupuesto 2026'!$A$88:$N$110,AG$1,0)</f>
        <v>0</v>
      </c>
      <c r="AH106" s="65">
        <f>VLOOKUP($I106,'[15]Gasto Real Vs Presupuesto 2026'!$A$88:$N$110,AH$1,0)</f>
        <v>0</v>
      </c>
      <c r="AI106" s="65">
        <f>VLOOKUP($I106,'[15]Gasto Real Vs Presupuesto 2026'!$A$88:$N$110,AI$1,0)</f>
        <v>0</v>
      </c>
      <c r="AJ106" s="65">
        <f>VLOOKUP($I106,'[15]Gasto Real Vs Presupuesto 2026'!$A$88:$N$110,AJ$1,0)</f>
        <v>0</v>
      </c>
      <c r="AK106" s="65">
        <f t="shared" si="66"/>
        <v>0</v>
      </c>
      <c r="AL106" s="73">
        <f t="shared" si="38"/>
        <v>0</v>
      </c>
      <c r="AM106" s="14">
        <f t="shared" si="39"/>
        <v>-1</v>
      </c>
      <c r="AN106" s="9"/>
    </row>
    <row r="107" spans="1:40" ht="14.45" customHeight="1" outlineLevel="1">
      <c r="A107" s="12"/>
      <c r="E107" s="7" t="s">
        <v>470</v>
      </c>
      <c r="I107" s="170" t="s">
        <v>220</v>
      </c>
      <c r="J107" s="15">
        <v>39822</v>
      </c>
      <c r="K107" s="15">
        <v>32354</v>
      </c>
      <c r="L107" s="15">
        <v>38941</v>
      </c>
      <c r="M107" s="15">
        <v>22361</v>
      </c>
      <c r="N107" s="15">
        <v>31095</v>
      </c>
      <c r="O107" s="15">
        <v>29083</v>
      </c>
      <c r="P107" s="15">
        <v>23132</v>
      </c>
      <c r="Q107" s="15">
        <v>29273</v>
      </c>
      <c r="R107" s="15">
        <v>32306</v>
      </c>
      <c r="S107" s="15">
        <v>23773</v>
      </c>
      <c r="T107" s="15">
        <f t="shared" ref="K107:V107" si="67">SUM(T108:T111)</f>
        <v>28451</v>
      </c>
      <c r="U107" s="15">
        <f t="shared" si="67"/>
        <v>28177</v>
      </c>
      <c r="V107" s="15">
        <f t="shared" si="67"/>
        <v>358766</v>
      </c>
      <c r="W107" s="72">
        <f t="shared" si="37"/>
        <v>6.826976382254487E-3</v>
      </c>
      <c r="X107" s="89"/>
      <c r="Y107" s="15">
        <f>SUM(Y108:Y111)</f>
        <v>35068.087839043779</v>
      </c>
      <c r="Z107" s="15">
        <f t="shared" ref="Z107:AK107" si="68">SUM(Z108:Z111)</f>
        <v>30866.715195767156</v>
      </c>
      <c r="AA107" s="15">
        <f t="shared" si="68"/>
        <v>33776.026729352074</v>
      </c>
      <c r="AB107" s="15">
        <f t="shared" si="68"/>
        <v>31932.740622284953</v>
      </c>
      <c r="AC107" s="15">
        <f t="shared" si="68"/>
        <v>33776.026729352074</v>
      </c>
      <c r="AD107" s="15">
        <f t="shared" si="68"/>
        <v>31932.740622284953</v>
      </c>
      <c r="AE107" s="15">
        <f t="shared" si="68"/>
        <v>32689.883278957852</v>
      </c>
      <c r="AF107" s="15">
        <f t="shared" si="68"/>
        <v>32689.883278957852</v>
      </c>
      <c r="AG107" s="15">
        <f t="shared" si="68"/>
        <v>32806.256218157105</v>
      </c>
      <c r="AH107" s="15">
        <f t="shared" si="68"/>
        <v>32689.883278957852</v>
      </c>
      <c r="AI107" s="15">
        <f t="shared" si="68"/>
        <v>32806.256218157105</v>
      </c>
      <c r="AJ107" s="15">
        <f t="shared" si="68"/>
        <v>33776.026729352074</v>
      </c>
      <c r="AK107" s="15">
        <f t="shared" si="68"/>
        <v>394810.52674062486</v>
      </c>
      <c r="AL107" s="72">
        <f t="shared" si="38"/>
        <v>6.527423906896348E-3</v>
      </c>
      <c r="AM107" s="10">
        <f t="shared" si="39"/>
        <v>0.10046806760012061</v>
      </c>
      <c r="AN107" s="9"/>
    </row>
    <row r="108" spans="1:40" ht="14.45" customHeight="1" outlineLevel="1">
      <c r="A108" s="12"/>
      <c r="I108" s="218" t="s">
        <v>221</v>
      </c>
      <c r="J108" s="65">
        <v>7254</v>
      </c>
      <c r="K108" s="65">
        <v>5969</v>
      </c>
      <c r="L108" s="65">
        <v>7053</v>
      </c>
      <c r="M108" s="65">
        <v>4305</v>
      </c>
      <c r="N108" s="65">
        <v>5845</v>
      </c>
      <c r="O108" s="65">
        <v>5151</v>
      </c>
      <c r="P108" s="65">
        <v>4301</v>
      </c>
      <c r="Q108" s="65">
        <v>5873</v>
      </c>
      <c r="R108" s="65">
        <v>5743</v>
      </c>
      <c r="S108" s="65">
        <v>4815</v>
      </c>
      <c r="T108" s="65">
        <f t="shared" ref="T108:T111" si="69">+AVERAGE(Q108:S108)</f>
        <v>5477</v>
      </c>
      <c r="U108" s="65">
        <f t="shared" ref="U108:U111" si="70">+AVERAGE(R108:T108)</f>
        <v>5345</v>
      </c>
      <c r="V108" s="65">
        <f t="shared" ref="V108:V161" si="71">SUM(J108:U108)</f>
        <v>67131</v>
      </c>
      <c r="W108" s="73">
        <f t="shared" si="37"/>
        <v>1.2774391985782541E-3</v>
      </c>
      <c r="X108" s="89"/>
      <c r="Y108" s="65">
        <f>VLOOKUP($I108,'[15]Gasto Real Vs Presupuesto 2026'!$A$88:$N$110,Y$1,0)</f>
        <v>6171.8190271481371</v>
      </c>
      <c r="Z108" s="65">
        <f>VLOOKUP($I108,'[15]Gasto Real Vs Presupuesto 2026'!$A$88:$N$110,Z$1,0)</f>
        <v>5405.1369517852263</v>
      </c>
      <c r="AA108" s="65">
        <f>VLOOKUP($I108,'[15]Gasto Real Vs Presupuesto 2026'!$A$88:$N$110,AA$1,0)</f>
        <v>5900.5282463525209</v>
      </c>
      <c r="AB108" s="65">
        <f>VLOOKUP($I108,'[15]Gasto Real Vs Presupuesto 2026'!$A$88:$N$110,AB$1,0)</f>
        <v>5550.4587885300898</v>
      </c>
      <c r="AC108" s="65">
        <f>VLOOKUP($I108,'[15]Gasto Real Vs Presupuesto 2026'!$A$88:$N$110,AC$1,0)</f>
        <v>5900.5282463525209</v>
      </c>
      <c r="AD108" s="65">
        <f>VLOOKUP($I108,'[15]Gasto Real Vs Presupuesto 2026'!$A$88:$N$110,AD$1,0)</f>
        <v>5550.4587885300898</v>
      </c>
      <c r="AE108" s="65">
        <f>VLOOKUP($I108,'[15]Gasto Real Vs Presupuesto 2026'!$A$88:$N$110,AE$1,0)</f>
        <v>5715.5892200525195</v>
      </c>
      <c r="AF108" s="65">
        <f>VLOOKUP($I108,'[15]Gasto Real Vs Presupuesto 2026'!$A$88:$N$110,AF$1,0)</f>
        <v>5715.5892200525195</v>
      </c>
      <c r="AG108" s="65">
        <f>VLOOKUP($I108,'[15]Gasto Real Vs Presupuesto 2026'!$A$88:$N$110,AG$1,0)</f>
        <v>5735.3978148300894</v>
      </c>
      <c r="AH108" s="65">
        <f>VLOOKUP($I108,'[15]Gasto Real Vs Presupuesto 2026'!$A$88:$N$110,AH$1,0)</f>
        <v>5715.5892200525195</v>
      </c>
      <c r="AI108" s="65">
        <f>VLOOKUP($I108,'[15]Gasto Real Vs Presupuesto 2026'!$A$88:$N$110,AI$1,0)</f>
        <v>5735.3978148300894</v>
      </c>
      <c r="AJ108" s="65">
        <f>VLOOKUP($I108,'[15]Gasto Real Vs Presupuesto 2026'!$A$88:$N$110,AJ$1,0)</f>
        <v>5900.5282463525209</v>
      </c>
      <c r="AK108" s="65">
        <f t="shared" si="66"/>
        <v>68997.021584868839</v>
      </c>
      <c r="AL108" s="73">
        <f t="shared" si="38"/>
        <v>1.1407315096580329E-3</v>
      </c>
      <c r="AM108" s="14">
        <f t="shared" si="39"/>
        <v>2.7796719620873267E-2</v>
      </c>
      <c r="AN108" s="9"/>
    </row>
    <row r="109" spans="1:40" ht="14.45" customHeight="1" outlineLevel="1">
      <c r="A109" s="12"/>
      <c r="I109" s="218" t="s">
        <v>222</v>
      </c>
      <c r="J109" s="65">
        <v>11107</v>
      </c>
      <c r="K109" s="65">
        <v>9156</v>
      </c>
      <c r="L109" s="65">
        <v>10960</v>
      </c>
      <c r="M109" s="65">
        <v>6570</v>
      </c>
      <c r="N109" s="65">
        <v>8862</v>
      </c>
      <c r="O109" s="65">
        <v>7968</v>
      </c>
      <c r="P109" s="65">
        <v>6708</v>
      </c>
      <c r="Q109" s="65">
        <v>8572</v>
      </c>
      <c r="R109" s="65">
        <v>9049</v>
      </c>
      <c r="S109" s="65">
        <v>6761</v>
      </c>
      <c r="T109" s="65">
        <f t="shared" si="69"/>
        <v>8127.333333333333</v>
      </c>
      <c r="U109" s="65">
        <f t="shared" si="70"/>
        <v>7979.1111111111104</v>
      </c>
      <c r="V109" s="65">
        <f t="shared" si="71"/>
        <v>101819.44444444444</v>
      </c>
      <c r="W109" s="73">
        <f t="shared" si="37"/>
        <v>1.9375273645676986E-3</v>
      </c>
      <c r="X109" s="89"/>
      <c r="Y109" s="65">
        <f>VLOOKUP($I109,'[15]Gasto Real Vs Presupuesto 2026'!$A$88:$N$110,Y$1,0)</f>
        <v>10821.144576323415</v>
      </c>
      <c r="Z109" s="65">
        <f>VLOOKUP($I109,'[15]Gasto Real Vs Presupuesto 2026'!$A$88:$N$110,Z$1,0)</f>
        <v>9470.1846037175255</v>
      </c>
      <c r="AA109" s="65">
        <f>VLOOKUP($I109,'[15]Gasto Real Vs Presupuesto 2026'!$A$88:$N$110,AA$1,0)</f>
        <v>10336.080215470074</v>
      </c>
      <c r="AB109" s="65">
        <f>VLOOKUP($I109,'[15]Gasto Real Vs Presupuesto 2026'!$A$88:$N$110,AB$1,0)</f>
        <v>9724.0627332311924</v>
      </c>
      <c r="AC109" s="65">
        <f>VLOOKUP($I109,'[15]Gasto Real Vs Presupuesto 2026'!$A$88:$N$110,AC$1,0)</f>
        <v>10336.080215470074</v>
      </c>
      <c r="AD109" s="65">
        <f>VLOOKUP($I109,'[15]Gasto Real Vs Presupuesto 2026'!$A$88:$N$110,AD$1,0)</f>
        <v>9724.0627332311924</v>
      </c>
      <c r="AE109" s="65">
        <f>VLOOKUP($I109,'[15]Gasto Real Vs Presupuesto 2026'!$A$88:$N$110,AE$1,0)</f>
        <v>9800.066749293308</v>
      </c>
      <c r="AF109" s="65">
        <f>VLOOKUP($I109,'[15]Gasto Real Vs Presupuesto 2026'!$A$88:$N$110,AF$1,0)</f>
        <v>9800.066749293308</v>
      </c>
      <c r="AG109" s="65">
        <f>VLOOKUP($I109,'[15]Gasto Real Vs Presupuesto 2026'!$A$88:$N$110,AG$1,0)</f>
        <v>10047.448344885892</v>
      </c>
      <c r="AH109" s="65">
        <f>VLOOKUP($I109,'[15]Gasto Real Vs Presupuesto 2026'!$A$88:$N$110,AH$1,0)</f>
        <v>9800.066749293308</v>
      </c>
      <c r="AI109" s="65">
        <f>VLOOKUP($I109,'[15]Gasto Real Vs Presupuesto 2026'!$A$88:$N$110,AI$1,0)</f>
        <v>10047.448344885892</v>
      </c>
      <c r="AJ109" s="65">
        <f>VLOOKUP($I109,'[15]Gasto Real Vs Presupuesto 2026'!$A$88:$N$110,AJ$1,0)</f>
        <v>10336.080215470074</v>
      </c>
      <c r="AK109" s="65">
        <f t="shared" si="66"/>
        <v>120242.79223056528</v>
      </c>
      <c r="AL109" s="73">
        <f t="shared" si="38"/>
        <v>1.9879806222932728E-3</v>
      </c>
      <c r="AM109" s="14">
        <f t="shared" si="39"/>
        <v>0.18094135051162197</v>
      </c>
      <c r="AN109" s="9"/>
    </row>
    <row r="110" spans="1:40" ht="14.45" customHeight="1" outlineLevel="1">
      <c r="A110" s="12"/>
      <c r="I110" s="218" t="s">
        <v>223</v>
      </c>
      <c r="J110" s="65">
        <v>16663</v>
      </c>
      <c r="K110" s="65">
        <v>13148</v>
      </c>
      <c r="L110" s="65">
        <v>15670</v>
      </c>
      <c r="M110" s="65">
        <v>9007</v>
      </c>
      <c r="N110" s="65">
        <v>12341</v>
      </c>
      <c r="O110" s="65">
        <v>11884</v>
      </c>
      <c r="P110" s="65">
        <v>9443</v>
      </c>
      <c r="Q110" s="65">
        <v>11497</v>
      </c>
      <c r="R110" s="65">
        <v>12982</v>
      </c>
      <c r="S110" s="65">
        <v>9283</v>
      </c>
      <c r="T110" s="65">
        <f t="shared" si="69"/>
        <v>11254</v>
      </c>
      <c r="U110" s="65">
        <f t="shared" si="70"/>
        <v>11173</v>
      </c>
      <c r="V110" s="65">
        <f t="shared" si="71"/>
        <v>144345</v>
      </c>
      <c r="W110" s="73">
        <f t="shared" si="37"/>
        <v>2.7467483147693033E-3</v>
      </c>
      <c r="X110" s="89"/>
      <c r="Y110" s="65">
        <f>VLOOKUP($I110,'[15]Gasto Real Vs Presupuesto 2026'!$A$88:$N$110,Y$1,0)</f>
        <v>13903.713016883346</v>
      </c>
      <c r="Z110" s="65">
        <f>VLOOKUP($I110,'[15]Gasto Real Vs Presupuesto 2026'!$A$88:$N$110,Z$1,0)</f>
        <v>12325.312937993269</v>
      </c>
      <c r="AA110" s="65">
        <f>VLOOKUP($I110,'[15]Gasto Real Vs Presupuesto 2026'!$A$88:$N$110,AA$1,0)</f>
        <v>13530.78151731797</v>
      </c>
      <c r="AB110" s="65">
        <f>VLOOKUP($I110,'[15]Gasto Real Vs Presupuesto 2026'!$A$88:$N$110,AB$1,0)</f>
        <v>12874.731115405621</v>
      </c>
      <c r="AC110" s="65">
        <f>VLOOKUP($I110,'[15]Gasto Real Vs Presupuesto 2026'!$A$88:$N$110,AC$1,0)</f>
        <v>13530.78151731797</v>
      </c>
      <c r="AD110" s="65">
        <f>VLOOKUP($I110,'[15]Gasto Real Vs Presupuesto 2026'!$A$88:$N$110,AD$1,0)</f>
        <v>12874.731115405621</v>
      </c>
      <c r="AE110" s="65">
        <f>VLOOKUP($I110,'[15]Gasto Real Vs Presupuesto 2026'!$A$88:$N$110,AE$1,0)</f>
        <v>13276.553975180514</v>
      </c>
      <c r="AF110" s="65">
        <f>VLOOKUP($I110,'[15]Gasto Real Vs Presupuesto 2026'!$A$88:$N$110,AF$1,0)</f>
        <v>13276.553975180514</v>
      </c>
      <c r="AG110" s="65">
        <f>VLOOKUP($I110,'[15]Gasto Real Vs Presupuesto 2026'!$A$88:$N$110,AG$1,0)</f>
        <v>13128.958657543071</v>
      </c>
      <c r="AH110" s="65">
        <f>VLOOKUP($I110,'[15]Gasto Real Vs Presupuesto 2026'!$A$88:$N$110,AH$1,0)</f>
        <v>13276.553975180514</v>
      </c>
      <c r="AI110" s="65">
        <f>VLOOKUP($I110,'[15]Gasto Real Vs Presupuesto 2026'!$A$88:$N$110,AI$1,0)</f>
        <v>13128.958657543071</v>
      </c>
      <c r="AJ110" s="65">
        <f>VLOOKUP($I110,'[15]Gasto Real Vs Presupuesto 2026'!$A$88:$N$110,AJ$1,0)</f>
        <v>13530.78151731797</v>
      </c>
      <c r="AK110" s="65">
        <f t="shared" si="66"/>
        <v>158658.41197826946</v>
      </c>
      <c r="AL110" s="73">
        <f t="shared" si="38"/>
        <v>2.6231081524772386E-3</v>
      </c>
      <c r="AM110" s="14">
        <f t="shared" si="39"/>
        <v>9.9161120775014489E-2</v>
      </c>
      <c r="AN110" s="9"/>
    </row>
    <row r="111" spans="1:40" ht="14.45" customHeight="1" outlineLevel="1">
      <c r="A111" s="12"/>
      <c r="I111" t="s">
        <v>406</v>
      </c>
      <c r="J111" s="65">
        <v>4797</v>
      </c>
      <c r="K111" s="65">
        <v>4080</v>
      </c>
      <c r="L111" s="65">
        <v>5257</v>
      </c>
      <c r="M111" s="65">
        <v>2479</v>
      </c>
      <c r="N111" s="65">
        <v>4047</v>
      </c>
      <c r="O111" s="65">
        <v>4079</v>
      </c>
      <c r="P111" s="65">
        <v>2681</v>
      </c>
      <c r="Q111" s="65">
        <v>3331</v>
      </c>
      <c r="R111" s="65">
        <v>4532</v>
      </c>
      <c r="S111" s="65">
        <v>2915</v>
      </c>
      <c r="T111" s="65">
        <f t="shared" si="69"/>
        <v>3592.6666666666665</v>
      </c>
      <c r="U111" s="65">
        <f t="shared" si="70"/>
        <v>3679.8888888888887</v>
      </c>
      <c r="V111" s="65">
        <f t="shared" si="71"/>
        <v>45470.555555555555</v>
      </c>
      <c r="W111" s="73">
        <f t="shared" si="37"/>
        <v>8.652615043392303E-4</v>
      </c>
      <c r="X111" s="89"/>
      <c r="Y111" s="65">
        <f>VLOOKUP($I111,'[15]Gasto Real Vs Presupuesto 2026'!$A$88:$N$110,Y$1,0)</f>
        <v>4171.4112186888824</v>
      </c>
      <c r="Z111" s="65">
        <f>VLOOKUP($I111,'[15]Gasto Real Vs Presupuesto 2026'!$A$88:$N$110,Z$1,0)</f>
        <v>3666.0807022711347</v>
      </c>
      <c r="AA111" s="65">
        <f>VLOOKUP($I111,'[15]Gasto Real Vs Presupuesto 2026'!$A$88:$N$110,AA$1,0)</f>
        <v>4008.6367502115127</v>
      </c>
      <c r="AB111" s="65">
        <f>VLOOKUP($I111,'[15]Gasto Real Vs Presupuesto 2026'!$A$88:$N$110,AB$1,0)</f>
        <v>3783.4879851180526</v>
      </c>
      <c r="AC111" s="65">
        <f>VLOOKUP($I111,'[15]Gasto Real Vs Presupuesto 2026'!$A$88:$N$110,AC$1,0)</f>
        <v>4008.6367502115127</v>
      </c>
      <c r="AD111" s="65">
        <f>VLOOKUP($I111,'[15]Gasto Real Vs Presupuesto 2026'!$A$88:$N$110,AD$1,0)</f>
        <v>3783.4879851180526</v>
      </c>
      <c r="AE111" s="65">
        <f>VLOOKUP($I111,'[15]Gasto Real Vs Presupuesto 2026'!$A$88:$N$110,AE$1,0)</f>
        <v>3897.6733344315116</v>
      </c>
      <c r="AF111" s="65">
        <f>VLOOKUP($I111,'[15]Gasto Real Vs Presupuesto 2026'!$A$88:$N$110,AF$1,0)</f>
        <v>3897.6733344315116</v>
      </c>
      <c r="AG111" s="65">
        <f>VLOOKUP($I111,'[15]Gasto Real Vs Presupuesto 2026'!$A$88:$N$110,AG$1,0)</f>
        <v>3894.4514008980518</v>
      </c>
      <c r="AH111" s="65">
        <f>VLOOKUP($I111,'[15]Gasto Real Vs Presupuesto 2026'!$A$88:$N$110,AH$1,0)</f>
        <v>3897.6733344315116</v>
      </c>
      <c r="AI111" s="65">
        <f>VLOOKUP($I111,'[15]Gasto Real Vs Presupuesto 2026'!$A$88:$N$110,AI$1,0)</f>
        <v>3894.4514008980518</v>
      </c>
      <c r="AJ111" s="65">
        <f>VLOOKUP($I111,'[15]Gasto Real Vs Presupuesto 2026'!$A$88:$N$110,AJ$1,0)</f>
        <v>4008.6367502115127</v>
      </c>
      <c r="AK111" s="65">
        <f t="shared" si="66"/>
        <v>46912.300946921299</v>
      </c>
      <c r="AL111" s="73">
        <f t="shared" si="38"/>
        <v>7.7560362246780357E-4</v>
      </c>
      <c r="AM111" s="14">
        <f t="shared" si="39"/>
        <v>3.1707230618817306E-2</v>
      </c>
      <c r="AN111" s="9"/>
    </row>
    <row r="112" spans="1:40" ht="14.45" customHeight="1" outlineLevel="1">
      <c r="A112" s="12"/>
      <c r="I112" s="170" t="s">
        <v>225</v>
      </c>
      <c r="J112" s="15">
        <v>49968</v>
      </c>
      <c r="K112" s="15">
        <v>52621</v>
      </c>
      <c r="L112" s="15">
        <v>28490</v>
      </c>
      <c r="M112" s="15">
        <v>48229</v>
      </c>
      <c r="N112" s="15">
        <v>33669</v>
      </c>
      <c r="O112" s="15">
        <v>5250</v>
      </c>
      <c r="P112" s="15">
        <v>49095</v>
      </c>
      <c r="Q112" s="15">
        <v>23965</v>
      </c>
      <c r="R112" s="15">
        <v>55228</v>
      </c>
      <c r="S112" s="15">
        <v>48019</v>
      </c>
      <c r="T112" s="15">
        <v>27721.72</v>
      </c>
      <c r="U112" s="15">
        <v>39081.72</v>
      </c>
      <c r="V112" s="15">
        <f t="shared" ref="K112:V112" si="72">SUM(V113:V147)</f>
        <v>461337.44</v>
      </c>
      <c r="W112" s="72">
        <f t="shared" si="37"/>
        <v>8.7788135083306292E-3</v>
      </c>
      <c r="X112" s="89"/>
      <c r="Y112" s="15">
        <f>SUM(Y113:Y147)</f>
        <v>61213.0723</v>
      </c>
      <c r="Z112" s="15">
        <f t="shared" ref="Z112:AK112" si="73">SUM(Z113:Z147)</f>
        <v>31546.693800000001</v>
      </c>
      <c r="AA112" s="15">
        <f t="shared" si="73"/>
        <v>30626.4899</v>
      </c>
      <c r="AB112" s="15">
        <f t="shared" si="73"/>
        <v>131601.52999999997</v>
      </c>
      <c r="AC112" s="15">
        <f t="shared" si="73"/>
        <v>34134.443799999994</v>
      </c>
      <c r="AD112" s="15">
        <f t="shared" si="73"/>
        <v>21673.91</v>
      </c>
      <c r="AE112" s="15">
        <f t="shared" si="73"/>
        <v>39400.409999999996</v>
      </c>
      <c r="AF112" s="15">
        <f t="shared" si="73"/>
        <v>31546.693800000001</v>
      </c>
      <c r="AG112" s="15">
        <f t="shared" si="73"/>
        <v>49052.305</v>
      </c>
      <c r="AH112" s="15">
        <f t="shared" si="73"/>
        <v>21673.91</v>
      </c>
      <c r="AI112" s="15">
        <f t="shared" si="73"/>
        <v>26371.193800000001</v>
      </c>
      <c r="AJ112" s="15">
        <f t="shared" si="73"/>
        <v>24882.720000000001</v>
      </c>
      <c r="AK112" s="15">
        <f>SUM(AK113:AK147)</f>
        <v>503723.37240000005</v>
      </c>
      <c r="AL112" s="72">
        <f t="shared" si="38"/>
        <v>8.3280859064487674E-3</v>
      </c>
      <c r="AM112" s="10">
        <f t="shared" si="39"/>
        <v>9.1876203240734311E-2</v>
      </c>
      <c r="AN112" s="9"/>
    </row>
    <row r="113" spans="1:40" ht="14.45" customHeight="1" outlineLevel="1">
      <c r="A113" s="12"/>
      <c r="I113" s="229" t="s">
        <v>226</v>
      </c>
      <c r="J113" s="65">
        <v>0</v>
      </c>
      <c r="K113" s="65">
        <v>7286</v>
      </c>
      <c r="L113" s="65">
        <v>8248</v>
      </c>
      <c r="M113" s="65">
        <v>10879</v>
      </c>
      <c r="N113" s="65">
        <v>4000</v>
      </c>
      <c r="O113" s="65">
        <v>2250</v>
      </c>
      <c r="P113" s="65">
        <v>3700</v>
      </c>
      <c r="Q113" s="65">
        <v>500</v>
      </c>
      <c r="R113" s="65">
        <v>32210</v>
      </c>
      <c r="S113" s="65">
        <v>0</v>
      </c>
      <c r="T113" s="65">
        <v>796.12</v>
      </c>
      <c r="U113" s="65">
        <v>796.12</v>
      </c>
      <c r="V113" s="65">
        <f t="shared" ref="V113:V161" si="74">SUM(J113:U113)</f>
        <v>70665.239999999991</v>
      </c>
      <c r="W113" s="73">
        <f t="shared" si="37"/>
        <v>1.3446924305155587E-3</v>
      </c>
      <c r="X113" s="89"/>
      <c r="Y113" s="65">
        <f>VLOOKUP($E$1,[4]Resumen!$C$27:$O$30,Y1,0)+VLOOKUP($E$1,[16]Resumen!$V$8:$AH$11,Y1,0)</f>
        <v>3533.51</v>
      </c>
      <c r="Z113" s="65">
        <f>VLOOKUP($E$1,[4]Resumen!$C$27:$O$30,Z1,0)+VLOOKUP($E$1,[16]Resumen!$V$8:$AH$11,Z1,0)</f>
        <v>3533.51</v>
      </c>
      <c r="AA113" s="65">
        <f>VLOOKUP($E$1,[4]Resumen!$C$27:$O$30,AA1,0)+VLOOKUP($E$1,[16]Resumen!$V$8:$AH$11,AA1,0)</f>
        <v>3533.51</v>
      </c>
      <c r="AB113" s="65">
        <f>VLOOKUP($E$1,[4]Resumen!$C$27:$O$30,AB1,0)+VLOOKUP($E$1,[16]Resumen!$V$8:$AH$11,AB1,0)</f>
        <v>3533.51</v>
      </c>
      <c r="AC113" s="65">
        <f>VLOOKUP($E$1,[4]Resumen!$C$27:$O$30,AC1,0)+VLOOKUP($E$1,[16]Resumen!$V$8:$AH$11,AC1,0)</f>
        <v>3533.51</v>
      </c>
      <c r="AD113" s="65">
        <f>VLOOKUP($E$1,[4]Resumen!$C$27:$O$30,AD1,0)+VLOOKUP($E$1,[16]Resumen!$V$8:$AH$11,AD1,0)</f>
        <v>3533.51</v>
      </c>
      <c r="AE113" s="65">
        <f>VLOOKUP($E$1,[4]Resumen!$C$27:$O$30,AE1,0)+VLOOKUP($E$1,[16]Resumen!$V$8:$AH$11,AE1,0)</f>
        <v>3533.51</v>
      </c>
      <c r="AF113" s="65">
        <f>VLOOKUP($E$1,[4]Resumen!$C$27:$O$30,AF1,0)+VLOOKUP($E$1,[16]Resumen!$V$8:$AH$11,AF1,0)</f>
        <v>3533.51</v>
      </c>
      <c r="AG113" s="65">
        <f>VLOOKUP($E$1,[4]Resumen!$C$27:$O$30,AG1,0)+VLOOKUP($E$1,[16]Resumen!$V$8:$AH$11,AG1,0)</f>
        <v>3533.51</v>
      </c>
      <c r="AH113" s="65">
        <f>VLOOKUP($E$1,[4]Resumen!$C$27:$O$30,AH1,0)+VLOOKUP($E$1,[16]Resumen!$V$8:$AH$11,AH1,0)</f>
        <v>3533.51</v>
      </c>
      <c r="AI113" s="65">
        <f>VLOOKUP($E$1,[4]Resumen!$C$27:$O$30,AI1,0)+VLOOKUP($E$1,[16]Resumen!$V$8:$AH$11,AI1,0)</f>
        <v>3533.51</v>
      </c>
      <c r="AJ113" s="65">
        <f>VLOOKUP($E$1,[4]Resumen!$C$27:$O$30,AJ1,0)+VLOOKUP($E$1,[16]Resumen!$V$8:$AH$11,AJ1,0)</f>
        <v>3533.51</v>
      </c>
      <c r="AK113" s="65">
        <f t="shared" si="66"/>
        <v>42402.120000000017</v>
      </c>
      <c r="AL113" s="73">
        <f t="shared" si="38"/>
        <v>7.0103655562588215E-4</v>
      </c>
      <c r="AM113" s="14">
        <f t="shared" si="39"/>
        <v>-0.39995788594222526</v>
      </c>
      <c r="AN113" s="9"/>
    </row>
    <row r="114" spans="1:40" ht="14.45" customHeight="1" outlineLevel="1">
      <c r="A114" s="12"/>
      <c r="I114" s="228" t="s">
        <v>227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/>
      <c r="U114" s="65"/>
      <c r="V114" s="65">
        <f t="shared" si="74"/>
        <v>0</v>
      </c>
      <c r="W114" s="73">
        <f t="shared" si="37"/>
        <v>0</v>
      </c>
      <c r="X114" s="89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>
        <f t="shared" si="66"/>
        <v>0</v>
      </c>
      <c r="AL114" s="73">
        <f t="shared" si="38"/>
        <v>0</v>
      </c>
      <c r="AM114" s="14">
        <f t="shared" si="39"/>
        <v>0</v>
      </c>
      <c r="AN114" s="9"/>
    </row>
    <row r="115" spans="1:40" ht="14.45" customHeight="1" outlineLevel="1">
      <c r="A115" s="12"/>
      <c r="I115" s="228" t="s">
        <v>228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/>
      <c r="U115" s="65"/>
      <c r="V115" s="65">
        <f t="shared" si="74"/>
        <v>0</v>
      </c>
      <c r="W115" s="73">
        <f t="shared" si="37"/>
        <v>0</v>
      </c>
      <c r="X115" s="89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>
        <f t="shared" si="66"/>
        <v>0</v>
      </c>
      <c r="AL115" s="73">
        <f t="shared" si="38"/>
        <v>0</v>
      </c>
      <c r="AM115" s="14">
        <f t="shared" si="39"/>
        <v>0</v>
      </c>
      <c r="AN115" s="9"/>
    </row>
    <row r="116" spans="1:40" ht="14.45" customHeight="1" outlineLevel="1">
      <c r="A116" s="12"/>
      <c r="I116" s="228" t="s">
        <v>229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f t="shared" si="74"/>
        <v>0</v>
      </c>
      <c r="W116" s="73">
        <f t="shared" si="37"/>
        <v>0</v>
      </c>
      <c r="X116" s="89"/>
      <c r="Y116" s="65">
        <f>VLOOKUP($E$1,[7]Resumen!$V$19:$AH$22,Y1,0)</f>
        <v>0</v>
      </c>
      <c r="Z116" s="65">
        <f>VLOOKUP($E$1,[7]Resumen!$V$19:$AH$22,Z1,0)</f>
        <v>0</v>
      </c>
      <c r="AA116" s="65">
        <f>VLOOKUP($E$1,[7]Resumen!$V$19:$AH$22,AA1,0)</f>
        <v>0</v>
      </c>
      <c r="AB116" s="65">
        <f>VLOOKUP($E$1,[7]Resumen!$V$19:$AH$22,AB1,0)</f>
        <v>109927.62</v>
      </c>
      <c r="AC116" s="65">
        <f>VLOOKUP($E$1,[7]Resumen!$V$19:$AH$22,AC1,0)</f>
        <v>0</v>
      </c>
      <c r="AD116" s="65">
        <f>VLOOKUP($E$1,[7]Resumen!$V$19:$AH$22,AD1,0)</f>
        <v>0</v>
      </c>
      <c r="AE116" s="65">
        <f>VLOOKUP($E$1,[7]Resumen!$V$19:$AH$22,AE1,0)</f>
        <v>0</v>
      </c>
      <c r="AF116" s="65">
        <f>VLOOKUP($E$1,[7]Resumen!$V$19:$AH$22,AF1,0)</f>
        <v>0</v>
      </c>
      <c r="AG116" s="65">
        <f>VLOOKUP($E$1,[7]Resumen!$V$19:$AH$22,AG1,0)</f>
        <v>0</v>
      </c>
      <c r="AH116" s="65">
        <f>VLOOKUP($E$1,[7]Resumen!$V$19:$AH$22,AH1,0)</f>
        <v>0</v>
      </c>
      <c r="AI116" s="65">
        <f>VLOOKUP($E$1,[7]Resumen!$V$19:$AH$22,AI1,0)</f>
        <v>0</v>
      </c>
      <c r="AJ116" s="65">
        <f>VLOOKUP($E$1,[7]Resumen!$V$19:$AH$22,AJ1,0)</f>
        <v>0</v>
      </c>
      <c r="AK116" s="65">
        <f t="shared" si="66"/>
        <v>109927.62</v>
      </c>
      <c r="AL116" s="73">
        <f t="shared" si="38"/>
        <v>1.8174393189055358E-3</v>
      </c>
      <c r="AM116" s="14">
        <f t="shared" si="39"/>
        <v>0</v>
      </c>
      <c r="AN116" s="9"/>
    </row>
    <row r="117" spans="1:40" ht="14.45" customHeight="1" outlineLevel="1">
      <c r="A117" s="12"/>
      <c r="I117" s="228" t="s">
        <v>230</v>
      </c>
      <c r="J117" s="65">
        <v>0</v>
      </c>
      <c r="K117" s="65">
        <v>2250</v>
      </c>
      <c r="L117" s="65">
        <v>0</v>
      </c>
      <c r="M117" s="65">
        <v>15000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9400</v>
      </c>
      <c r="T117" s="65">
        <v>0</v>
      </c>
      <c r="U117" s="65">
        <v>0</v>
      </c>
      <c r="V117" s="65">
        <f t="shared" si="74"/>
        <v>26650</v>
      </c>
      <c r="W117" s="73">
        <f t="shared" si="37"/>
        <v>5.071241995815715E-4</v>
      </c>
      <c r="X117" s="89"/>
      <c r="Y117" s="65">
        <f>VLOOKUP($E$1,[7]Resumen!$V$28:$AH$31,Y1,0)</f>
        <v>0</v>
      </c>
      <c r="Z117" s="65">
        <f>VLOOKUP($E$1,[7]Resumen!$V$28:$AH$31,Z1,0)</f>
        <v>0</v>
      </c>
      <c r="AA117" s="65">
        <f>VLOOKUP($E$1,[7]Resumen!$V$28:$AH$31,AA1,0)</f>
        <v>0</v>
      </c>
      <c r="AB117" s="65">
        <f>VLOOKUP($E$1,[7]Resumen!$V$28:$AH$31,AB1,0)</f>
        <v>0</v>
      </c>
      <c r="AC117" s="65">
        <f>VLOOKUP($E$1,[7]Resumen!$V$28:$AH$31,AC1,0)</f>
        <v>0</v>
      </c>
      <c r="AD117" s="65">
        <f>VLOOKUP($E$1,[7]Resumen!$V$28:$AH$31,AD1,0)</f>
        <v>0</v>
      </c>
      <c r="AE117" s="65">
        <f>VLOOKUP($E$1,[7]Resumen!$V$28:$AH$31,AE1,0)</f>
        <v>0</v>
      </c>
      <c r="AF117" s="65">
        <f>VLOOKUP($E$1,[7]Resumen!$V$28:$AH$31,AF1,0)</f>
        <v>0</v>
      </c>
      <c r="AG117" s="65">
        <f>VLOOKUP($E$1,[7]Resumen!$V$28:$AH$31,AG1,0)</f>
        <v>24842.399999999998</v>
      </c>
      <c r="AH117" s="65">
        <f>VLOOKUP($E$1,[7]Resumen!$V$28:$AH$31,AH1,0)</f>
        <v>0</v>
      </c>
      <c r="AI117" s="65">
        <f>VLOOKUP($E$1,[7]Resumen!$V$28:$AH$31,AI1,0)</f>
        <v>0</v>
      </c>
      <c r="AJ117" s="65">
        <f>VLOOKUP($E$1,[7]Resumen!$V$28:$AH$31,AJ1,0)</f>
        <v>0</v>
      </c>
      <c r="AK117" s="65">
        <f t="shared" si="66"/>
        <v>24842.399999999998</v>
      </c>
      <c r="AL117" s="73">
        <f t="shared" si="38"/>
        <v>4.1072075003514933E-4</v>
      </c>
      <c r="AM117" s="14">
        <f t="shared" si="39"/>
        <v>-6.7827392120075158E-2</v>
      </c>
      <c r="AN117" s="9"/>
    </row>
    <row r="118" spans="1:40" ht="14.45" customHeight="1" outlineLevel="1">
      <c r="A118" s="12"/>
      <c r="I118" s="228" t="s">
        <v>231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/>
      <c r="U118" s="65"/>
      <c r="V118" s="65">
        <f t="shared" si="74"/>
        <v>0</v>
      </c>
      <c r="W118" s="73">
        <f t="shared" si="37"/>
        <v>0</v>
      </c>
      <c r="X118" s="89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>
        <f t="shared" si="66"/>
        <v>0</v>
      </c>
      <c r="AL118" s="73">
        <f t="shared" si="38"/>
        <v>0</v>
      </c>
      <c r="AM118" s="14">
        <f t="shared" si="39"/>
        <v>0</v>
      </c>
      <c r="AN118" s="9"/>
    </row>
    <row r="119" spans="1:40" ht="14.45" customHeight="1" outlineLevel="1">
      <c r="A119" s="12"/>
      <c r="E119" s="7" t="s">
        <v>254</v>
      </c>
      <c r="I119" s="228" t="s">
        <v>232</v>
      </c>
      <c r="J119" s="65">
        <v>37688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4"/>
        <v>37688</v>
      </c>
      <c r="W119" s="73">
        <f>V119/V$6</f>
        <v>7.1716686055648272E-4</v>
      </c>
      <c r="X119" s="89"/>
      <c r="Y119" s="65">
        <f>VLOOKUP($E$1,[6]Resumen!$V$53:$AH$56,Y1,0)</f>
        <v>37339.162299999996</v>
      </c>
      <c r="Z119" s="65">
        <f>VLOOKUP($E$1,[6]Resumen!$V$53:$AH$56,Z1,0)</f>
        <v>0</v>
      </c>
      <c r="AA119" s="65">
        <f>VLOOKUP($E$1,[6]Resumen!$V$53:$AH$56,AA1,0)</f>
        <v>0</v>
      </c>
      <c r="AB119" s="65">
        <f>VLOOKUP($E$1,[6]Resumen!$V$53:$AH$56,AB1,0)</f>
        <v>0</v>
      </c>
      <c r="AC119" s="65">
        <f>VLOOKUP($E$1,[6]Resumen!$V$53:$AH$56,AC1,0)</f>
        <v>0</v>
      </c>
      <c r="AD119" s="65">
        <f>VLOOKUP($E$1,[6]Resumen!$V$53:$AH$56,AD1,0)</f>
        <v>0</v>
      </c>
      <c r="AE119" s="65">
        <f>VLOOKUP($E$1,[6]Resumen!$V$53:$AH$56,AE1,0)</f>
        <v>0</v>
      </c>
      <c r="AF119" s="65">
        <f>VLOOKUP($E$1,[6]Resumen!$V$53:$AH$56,AF1,0)</f>
        <v>0</v>
      </c>
      <c r="AG119" s="65">
        <f>VLOOKUP($E$1,[6]Resumen!$V$53:$AH$56,AG1,0)</f>
        <v>0</v>
      </c>
      <c r="AH119" s="65">
        <f>VLOOKUP($E$1,[6]Resumen!$V$53:$AH$56,AH1,0)</f>
        <v>0</v>
      </c>
      <c r="AI119" s="65">
        <f>VLOOKUP($E$1,[6]Resumen!$V$53:$AH$56,AI1,0)</f>
        <v>0</v>
      </c>
      <c r="AJ119" s="65">
        <f>VLOOKUP($E$1,[6]Resumen!$V$53:$AH$56,AJ1,0)</f>
        <v>0</v>
      </c>
      <c r="AK119" s="65">
        <f t="shared" si="66"/>
        <v>37339.162299999996</v>
      </c>
      <c r="AL119" s="73">
        <f>AK119/AK$6</f>
        <v>6.173304006674142E-4</v>
      </c>
      <c r="AM119" s="14">
        <f>IFERROR(AK119/V119-1,0)</f>
        <v>-9.2559355763108808E-3</v>
      </c>
      <c r="AN119" s="9"/>
    </row>
    <row r="120" spans="1:40" ht="14.45" customHeight="1" outlineLevel="1">
      <c r="A120" s="12"/>
      <c r="I120" s="228" t="s">
        <v>233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74"/>
        <v>0</v>
      </c>
      <c r="W120" s="73">
        <f>V120/V$6</f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6"/>
        <v>0</v>
      </c>
      <c r="AL120" s="73">
        <f>AK120/AK$6</f>
        <v>0</v>
      </c>
      <c r="AM120" s="14">
        <f>IFERROR(AK120/V120-1,0)</f>
        <v>0</v>
      </c>
      <c r="AN120" s="9"/>
    </row>
    <row r="121" spans="1:40" ht="14.45" customHeight="1" outlineLevel="1">
      <c r="A121" s="12"/>
      <c r="I121" s="228" t="s">
        <v>234</v>
      </c>
      <c r="J121" s="65">
        <v>8300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/>
      <c r="T121" s="65">
        <v>0</v>
      </c>
      <c r="U121" s="65">
        <v>0</v>
      </c>
      <c r="V121" s="65">
        <f t="shared" si="74"/>
        <v>8300</v>
      </c>
      <c r="W121" s="73">
        <f>V121/V$6</f>
        <v>1.579411203199641E-4</v>
      </c>
      <c r="X121" s="89"/>
      <c r="Y121" s="65">
        <f>VLOOKUP($E$1,[7]Resumen!$V$37:$AH$40,Y1,0)</f>
        <v>0</v>
      </c>
      <c r="Z121" s="65">
        <f>VLOOKUP($E$1,[7]Resumen!$V$37:$AH$40,Z1,0)</f>
        <v>0</v>
      </c>
      <c r="AA121" s="65">
        <f>VLOOKUP($E$1,[7]Resumen!$V$37:$AH$40,AA1,0)</f>
        <v>0</v>
      </c>
      <c r="AB121" s="65">
        <f>VLOOKUP($E$1,[7]Resumen!$V$37:$AH$40,AB1,0)</f>
        <v>0</v>
      </c>
      <c r="AC121" s="65">
        <f>VLOOKUP($E$1,[7]Resumen!$V$37:$AH$40,AC1,0)</f>
        <v>7763.2499999999991</v>
      </c>
      <c r="AD121" s="65">
        <f>VLOOKUP($E$1,[7]Resumen!$V$37:$AH$40,AD1,0)</f>
        <v>0</v>
      </c>
      <c r="AE121" s="65">
        <f>VLOOKUP($E$1,[7]Resumen!$V$37:$AH$40,AE1,0)</f>
        <v>0</v>
      </c>
      <c r="AF121" s="65">
        <f>VLOOKUP($E$1,[7]Resumen!$V$37:$AH$40,AF1,0)</f>
        <v>0</v>
      </c>
      <c r="AG121" s="65">
        <f>VLOOKUP($E$1,[7]Resumen!$V$37:$AH$40,AG1,0)</f>
        <v>0</v>
      </c>
      <c r="AH121" s="65">
        <f>VLOOKUP($E$1,[7]Resumen!$V$37:$AH$40,AH1,0)</f>
        <v>0</v>
      </c>
      <c r="AI121" s="65">
        <f>VLOOKUP($E$1,[7]Resumen!$V$37:$AH$40,AI1,0)</f>
        <v>0</v>
      </c>
      <c r="AJ121" s="65">
        <f>VLOOKUP($E$1,[7]Resumen!$V$37:$AH$40,AJ1,0)</f>
        <v>0</v>
      </c>
      <c r="AK121" s="65">
        <f t="shared" si="66"/>
        <v>7763.2499999999991</v>
      </c>
      <c r="AL121" s="73">
        <f>AK121/AK$6</f>
        <v>1.2835023438598415E-4</v>
      </c>
      <c r="AM121" s="14">
        <f>IFERROR(AK121/V121-1,0)</f>
        <v>-6.4668674698795336E-2</v>
      </c>
      <c r="AN121" s="9"/>
    </row>
    <row r="122" spans="1:40" ht="14.45" customHeight="1" outlineLevel="1">
      <c r="A122" s="12"/>
      <c r="I122" s="228" t="s">
        <v>235</v>
      </c>
      <c r="J122" s="65">
        <v>0</v>
      </c>
      <c r="K122" s="65">
        <v>0</v>
      </c>
      <c r="L122" s="65">
        <v>0</v>
      </c>
      <c r="M122" s="65">
        <v>0</v>
      </c>
      <c r="N122" s="65">
        <v>17319</v>
      </c>
      <c r="O122" s="65">
        <v>0</v>
      </c>
      <c r="P122" s="65">
        <v>0</v>
      </c>
      <c r="Q122" s="65">
        <v>0</v>
      </c>
      <c r="R122" s="65">
        <v>0</v>
      </c>
      <c r="S122" s="65">
        <v>7100</v>
      </c>
      <c r="T122" s="65"/>
      <c r="U122" s="65"/>
      <c r="V122" s="65">
        <f t="shared" si="74"/>
        <v>24419</v>
      </c>
      <c r="W122" s="73">
        <f>V122/V$6</f>
        <v>4.6467038760159078E-4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6"/>
        <v>0</v>
      </c>
      <c r="AL122" s="73">
        <f>AK122/AK$6</f>
        <v>0</v>
      </c>
      <c r="AM122" s="14">
        <f>IFERROR(AK122/V122-1,0)</f>
        <v>-1</v>
      </c>
      <c r="AN122" s="9"/>
    </row>
    <row r="123" spans="1:40" ht="14.45" customHeight="1" outlineLevel="1">
      <c r="A123" s="12"/>
      <c r="I123" s="228" t="s">
        <v>236</v>
      </c>
      <c r="J123" s="65">
        <v>1980</v>
      </c>
      <c r="K123" s="65">
        <v>13085</v>
      </c>
      <c r="L123" s="65">
        <v>868</v>
      </c>
      <c r="M123" s="65">
        <v>3200</v>
      </c>
      <c r="N123" s="65">
        <v>12000</v>
      </c>
      <c r="O123" s="65">
        <v>0</v>
      </c>
      <c r="P123" s="65">
        <v>1021</v>
      </c>
      <c r="Q123" s="65">
        <v>3415</v>
      </c>
      <c r="R123" s="65">
        <v>8668</v>
      </c>
      <c r="S123" s="65">
        <v>8128</v>
      </c>
      <c r="T123" s="65">
        <v>5553.6</v>
      </c>
      <c r="U123" s="65">
        <v>5553.6</v>
      </c>
      <c r="V123" s="65">
        <f t="shared" ref="V123:V134" si="75">SUM(J123:U123)</f>
        <v>63472.2</v>
      </c>
      <c r="W123" s="73">
        <f t="shared" ref="W123:W134" si="76">V123/V$6</f>
        <v>1.2078157080931114E-3</v>
      </c>
      <c r="X123" s="89"/>
      <c r="Y123" s="65">
        <f>VLOOKUP($E$1,[7]Resumen!$V$46:$AH$49,Y1,0)</f>
        <v>4140.3999999999996</v>
      </c>
      <c r="Z123" s="65">
        <f>VLOOKUP($E$1,[7]Resumen!$V$46:$AH$49,Z1,0)</f>
        <v>4140.3999999999996</v>
      </c>
      <c r="AA123" s="65">
        <f>VLOOKUP($E$1,[7]Resumen!$V$46:$AH$49,AA1,0)</f>
        <v>4140.3999999999996</v>
      </c>
      <c r="AB123" s="65">
        <f>VLOOKUP($E$1,[7]Resumen!$V$46:$AH$49,AB1,0)</f>
        <v>4140.3999999999996</v>
      </c>
      <c r="AC123" s="65">
        <f>VLOOKUP($E$1,[7]Resumen!$V$46:$AH$49,AC1,0)</f>
        <v>4140.3999999999996</v>
      </c>
      <c r="AD123" s="65">
        <f>VLOOKUP($E$1,[7]Resumen!$V$46:$AH$49,AD1,0)</f>
        <v>4140.3999999999996</v>
      </c>
      <c r="AE123" s="65">
        <f>VLOOKUP($E$1,[7]Resumen!$V$46:$AH$49,AE1,0)</f>
        <v>4140.3999999999996</v>
      </c>
      <c r="AF123" s="65">
        <f>VLOOKUP($E$1,[7]Resumen!$V$46:$AH$49,AF1,0)</f>
        <v>4140.3999999999996</v>
      </c>
      <c r="AG123" s="65">
        <f>VLOOKUP($E$1,[7]Resumen!$V$46:$AH$49,AG1,0)</f>
        <v>4140.3999999999996</v>
      </c>
      <c r="AH123" s="65">
        <f>VLOOKUP($E$1,[7]Resumen!$V$46:$AH$49,AH1,0)</f>
        <v>4140.3999999999996</v>
      </c>
      <c r="AI123" s="65">
        <f>VLOOKUP($E$1,[7]Resumen!$V$46:$AH$49,AI1,0)</f>
        <v>4140.3999999999996</v>
      </c>
      <c r="AJ123" s="65">
        <f>VLOOKUP($E$1,[7]Resumen!$V$46:$AH$49,AJ1,0)</f>
        <v>4140.3999999999996</v>
      </c>
      <c r="AK123" s="65">
        <f t="shared" si="66"/>
        <v>49684.80000000001</v>
      </c>
      <c r="AL123" s="73">
        <f t="shared" ref="AL123:AL133" si="77">AK123/AK$6</f>
        <v>8.2144150007029888E-4</v>
      </c>
      <c r="AM123" s="14">
        <f t="shared" ref="AM123:AM133" si="78">IFERROR(AK123/V123-1,0)</f>
        <v>-0.21721950712280313</v>
      </c>
      <c r="AN123" s="9"/>
    </row>
    <row r="124" spans="1:40" ht="14.45" customHeight="1" outlineLevel="1">
      <c r="A124" s="12"/>
      <c r="I124" s="228" t="s">
        <v>237</v>
      </c>
      <c r="J124" s="65">
        <v>0</v>
      </c>
      <c r="K124" s="65">
        <v>0</v>
      </c>
      <c r="L124" s="65">
        <v>0</v>
      </c>
      <c r="M124" s="65">
        <v>350</v>
      </c>
      <c r="N124" s="65">
        <v>350</v>
      </c>
      <c r="O124" s="65">
        <v>0</v>
      </c>
      <c r="P124" s="65">
        <v>0</v>
      </c>
      <c r="Q124" s="65">
        <v>0</v>
      </c>
      <c r="R124" s="65">
        <v>350</v>
      </c>
      <c r="S124" s="65">
        <v>3300</v>
      </c>
      <c r="T124" s="65">
        <v>0</v>
      </c>
      <c r="U124" s="65">
        <v>0</v>
      </c>
      <c r="V124" s="65">
        <f t="shared" si="75"/>
        <v>4350</v>
      </c>
      <c r="W124" s="73">
        <f t="shared" si="76"/>
        <v>8.2776370288173952E-5</v>
      </c>
      <c r="X124" s="89"/>
      <c r="Y124" s="65">
        <f>VLOOKUP($E$1,[7]Resumen!$V$55:$AH$58,Y1,0)</f>
        <v>0</v>
      </c>
      <c r="Z124" s="65">
        <f>VLOOKUP($E$1,[7]Resumen!$V$55:$AH$58,Z1,0)</f>
        <v>0</v>
      </c>
      <c r="AA124" s="65">
        <f>VLOOKUP($E$1,[7]Resumen!$V$55:$AH$58,AA1,0)</f>
        <v>362.28499999999997</v>
      </c>
      <c r="AB124" s="65">
        <f>VLOOKUP($E$1,[7]Resumen!$V$55:$AH$58,AB1,0)</f>
        <v>0</v>
      </c>
      <c r="AC124" s="65">
        <f>VLOOKUP($E$1,[7]Resumen!$V$55:$AH$58,AC1,0)</f>
        <v>0</v>
      </c>
      <c r="AD124" s="65">
        <f>VLOOKUP($E$1,[7]Resumen!$V$55:$AH$58,AD1,0)</f>
        <v>0</v>
      </c>
      <c r="AE124" s="65">
        <f>VLOOKUP($E$1,[7]Resumen!$V$55:$AH$58,AE1,0)</f>
        <v>0</v>
      </c>
      <c r="AF124" s="65">
        <f>VLOOKUP($E$1,[7]Resumen!$V$55:$AH$58,AF1,0)</f>
        <v>0</v>
      </c>
      <c r="AG124" s="65">
        <f>VLOOKUP($E$1,[7]Resumen!$V$55:$AH$58,AG1,0)</f>
        <v>2535.9949999999999</v>
      </c>
      <c r="AH124" s="65">
        <f>VLOOKUP($E$1,[7]Resumen!$V$55:$AH$58,AH1,0)</f>
        <v>0</v>
      </c>
      <c r="AI124" s="65">
        <f>VLOOKUP($E$1,[7]Resumen!$V$55:$AH$58,AI1,0)</f>
        <v>0</v>
      </c>
      <c r="AJ124" s="65">
        <f>VLOOKUP($E$1,[7]Resumen!$V$55:$AH$58,AJ1,0)</f>
        <v>0</v>
      </c>
      <c r="AK124" s="65">
        <f t="shared" si="66"/>
        <v>2898.2799999999997</v>
      </c>
      <c r="AL124" s="73">
        <f t="shared" si="77"/>
        <v>4.7917420837434083E-5</v>
      </c>
      <c r="AM124" s="14">
        <f t="shared" si="78"/>
        <v>-0.33372873563218397</v>
      </c>
      <c r="AN124" s="9"/>
    </row>
    <row r="125" spans="1:40" ht="14.45" customHeight="1" outlineLevel="1">
      <c r="A125" s="12"/>
      <c r="I125" s="228" t="s">
        <v>238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f t="shared" si="75"/>
        <v>0</v>
      </c>
      <c r="W125" s="73">
        <f t="shared" si="76"/>
        <v>0</v>
      </c>
      <c r="X125" s="89"/>
      <c r="Y125" s="65">
        <f>VLOOKUP($E$1,[6]Resumen!$V$62:$AH$65,Y1,0)</f>
        <v>0</v>
      </c>
      <c r="Z125" s="65">
        <f>VLOOKUP($E$1,[6]Resumen!$V$62:$AH$65,Z1,0)</f>
        <v>0</v>
      </c>
      <c r="AA125" s="65">
        <f>VLOOKUP($E$1,[6]Resumen!$V$62:$AH$65,AA1,0)</f>
        <v>3621.8148999999999</v>
      </c>
      <c r="AB125" s="65">
        <f>VLOOKUP($E$1,[6]Resumen!$V$62:$AH$65,AB1,0)</f>
        <v>0</v>
      </c>
      <c r="AC125" s="65">
        <f>VLOOKUP($E$1,[6]Resumen!$V$62:$AH$65,AC1,0)</f>
        <v>0</v>
      </c>
      <c r="AD125" s="65">
        <f>VLOOKUP($E$1,[6]Resumen!$V$62:$AH$65,AD1,0)</f>
        <v>0</v>
      </c>
      <c r="AE125" s="65">
        <f>VLOOKUP($E$1,[6]Resumen!$V$62:$AH$65,AE1,0)</f>
        <v>0</v>
      </c>
      <c r="AF125" s="65">
        <f>VLOOKUP($E$1,[6]Resumen!$V$62:$AH$65,AF1,0)</f>
        <v>0</v>
      </c>
      <c r="AG125" s="65">
        <f>VLOOKUP($E$1,[6]Resumen!$V$62:$AH$65,AG1,0)</f>
        <v>0</v>
      </c>
      <c r="AH125" s="65">
        <f>VLOOKUP($E$1,[6]Resumen!$V$62:$AH$65,AH1,0)</f>
        <v>0</v>
      </c>
      <c r="AI125" s="65">
        <f>VLOOKUP($E$1,[6]Resumen!$V$62:$AH$65,AI1,0)</f>
        <v>0</v>
      </c>
      <c r="AJ125" s="65">
        <f>VLOOKUP($E$1,[6]Resumen!$V$62:$AH$65,AJ1,0)</f>
        <v>0</v>
      </c>
      <c r="AK125" s="65">
        <f t="shared" si="66"/>
        <v>3621.8148999999999</v>
      </c>
      <c r="AL125" s="73">
        <f t="shared" si="77"/>
        <v>5.9879662682207815E-5</v>
      </c>
      <c r="AM125" s="14">
        <f t="shared" si="78"/>
        <v>0</v>
      </c>
      <c r="AN125" s="9"/>
    </row>
    <row r="126" spans="1:40" ht="14.45" customHeight="1" outlineLevel="1">
      <c r="A126" s="12"/>
      <c r="I126" s="228" t="s">
        <v>239</v>
      </c>
      <c r="J126" s="65">
        <v>0</v>
      </c>
      <c r="K126" s="65">
        <v>0</v>
      </c>
      <c r="L126" s="65">
        <v>0</v>
      </c>
      <c r="M126" s="65">
        <v>4800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5500</v>
      </c>
      <c r="U126" s="65">
        <v>5500</v>
      </c>
      <c r="V126" s="65">
        <f t="shared" si="75"/>
        <v>15800</v>
      </c>
      <c r="W126" s="73">
        <f t="shared" si="76"/>
        <v>3.0065900012716059E-4</v>
      </c>
      <c r="X126" s="89"/>
      <c r="Y126" s="65">
        <f>VLOOKUP($E$1,[4]Resumen!$C$36:$O$39,Y1,0)+VLOOKUP($E$1,[7]Resumen!$V$64:$AH$67,Y1,0)</f>
        <v>0</v>
      </c>
      <c r="Z126" s="65">
        <f>VLOOKUP($E$1,[4]Resumen!$C$36:$O$39,Z1,0)+VLOOKUP($E$1,[7]Resumen!$V$64:$AH$67,Z1,0)</f>
        <v>5175.5</v>
      </c>
      <c r="AA126" s="65">
        <f>VLOOKUP($E$1,[4]Resumen!$C$36:$O$39,AA1,0)+VLOOKUP($E$1,[7]Resumen!$V$64:$AH$67,AA1,0)</f>
        <v>0</v>
      </c>
      <c r="AB126" s="65">
        <f>VLOOKUP($E$1,[4]Resumen!$C$36:$O$39,AB1,0)+VLOOKUP($E$1,[7]Resumen!$V$64:$AH$67,AB1,0)</f>
        <v>0</v>
      </c>
      <c r="AC126" s="65">
        <f>VLOOKUP($E$1,[4]Resumen!$C$36:$O$39,AC1,0)+VLOOKUP($E$1,[7]Resumen!$V$64:$AH$67,AC1,0)</f>
        <v>0</v>
      </c>
      <c r="AD126" s="65">
        <f>VLOOKUP($E$1,[4]Resumen!$C$36:$O$39,AD1,0)+VLOOKUP($E$1,[7]Resumen!$V$64:$AH$67,AD1,0)</f>
        <v>0</v>
      </c>
      <c r="AE126" s="65">
        <f>VLOOKUP($E$1,[4]Resumen!$C$36:$O$39,AE1,0)+VLOOKUP($E$1,[7]Resumen!$V$64:$AH$67,AE1,0)</f>
        <v>0</v>
      </c>
      <c r="AF126" s="65">
        <f>VLOOKUP($E$1,[4]Resumen!$C$36:$O$39,AF1,0)+VLOOKUP($E$1,[7]Resumen!$V$64:$AH$67,AF1,0)</f>
        <v>5175.5</v>
      </c>
      <c r="AG126" s="65">
        <f>VLOOKUP($E$1,[4]Resumen!$C$36:$O$39,AG1,0)+VLOOKUP($E$1,[7]Resumen!$V$64:$AH$67,AG1,0)</f>
        <v>0</v>
      </c>
      <c r="AH126" s="65">
        <f>VLOOKUP($E$1,[4]Resumen!$C$36:$O$39,AH1,0)+VLOOKUP($E$1,[7]Resumen!$V$64:$AH$67,AH1,0)</f>
        <v>0</v>
      </c>
      <c r="AI126" s="65">
        <f>VLOOKUP($E$1,[4]Resumen!$C$36:$O$39,AI1,0)+VLOOKUP($E$1,[7]Resumen!$V$64:$AH$67,AI1,0)</f>
        <v>0</v>
      </c>
      <c r="AJ126" s="65">
        <f>VLOOKUP($E$1,[4]Resumen!$C$36:$O$39,AJ1,0)+VLOOKUP($E$1,[7]Resumen!$V$64:$AH$67,AJ1,0)</f>
        <v>0</v>
      </c>
      <c r="AK126" s="65">
        <f t="shared" si="66"/>
        <v>10351</v>
      </c>
      <c r="AL126" s="73">
        <f t="shared" si="77"/>
        <v>1.711336458479789E-4</v>
      </c>
      <c r="AM126" s="14">
        <f t="shared" si="78"/>
        <v>-0.34487341772151903</v>
      </c>
      <c r="AN126" s="9"/>
    </row>
    <row r="127" spans="1:40" ht="14.45" customHeight="1" outlineLevel="1">
      <c r="A127" s="12"/>
      <c r="I127" s="228" t="s">
        <v>241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2080</v>
      </c>
      <c r="V127" s="65">
        <f t="shared" si="75"/>
        <v>2080</v>
      </c>
      <c r="W127" s="73">
        <f t="shared" si="76"/>
        <v>3.9580425333195819E-5</v>
      </c>
      <c r="X127" s="89"/>
      <c r="Y127" s="65">
        <f>VLOOKUP($E$1,[7]Resumen!$V$73:$AH$76,Y1,0)</f>
        <v>0</v>
      </c>
      <c r="Z127" s="65">
        <f>VLOOKUP($E$1,[7]Resumen!$V$73:$AH$76,Z1,0)</f>
        <v>0</v>
      </c>
      <c r="AA127" s="65">
        <f>VLOOKUP($E$1,[7]Resumen!$V$73:$AH$76,AA1,0)</f>
        <v>0</v>
      </c>
      <c r="AB127" s="65">
        <f>VLOOKUP($E$1,[7]Resumen!$V$73:$AH$76,AB1,0)</f>
        <v>0</v>
      </c>
      <c r="AC127" s="65">
        <f>VLOOKUP($E$1,[7]Resumen!$V$73:$AH$76,AC1,0)</f>
        <v>0</v>
      </c>
      <c r="AD127" s="65">
        <f>VLOOKUP($E$1,[7]Resumen!$V$73:$AH$76,AD1,0)</f>
        <v>0</v>
      </c>
      <c r="AE127" s="65">
        <f>VLOOKUP($E$1,[7]Resumen!$V$73:$AH$76,AE1,0)</f>
        <v>0</v>
      </c>
      <c r="AF127" s="65">
        <f>VLOOKUP($E$1,[7]Resumen!$V$73:$AH$76,AF1,0)</f>
        <v>0</v>
      </c>
      <c r="AG127" s="65">
        <f>VLOOKUP($E$1,[7]Resumen!$V$73:$AH$76,AG1,0)</f>
        <v>0</v>
      </c>
      <c r="AH127" s="65">
        <f>VLOOKUP($E$1,[7]Resumen!$V$73:$AH$76,AH1,0)</f>
        <v>0</v>
      </c>
      <c r="AI127" s="65">
        <f>VLOOKUP($E$1,[7]Resumen!$V$73:$AH$76,AI1,0)</f>
        <v>0</v>
      </c>
      <c r="AJ127" s="65">
        <f>VLOOKUP($E$1,[7]Resumen!$V$73:$AH$76,AJ1,0)</f>
        <v>0</v>
      </c>
      <c r="AK127" s="65">
        <f t="shared" si="66"/>
        <v>0</v>
      </c>
      <c r="AL127" s="73">
        <f t="shared" si="77"/>
        <v>0</v>
      </c>
      <c r="AM127" s="14">
        <f t="shared" si="78"/>
        <v>-1</v>
      </c>
      <c r="AN127" s="9"/>
    </row>
    <row r="128" spans="1:40" ht="14.45" customHeight="1">
      <c r="A128" s="12" t="s">
        <v>240</v>
      </c>
      <c r="B128" s="8" t="s">
        <v>101</v>
      </c>
      <c r="I128" s="228" t="s">
        <v>242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/>
      <c r="U128" s="65"/>
      <c r="V128" s="65">
        <f t="shared" si="75"/>
        <v>0</v>
      </c>
      <c r="W128" s="73">
        <f t="shared" si="76"/>
        <v>0</v>
      </c>
      <c r="X128" s="89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>
        <f t="shared" si="66"/>
        <v>0</v>
      </c>
      <c r="AL128" s="73">
        <f t="shared" si="77"/>
        <v>0</v>
      </c>
      <c r="AM128" s="14">
        <f t="shared" si="78"/>
        <v>0</v>
      </c>
      <c r="AN128" s="9"/>
    </row>
    <row r="129" spans="1:40" ht="14.45" customHeight="1" outlineLevel="1">
      <c r="A129" s="12" t="s">
        <v>240</v>
      </c>
      <c r="B129" s="8" t="s">
        <v>101</v>
      </c>
      <c r="I129" s="228" t="s">
        <v>243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75"/>
        <v>0</v>
      </c>
      <c r="W129" s="73">
        <f t="shared" si="76"/>
        <v>0</v>
      </c>
      <c r="X129" s="89"/>
      <c r="Y129" s="65">
        <f>VLOOKUP($E$1,[7]Resumen!$V$82:$AH$85,Y1,0)</f>
        <v>0</v>
      </c>
      <c r="Z129" s="65">
        <f>VLOOKUP($E$1,[7]Resumen!$V$82:$AH$85,Z1,0)</f>
        <v>0</v>
      </c>
      <c r="AA129" s="65">
        <f>VLOOKUP($E$1,[7]Resumen!$V$82:$AH$85,AA1,0)</f>
        <v>0</v>
      </c>
      <c r="AB129" s="65">
        <f>VLOOKUP($E$1,[7]Resumen!$V$82:$AH$85,AB1,0)</f>
        <v>0</v>
      </c>
      <c r="AC129" s="65">
        <f>VLOOKUP($E$1,[7]Resumen!$V$82:$AH$85,AC1,0)</f>
        <v>0</v>
      </c>
      <c r="AD129" s="65">
        <f>VLOOKUP($E$1,[7]Resumen!$V$82:$AH$85,AD1,0)</f>
        <v>0</v>
      </c>
      <c r="AE129" s="65">
        <f>VLOOKUP($E$1,[7]Resumen!$V$82:$AH$85,AE1,0)</f>
        <v>0</v>
      </c>
      <c r="AF129" s="65">
        <f>VLOOKUP($E$1,[7]Resumen!$V$82:$AH$85,AF1,0)</f>
        <v>0</v>
      </c>
      <c r="AG129" s="65">
        <f>VLOOKUP($E$1,[7]Resumen!$V$82:$AH$85,AG1,0)</f>
        <v>0</v>
      </c>
      <c r="AH129" s="65">
        <f>VLOOKUP($E$1,[7]Resumen!$V$82:$AH$85,AH1,0)</f>
        <v>0</v>
      </c>
      <c r="AI129" s="65">
        <f>VLOOKUP($E$1,[7]Resumen!$V$82:$AH$85,AI1,0)</f>
        <v>0</v>
      </c>
      <c r="AJ129" s="65">
        <f>VLOOKUP($E$1,[7]Resumen!$V$82:$AH$85,AJ1,0)</f>
        <v>0</v>
      </c>
      <c r="AK129" s="65">
        <f t="shared" si="66"/>
        <v>0</v>
      </c>
      <c r="AL129" s="73">
        <f t="shared" si="77"/>
        <v>0</v>
      </c>
      <c r="AM129" s="14">
        <f t="shared" si="78"/>
        <v>0</v>
      </c>
      <c r="AN129" s="9"/>
    </row>
    <row r="130" spans="1:40" ht="14.45" customHeight="1" outlineLevel="1">
      <c r="A130" s="12" t="s">
        <v>240</v>
      </c>
      <c r="B130" s="8" t="s">
        <v>101</v>
      </c>
      <c r="I130" s="228" t="s">
        <v>244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75"/>
        <v>0</v>
      </c>
      <c r="W130" s="73">
        <f t="shared" si="76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66"/>
        <v>0</v>
      </c>
      <c r="AL130" s="73">
        <f t="shared" si="77"/>
        <v>0</v>
      </c>
      <c r="AM130" s="14">
        <f t="shared" si="78"/>
        <v>0</v>
      </c>
      <c r="AN130" s="9"/>
    </row>
    <row r="131" spans="1:40" ht="14.45" customHeight="1" outlineLevel="1">
      <c r="A131" s="12" t="s">
        <v>240</v>
      </c>
      <c r="B131" s="8" t="s">
        <v>101</v>
      </c>
      <c r="I131" s="228" t="s">
        <v>245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/>
      <c r="U131" s="65"/>
      <c r="V131" s="65">
        <f t="shared" si="75"/>
        <v>0</v>
      </c>
      <c r="W131" s="73">
        <f t="shared" si="76"/>
        <v>0</v>
      </c>
      <c r="X131" s="89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>
        <f t="shared" si="66"/>
        <v>0</v>
      </c>
      <c r="AL131" s="73">
        <f t="shared" si="77"/>
        <v>0</v>
      </c>
      <c r="AM131" s="14">
        <f t="shared" si="78"/>
        <v>0</v>
      </c>
      <c r="AN131" s="9"/>
    </row>
    <row r="132" spans="1:40" ht="14.45" customHeight="1" outlineLevel="1">
      <c r="A132" s="12" t="s">
        <v>240</v>
      </c>
      <c r="B132" s="8" t="s">
        <v>101</v>
      </c>
      <c r="I132" s="228" t="s">
        <v>247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75"/>
        <v>0</v>
      </c>
      <c r="W132" s="73">
        <f t="shared" si="76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66"/>
        <v>0</v>
      </c>
      <c r="AL132" s="73">
        <f t="shared" si="77"/>
        <v>0</v>
      </c>
      <c r="AM132" s="14">
        <f t="shared" si="78"/>
        <v>0</v>
      </c>
      <c r="AN132" s="9"/>
    </row>
    <row r="133" spans="1:40" ht="14.45" customHeight="1" outlineLevel="1">
      <c r="A133" s="12" t="s">
        <v>240</v>
      </c>
      <c r="B133" s="8" t="s">
        <v>101</v>
      </c>
      <c r="C133" s="19" t="s">
        <v>246</v>
      </c>
      <c r="D133" s="12"/>
      <c r="E133" s="20"/>
      <c r="F133" s="12"/>
      <c r="G133" s="12"/>
      <c r="H133" s="12"/>
      <c r="I133" s="228" t="s">
        <v>248</v>
      </c>
      <c r="J133" s="65">
        <v>0</v>
      </c>
      <c r="K133" s="65">
        <v>0</v>
      </c>
      <c r="L133" s="65">
        <v>2374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1480</v>
      </c>
      <c r="V133" s="65">
        <f t="shared" si="75"/>
        <v>3854</v>
      </c>
      <c r="W133" s="73">
        <f t="shared" si="76"/>
        <v>7.3337961170258029E-5</v>
      </c>
      <c r="X133" s="89"/>
      <c r="Y133" s="65">
        <f>VLOOKUP($E$1,[4]Resumen!$C$18:$O$21,Y1,0)+VLOOKUP($E$1,[7]Resumen!$V$91:$AH$94,Y1,0)</f>
        <v>2200</v>
      </c>
      <c r="Z133" s="65">
        <f>VLOOKUP($E$1,[4]Resumen!$C$18:$O$21,Z1,0)+VLOOKUP($E$1,[7]Resumen!$V$91:$AH$94,Z1,0)</f>
        <v>0</v>
      </c>
      <c r="AA133" s="65">
        <f>VLOOKUP($E$1,[4]Resumen!$C$18:$O$21,AA1,0)+VLOOKUP($E$1,[7]Resumen!$V$91:$AH$94,AA1,0)</f>
        <v>0</v>
      </c>
      <c r="AB133" s="65">
        <f>VLOOKUP($E$1,[4]Resumen!$C$18:$O$21,AB1,0)+VLOOKUP($E$1,[7]Resumen!$V$91:$AH$94,AB1,0)</f>
        <v>0</v>
      </c>
      <c r="AC133" s="65">
        <f>VLOOKUP($E$1,[4]Resumen!$C$18:$O$21,AC1,0)+VLOOKUP($E$1,[7]Resumen!$V$91:$AH$94,AC1,0)</f>
        <v>0</v>
      </c>
      <c r="AD133" s="65">
        <f>VLOOKUP($E$1,[4]Resumen!$C$18:$O$21,AD1,0)+VLOOKUP($E$1,[7]Resumen!$V$91:$AH$94,AD1,0)</f>
        <v>0</v>
      </c>
      <c r="AE133" s="65">
        <f>VLOOKUP($E$1,[4]Resumen!$C$18:$O$21,AE1,0)+VLOOKUP($E$1,[7]Resumen!$V$91:$AH$94,AE1,0)</f>
        <v>2200</v>
      </c>
      <c r="AF133" s="65">
        <f>VLOOKUP($E$1,[4]Resumen!$C$18:$O$21,AF1,0)+VLOOKUP($E$1,[7]Resumen!$V$91:$AH$94,AF1,0)</f>
        <v>0</v>
      </c>
      <c r="AG133" s="65">
        <f>VLOOKUP($E$1,[4]Resumen!$C$18:$O$21,AG1,0)+VLOOKUP($E$1,[7]Resumen!$V$91:$AH$94,AG1,0)</f>
        <v>0</v>
      </c>
      <c r="AH133" s="65">
        <f>VLOOKUP($E$1,[4]Resumen!$C$18:$O$21,AH1,0)+VLOOKUP($E$1,[7]Resumen!$V$91:$AH$94,AH1,0)</f>
        <v>0</v>
      </c>
      <c r="AI133" s="65">
        <f>VLOOKUP($E$1,[4]Resumen!$C$18:$O$21,AI1,0)+VLOOKUP($E$1,[7]Resumen!$V$91:$AH$94,AI1,0)</f>
        <v>0</v>
      </c>
      <c r="AJ133" s="65">
        <f>VLOOKUP($E$1,[4]Resumen!$C$18:$O$21,AJ1,0)+VLOOKUP($E$1,[7]Resumen!$V$91:$AH$94,AJ1,0)</f>
        <v>0</v>
      </c>
      <c r="AK133" s="65">
        <f t="shared" si="66"/>
        <v>4400</v>
      </c>
      <c r="AL133" s="73">
        <f t="shared" si="77"/>
        <v>7.274543925525139E-5</v>
      </c>
      <c r="AM133" s="14">
        <f t="shared" si="78"/>
        <v>0.14167099117799697</v>
      </c>
      <c r="AN133" s="9"/>
    </row>
    <row r="134" spans="1:40" ht="14.45" customHeight="1" outlineLevel="1">
      <c r="A134" s="12" t="s">
        <v>240</v>
      </c>
      <c r="B134" s="8" t="s">
        <v>101</v>
      </c>
      <c r="I134" s="228" t="s">
        <v>249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75"/>
        <v>0</v>
      </c>
      <c r="W134" s="73">
        <f t="shared" si="76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6"/>
        <v>0</v>
      </c>
      <c r="AL134" s="73">
        <f t="shared" si="38"/>
        <v>0</v>
      </c>
      <c r="AM134" s="14">
        <f t="shared" si="39"/>
        <v>0</v>
      </c>
      <c r="AN134" s="9"/>
    </row>
    <row r="135" spans="1:40" ht="14.45" customHeight="1" outlineLevel="1">
      <c r="A135" s="12"/>
      <c r="I135" s="228" t="s">
        <v>250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3050</v>
      </c>
      <c r="R135" s="65">
        <v>0</v>
      </c>
      <c r="S135" s="65">
        <v>6091</v>
      </c>
      <c r="T135" s="65">
        <v>0</v>
      </c>
      <c r="U135" s="65">
        <v>0</v>
      </c>
      <c r="V135" s="65">
        <f t="shared" si="74"/>
        <v>9141</v>
      </c>
      <c r="W135" s="73">
        <f t="shared" si="37"/>
        <v>1.7394455190901107E-4</v>
      </c>
      <c r="X135" s="89"/>
      <c r="Y135" s="65">
        <f>VLOOKUP($E$1,[7]Resumen!$V$100:$AH$103,Y1,0)</f>
        <v>0</v>
      </c>
      <c r="Z135" s="65">
        <f>VLOOKUP($E$1,[7]Resumen!$V$100:$AH$103,Z1,0)</f>
        <v>0</v>
      </c>
      <c r="AA135" s="65">
        <f>VLOOKUP($E$1,[7]Resumen!$V$100:$AH$103,AA1,0)</f>
        <v>0</v>
      </c>
      <c r="AB135" s="65">
        <f>VLOOKUP($E$1,[7]Resumen!$V$100:$AH$103,AB1,0)</f>
        <v>0</v>
      </c>
      <c r="AC135" s="65">
        <f>VLOOKUP($E$1,[7]Resumen!$V$100:$AH$103,AC1,0)</f>
        <v>0</v>
      </c>
      <c r="AD135" s="65">
        <f>VLOOKUP($E$1,[7]Resumen!$V$100:$AH$103,AD1,0)</f>
        <v>0</v>
      </c>
      <c r="AE135" s="65">
        <f>VLOOKUP($E$1,[7]Resumen!$V$100:$AH$103,AE1,0)</f>
        <v>15526.499999999998</v>
      </c>
      <c r="AF135" s="65">
        <f>VLOOKUP($E$1,[7]Resumen!$V$100:$AH$103,AF1,0)</f>
        <v>0</v>
      </c>
      <c r="AG135" s="65">
        <f>VLOOKUP($E$1,[7]Resumen!$V$100:$AH$103,AG1,0)</f>
        <v>0</v>
      </c>
      <c r="AH135" s="65">
        <f>VLOOKUP($E$1,[7]Resumen!$V$100:$AH$103,AH1,0)</f>
        <v>0</v>
      </c>
      <c r="AI135" s="65">
        <f>VLOOKUP($E$1,[7]Resumen!$V$100:$AH$103,AI1,0)</f>
        <v>0</v>
      </c>
      <c r="AJ135" s="65">
        <f>VLOOKUP($E$1,[7]Resumen!$V$100:$AH$103,AJ1,0)</f>
        <v>0</v>
      </c>
      <c r="AK135" s="65">
        <f t="shared" si="66"/>
        <v>15526.499999999998</v>
      </c>
      <c r="AL135" s="73">
        <f t="shared" si="38"/>
        <v>2.567004687719683E-4</v>
      </c>
      <c r="AM135" s="14">
        <f t="shared" si="39"/>
        <v>0.69855595667870007</v>
      </c>
      <c r="AN135" s="9"/>
    </row>
    <row r="136" spans="1:40" ht="14.45" customHeight="1">
      <c r="I136" s="228" t="s">
        <v>251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74"/>
        <v>0</v>
      </c>
      <c r="W136" s="73">
        <f t="shared" si="37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6"/>
        <v>0</v>
      </c>
      <c r="AL136" s="73">
        <f t="shared" si="38"/>
        <v>0</v>
      </c>
      <c r="AM136" s="14">
        <f t="shared" si="39"/>
        <v>0</v>
      </c>
      <c r="AN136" s="9"/>
    </row>
    <row r="137" spans="1:40" ht="14.45" customHeight="1">
      <c r="I137" s="228" t="s">
        <v>252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/>
      <c r="U137" s="65"/>
      <c r="V137" s="65">
        <f t="shared" si="74"/>
        <v>0</v>
      </c>
      <c r="W137" s="73">
        <f t="shared" si="37"/>
        <v>0</v>
      </c>
      <c r="X137" s="89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>
        <f t="shared" si="66"/>
        <v>0</v>
      </c>
      <c r="AL137" s="73">
        <f t="shared" si="38"/>
        <v>0</v>
      </c>
      <c r="AM137" s="14">
        <f t="shared" si="39"/>
        <v>0</v>
      </c>
      <c r="AN137" s="9"/>
    </row>
    <row r="138" spans="1:40" ht="14.45" customHeight="1">
      <c r="I138" s="228" t="s">
        <v>253</v>
      </c>
      <c r="J138" s="65">
        <v>2000</v>
      </c>
      <c r="K138" s="65">
        <v>2000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f t="shared" si="74"/>
        <v>4000</v>
      </c>
      <c r="W138" s="73">
        <f t="shared" si="37"/>
        <v>7.6116202563838114E-5</v>
      </c>
      <c r="X138" s="89"/>
      <c r="Y138" s="65">
        <f>VLOOKUP($E$1,[7]Resumen!$V$109:$AH$112,Y1,0)</f>
        <v>0</v>
      </c>
      <c r="Z138" s="65">
        <f>VLOOKUP($E$1,[7]Resumen!$V$109:$AH$112,Z1,0)</f>
        <v>0</v>
      </c>
      <c r="AA138" s="65">
        <f>VLOOKUP($E$1,[7]Resumen!$V$109:$AH$112,AA1,0)</f>
        <v>4968.4799999999996</v>
      </c>
      <c r="AB138" s="65">
        <f>VLOOKUP($E$1,[7]Resumen!$V$109:$AH$112,AB1,0)</f>
        <v>0</v>
      </c>
      <c r="AC138" s="65">
        <f>VLOOKUP($E$1,[7]Resumen!$V$109:$AH$112,AC1,0)</f>
        <v>0</v>
      </c>
      <c r="AD138" s="65">
        <f>VLOOKUP($E$1,[7]Resumen!$V$109:$AH$112,AD1,0)</f>
        <v>0</v>
      </c>
      <c r="AE138" s="65">
        <f>VLOOKUP($E$1,[7]Resumen!$V$109:$AH$112,AE1,0)</f>
        <v>0</v>
      </c>
      <c r="AF138" s="65">
        <f>VLOOKUP($E$1,[7]Resumen!$V$109:$AH$112,AF1,0)</f>
        <v>0</v>
      </c>
      <c r="AG138" s="65">
        <f>VLOOKUP($E$1,[7]Resumen!$V$109:$AH$112,AG1,0)</f>
        <v>0</v>
      </c>
      <c r="AH138" s="65">
        <f>VLOOKUP($E$1,[7]Resumen!$V$109:$AH$112,AH1,0)</f>
        <v>0</v>
      </c>
      <c r="AI138" s="65">
        <f>VLOOKUP($E$1,[7]Resumen!$V$109:$AH$112,AI1,0)</f>
        <v>0</v>
      </c>
      <c r="AJ138" s="65">
        <f>VLOOKUP($E$1,[7]Resumen!$V$109:$AH$112,AJ1,0)</f>
        <v>0</v>
      </c>
      <c r="AK138" s="65">
        <f t="shared" si="66"/>
        <v>4968.4799999999996</v>
      </c>
      <c r="AL138" s="73">
        <f t="shared" si="38"/>
        <v>8.214415000702986E-5</v>
      </c>
      <c r="AM138" s="14">
        <f t="shared" si="39"/>
        <v>0.24211999999999989</v>
      </c>
      <c r="AN138" s="9"/>
    </row>
    <row r="139" spans="1:40" ht="15.6" customHeight="1">
      <c r="I139" s="228" t="s">
        <v>254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f t="shared" si="74"/>
        <v>0</v>
      </c>
      <c r="W139" s="73">
        <f t="shared" si="37"/>
        <v>0</v>
      </c>
      <c r="X139" s="89"/>
      <c r="Y139" s="65">
        <f>VLOOKUP($E$1,[7]Resumen!$V$118:$AH$121,Y1,0)</f>
        <v>0</v>
      </c>
      <c r="Z139" s="65">
        <f>VLOOKUP($E$1,[7]Resumen!$V$118:$AH$121,Z1,0)</f>
        <v>0</v>
      </c>
      <c r="AA139" s="65">
        <f>VLOOKUP($E$1,[7]Resumen!$V$118:$AH$121,AA1,0)</f>
        <v>0</v>
      </c>
      <c r="AB139" s="65">
        <f>VLOOKUP($E$1,[7]Resumen!$V$118:$AH$121,AB1,0)</f>
        <v>0</v>
      </c>
      <c r="AC139" s="65">
        <f>VLOOKUP($E$1,[7]Resumen!$V$118:$AH$121,AC1,0)</f>
        <v>0</v>
      </c>
      <c r="AD139" s="65">
        <f>VLOOKUP($E$1,[7]Resumen!$V$118:$AH$121,AD1,0)</f>
        <v>0</v>
      </c>
      <c r="AE139" s="65">
        <f>VLOOKUP($E$1,[7]Resumen!$V$118:$AH$121,AE1,0)</f>
        <v>0</v>
      </c>
      <c r="AF139" s="65">
        <f>VLOOKUP($E$1,[7]Resumen!$V$118:$AH$121,AF1,0)</f>
        <v>0</v>
      </c>
      <c r="AG139" s="65">
        <f>VLOOKUP($E$1,[7]Resumen!$V$118:$AH$121,AG1,0)</f>
        <v>0</v>
      </c>
      <c r="AH139" s="65">
        <f>VLOOKUP($E$1,[7]Resumen!$V$118:$AH$121,AH1,0)</f>
        <v>0</v>
      </c>
      <c r="AI139" s="65">
        <f>VLOOKUP($E$1,[7]Resumen!$V$118:$AH$121,AI1,0)</f>
        <v>0</v>
      </c>
      <c r="AJ139" s="65">
        <f>VLOOKUP($E$1,[7]Resumen!$V$118:$AH$121,AJ1,0)</f>
        <v>0</v>
      </c>
      <c r="AK139" s="65">
        <f t="shared" si="66"/>
        <v>0</v>
      </c>
      <c r="AL139" s="73">
        <f t="shared" si="38"/>
        <v>0</v>
      </c>
      <c r="AM139" s="14">
        <f t="shared" si="39"/>
        <v>0</v>
      </c>
      <c r="AN139" s="9"/>
    </row>
    <row r="140" spans="1:40" ht="14.45" customHeight="1">
      <c r="I140" s="228" t="s">
        <v>255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4"/>
        <v>0</v>
      </c>
      <c r="W140" s="73">
        <f t="shared" si="37"/>
        <v>0</v>
      </c>
      <c r="X140" s="89"/>
      <c r="Y140" s="65">
        <f>VLOOKUP($E$1,[7]Resumen!$V$127:$AH$130,Y1,0)</f>
        <v>0</v>
      </c>
      <c r="Z140" s="65">
        <f>VLOOKUP($E$1,[7]Resumen!$V$127:$AH$130,Z1,0)</f>
        <v>0</v>
      </c>
      <c r="AA140" s="65">
        <f>VLOOKUP($E$1,[7]Resumen!$V$127:$AH$130,AA1,0)</f>
        <v>0</v>
      </c>
      <c r="AB140" s="65">
        <f>VLOOKUP($E$1,[7]Resumen!$V$127:$AH$130,AB1,0)</f>
        <v>0</v>
      </c>
      <c r="AC140" s="65">
        <f>VLOOKUP($E$1,[7]Resumen!$V$127:$AH$130,AC1,0)</f>
        <v>0</v>
      </c>
      <c r="AD140" s="65">
        <f>VLOOKUP($E$1,[7]Resumen!$V$127:$AH$130,AD1,0)</f>
        <v>0</v>
      </c>
      <c r="AE140" s="65">
        <f>VLOOKUP($E$1,[7]Resumen!$V$127:$AH$130,AE1,0)</f>
        <v>0</v>
      </c>
      <c r="AF140" s="65">
        <f>VLOOKUP($E$1,[7]Resumen!$V$127:$AH$130,AF1,0)</f>
        <v>0</v>
      </c>
      <c r="AG140" s="65">
        <f>VLOOKUP($E$1,[7]Resumen!$V$127:$AH$130,AG1,0)</f>
        <v>0</v>
      </c>
      <c r="AH140" s="65">
        <f>VLOOKUP($E$1,[7]Resumen!$V$127:$AH$130,AH1,0)</f>
        <v>0</v>
      </c>
      <c r="AI140" s="65">
        <f>VLOOKUP($E$1,[7]Resumen!$V$127:$AH$130,AI1,0)</f>
        <v>0</v>
      </c>
      <c r="AJ140" s="65">
        <f>VLOOKUP($E$1,[7]Resumen!$V$127:$AH$130,AJ1,0)</f>
        <v>0</v>
      </c>
      <c r="AK140" s="65">
        <f t="shared" si="66"/>
        <v>0</v>
      </c>
      <c r="AL140" s="73">
        <f t="shared" si="38"/>
        <v>0</v>
      </c>
      <c r="AM140" s="14">
        <f t="shared" si="39"/>
        <v>0</v>
      </c>
      <c r="AN140" s="9"/>
    </row>
    <row r="141" spans="1:40" ht="15">
      <c r="I141" s="228" t="s">
        <v>256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/>
      <c r="U141" s="65"/>
      <c r="V141" s="65">
        <f t="shared" si="74"/>
        <v>0</v>
      </c>
      <c r="W141" s="73">
        <f t="shared" si="37"/>
        <v>0</v>
      </c>
      <c r="X141" s="89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>
        <f t="shared" si="66"/>
        <v>0</v>
      </c>
      <c r="AL141" s="73">
        <f t="shared" si="38"/>
        <v>0</v>
      </c>
      <c r="AM141" s="14">
        <f t="shared" si="39"/>
        <v>0</v>
      </c>
    </row>
    <row r="142" spans="1:40" ht="15">
      <c r="I142" s="228" t="s">
        <v>257</v>
      </c>
      <c r="J142" s="65">
        <v>0</v>
      </c>
      <c r="K142" s="65">
        <v>0</v>
      </c>
      <c r="L142" s="65">
        <v>3000</v>
      </c>
      <c r="M142" s="65">
        <v>0</v>
      </c>
      <c r="N142" s="65">
        <v>0</v>
      </c>
      <c r="O142" s="65">
        <v>3000</v>
      </c>
      <c r="P142" s="65">
        <v>0</v>
      </c>
      <c r="Q142" s="65">
        <v>3000</v>
      </c>
      <c r="R142" s="65">
        <v>0</v>
      </c>
      <c r="S142" s="65">
        <v>0</v>
      </c>
      <c r="T142" s="65">
        <v>1872</v>
      </c>
      <c r="U142" s="65">
        <v>1872</v>
      </c>
      <c r="V142" s="65">
        <f t="shared" si="74"/>
        <v>12744</v>
      </c>
      <c r="W142" s="73">
        <f t="shared" si="37"/>
        <v>2.4250622136838825E-4</v>
      </c>
      <c r="X142" s="89"/>
      <c r="Y142" s="65">
        <f>VLOOKUP($E$1,[7]Resumen!$V$136:$AH$139,Y1,0)</f>
        <v>0</v>
      </c>
      <c r="Z142" s="65">
        <f>VLOOKUP($E$1,[7]Resumen!$V$136:$AH$139,Z1,0)</f>
        <v>3726.3599999999997</v>
      </c>
      <c r="AA142" s="65">
        <f>VLOOKUP($E$1,[7]Resumen!$V$136:$AH$139,AA1,0)</f>
        <v>0</v>
      </c>
      <c r="AB142" s="65">
        <f>VLOOKUP($E$1,[7]Resumen!$V$136:$AH$139,AB1,0)</f>
        <v>0</v>
      </c>
      <c r="AC142" s="65">
        <f>VLOOKUP($E$1,[7]Resumen!$V$136:$AH$139,AC1,0)</f>
        <v>3726.3599999999997</v>
      </c>
      <c r="AD142" s="65">
        <f>VLOOKUP($E$1,[7]Resumen!$V$136:$AH$139,AD1,0)</f>
        <v>0</v>
      </c>
      <c r="AE142" s="65">
        <f>VLOOKUP($E$1,[7]Resumen!$V$136:$AH$139,AE1,0)</f>
        <v>0</v>
      </c>
      <c r="AF142" s="65">
        <f>VLOOKUP($E$1,[7]Resumen!$V$136:$AH$139,AF1,0)</f>
        <v>3726.3599999999997</v>
      </c>
      <c r="AG142" s="65">
        <f>VLOOKUP($E$1,[7]Resumen!$V$136:$AH$139,AG1,0)</f>
        <v>0</v>
      </c>
      <c r="AH142" s="65">
        <f>VLOOKUP($E$1,[7]Resumen!$V$136:$AH$139,AH1,0)</f>
        <v>0</v>
      </c>
      <c r="AI142" s="65">
        <f>VLOOKUP($E$1,[7]Resumen!$V$136:$AH$139,AI1,0)</f>
        <v>3726.3599999999997</v>
      </c>
      <c r="AJ142" s="65">
        <f>VLOOKUP($E$1,[7]Resumen!$V$136:$AH$139,AJ1,0)</f>
        <v>0</v>
      </c>
      <c r="AK142" s="65">
        <f t="shared" si="66"/>
        <v>14905.439999999999</v>
      </c>
      <c r="AL142" s="73">
        <f t="shared" si="38"/>
        <v>2.4643245002108961E-4</v>
      </c>
      <c r="AM142" s="14">
        <f t="shared" si="39"/>
        <v>0.16960451977401125</v>
      </c>
    </row>
    <row r="143" spans="1:40" ht="15">
      <c r="I143" s="228" t="s">
        <v>258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4160</v>
      </c>
      <c r="V143" s="65">
        <f t="shared" si="74"/>
        <v>4160</v>
      </c>
      <c r="W143" s="73">
        <f t="shared" si="37"/>
        <v>7.9160850666391638E-5</v>
      </c>
      <c r="X143" s="89"/>
      <c r="Y143" s="65">
        <f>VLOOKUP($E$1,[7]Resumen!$V$145:$AH$148,Y1,0)</f>
        <v>0</v>
      </c>
      <c r="Z143" s="65">
        <f>VLOOKUP($E$1,[7]Resumen!$V$145:$AH$148,Z1,0)</f>
        <v>970.92379999999991</v>
      </c>
      <c r="AA143" s="65">
        <f>VLOOKUP($E$1,[7]Resumen!$V$145:$AH$148,AA1,0)</f>
        <v>0</v>
      </c>
      <c r="AB143" s="65">
        <f>VLOOKUP($E$1,[7]Resumen!$V$145:$AH$148,AB1,0)</f>
        <v>0</v>
      </c>
      <c r="AC143" s="65">
        <f>VLOOKUP($E$1,[7]Resumen!$V$145:$AH$148,AC1,0)</f>
        <v>970.92379999999991</v>
      </c>
      <c r="AD143" s="65">
        <f>VLOOKUP($E$1,[7]Resumen!$V$145:$AH$148,AD1,0)</f>
        <v>0</v>
      </c>
      <c r="AE143" s="65">
        <f>VLOOKUP($E$1,[7]Resumen!$V$145:$AH$148,AE1,0)</f>
        <v>0</v>
      </c>
      <c r="AF143" s="65">
        <f>VLOOKUP($E$1,[7]Resumen!$V$145:$AH$148,AF1,0)</f>
        <v>970.92379999999991</v>
      </c>
      <c r="AG143" s="65">
        <f>VLOOKUP($E$1,[7]Resumen!$V$145:$AH$148,AG1,0)</f>
        <v>0</v>
      </c>
      <c r="AH143" s="65">
        <f>VLOOKUP($E$1,[7]Resumen!$V$145:$AH$148,AH1,0)</f>
        <v>0</v>
      </c>
      <c r="AI143" s="65">
        <f>VLOOKUP($E$1,[7]Resumen!$V$145:$AH$148,AI1,0)</f>
        <v>970.92379999999991</v>
      </c>
      <c r="AJ143" s="65">
        <f>VLOOKUP($E$1,[7]Resumen!$V$145:$AH$148,AJ1,0)</f>
        <v>0</v>
      </c>
      <c r="AK143" s="65">
        <f t="shared" si="66"/>
        <v>3883.6951999999997</v>
      </c>
      <c r="AL143" s="73">
        <f t="shared" si="38"/>
        <v>6.4209343922161673E-5</v>
      </c>
      <c r="AM143" s="14">
        <f t="shared" ref="AM143:AM161" si="79">IFERROR(AK143/V143-1,0)</f>
        <v>-6.6419423076923167E-2</v>
      </c>
    </row>
    <row r="144" spans="1:40" ht="15">
      <c r="I144" s="228" t="s">
        <v>259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/>
      <c r="U144" s="65"/>
      <c r="V144" s="65">
        <f t="shared" si="74"/>
        <v>0</v>
      </c>
      <c r="W144" s="73">
        <f t="shared" si="37"/>
        <v>0</v>
      </c>
      <c r="X144" s="89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>
        <f t="shared" si="66"/>
        <v>0</v>
      </c>
      <c r="AL144" s="73">
        <f t="shared" si="38"/>
        <v>0</v>
      </c>
      <c r="AM144" s="14">
        <f t="shared" si="79"/>
        <v>0</v>
      </c>
    </row>
    <row r="145" spans="1:40" ht="15">
      <c r="I145" s="228" t="s">
        <v>260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/>
      <c r="U145" s="65"/>
      <c r="V145" s="65">
        <f t="shared" si="74"/>
        <v>0</v>
      </c>
      <c r="W145" s="73">
        <f t="shared" si="37"/>
        <v>0</v>
      </c>
      <c r="X145" s="89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>
        <f t="shared" si="66"/>
        <v>0</v>
      </c>
      <c r="AL145" s="73">
        <f t="shared" si="38"/>
        <v>0</v>
      </c>
      <c r="AM145" s="14">
        <f t="shared" si="79"/>
        <v>0</v>
      </c>
    </row>
    <row r="146" spans="1:40" ht="15">
      <c r="I146" s="228" t="s">
        <v>261</v>
      </c>
      <c r="J146" s="65"/>
      <c r="K146" s="65"/>
      <c r="L146" s="65"/>
      <c r="M146" s="65"/>
      <c r="N146" s="65"/>
      <c r="O146" s="65">
        <v>0</v>
      </c>
      <c r="P146" s="65">
        <v>2374</v>
      </c>
      <c r="Q146" s="65">
        <v>0</v>
      </c>
      <c r="R146" s="65">
        <v>0</v>
      </c>
      <c r="S146" s="65"/>
      <c r="T146" s="65">
        <v>0</v>
      </c>
      <c r="U146" s="65">
        <v>3640</v>
      </c>
      <c r="V146" s="65">
        <f t="shared" si="74"/>
        <v>6014</v>
      </c>
      <c r="W146" s="73">
        <f t="shared" si="37"/>
        <v>1.1444071055473061E-4</v>
      </c>
      <c r="X146" s="89"/>
      <c r="Y146" s="65">
        <f>VLOOKUP($E$1,[7]Resumen!$V$163:$AH$166,Y1,0)</f>
        <v>0</v>
      </c>
      <c r="Z146" s="65">
        <f>VLOOKUP($E$1,[7]Resumen!$V$163:$AH$166,Z1,0)</f>
        <v>0</v>
      </c>
      <c r="AA146" s="65">
        <f>VLOOKUP($E$1,[7]Resumen!$V$163:$AH$166,AA1,0)</f>
        <v>0</v>
      </c>
      <c r="AB146" s="65">
        <f>VLOOKUP($E$1,[7]Resumen!$V$163:$AH$166,AB1,0)</f>
        <v>0</v>
      </c>
      <c r="AC146" s="65">
        <f>VLOOKUP($E$1,[7]Resumen!$V$163:$AH$166,AC1,0)</f>
        <v>0</v>
      </c>
      <c r="AD146" s="65">
        <f>VLOOKUP($E$1,[7]Resumen!$V$163:$AH$166,AD1,0)</f>
        <v>0</v>
      </c>
      <c r="AE146" s="65">
        <f>VLOOKUP($E$1,[7]Resumen!$V$163:$AH$166,AE1,0)</f>
        <v>0</v>
      </c>
      <c r="AF146" s="65">
        <f>VLOOKUP($E$1,[7]Resumen!$V$163:$AH$166,AF1,0)</f>
        <v>0</v>
      </c>
      <c r="AG146" s="65">
        <f>VLOOKUP($E$1,[7]Resumen!$V$163:$AH$166,AG1,0)</f>
        <v>0</v>
      </c>
      <c r="AH146" s="65">
        <f>VLOOKUP($E$1,[7]Resumen!$V$163:$AH$166,AH1,0)</f>
        <v>0</v>
      </c>
      <c r="AI146" s="65">
        <f>VLOOKUP($E$1,[7]Resumen!$V$163:$AH$166,AI1,0)</f>
        <v>0</v>
      </c>
      <c r="AJ146" s="65">
        <f>VLOOKUP($E$1,[7]Resumen!$V$163:$AH$166,AJ1,0)</f>
        <v>3208.8099999999995</v>
      </c>
      <c r="AK146" s="65">
        <f t="shared" si="66"/>
        <v>3208.8099999999995</v>
      </c>
      <c r="AL146" s="73">
        <f t="shared" si="38"/>
        <v>5.3051430212873448E-5</v>
      </c>
      <c r="AM146" s="14">
        <f t="shared" si="79"/>
        <v>-0.46644329896907222</v>
      </c>
    </row>
    <row r="147" spans="1:40" ht="15">
      <c r="I147" s="228" t="s">
        <v>471</v>
      </c>
      <c r="J147" s="65">
        <v>0</v>
      </c>
      <c r="K147" s="65">
        <v>28000</v>
      </c>
      <c r="L147" s="65">
        <v>14000</v>
      </c>
      <c r="M147" s="65">
        <v>14000</v>
      </c>
      <c r="N147" s="65">
        <v>0</v>
      </c>
      <c r="O147" s="65">
        <v>0</v>
      </c>
      <c r="P147" s="65">
        <v>42000</v>
      </c>
      <c r="Q147" s="65">
        <v>14000</v>
      </c>
      <c r="R147" s="65">
        <v>14000</v>
      </c>
      <c r="S147" s="65">
        <v>14000</v>
      </c>
      <c r="T147" s="65">
        <v>14000</v>
      </c>
      <c r="U147" s="65">
        <v>14000</v>
      </c>
      <c r="V147" s="65">
        <f t="shared" si="74"/>
        <v>168000</v>
      </c>
      <c r="W147" s="73"/>
      <c r="X147" s="89"/>
      <c r="Y147" s="65">
        <v>14000</v>
      </c>
      <c r="Z147" s="65">
        <v>14000</v>
      </c>
      <c r="AA147" s="65">
        <v>14000</v>
      </c>
      <c r="AB147" s="65">
        <v>14000</v>
      </c>
      <c r="AC147" s="65">
        <v>14000</v>
      </c>
      <c r="AD147" s="65">
        <v>14000</v>
      </c>
      <c r="AE147" s="65">
        <v>14000</v>
      </c>
      <c r="AF147" s="65">
        <v>14000</v>
      </c>
      <c r="AG147" s="65">
        <v>14000</v>
      </c>
      <c r="AH147" s="65">
        <v>14000</v>
      </c>
      <c r="AI147" s="65">
        <v>14000</v>
      </c>
      <c r="AJ147" s="65">
        <v>14000</v>
      </c>
      <c r="AK147" s="65">
        <f t="shared" si="66"/>
        <v>168000</v>
      </c>
      <c r="AL147" s="73">
        <f t="shared" si="38"/>
        <v>2.7775531352005078E-3</v>
      </c>
      <c r="AM147" s="14">
        <f t="shared" si="79"/>
        <v>0</v>
      </c>
    </row>
    <row r="148" spans="1:40" ht="15">
      <c r="I148" s="120" t="s">
        <v>263</v>
      </c>
      <c r="J148" s="15">
        <v>193684</v>
      </c>
      <c r="K148" s="15">
        <v>191040</v>
      </c>
      <c r="L148" s="15">
        <v>195317</v>
      </c>
      <c r="M148" s="15">
        <v>191656</v>
      </c>
      <c r="N148" s="15">
        <v>199562</v>
      </c>
      <c r="O148" s="15">
        <v>193726</v>
      </c>
      <c r="P148" s="15">
        <v>197958</v>
      </c>
      <c r="Q148" s="15">
        <v>188038</v>
      </c>
      <c r="R148" s="15">
        <v>195155</v>
      </c>
      <c r="S148" s="15">
        <v>197310</v>
      </c>
      <c r="T148" s="15">
        <f t="shared" ref="K148:V148" si="80">SUM(T149:T155)</f>
        <v>200038.38</v>
      </c>
      <c r="U148" s="15">
        <f t="shared" si="80"/>
        <v>201859.38</v>
      </c>
      <c r="V148" s="15">
        <f t="shared" si="80"/>
        <v>2345343.7599999998</v>
      </c>
      <c r="W148" s="72">
        <f t="shared" si="37"/>
        <v>4.4629665179498429E-2</v>
      </c>
      <c r="X148" s="89"/>
      <c r="Y148" s="15">
        <f>SUM(Y149:Y155)</f>
        <v>199390.28290000002</v>
      </c>
      <c r="Z148" s="15">
        <f t="shared" ref="Z148:AJ148" si="81">SUM(Z149:Z155)</f>
        <v>200122.0986</v>
      </c>
      <c r="AA148" s="15">
        <f t="shared" si="81"/>
        <v>200255.62650000001</v>
      </c>
      <c r="AB148" s="15">
        <f t="shared" si="81"/>
        <v>200241.13510000001</v>
      </c>
      <c r="AC148" s="15">
        <f t="shared" si="81"/>
        <v>201480.14980000001</v>
      </c>
      <c r="AD148" s="15">
        <f t="shared" si="81"/>
        <v>202757.4632</v>
      </c>
      <c r="AE148" s="15">
        <f t="shared" si="81"/>
        <v>201754.46280111111</v>
      </c>
      <c r="AF148" s="15">
        <f t="shared" si="81"/>
        <v>201997.35860037038</v>
      </c>
      <c r="AG148" s="15">
        <f t="shared" si="81"/>
        <v>201894.81803273596</v>
      </c>
      <c r="AH148" s="15">
        <f t="shared" si="81"/>
        <v>209868.23168289714</v>
      </c>
      <c r="AI148" s="15">
        <f t="shared" si="81"/>
        <v>209457.80630193659</v>
      </c>
      <c r="AJ148" s="15">
        <f t="shared" si="81"/>
        <v>209920.32070160736</v>
      </c>
      <c r="AK148" s="15">
        <f t="shared" ref="Z148:AK148" si="82">SUM(AK149:AK155)</f>
        <v>2439139.7542206589</v>
      </c>
      <c r="AL148" s="72">
        <f t="shared" si="38"/>
        <v>4.0326430187665394E-2</v>
      </c>
      <c r="AM148" s="10">
        <f t="shared" si="79"/>
        <v>3.9992429178338895E-2</v>
      </c>
    </row>
    <row r="149" spans="1:40" ht="15">
      <c r="I149" s="228" t="s">
        <v>264</v>
      </c>
      <c r="J149" s="67">
        <v>0</v>
      </c>
      <c r="K149" s="67">
        <v>0</v>
      </c>
      <c r="L149" s="67">
        <v>0</v>
      </c>
      <c r="M149" s="67">
        <v>0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0</v>
      </c>
      <c r="T149" s="67">
        <v>0</v>
      </c>
      <c r="U149" s="67">
        <v>0</v>
      </c>
      <c r="V149" s="65">
        <f t="shared" ref="V149:V161" si="83">SUM(J149:U149)</f>
        <v>0</v>
      </c>
      <c r="W149" s="73">
        <f t="shared" si="37"/>
        <v>0</v>
      </c>
      <c r="X149" s="89"/>
      <c r="Y149" s="67">
        <f>VLOOKUP($E$1,[17]Resumen!$V$8:$AH$11,Y1,0)</f>
        <v>0</v>
      </c>
      <c r="Z149" s="67">
        <f>VLOOKUP($E$1,[17]Resumen!$V$8:$AH$11,Z1,0)</f>
        <v>0</v>
      </c>
      <c r="AA149" s="67">
        <f>VLOOKUP($E$1,[17]Resumen!$V$8:$AH$11,AA1,0)</f>
        <v>0</v>
      </c>
      <c r="AB149" s="67">
        <f>VLOOKUP($E$1,[17]Resumen!$V$8:$AH$11,AB1,0)</f>
        <v>0</v>
      </c>
      <c r="AC149" s="67">
        <f>VLOOKUP($E$1,[17]Resumen!$V$8:$AH$11,AC1,0)</f>
        <v>0</v>
      </c>
      <c r="AD149" s="67">
        <f>VLOOKUP($E$1,[17]Resumen!$V$8:$AH$11,AD1,0)</f>
        <v>0</v>
      </c>
      <c r="AE149" s="67">
        <f>VLOOKUP($E$1,[17]Resumen!$V$8:$AH$11,AE1,0)</f>
        <v>0</v>
      </c>
      <c r="AF149" s="67">
        <f>VLOOKUP($E$1,[17]Resumen!$V$8:$AH$11,AF1,0)</f>
        <v>0</v>
      </c>
      <c r="AG149" s="67">
        <f>VLOOKUP($E$1,[17]Resumen!$V$8:$AH$11,AG1,0)</f>
        <v>0</v>
      </c>
      <c r="AH149" s="67">
        <f>VLOOKUP($E$1,[17]Resumen!$V$8:$AH$11,AH1,0)</f>
        <v>0</v>
      </c>
      <c r="AI149" s="67">
        <f>VLOOKUP($E$1,[17]Resumen!$V$8:$AH$11,AI1,0)</f>
        <v>0</v>
      </c>
      <c r="AJ149" s="67">
        <f>VLOOKUP($E$1,[17]Resumen!$V$8:$AH$11,AJ1,0)</f>
        <v>0</v>
      </c>
      <c r="AK149" s="65">
        <f t="shared" si="66"/>
        <v>0</v>
      </c>
      <c r="AL149" s="73">
        <f t="shared" si="38"/>
        <v>0</v>
      </c>
      <c r="AM149" s="14">
        <f t="shared" si="79"/>
        <v>0</v>
      </c>
    </row>
    <row r="150" spans="1:40" ht="15">
      <c r="I150" s="228" t="s">
        <v>265</v>
      </c>
      <c r="J150" s="67">
        <v>186250</v>
      </c>
      <c r="K150" s="67">
        <v>186250</v>
      </c>
      <c r="L150" s="67">
        <v>186250</v>
      </c>
      <c r="M150" s="67">
        <v>186250</v>
      </c>
      <c r="N150" s="67">
        <v>186250</v>
      </c>
      <c r="O150" s="67">
        <v>186250</v>
      </c>
      <c r="P150" s="67">
        <v>186250</v>
      </c>
      <c r="Q150" s="67">
        <v>186250</v>
      </c>
      <c r="R150" s="67">
        <v>186250</v>
      </c>
      <c r="S150" s="67">
        <v>186250</v>
      </c>
      <c r="T150" s="67">
        <v>192787.38</v>
      </c>
      <c r="U150" s="67">
        <v>192787.38</v>
      </c>
      <c r="V150" s="65">
        <f t="shared" si="83"/>
        <v>2248074.7599999998</v>
      </c>
      <c r="W150" s="73">
        <f t="shared" si="37"/>
        <v>4.277872845270294E-2</v>
      </c>
      <c r="X150" s="89"/>
      <c r="Y150" s="67">
        <f>+U150</f>
        <v>192787.38</v>
      </c>
      <c r="Z150" s="67">
        <f>+Y150</f>
        <v>192787.38</v>
      </c>
      <c r="AA150" s="67">
        <f t="shared" ref="AA150:AG150" si="84">+Z150</f>
        <v>192787.38</v>
      </c>
      <c r="AB150" s="67">
        <f t="shared" si="84"/>
        <v>192787.38</v>
      </c>
      <c r="AC150" s="67">
        <f t="shared" si="84"/>
        <v>192787.38</v>
      </c>
      <c r="AD150" s="67">
        <f t="shared" si="84"/>
        <v>192787.38</v>
      </c>
      <c r="AE150" s="67">
        <f t="shared" si="84"/>
        <v>192787.38</v>
      </c>
      <c r="AF150" s="67">
        <f t="shared" si="84"/>
        <v>192787.38</v>
      </c>
      <c r="AG150" s="67">
        <f t="shared" si="84"/>
        <v>192787.38</v>
      </c>
      <c r="AH150" s="67">
        <f>AG150*1.04</f>
        <v>200498.87520000001</v>
      </c>
      <c r="AI150" s="67">
        <f t="shared" ref="AI150:AJ150" si="85">+AH150</f>
        <v>200498.87520000001</v>
      </c>
      <c r="AJ150" s="67">
        <f t="shared" si="85"/>
        <v>200498.87520000001</v>
      </c>
      <c r="AK150" s="65">
        <f t="shared" si="66"/>
        <v>2336583.0456000003</v>
      </c>
      <c r="AL150" s="73">
        <f t="shared" si="38"/>
        <v>3.8630854547396613E-2</v>
      </c>
      <c r="AM150" s="14">
        <f t="shared" si="79"/>
        <v>3.9370703846165922E-2</v>
      </c>
    </row>
    <row r="151" spans="1:40" ht="15">
      <c r="I151" s="228" t="s">
        <v>266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/>
      <c r="U151" s="65"/>
      <c r="V151" s="65">
        <f t="shared" si="83"/>
        <v>0</v>
      </c>
      <c r="W151" s="73">
        <f t="shared" si="37"/>
        <v>0</v>
      </c>
      <c r="X151" s="89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>
        <f t="shared" si="66"/>
        <v>0</v>
      </c>
      <c r="AL151" s="73">
        <f t="shared" si="38"/>
        <v>0</v>
      </c>
      <c r="AM151" s="14">
        <f t="shared" si="79"/>
        <v>0</v>
      </c>
    </row>
    <row r="152" spans="1:40" ht="15">
      <c r="I152" s="228" t="s">
        <v>267</v>
      </c>
      <c r="J152" s="65">
        <v>6487</v>
      </c>
      <c r="K152" s="65">
        <v>0</v>
      </c>
      <c r="L152" s="65">
        <v>6297</v>
      </c>
      <c r="M152" s="65">
        <v>0</v>
      </c>
      <c r="N152" s="65">
        <v>6120</v>
      </c>
      <c r="O152" s="65">
        <v>7002</v>
      </c>
      <c r="P152" s="65">
        <v>6043</v>
      </c>
      <c r="Q152" s="65">
        <v>0</v>
      </c>
      <c r="R152" s="65">
        <v>7677</v>
      </c>
      <c r="S152" s="65">
        <v>8975</v>
      </c>
      <c r="T152" s="65">
        <f t="shared" ref="T152" si="86">+AVERAGE(Q152:S152)</f>
        <v>5550.666666666667</v>
      </c>
      <c r="U152" s="65">
        <f t="shared" ref="U152" si="87">+AVERAGE(R152:T152)</f>
        <v>7400.8888888888896</v>
      </c>
      <c r="V152" s="65">
        <f t="shared" si="83"/>
        <v>61552.555555555555</v>
      </c>
      <c r="W152" s="73">
        <f t="shared" si="37"/>
        <v>1.1712866967471414E-3</v>
      </c>
      <c r="X152" s="89"/>
      <c r="Y152" s="65">
        <f>VLOOKUP($E$1,[6]Resumen!$V$80:$AH$83,Y1,0)</f>
        <v>5743.7698999999993</v>
      </c>
      <c r="Z152" s="65">
        <f>VLOOKUP($E$1,[6]Resumen!$V$80:$AH$83,Z1,0)</f>
        <v>6475.5855999999994</v>
      </c>
      <c r="AA152" s="65">
        <f>VLOOKUP($E$1,[6]Resumen!$V$80:$AH$83,AA1,0)</f>
        <v>6609.1134999999995</v>
      </c>
      <c r="AB152" s="65">
        <f>VLOOKUP($E$1,[6]Resumen!$V$80:$AH$83,AB1,0)</f>
        <v>6594.6220999999996</v>
      </c>
      <c r="AC152" s="65">
        <f>VLOOKUP($E$1,[6]Resumen!$V$80:$AH$83,AC1,0)</f>
        <v>7833.6367999999993</v>
      </c>
      <c r="AD152" s="65">
        <f>VLOOKUP($E$1,[6]Resumen!$V$80:$AH$83,AD1,0)</f>
        <v>9110.9501999999993</v>
      </c>
      <c r="AE152" s="65">
        <f>VLOOKUP($E$1,[6]Resumen!$V$80:$AH$83,AE1,0)</f>
        <v>8107.94980111111</v>
      </c>
      <c r="AF152" s="65">
        <f>VLOOKUP($E$1,[6]Resumen!$V$80:$AH$83,AF1,0)</f>
        <v>8350.8456003703686</v>
      </c>
      <c r="AG152" s="65">
        <f>VLOOKUP($E$1,[6]Resumen!$V$80:$AH$83,AG1,0)</f>
        <v>8248.3050327359615</v>
      </c>
      <c r="AH152" s="65">
        <f>VLOOKUP($E$1,[6]Resumen!$V$80:$AH$83,AH1,0)</f>
        <v>8510.2234828971177</v>
      </c>
      <c r="AI152" s="65">
        <f>VLOOKUP($E$1,[6]Resumen!$V$80:$AH$83,AI1,0)</f>
        <v>8099.7981019365943</v>
      </c>
      <c r="AJ152" s="65">
        <f>VLOOKUP($E$1,[6]Resumen!$V$80:$AH$83,AJ1,0)</f>
        <v>8562.3125016073318</v>
      </c>
      <c r="AK152" s="65">
        <f t="shared" si="66"/>
        <v>92247.112620658474</v>
      </c>
      <c r="AL152" s="73">
        <f t="shared" si="38"/>
        <v>1.5251265290041919E-3</v>
      </c>
      <c r="AM152" s="14">
        <f t="shared" si="79"/>
        <v>0.49867234248948278</v>
      </c>
    </row>
    <row r="153" spans="1:40" ht="15">
      <c r="I153" s="228" t="s">
        <v>268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/>
      <c r="U153" s="65"/>
      <c r="V153" s="65">
        <f t="shared" si="83"/>
        <v>0</v>
      </c>
      <c r="W153" s="73">
        <f t="shared" si="37"/>
        <v>0</v>
      </c>
      <c r="X153" s="89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>
        <f t="shared" si="66"/>
        <v>0</v>
      </c>
      <c r="AL153" s="73">
        <f t="shared" si="38"/>
        <v>0</v>
      </c>
      <c r="AM153" s="14">
        <f t="shared" si="79"/>
        <v>0</v>
      </c>
    </row>
    <row r="154" spans="1:40" ht="15">
      <c r="I154" s="228" t="s">
        <v>269</v>
      </c>
      <c r="J154" s="65">
        <v>0</v>
      </c>
      <c r="K154" s="65">
        <v>4790</v>
      </c>
      <c r="L154" s="65">
        <v>2770</v>
      </c>
      <c r="M154" s="65">
        <v>5406</v>
      </c>
      <c r="N154" s="65">
        <v>6729</v>
      </c>
      <c r="O154" s="65">
        <v>0</v>
      </c>
      <c r="P154" s="65">
        <v>5665</v>
      </c>
      <c r="Q154" s="65">
        <v>1788</v>
      </c>
      <c r="R154" s="65">
        <v>1228</v>
      </c>
      <c r="S154" s="65">
        <v>2085</v>
      </c>
      <c r="T154" s="65">
        <f t="shared" ref="T154:T155" si="88">+AVERAGE(Q154:S154)</f>
        <v>1700.3333333333333</v>
      </c>
      <c r="U154" s="65">
        <f t="shared" ref="U154:U155" si="89">+AVERAGE(R154:T154)</f>
        <v>1671.1111111111111</v>
      </c>
      <c r="V154" s="65">
        <f t="shared" si="83"/>
        <v>33832.444444444445</v>
      </c>
      <c r="W154" s="73">
        <f t="shared" si="37"/>
        <v>6.4379929864078324E-4</v>
      </c>
      <c r="X154" s="89"/>
      <c r="Y154" s="65">
        <f>VLOOKUP($E$1,[6]Resumen!$V$89:$AH$92,Y1,0)</f>
        <v>859.13299999999992</v>
      </c>
      <c r="Z154" s="65">
        <f>VLOOKUP($E$1,[6]Resumen!$V$89:$AH$92,Z1,0)</f>
        <v>859.13299999999992</v>
      </c>
      <c r="AA154" s="65">
        <f>VLOOKUP($E$1,[6]Resumen!$V$89:$AH$92,AA1,0)</f>
        <v>859.13299999999992</v>
      </c>
      <c r="AB154" s="65">
        <f>VLOOKUP($E$1,[6]Resumen!$V$89:$AH$92,AB1,0)</f>
        <v>859.13299999999992</v>
      </c>
      <c r="AC154" s="65">
        <f>VLOOKUP($E$1,[6]Resumen!$V$89:$AH$92,AC1,0)</f>
        <v>859.13299999999992</v>
      </c>
      <c r="AD154" s="65">
        <f>VLOOKUP($E$1,[6]Resumen!$V$89:$AH$92,AD1,0)</f>
        <v>859.13299999999992</v>
      </c>
      <c r="AE154" s="65">
        <f>VLOOKUP($E$1,[6]Resumen!$V$89:$AH$92,AE1,0)</f>
        <v>859.13299999999992</v>
      </c>
      <c r="AF154" s="65">
        <f>VLOOKUP($E$1,[6]Resumen!$V$89:$AH$92,AF1,0)</f>
        <v>859.13299999999992</v>
      </c>
      <c r="AG154" s="65">
        <f>VLOOKUP($E$1,[6]Resumen!$V$89:$AH$92,AG1,0)</f>
        <v>859.13299999999992</v>
      </c>
      <c r="AH154" s="65">
        <f>VLOOKUP($E$1,[6]Resumen!$V$89:$AH$92,AH1,0)</f>
        <v>859.13299999999992</v>
      </c>
      <c r="AI154" s="65">
        <f>VLOOKUP($E$1,[6]Resumen!$V$89:$AH$92,AI1,0)</f>
        <v>859.13299999999992</v>
      </c>
      <c r="AJ154" s="65">
        <f>VLOOKUP($E$1,[6]Resumen!$V$89:$AH$92,AJ1,0)</f>
        <v>859.13299999999992</v>
      </c>
      <c r="AK154" s="65">
        <f t="shared" si="66"/>
        <v>10309.596</v>
      </c>
      <c r="AL154" s="73">
        <f t="shared" si="38"/>
        <v>1.7044911126458696E-4</v>
      </c>
      <c r="AM154" s="14">
        <f t="shared" si="79"/>
        <v>-0.69527487093256968</v>
      </c>
    </row>
    <row r="155" spans="1:40" ht="15">
      <c r="I155" s="228" t="s">
        <v>270</v>
      </c>
      <c r="J155" s="67">
        <v>947</v>
      </c>
      <c r="K155" s="67">
        <v>0</v>
      </c>
      <c r="L155" s="67">
        <v>0</v>
      </c>
      <c r="M155" s="67">
        <v>0</v>
      </c>
      <c r="N155" s="67">
        <v>464</v>
      </c>
      <c r="O155" s="67">
        <v>473</v>
      </c>
      <c r="P155" s="67">
        <v>0</v>
      </c>
      <c r="Q155" s="67">
        <v>0</v>
      </c>
      <c r="R155" s="65">
        <v>0</v>
      </c>
      <c r="S155" s="65">
        <v>0</v>
      </c>
      <c r="T155" s="65">
        <f t="shared" si="88"/>
        <v>0</v>
      </c>
      <c r="U155" s="65">
        <f t="shared" si="89"/>
        <v>0</v>
      </c>
      <c r="V155" s="65">
        <f t="shared" si="83"/>
        <v>1884</v>
      </c>
      <c r="W155" s="73">
        <f>V155/V$6</f>
        <v>3.5850731407567755E-5</v>
      </c>
      <c r="X155" s="89"/>
      <c r="Y155" s="67">
        <f>VLOOKUP($E$1,[18]Resumen!$V$8:$AH$14,Y1,0)</f>
        <v>0</v>
      </c>
      <c r="Z155" s="67">
        <f>VLOOKUP($E$1,[18]Resumen!$V$8:$AH$14,Z1,0)</f>
        <v>0</v>
      </c>
      <c r="AA155" s="67">
        <f>VLOOKUP($E$1,[18]Resumen!$V$8:$AH$14,AA1,0)</f>
        <v>0</v>
      </c>
      <c r="AB155" s="67">
        <f>VLOOKUP($E$1,[18]Resumen!$V$8:$AH$14,AB1,0)</f>
        <v>0</v>
      </c>
      <c r="AC155" s="67">
        <f>VLOOKUP($E$1,[18]Resumen!$V$8:$AH$14,AC1,0)</f>
        <v>0</v>
      </c>
      <c r="AD155" s="67">
        <f>VLOOKUP($E$1,[18]Resumen!$V$8:$AH$14,AD1,0)</f>
        <v>0</v>
      </c>
      <c r="AE155" s="67">
        <f>VLOOKUP($E$1,[18]Resumen!$V$8:$AH$14,AE1,0)</f>
        <v>0</v>
      </c>
      <c r="AF155" s="67">
        <f>VLOOKUP($E$1,[18]Resumen!$V$8:$AH$14,AF1,0)</f>
        <v>0</v>
      </c>
      <c r="AG155" s="67">
        <f>VLOOKUP($E$1,[18]Resumen!$V$8:$AH$14,AG1,0)</f>
        <v>0</v>
      </c>
      <c r="AH155" s="67">
        <f>VLOOKUP($E$1,[18]Resumen!$V$8:$AH$14,AH1,0)</f>
        <v>0</v>
      </c>
      <c r="AI155" s="67">
        <f>VLOOKUP($E$1,[18]Resumen!$V$8:$AH$14,AI1,0)</f>
        <v>0</v>
      </c>
      <c r="AJ155" s="67">
        <f>VLOOKUP($E$1,[18]Resumen!$V$8:$AH$14,AJ1,0)</f>
        <v>0</v>
      </c>
      <c r="AK155" s="65">
        <f t="shared" si="66"/>
        <v>0</v>
      </c>
      <c r="AL155" s="73">
        <f>AK155/AK$6</f>
        <v>0</v>
      </c>
      <c r="AM155" s="14">
        <f>IFERROR(AK155/V155-1,0)</f>
        <v>-1</v>
      </c>
    </row>
    <row r="156" spans="1:40" ht="15">
      <c r="A156" s="12"/>
      <c r="I156" s="120" t="s">
        <v>462</v>
      </c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15"/>
      <c r="W156" s="72"/>
      <c r="X156" s="89"/>
      <c r="Y156" s="27">
        <f>+'TOTAL ESTACIONES'!Y156*24%</f>
        <v>15986.547</v>
      </c>
      <c r="Z156" s="27">
        <f>+'TOTAL ESTACIONES'!Z156*24%</f>
        <v>13358.103000000001</v>
      </c>
      <c r="AA156" s="27">
        <f>+'TOTAL ESTACIONES'!AA156*24%</f>
        <v>19856.256000000001</v>
      </c>
      <c r="AB156" s="27">
        <f>+'TOTAL ESTACIONES'!AB156*24%</f>
        <v>19203.627</v>
      </c>
      <c r="AC156" s="27">
        <f>+'TOTAL ESTACIONES'!AC156*24%</f>
        <v>22267.323</v>
      </c>
      <c r="AD156" s="27">
        <f>+'TOTAL ESTACIONES'!AD156*24%</f>
        <v>17879.196</v>
      </c>
      <c r="AE156" s="27">
        <f>+'TOTAL ESTACIONES'!AE156*24%</f>
        <v>16011.198000000002</v>
      </c>
      <c r="AF156" s="27">
        <f>+'TOTAL ESTACIONES'!AF156*24%</f>
        <v>17783.829000000002</v>
      </c>
      <c r="AG156" s="27">
        <f>+'TOTAL ESTACIONES'!AG156*24%</f>
        <v>21991.431</v>
      </c>
      <c r="AH156" s="27">
        <f>+'TOTAL ESTACIONES'!AH156*24%</f>
        <v>29409.390000000003</v>
      </c>
      <c r="AI156" s="27">
        <f>+'TOTAL ESTACIONES'!AI156*24%</f>
        <v>23061.550000000003</v>
      </c>
      <c r="AJ156" s="27">
        <f>+'TOTAL ESTACIONES'!AJ156*24%</f>
        <v>24820.790333333334</v>
      </c>
      <c r="AK156" s="27">
        <f t="shared" ref="AK156" si="90">SUM(Y156:AJ156)</f>
        <v>241629.24033333335</v>
      </c>
      <c r="AL156" s="76">
        <f>AK156/AK$6</f>
        <v>3.9948693693093269E-3</v>
      </c>
      <c r="AM156" s="10">
        <f>IFERROR(AK156/V156-1,0)</f>
        <v>0</v>
      </c>
      <c r="AN156" s="9"/>
    </row>
    <row r="157" spans="1:40" ht="15">
      <c r="I157" s="28" t="s">
        <v>271</v>
      </c>
      <c r="J157" s="27">
        <v>456587</v>
      </c>
      <c r="K157" s="27">
        <v>449045</v>
      </c>
      <c r="L157" s="27">
        <v>456486</v>
      </c>
      <c r="M157" s="27">
        <v>416207</v>
      </c>
      <c r="N157" s="27">
        <v>460255</v>
      </c>
      <c r="O157" s="27">
        <v>398941</v>
      </c>
      <c r="P157" s="27">
        <v>449162</v>
      </c>
      <c r="Q157" s="27">
        <v>379318</v>
      </c>
      <c r="R157" s="27">
        <v>491666</v>
      </c>
      <c r="S157" s="27">
        <v>468095</v>
      </c>
      <c r="T157" s="27">
        <f>T50+T91+T107+T112+T148</f>
        <v>462537.84909090912</v>
      </c>
      <c r="U157" s="27">
        <f t="shared" ref="R157:U157" si="91">U50+U91+U107+U112+U148</f>
        <v>497913.5736</v>
      </c>
      <c r="V157" s="27">
        <f>V50+V91+V107+V112+V148</f>
        <v>5386216.4226909094</v>
      </c>
      <c r="W157" s="76">
        <f t="shared" si="37"/>
        <v>0.10249458507055319</v>
      </c>
      <c r="X157" s="89"/>
      <c r="Y157" s="27">
        <f>Y50+Y91+Y107+Y112+Y148+Y156</f>
        <v>547640.26286754536</v>
      </c>
      <c r="Z157" s="27">
        <f t="shared" ref="Z157:AK157" si="92">Z50+Z91+Z107+Z112+Z148+Z156</f>
        <v>487157.09875061351</v>
      </c>
      <c r="AA157" s="27">
        <f t="shared" si="92"/>
        <v>477080.97092251282</v>
      </c>
      <c r="AB157" s="27">
        <f t="shared" si="92"/>
        <v>567386.5989945716</v>
      </c>
      <c r="AC157" s="27">
        <f t="shared" si="92"/>
        <v>487283.69186274352</v>
      </c>
      <c r="AD157" s="27">
        <f t="shared" si="92"/>
        <v>448289.56649857166</v>
      </c>
      <c r="AE157" s="27">
        <f t="shared" si="92"/>
        <v>471286.9666834604</v>
      </c>
      <c r="AF157" s="27">
        <f t="shared" si="92"/>
        <v>469144.08428271976</v>
      </c>
      <c r="AG157" s="27">
        <f t="shared" si="92"/>
        <v>509108.44824117975</v>
      </c>
      <c r="AH157" s="27">
        <f t="shared" si="92"/>
        <v>467329.9623732465</v>
      </c>
      <c r="AI157" s="27">
        <f t="shared" si="92"/>
        <v>462806.89392638038</v>
      </c>
      <c r="AJ157" s="27">
        <f t="shared" si="92"/>
        <v>488849.68070168421</v>
      </c>
      <c r="AK157" s="27">
        <f t="shared" si="92"/>
        <v>5883364.2261052309</v>
      </c>
      <c r="AL157" s="76">
        <f t="shared" si="38"/>
        <v>9.7269980665149358E-2</v>
      </c>
      <c r="AM157" s="10">
        <f t="shared" si="79"/>
        <v>9.2300005124181572E-2</v>
      </c>
    </row>
    <row r="158" spans="1:40" ht="15">
      <c r="I158" s="26" t="s">
        <v>272</v>
      </c>
      <c r="J158" s="17">
        <v>2.5299999999999998</v>
      </c>
      <c r="K158" s="17">
        <v>2.96</v>
      </c>
      <c r="L158" s="17">
        <v>2.2999999999999998</v>
      </c>
      <c r="M158" s="17">
        <v>2.17</v>
      </c>
      <c r="N158" s="17">
        <v>2.14</v>
      </c>
      <c r="O158" s="17">
        <v>1.78</v>
      </c>
      <c r="P158" s="17">
        <v>2.2999999999999998</v>
      </c>
      <c r="Q158" s="17">
        <v>1.82</v>
      </c>
      <c r="R158" s="17">
        <v>2.06</v>
      </c>
      <c r="S158" s="17">
        <v>1.92</v>
      </c>
      <c r="T158" s="17">
        <v>1.2106987678518377</v>
      </c>
      <c r="U158" s="17">
        <v>1.2614442964852501</v>
      </c>
      <c r="V158" s="17">
        <f>IFERROR(V157/V39,0)</f>
        <v>2.1010689910479603</v>
      </c>
      <c r="W158" s="73">
        <f t="shared" si="37"/>
        <v>3.9981348230801381E-8</v>
      </c>
      <c r="X158" s="89"/>
      <c r="Y158" s="17">
        <f>IFERROR(Y157/Y39,0)</f>
        <v>2.7867856771481754</v>
      </c>
      <c r="Z158" s="17">
        <f>IFERROR(Z157/Z39,0)</f>
        <v>2.915899536020881</v>
      </c>
      <c r="AA158" s="17">
        <f>IFERROR(AA157/AA39,0)</f>
        <v>2.203258877324636</v>
      </c>
      <c r="AB158" s="17">
        <f>IFERROR(AB157/AB39,0)</f>
        <v>2.7158569301588567</v>
      </c>
      <c r="AC158" s="17">
        <f>IFERROR(AC157/AC39,0)</f>
        <v>2.0756742378340123</v>
      </c>
      <c r="AD158" s="17">
        <f>IFERROR(AD157/AD39,0)</f>
        <v>1.8433396265966582</v>
      </c>
      <c r="AE158" s="17">
        <f>IFERROR(AE157/AE39,0)</f>
        <v>2.2073789960137149</v>
      </c>
      <c r="AF158" s="17">
        <f>IFERROR(AF157/AF39,0)</f>
        <v>2.1479163072326082</v>
      </c>
      <c r="AG158" s="17">
        <f>IFERROR(AG157/AG39,0)</f>
        <v>1.9694547412345127</v>
      </c>
      <c r="AH158" s="17">
        <f>IFERROR(AH157/AH39,0)</f>
        <v>1.6298309685087387</v>
      </c>
      <c r="AI158" s="17">
        <f>IFERROR(AI157/AI39,0)</f>
        <v>1.6562638967883223</v>
      </c>
      <c r="AJ158" s="17">
        <f>IFERROR(AJ157/AJ39,0)</f>
        <v>1.7694491970381119</v>
      </c>
      <c r="AK158" s="17">
        <f>IFERROR(AK157/AK39,0)</f>
        <v>2.1013157345781059</v>
      </c>
      <c r="AL158" s="73">
        <f t="shared" si="38"/>
        <v>3.474116730133081E-8</v>
      </c>
      <c r="AM158" s="16">
        <f t="shared" si="79"/>
        <v>1.1743713852174764E-4</v>
      </c>
    </row>
    <row r="159" spans="1:40" ht="15">
      <c r="I159" s="26" t="s">
        <v>273</v>
      </c>
      <c r="J159" s="17">
        <v>2.5299999999999998</v>
      </c>
      <c r="K159" s="17">
        <v>2.96</v>
      </c>
      <c r="L159" s="17">
        <v>2.2999999999999998</v>
      </c>
      <c r="M159" s="17">
        <v>2.17</v>
      </c>
      <c r="N159" s="17">
        <v>2.14</v>
      </c>
      <c r="O159" s="17">
        <v>1.78</v>
      </c>
      <c r="P159" s="17">
        <v>2.2999999999999998</v>
      </c>
      <c r="Q159" s="17">
        <v>1.82</v>
      </c>
      <c r="R159" s="17">
        <v>2.06</v>
      </c>
      <c r="S159" s="17">
        <v>1.92</v>
      </c>
      <c r="T159" s="17">
        <v>0.77987136571660631</v>
      </c>
      <c r="U159" s="17">
        <v>0.83740751890206278</v>
      </c>
      <c r="V159" s="17">
        <f>IFERROR((V157-V149)/V39,0)</f>
        <v>2.1010689910479603</v>
      </c>
      <c r="W159" s="73">
        <f t="shared" si="37"/>
        <v>3.9981348230801381E-8</v>
      </c>
      <c r="X159" s="89"/>
      <c r="Y159" s="17">
        <f>(Y157-Y150)/Y39</f>
        <v>1.8057454838911176</v>
      </c>
      <c r="Z159" s="17">
        <f>(Z157-Z150)/Z39</f>
        <v>1.7619624727318628</v>
      </c>
      <c r="AA159" s="17">
        <f>(AA157-AA150)/AA39</f>
        <v>1.3129267695488529</v>
      </c>
      <c r="AB159" s="17">
        <f>(AB157-AB150)/AB39</f>
        <v>1.793059417937074</v>
      </c>
      <c r="AC159" s="17">
        <f>(AC157-AC150)/AC39</f>
        <v>1.2544610416447317</v>
      </c>
      <c r="AD159" s="17">
        <f>(AD157-AD150)/AD39</f>
        <v>1.0506095618810423</v>
      </c>
      <c r="AE159" s="17">
        <f>(AE157-AE150)/AE39</f>
        <v>1.3044157413681898</v>
      </c>
      <c r="AF159" s="17">
        <f>(AF157-AF150)/AF39</f>
        <v>1.2652638957378353</v>
      </c>
      <c r="AG159" s="17">
        <f>(AG157-AG150)/AG39</f>
        <v>1.2236686107884684</v>
      </c>
      <c r="AH159" s="17">
        <f>(AH157-AH150)/AH39</f>
        <v>0.93058353679551786</v>
      </c>
      <c r="AI159" s="17">
        <f>(AI157-AI150)/AI39</f>
        <v>0.93873126557982511</v>
      </c>
      <c r="AJ159" s="17">
        <f>(AJ157-AJ150)/AJ39</f>
        <v>1.0437198210457785</v>
      </c>
      <c r="AK159" s="17">
        <f>(AK157-AK150)/AK39</f>
        <v>1.2667764250650435</v>
      </c>
      <c r="AL159" s="73">
        <f t="shared" si="38"/>
        <v>2.094368351808037E-8</v>
      </c>
      <c r="AM159" s="16">
        <f t="shared" si="79"/>
        <v>-0.39708004331965918</v>
      </c>
    </row>
    <row r="160" spans="1:40" ht="15.75">
      <c r="I160" s="25" t="s">
        <v>274</v>
      </c>
      <c r="J160" s="24">
        <v>-108552</v>
      </c>
      <c r="K160" s="24">
        <v>-117079</v>
      </c>
      <c r="L160" s="24">
        <v>-34067</v>
      </c>
      <c r="M160" s="24">
        <v>26125</v>
      </c>
      <c r="N160" s="24">
        <v>24137</v>
      </c>
      <c r="O160" s="24">
        <v>76891</v>
      </c>
      <c r="P160" s="24">
        <v>-30229</v>
      </c>
      <c r="Q160" s="24">
        <v>49847</v>
      </c>
      <c r="R160" s="24">
        <v>-8920</v>
      </c>
      <c r="S160" s="24">
        <v>60831</v>
      </c>
      <c r="T160" s="24">
        <f t="shared" ref="K160:U160" si="93">+T34-T157</f>
        <v>17741.15090909088</v>
      </c>
      <c r="U160" s="24">
        <f t="shared" si="93"/>
        <v>-596.57360000000335</v>
      </c>
      <c r="V160" s="24">
        <f>V34-V157</f>
        <v>-43875.644913131371</v>
      </c>
      <c r="W160" s="77">
        <f t="shared" si="37"/>
        <v>-8.3491186895673526E-4</v>
      </c>
      <c r="X160" s="89"/>
      <c r="Y160" s="24">
        <f>Y34-Y157</f>
        <v>-173659.05895575334</v>
      </c>
      <c r="Z160" s="24">
        <f>Z34-Z157</f>
        <v>-201345.21375172108</v>
      </c>
      <c r="AA160" s="24">
        <f>AA34-AA157</f>
        <v>-14755.786451893742</v>
      </c>
      <c r="AB160" s="24">
        <f>AB34-AB157</f>
        <v>-179745.70207033714</v>
      </c>
      <c r="AC160" s="24">
        <f>AC34-AC157</f>
        <v>-14830.722329910088</v>
      </c>
      <c r="AD160" s="24">
        <f>AD34-AD157</f>
        <v>21689.919059148408</v>
      </c>
      <c r="AE160" s="24">
        <f>AE34-AE157</f>
        <v>-97209.76770945359</v>
      </c>
      <c r="AF160" s="24">
        <f>AF34-AF157</f>
        <v>-47788.468041741522</v>
      </c>
      <c r="AG160" s="24">
        <f>AG34-AG157</f>
        <v>23933.765266767761</v>
      </c>
      <c r="AH160" s="24">
        <f>AH34-AH157</f>
        <v>107675.15715958731</v>
      </c>
      <c r="AI160" s="24">
        <f>AI34-AI157</f>
        <v>59318.362997854885</v>
      </c>
      <c r="AJ160" s="24">
        <f>AJ34-AJ157</f>
        <v>32791.78088092152</v>
      </c>
      <c r="AK160" s="24">
        <f>AK34-AK157</f>
        <v>-483925.7339465348</v>
      </c>
      <c r="AL160" s="77">
        <f t="shared" si="38"/>
        <v>-8.0007704733774075E-3</v>
      </c>
      <c r="AM160" s="23">
        <f t="shared" si="79"/>
        <v>10.029484236747995</v>
      </c>
      <c r="AN160" s="131">
        <f>+AK160/AK39</f>
        <v>-0.17284001466322338</v>
      </c>
    </row>
    <row r="161" spans="9:39" ht="15">
      <c r="I161" s="26" t="s">
        <v>472</v>
      </c>
      <c r="J161" s="17">
        <f t="shared" ref="J161:U161" si="94">+J160/J39</f>
        <v>-0.60209996172811431</v>
      </c>
      <c r="K161" s="17">
        <f t="shared" si="94"/>
        <v>-0.77266097791152732</v>
      </c>
      <c r="L161" s="17">
        <f t="shared" si="94"/>
        <v>-0.1714917115947063</v>
      </c>
      <c r="M161" s="17">
        <f t="shared" si="94"/>
        <v>0.13625648033212681</v>
      </c>
      <c r="N161" s="17">
        <f t="shared" si="94"/>
        <v>0.11202439409269384</v>
      </c>
      <c r="O161" s="17">
        <f t="shared" si="94"/>
        <v>0.34307806943570662</v>
      </c>
      <c r="P161" s="17">
        <f t="shared" si="94"/>
        <v>-0.15499269361909401</v>
      </c>
      <c r="Q161" s="17">
        <f t="shared" si="94"/>
        <v>0.23912709758507872</v>
      </c>
      <c r="R161" s="17">
        <f t="shared" si="94"/>
        <v>-3.7401673850695198E-2</v>
      </c>
      <c r="S161" s="17">
        <f t="shared" si="94"/>
        <v>0.24981212039078959</v>
      </c>
      <c r="T161" s="17">
        <f t="shared" si="94"/>
        <v>6.8382217571975434E-2</v>
      </c>
      <c r="U161" s="17">
        <f t="shared" si="94"/>
        <v>-2.3226808177631173E-3</v>
      </c>
      <c r="V161" s="17">
        <f>+V160/V39</f>
        <v>-1.7115123076164151E-2</v>
      </c>
      <c r="W161" s="73">
        <f t="shared" ref="W161" si="95">V161/V$6</f>
        <v>-3.2568454374258268E-10</v>
      </c>
      <c r="X161" s="89"/>
      <c r="Y161" s="17">
        <f t="shared" ref="Y161:AJ161" si="96">+Y160/Y39</f>
        <v>-0.88370160307583956</v>
      </c>
      <c r="Z161" s="17">
        <f t="shared" si="96"/>
        <v>-1.2051603412213014</v>
      </c>
      <c r="AA161" s="17">
        <f t="shared" si="96"/>
        <v>-6.8145282401804008E-2</v>
      </c>
      <c r="AB161" s="17">
        <f t="shared" si="96"/>
        <v>-0.86037211929050994</v>
      </c>
      <c r="AC161" s="17">
        <f t="shared" si="96"/>
        <v>-6.3174181247450931E-2</v>
      </c>
      <c r="AD161" s="17">
        <f t="shared" si="96"/>
        <v>8.9187637382878396E-2</v>
      </c>
      <c r="AE161" s="17">
        <f t="shared" si="96"/>
        <v>-0.45530391166819989</v>
      </c>
      <c r="AF161" s="17">
        <f t="shared" si="96"/>
        <v>-0.21879340109650353</v>
      </c>
      <c r="AG161" s="17">
        <f t="shared" si="96"/>
        <v>9.2586299919147533E-2</v>
      </c>
      <c r="AH161" s="17">
        <f t="shared" si="96"/>
        <v>0.37552119446083981</v>
      </c>
      <c r="AI161" s="17">
        <f t="shared" si="96"/>
        <v>0.21228478732548803</v>
      </c>
      <c r="AJ161" s="17">
        <f t="shared" si="96"/>
        <v>0.11869372659896346</v>
      </c>
      <c r="AK161" s="17">
        <f>+AK160/AK39</f>
        <v>-0.17284001466322338</v>
      </c>
      <c r="AL161" s="73">
        <f t="shared" ref="AL161" si="97">AK161/AK$6</f>
        <v>-2.8575733608091536E-9</v>
      </c>
      <c r="AM161" s="16">
        <f t="shared" si="79"/>
        <v>9.0986720278940787</v>
      </c>
    </row>
    <row r="162" spans="9:39" ht="15"/>
  </sheetData>
  <mergeCells count="4">
    <mergeCell ref="J2:U2"/>
    <mergeCell ref="V2:W2"/>
    <mergeCell ref="Y2:AJ2"/>
    <mergeCell ref="AK2:AL2"/>
  </mergeCells>
  <conditionalFormatting sqref="AM1:AM5">
    <cfRule type="cellIs" dxfId="18" priority="56" operator="lessThan">
      <formula>0</formula>
    </cfRule>
  </conditionalFormatting>
  <conditionalFormatting sqref="AM47:AM49 AM39:AM42 AM6:AM37">
    <cfRule type="cellIs" dxfId="17" priority="18" operator="lessThan">
      <formula>0</formula>
    </cfRule>
  </conditionalFormatting>
  <conditionalFormatting sqref="AM43:AM46">
    <cfRule type="cellIs" dxfId="16" priority="17" operator="lessThan">
      <formula>0</formula>
    </cfRule>
  </conditionalFormatting>
  <conditionalFormatting sqref="AM38">
    <cfRule type="cellIs" dxfId="15" priority="16" operator="lessThan">
      <formula>0</formula>
    </cfRule>
  </conditionalFormatting>
  <conditionalFormatting sqref="AM57:AM69 AM50:AM55 AM160 AM112:AM118 AM79:AM107 AM120:AM155 AM157:AM158">
    <cfRule type="cellIs" dxfId="14" priority="15" operator="lessThan">
      <formula>0</formula>
    </cfRule>
  </conditionalFormatting>
  <conditionalFormatting sqref="AM108">
    <cfRule type="cellIs" dxfId="13" priority="14" operator="lessThan">
      <formula>0</formula>
    </cfRule>
  </conditionalFormatting>
  <conditionalFormatting sqref="AM109">
    <cfRule type="cellIs" dxfId="12" priority="13" operator="lessThan">
      <formula>0</formula>
    </cfRule>
  </conditionalFormatting>
  <conditionalFormatting sqref="AM110">
    <cfRule type="cellIs" dxfId="11" priority="12" operator="lessThan">
      <formula>0</formula>
    </cfRule>
  </conditionalFormatting>
  <conditionalFormatting sqref="AM111">
    <cfRule type="cellIs" dxfId="10" priority="11" operator="lessThan">
      <formula>0</formula>
    </cfRule>
  </conditionalFormatting>
  <conditionalFormatting sqref="AM56">
    <cfRule type="cellIs" dxfId="9" priority="10" operator="lessThan">
      <formula>0</formula>
    </cfRule>
  </conditionalFormatting>
  <conditionalFormatting sqref="AM70">
    <cfRule type="cellIs" dxfId="8" priority="9" operator="lessThan">
      <formula>0</formula>
    </cfRule>
  </conditionalFormatting>
  <conditionalFormatting sqref="AM78">
    <cfRule type="cellIs" dxfId="7" priority="8" operator="lessThan">
      <formula>0</formula>
    </cfRule>
  </conditionalFormatting>
  <conditionalFormatting sqref="AM71:AM80">
    <cfRule type="cellIs" dxfId="6" priority="7" operator="lessThan">
      <formula>0</formula>
    </cfRule>
  </conditionalFormatting>
  <conditionalFormatting sqref="AM159">
    <cfRule type="cellIs" dxfId="5" priority="6" operator="lessThan">
      <formula>0</formula>
    </cfRule>
  </conditionalFormatting>
  <conditionalFormatting sqref="AM119:AM133">
    <cfRule type="cellIs" dxfId="4" priority="5" operator="lessThan">
      <formula>0</formula>
    </cfRule>
  </conditionalFormatting>
  <conditionalFormatting sqref="AM119:AM133">
    <cfRule type="cellIs" dxfId="3" priority="4" operator="lessThan">
      <formula>0</formula>
    </cfRule>
  </conditionalFormatting>
  <conditionalFormatting sqref="AM161">
    <cfRule type="cellIs" dxfId="2" priority="3" operator="lessThan">
      <formula>0</formula>
    </cfRule>
  </conditionalFormatting>
  <conditionalFormatting sqref="AO43:AO46">
    <cfRule type="cellIs" dxfId="1" priority="2" operator="lessThan">
      <formula>0</formula>
    </cfRule>
  </conditionalFormatting>
  <conditionalFormatting sqref="AM156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60">
    <tabColor rgb="FF002060"/>
  </sheetPr>
  <dimension ref="A1"/>
  <sheetViews>
    <sheetView workbookViewId="0">
      <selection activeCell="L26" sqref="L26"/>
    </sheetView>
  </sheetViews>
  <sheetFormatPr defaultColWidth="11.5703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Franco</dc:creator>
  <cp:keywords/>
  <dc:description/>
  <cp:lastModifiedBy/>
  <cp:revision/>
  <dcterms:created xsi:type="dcterms:W3CDTF">2020-09-23T11:40:37Z</dcterms:created>
  <dcterms:modified xsi:type="dcterms:W3CDTF">2026-04-29T15:06:26Z</dcterms:modified>
  <cp:category/>
  <cp:contentStatus/>
</cp:coreProperties>
</file>